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bin\Downloads\project\"/>
    </mc:Choice>
  </mc:AlternateContent>
  <xr:revisionPtr revIDLastSave="0" documentId="13_ncr:1_{ED84E41C-0F6C-4E52-91F8-F82DEFC333F3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Länkar" sheetId="1" r:id="rId1"/>
  </sheets>
  <definedNames>
    <definedName name="_xlnm._FilterDatabase" localSheetId="0" hidden="1">Länkar!$A$1:$I$5347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3" i="1"/>
  <c r="F4" i="1"/>
  <c r="F5" i="1"/>
  <c r="F6" i="1"/>
  <c r="F7" i="1"/>
  <c r="F8" i="1"/>
  <c r="F2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3" i="1"/>
  <c r="B4132" i="1"/>
  <c r="B4131" i="1"/>
  <c r="B4128" i="1"/>
  <c r="B4127" i="1"/>
  <c r="B4126" i="1"/>
  <c r="B4125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3" i="1"/>
  <c r="B4062" i="1"/>
  <c r="B4061" i="1"/>
  <c r="B488" i="1"/>
  <c r="B487" i="1"/>
  <c r="B486" i="1"/>
  <c r="B485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2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<sst xmlns="http://schemas.openxmlformats.org/spreadsheetml/2006/main" count="28794" uniqueCount="8059">
  <si>
    <t>Root URL</t>
  </si>
  <si>
    <t>haxan.se</t>
  </si>
  <si>
    <t>https://medialvagledning.com/2022/08/25/varje-ar-har-man-en-bokad-lakartid-for-sin-diabetes/</t>
  </si>
  <si>
    <t>https://haxan.se/</t>
  </si>
  <si>
    <t>Artikel</t>
  </si>
  <si>
    <t>SE</t>
  </si>
  <si>
    <t>Städprylar</t>
  </si>
  <si>
    <t>https://focusera.se/sa-kan-ett-rent-hem-bidra-till-okat-fokus/</t>
  </si>
  <si>
    <t>Läs mer om hur du städar rätt hemma</t>
  </si>
  <si>
    <t>https://www.industritorget.se/nyheter/de+b%c3%a4sta+reng%c3%b6ringsshy%3bprodukterna+p%c3%a5+marknaden/33814/?tobs=true</t>
  </si>
  <si>
    <t>Städprodukter</t>
  </si>
  <si>
    <t>ljusgrossisten.se</t>
  </si>
  <si>
    <t>https://marketingmartin.se/6-satt-att-forbattra-belysningen-i-ditt-hem/</t>
  </si>
  <si>
    <t>https://ljusgrossisten.se/</t>
  </si>
  <si>
    <t>Belysning</t>
  </si>
  <si>
    <t>https://eventeffect.se/planera-stadning-for-stora-event/</t>
  </si>
  <si>
    <t>chronos.se</t>
  </si>
  <si>
    <t>https://www.executiveeffect.se/kreativt-foretag-behandlar-diabetes-online/</t>
  </si>
  <si>
    <t>https://chronos.se/</t>
  </si>
  <si>
    <t>Diabetesbehandling</t>
  </si>
  <si>
    <t>blugiallo.com</t>
  </si>
  <si>
    <t>https://www.poshbeautyblog.com/travel/2022/10/6/how-to-experience-paradise-destinations-on-a-budget</t>
  </si>
  <si>
    <t>https://blugiallo.com/tailoring-guides/flannel-clothing-guide/</t>
  </si>
  <si>
    <t>ENG</t>
  </si>
  <si>
    <t>learn more about flannel clothes here</t>
  </si>
  <si>
    <t>https://savethefuture.se/5-skal-till-varfor-du-bor-anvanda-ekologiska-stadprodukter/</t>
  </si>
  <si>
    <t>https://digitalhalsan.nu/2022/09/15/var-halsa-ar-livsviktig/</t>
  </si>
  <si>
    <t>Dibetes typ 2</t>
  </si>
  <si>
    <t>https://44bars.com/4-things-that-will-elevate-your-wardrobe-in-the-long-term/</t>
  </si>
  <si>
    <t>https://blugiallo.com/custom-tailored/clothes/jeans/</t>
  </si>
  <si>
    <t>Find custom-tailored clothes he</t>
  </si>
  <si>
    <t>bästförsäkringar.se</t>
  </si>
  <si>
    <t>https://havstomt.se</t>
  </si>
  <si>
    <t>https://xn--bstfrskringar-bfbf9z.se/</t>
  </si>
  <si>
    <t>Startsida</t>
  </si>
  <si>
    <t>https://brafiler.se/</t>
  </si>
  <si>
    <t>https://bästförsäkringar.se/byta-forsakringsbolag/</t>
  </si>
  <si>
    <t>byta hemförsäkring</t>
  </si>
  <si>
    <t>https://svenskpress.se/articles/view/sa-ser-du-till-att-halla-din-dator-saker</t>
  </si>
  <si>
    <t>https://xn--bstfrskringar-bfbf9z.se/byta-forsakringsbolag/</t>
  </si>
  <si>
    <t>byta försäkring</t>
  </si>
  <si>
    <t>https://jetshopfree.se/3-tips-for-att-hantera-typ-2-diabetes/</t>
  </si>
  <si>
    <t>Diabetes typ 2</t>
  </si>
  <si>
    <t>elenkelt.se</t>
  </si>
  <si>
    <t>https://havstomt.se/</t>
  </si>
  <si>
    <t>https://elenkelt.se/installera-dimmer/</t>
  </si>
  <si>
    <t>Installera dimmer</t>
  </si>
  <si>
    <t>https://www.frii.se/varfor-du-ska-tvatta-dina-fonster-och-vad-du-behover-gora-for-att-gora-det/</t>
  </si>
  <si>
    <t>https://haxan.se/products/fonsterskrapa</t>
  </si>
  <si>
    <t>fönsterskrapa</t>
  </si>
  <si>
    <t>https://www.totallyorebro.se/ovrigt/en-omfattande-guide-for-att-forsta-socklar-pa-led-och-glodlampor/</t>
  </si>
  <si>
    <t>https://ljusgrossisten.se/belysningsfakta/sockelguide/</t>
  </si>
  <si>
    <t>Lampsocklar</t>
  </si>
  <si>
    <t>https://www.medtechmagazine.se/lb-article/1041/tips-for-att-fa-halsosamma-vanor-att-fastna</t>
  </si>
  <si>
    <t>https://eventeffect.se/ratt-dimmers-for-event/</t>
  </si>
  <si>
    <t>Installerar dimmer</t>
  </si>
  <si>
    <t>https://www.talentedladiesclub.com/articles/get-up-stand-up-and-own-it-seven-tips-for-self-development/</t>
  </si>
  <si>
    <t>https://blugiallo.com/</t>
  </si>
  <si>
    <t>https://tidskriftenskeppet.se/sa-kan-du-spara-in-pengar-under-vinterns-kommande-provningar/</t>
  </si>
  <si>
    <t>Byt försäkringsbolag</t>
  </si>
  <si>
    <t>https://Havstomt.se</t>
  </si>
  <si>
    <t>Magiskt bra städprodukter hos Häxan.</t>
  </si>
  <si>
    <t>https://halmstadextra.se/</t>
  </si>
  <si>
    <t>https://orebroextra.se</t>
  </si>
  <si>
    <t>https://goteborgextra.se/sa-koper-du-den-perfekta-belysningen-for-ditt-hem-online/</t>
  </si>
  <si>
    <t>https://hustillsalu.se/</t>
  </si>
  <si>
    <t>https://tvillingsajten.se/?p=201</t>
  </si>
  <si>
    <t>nem.health</t>
  </si>
  <si>
    <t>https://vasterasextra.se/5-satt-att-forbattra-din-halsa/</t>
  </si>
  <si>
    <t>https://nem.health/</t>
  </si>
  <si>
    <t>precisionsmedicin</t>
  </si>
  <si>
    <t>https://allnewsmagazine.com/benefits-of-having-tailoring-jeans/</t>
  </si>
  <si>
    <t>Tailoring jeans</t>
  </si>
  <si>
    <t>https://elleblonde.com/2022/11/03/get-the-most-out-of-the-fall-season/</t>
  </si>
  <si>
    <t>https://Firmify.se</t>
  </si>
  <si>
    <t>Bästa försäkringar</t>
  </si>
  <si>
    <t>https://sund.nu</t>
  </si>
  <si>
    <t>Fönsterputs</t>
  </si>
  <si>
    <t>https://signalnoi.se</t>
  </si>
  <si>
    <t>https://eteriskaoljorna.se</t>
  </si>
  <si>
    <t>https://lyckoklovern.se/2022/11/07/tank-pa-dessa-saker-nar-du-flyttar-till-en-villa/</t>
  </si>
  <si>
    <t>https://xn--bstfrskringar-bfbf9z.se/villaforsakring/</t>
  </si>
  <si>
    <t>Villa försäkring</t>
  </si>
  <si>
    <t>https://r1ekonomi.se/bra-rad/sa-kan-man-spara-pengar-under-vintern-som-kommer</t>
  </si>
  <si>
    <t>https://malmflod.se/2022/11/07/darfor-brinner-fler-och-fler-for-sin-halsa/</t>
  </si>
  <si>
    <t>Besök https://nem.health/</t>
  </si>
  <si>
    <t>kopbarnvagn.se</t>
  </si>
  <si>
    <t>https://babyblogg.se/kvalitets-barnvagnar/</t>
  </si>
  <si>
    <t>https://www.kopbarnvagn.se/sv/artiklar/bugaboo/index.html</t>
  </si>
  <si>
    <t>Bugaboo barnvagnar</t>
  </si>
  <si>
    <t>https://modernalivet.se/okategoriserade/vad-ar-blodsocker/</t>
  </si>
  <si>
    <t>https://chronos.se/diabetes/blodsocker</t>
  </si>
  <si>
    <t>Blodsocker</t>
  </si>
  <si>
    <t>https://stilero.se/partners</t>
  </si>
  <si>
    <t>Partner</t>
  </si>
  <si>
    <t>https://www.syskonvagn.nu/</t>
  </si>
  <si>
    <t>https://www.kopbarnvagn.se/sv/artiklar/barnvagnar/marke-2/bugaboo/index.html</t>
  </si>
  <si>
    <t>Bugaboo barnvagn</t>
  </si>
  <si>
    <t>https://fashionablefit.net/</t>
  </si>
  <si>
    <t>hälsokontroll</t>
  </si>
  <si>
    <t>bigbenstandup.com</t>
  </si>
  <si>
    <t>https://isla.se/big-ben-stand-up-comedy-club-sveriges-basta/</t>
  </si>
  <si>
    <t>https://bigbenstandup.com/</t>
  </si>
  <si>
    <t>Big ben stand up</t>
  </si>
  <si>
    <t>https://www.menshairstylesx.com/summary-of-tailored-clothes/</t>
  </si>
  <si>
    <t>https://playhd.se/for-och-nackdelar-med-lysrorsbelysning/</t>
  </si>
  <si>
    <t>https://ljusgrossisten.se/produkter/ljuskallor/lysror/</t>
  </si>
  <si>
    <t>Lysrör</t>
  </si>
  <si>
    <t>https://tidskriftenskeppet.se/sa-lyckas-man-med-att-borja-trana/</t>
  </si>
  <si>
    <t>https://laxrecept.se/vad-ar-langtidssocker/</t>
  </si>
  <si>
    <t>https://chronos.se/diabetes/blodsocker/hba1c</t>
  </si>
  <si>
    <t>Långtidssocker</t>
  </si>
  <si>
    <t>https://www.fashionbeautyblog.co.uk/how-to-ensure-that-you-look-your-best-this-fall/</t>
  </si>
  <si>
    <t>https://blugiallo.com/tailoring-guides/tailored-jeans-guide/</t>
  </si>
  <si>
    <t>can jeans be tailored?</t>
  </si>
  <si>
    <t>https://parkleken.se/varfor-bugaboo-vagnar-ar-det-basta-valet-for-nya-foraldrar/</t>
  </si>
  <si>
    <t>https://revrise.se/tips-och-tricks/trevliga-resmaal-for-en-weekendresa/</t>
  </si>
  <si>
    <t>https://xn--bstfrskringar-bfbf9z.se/reseforsakring/</t>
  </si>
  <si>
    <t>reseförsäkring</t>
  </si>
  <si>
    <t>https://briardklubben.se</t>
  </si>
  <si>
    <t>https://xn--bstfrskringar-bfbf9z.se/kattforsakring/</t>
  </si>
  <si>
    <t>kattförsäkring</t>
  </si>
  <si>
    <t>https://missli.se/</t>
  </si>
  <si>
    <t>https://haxan.se/collections/tarotkort</t>
  </si>
  <si>
    <t>Tarotkort</t>
  </si>
  <si>
    <t>http://andrashop.se/partners/</t>
  </si>
  <si>
    <t>Husförsäkring</t>
  </si>
  <si>
    <t>https://stilero.se/b/hur-satter-man-upp-en-taklampa/</t>
  </si>
  <si>
    <t>elmarknad.se</t>
  </si>
  <si>
    <t>https://www.elmarknad.se/</t>
  </si>
  <si>
    <t>Billig el</t>
  </si>
  <si>
    <t>https://stilero.se/b/valj-lekfull-inredning-till-barnrum/</t>
  </si>
  <si>
    <t>Barnvagn</t>
  </si>
  <si>
    <t>https://sipski.se/</t>
  </si>
  <si>
    <t>https://www.kopbarnvagn.se/sv/artiklar/emmaljunga-nxt90/index.html</t>
  </si>
  <si>
    <t>emmaljunga nxt90</t>
  </si>
  <si>
    <t>https://tidskriftenskeppet.se/roliga-aktiviteter-pa-krogar-och-barer-med-slakt-och-vanner/</t>
  </si>
  <si>
    <t>big ben standup</t>
  </si>
  <si>
    <t>https://veckodag.nu/tarotkort-arets-julklapp/</t>
  </si>
  <si>
    <t>https://barnfota.se/2022/12/02/den-viktigaste-utrustningen-att-kopa-om-ni-vantar-barn/</t>
  </si>
  <si>
    <t>bugaboo barnvagn</t>
  </si>
  <si>
    <t>https://sipski.se/precisionsmedicin-nya-framsteg-inom-halso-och-sjukvarden/</t>
  </si>
  <si>
    <t>Precisionsmedicin</t>
  </si>
  <si>
    <t>https://www.frii.se/hogt-blodtryck-okar-risken-for-diabetes-typ-2/</t>
  </si>
  <si>
    <t>Typ-2 diabetes</t>
  </si>
  <si>
    <t>https://eventeffect.se/planera-el-for-stora-event/</t>
  </si>
  <si>
    <t>El för större event</t>
  </si>
  <si>
    <t>https://www.frii.se/hur-du-haller-koll-pa-ditt-elpris/</t>
  </si>
  <si>
    <t>ny app för ditt elpris</t>
  </si>
  <si>
    <t>https://www.frii.se/stockholms-basta-stand-up/</t>
  </si>
  <si>
    <t>https://xn--barnhrnan-47a.se/</t>
  </si>
  <si>
    <t>Bugaboo</t>
  </si>
  <si>
    <t>https://carolinkonig.se/2022/12/15/valj-ratt-barnvagn-kopguide-for-forstagangsforaldrar/</t>
  </si>
  <si>
    <t>Besök https://www.kopbarnvagn.se/sv/artiklar/bugaboo/index.html</t>
  </si>
  <si>
    <t>blueturtle.se</t>
  </si>
  <si>
    <t>https://zelium.se/allmanhet/sa-kan-du-fa-stadrutiner-att-halla-sig/</t>
  </si>
  <si>
    <t>askskinfo.com</t>
  </si>
  <si>
    <t>https://blueturtle.se/partners/</t>
  </si>
  <si>
    <t>https://www.askskinfo.com/browse/?brand=DR+CEURACLE</t>
  </si>
  <si>
    <t>dr ceuracle</t>
  </si>
  <si>
    <t>https://andrashop.se/b/vinyl-laminatgolv-eller-heltackningsmatta-i-barnrummet/</t>
  </si>
  <si>
    <t>https://www.kopbarnvagn.se/sv/artiklar/stokke-tripp-trapp/index.html</t>
  </si>
  <si>
    <t>stokke tripp trapp</t>
  </si>
  <si>
    <t>https://publicistpaper.com/4-reasons-to-consider-getting-custom-tailored-clothing/</t>
  </si>
  <si>
    <t>https://andrashop.se/b/vedeldad-bastu-flera-fordelar-for-halsa-och-hy/</t>
  </si>
  <si>
    <t>https://www.askskinfo.com/browse/?brand=CETAPHIL</t>
  </si>
  <si>
    <t>cetaphil</t>
  </si>
  <si>
    <t>https://andrashop.se/b/hitta-ratt-verktygstavla-for-att-halla-rent-hemma/</t>
  </si>
  <si>
    <t>https://freddielarsson.se/vad-ska-man-ha-for-belysning-i-poolen/</t>
  </si>
  <si>
    <t>https://ljusgrossisten.se/produkter/ljuskallor/poollampor/</t>
  </si>
  <si>
    <t>poollampor</t>
  </si>
  <si>
    <t>arctic.se</t>
  </si>
  <si>
    <t>https://traningskort.se/</t>
  </si>
  <si>
    <t>https://arctic.se/se/produktsidor/hjartstartare/</t>
  </si>
  <si>
    <t>hjärtstartare</t>
  </si>
  <si>
    <t>https://uppsalabostad.se/</t>
  </si>
  <si>
    <t>https://www.elmarknad.se/elpriser/jamfor-elpriser</t>
  </si>
  <si>
    <t>jämföra elpriser</t>
  </si>
  <si>
    <t>https://www.frii.se/den-ultimata-guiden-for-att-valja-ratt-belysning-for-ditt-hem/</t>
  </si>
  <si>
    <t>belysning</t>
  </si>
  <si>
    <t>https://www.frii.se/hudvardsmarke-som-haller-hoga-standarden/</t>
  </si>
  <si>
    <t>https://www.askskinfo.com/browse/?brand=sol+de+janeiro</t>
  </si>
  <si>
    <t>sol de janeiro</t>
  </si>
  <si>
    <t>https://guldkorn.nu/en-introduktion-till-hba1c-testning-for-diabetespatienter/</t>
  </si>
  <si>
    <t>hba1c</t>
  </si>
  <si>
    <t>https://bästförsäkringar.se/villaforsakring/</t>
  </si>
  <si>
    <t>https://looksgud.com/blog/reasons-to-consider-tailored-clothes-this-fall/</t>
  </si>
  <si>
    <t>Blugiallo</t>
  </si>
  <si>
    <t>https://poolstart.se/</t>
  </si>
  <si>
    <t>https://eventeffect.se/fa-ditt-skratt-pa-komiska-evenemang-i-stockholm/</t>
  </si>
  <si>
    <t>Big Ben Standup</t>
  </si>
  <si>
    <t>https://poolstart.se/hur-du-kan-halla-dina-tramobler-nya-med-teakolja/</t>
  </si>
  <si>
    <t>https://haxan.se/products/teakolja</t>
  </si>
  <si>
    <t>Teakolja</t>
  </si>
  <si>
    <t>https://guldkorn.nu/halsoplan-baserad-pa-ditt-dna/</t>
  </si>
  <si>
    <t>Hälsoplan</t>
  </si>
  <si>
    <t>https://nyttuniversitet.se/vilka-foremal-kan-det-vara-bra-att-ha-i-en-bostadsforening-eller-ett-grannskap/</t>
  </si>
  <si>
    <t>https://galamagazine.se/tips-pa-roliga-aktiviteter-i-stockholm/</t>
  </si>
  <si>
    <t>https://galamagazine.se/detta-bor-du-tanka-pa-om-du-ar-intresserad-av-att-kopa-ett-fritidshus/</t>
  </si>
  <si>
    <t>https://parkleken.se/forstaelse-for-langtidssocker-hba1c-och-hur-det-paverkar-diabetiker/</t>
  </si>
  <si>
    <t>https://swedenvirtualreality.se/ar-vr-en-energislukande-teknik/</t>
  </si>
  <si>
    <t>jämför elpriser</t>
  </si>
  <si>
    <t>https://healthyliving.se/sa-far-du-dina-vanor-att-halla-sig-under-det-nya-aret/</t>
  </si>
  <si>
    <t>https://savethefuture.se/gor-nagot-bra-for-klimatet-och-din-planbok-minska-din-elforbrukning/</t>
  </si>
  <si>
    <t>Jämför elpriser</t>
  </si>
  <si>
    <t>https://www.askskinfo.com/article/Vetenskapliga%20ingredienser:%20Retinol</t>
  </si>
  <si>
    <t>Retinol</t>
  </si>
  <si>
    <t>https://brandskor.se/sa-gor-du-dig-redo-for-en-storstadning/</t>
  </si>
  <si>
    <t>Se städprodukter här</t>
  </si>
  <si>
    <t>https://bloggfamiljen.se/inkopslista-for-nyblivna-foraldrar/</t>
  </si>
  <si>
    <t>https://isla.se/vad-innehaller-dina-skonhetsprodukter/</t>
  </si>
  <si>
    <t>https://www.askskinfo.com/</t>
  </si>
  <si>
    <t>Hudvård</t>
  </si>
  <si>
    <t>https://www.fashiondioxide.com/guide-for-always-looking-the-best-you-can/</t>
  </si>
  <si>
    <t>https://brandskor.se/sa-ser-du-till-att-dina-nya-halsovanor-haller-i-det-nya-aret/</t>
  </si>
  <si>
    <t>långtidssocker</t>
  </si>
  <si>
    <t>https://healthyliving.se/halsofordelar-med-ett-rent-och-stadat-hem/</t>
  </si>
  <si>
    <t>https://brandskor.se/detta-kan-du-gora-for-att-sanka-din-biologiska-alder/</t>
  </si>
  <si>
    <t>Arctic hjärtstartare</t>
  </si>
  <si>
    <t>https://laxrecept.se/hur-du-far-ditt-hem-att-lukta-sott-och-frascht/</t>
  </si>
  <si>
    <t>https://haxan.se/collections/stadprodukter-doftolja/</t>
  </si>
  <si>
    <t>Doftolja</t>
  </si>
  <si>
    <t>https://virensbabysim.se/att-tanka-pa-vid-val-av-barnvagn/</t>
  </si>
  <si>
    <t>https://poolstart.se/upptack-fordelarna-med-dr-ceuracle-skincare/</t>
  </si>
  <si>
    <t>swedoffice</t>
  </si>
  <si>
    <t>https://www.industritorget.se/nyheter/kontorsmaterial/35462/</t>
  </si>
  <si>
    <t>https://www.swedoffice.se/</t>
  </si>
  <si>
    <t>Kontorsmaterial</t>
  </si>
  <si>
    <t>https://guldkorn.nu/upptack-fordelarna-med-dr-ceuracle-skincare/</t>
  </si>
  <si>
    <t>https://stilero.se/b/bohemisk-inredning-en-fortsatt-het-trend-i-de-svenska-hemmen-2023/</t>
  </si>
  <si>
    <t>den bästa villaförsäkringen 2023</t>
  </si>
  <si>
    <t>https://goteborgextra.se/teckna-ett-billigare-elavtal-som-goteborgare/</t>
  </si>
  <si>
    <t>skära ned på din elförbrukning</t>
  </si>
  <si>
    <t>https://industrimagasinet.se/alla-borde-ha-en-hjartstartare-i-hemmet/</t>
  </si>
  <si>
    <t>hjärtstartare i hemmet</t>
  </si>
  <si>
    <t>https://stockholmextra.se/tips-pa-roliga-saker-att-hitta-pa-i-stockholm/</t>
  </si>
  <si>
    <t>legendariska Big Ben Stand up på Södermalm</t>
  </si>
  <si>
    <t>https://smartkonstruktion.se/tips-for-att-valja-ratt-hemforsakring/</t>
  </si>
  <si>
    <t>husförsäkring försäkrar själva bostadsbyggnaden</t>
  </si>
  <si>
    <t>https://egenvilla.se/sa-gor-du-stadningen-roligare/</t>
  </si>
  <si>
    <t>se städprodukter här</t>
  </si>
  <si>
    <t>https://livsbanken.se/rad-for-en-jamn-blodsockerniva/</t>
  </si>
  <si>
    <t>långtidssocker bör ligga på en rimlig nivå</t>
  </si>
  <si>
    <t>https://smartkonstruktion.se/karvar-ekonomin-just-nu-spara-hundralappar-genom-att-sanka-elforbrukningen/</t>
  </si>
  <si>
    <t>elpriser kan du hitta ett billigare avtal</t>
  </si>
  <si>
    <t>https://alltombeauty.se/stress-paverkar-huden-negativt-tips-for-att-stressa-mindre/</t>
  </si>
  <si>
    <t>Klicka hem några bra städprodukter</t>
  </si>
  <si>
    <t>https://barnmagasinet.se/inkopslista-till-bebis-3-storre-inkop-du-behover-gora/</t>
  </si>
  <si>
    <t>tripp trapp stol</t>
  </si>
  <si>
    <t>https://alltombeauty.se/tips-for-att-kanna-sig-och-se-yngre-ut/</t>
  </si>
  <si>
    <t>hälsokontroll kan göra under för din hälsa</t>
  </si>
  <si>
    <t>https://alltombarnfamiljen.se/ska-du-kopa-ny-barnvagn-har-ar-5-tips-for-att-fatta-ett-valgrundat-beslut/</t>
  </si>
  <si>
    <t>https://www.kopbarnvagn.se/sv/artiklar/bugaboo-donkey-5-twin.html</t>
  </si>
  <si>
    <t>funktionella barnvagnen Bugaboo Donkey 5</t>
  </si>
  <si>
    <t>https://egenvilla.se/darfor-bor-du-alltid-jamfora-bade-lan-och-forsakringar-innan-du-koper-ett-hus/</t>
  </si>
  <si>
    <t>du jämföra försäkringar här</t>
  </si>
  <si>
    <t>https://livsstilsforandringar.se/sa-kan-man-se-till-att-fa-positiva-forandringar-att-halla-i-sig/</t>
  </si>
  <si>
    <t>framtid läst i tarotkort</t>
  </si>
  <si>
    <t>https://schuck.se/ta-kontroll-over-din-halsa-med-en-halsokontroll/</t>
  </si>
  <si>
    <t xml:space="preserve">Hälsokontroll   </t>
  </si>
  <si>
    <t>https://addis-techblog.de/2023/03/versicherungen-gibt-es-auch-fuer-wasserpumpen/</t>
  </si>
  <si>
    <t>https://arctic.se/de/</t>
  </si>
  <si>
    <t>GE</t>
  </si>
  <si>
    <t>Versicherung für Ihre Wasserpumpe</t>
  </si>
  <si>
    <t>creditsafe.se</t>
  </si>
  <si>
    <t>https://aktieskole.com/3-tips-til-at-vurdere-om-du-boer-koebe-aktier-i-en-virksomhed-via-dit-eget-selskab/</t>
  </si>
  <si>
    <t>https://www.creditsafe.com/dk/da.html</t>
  </si>
  <si>
    <t>DK</t>
  </si>
  <si>
    <t>kreditvurdering</t>
  </si>
  <si>
    <t>https://sahlstorm.se/sa-kan-man-dra-ner-pa-sin-elforbrukning/</t>
  </si>
  <si>
    <t>https://www.elmarknad.se/spotpris/imorgon</t>
  </si>
  <si>
    <t>spotpriset imorgon</t>
  </si>
  <si>
    <t>schjodt.com</t>
  </si>
  <si>
    <t>https://tidskriftenskeppet.se/ekonomiska-svarigheter-rekonstruera-foretaget-och-undvik-konkurs/</t>
  </si>
  <si>
    <t>https://schjodt.com/expertise/rekonstruktion-insolvens</t>
  </si>
  <si>
    <t>företagsrekonstruktion</t>
  </si>
  <si>
    <t>https://tidskriftenskeppet.se/piffa-upp-hemmakontoret-med-dessa-5-tips/</t>
  </si>
  <si>
    <t>toyota-forklifts.se</t>
  </si>
  <si>
    <t>https://businessmanualen.se/tank-pa-detta-om-du-arbetar-hemifran/</t>
  </si>
  <si>
    <t>https://toyota-forklifts.se/vara-truckar/plocktruckar/</t>
  </si>
  <si>
    <t>plocktruck</t>
  </si>
  <si>
    <t>https://mandemagasinet.dk/til-forretningsmanden-derfor-skal-du-investere-i-kreditvurdering-til-din-virksomhed/</t>
  </si>
  <si>
    <t>https://stockholmextra.se/varen-kommer-snart-till-huvudstaden-detta-bor-du-tanka-pa-om-du-ska-varstada/</t>
  </si>
  <si>
    <t xml:space="preserve">Städprodukter </t>
  </si>
  <si>
    <t>https://dambloggen.se/tips-pa-saker-att-tanka-pa-nar-man-ska-ta-hem-ett-barn/</t>
  </si>
  <si>
    <t>https://kvinnan.se/bra-saker-att-tanka-pa-innan-man-tar-hem-ett-barn-fran-bb/</t>
  </si>
  <si>
    <t>Emmaljunga barnvagn</t>
  </si>
  <si>
    <t>https://businessmanualen.se/atgarder-att-vidta-om-ditt-foretag-upplever-ekonomiska-svarigheter/</t>
  </si>
  <si>
    <t>insolvens</t>
  </si>
  <si>
    <t>https://ngweb.se/viktiga-saker-att-ha-pa-kontoret/</t>
  </si>
  <si>
    <t>https://www.swedoffice.se/kategori/49902-kopieringspapp</t>
  </si>
  <si>
    <t>kopieringspapper</t>
  </si>
  <si>
    <t>https://direktbygg.se/saker-att-planera-for-infor-en-storre-renovering-eller-byggprojekt/</t>
  </si>
  <si>
    <t>https://toyota-forklifts.se/vara-truckar/motviktstruck-el/</t>
  </si>
  <si>
    <t>eltruck</t>
  </si>
  <si>
    <t>vontabel.com</t>
  </si>
  <si>
    <t>https://businessmanualen.se/att-spekulera-i-olika-borshandlade-instrument-blir-mer-och-mer-tillgangligt-och-vanligt-bland-svenskar</t>
  </si>
  <si>
    <t>https://markets.vontobel.com/sv-se/produkter/leverage/mini-future</t>
  </si>
  <si>
    <t>mini futures</t>
  </si>
  <si>
    <t>https://r1ekonomi.se/bra-rad/bull-bear-certifikat-vad-ar-dessa-och-vilka-anvandningsomraden-finns-det</t>
  </si>
  <si>
    <t>https://markets.vontobel.com/sv-se/produkter/leverage/bull-bear-certifikat</t>
  </si>
  <si>
    <t>Bull &amp; Bear certifikat</t>
  </si>
  <si>
    <t>https://www.frii.se/dessa-skonhetsrutinernoch-produkter-gor-att-du-ar-redo-for-varen/</t>
  </si>
  <si>
    <t>https://www.askskinfo.com/varumarke/dr-ceuracle</t>
  </si>
  <si>
    <t>https://villaprojekt.se/villaforsakring-jamfor-forsakringar-och-hitta-det-mest-prisvarda-skyddet/</t>
  </si>
  <si>
    <t>husförsäkring</t>
  </si>
  <si>
    <t>https://livsstilsexperten.se/detta-ar-livsstilsforandringarna-som-lakarna-rekommenderar-for-ett-battre-liv-med-typ-2-diabetes/</t>
  </si>
  <si>
    <t>diabetes typ 2</t>
  </si>
  <si>
    <t>lansfast.se</t>
  </si>
  <si>
    <t>https://dagenshus.se/sa-forbereder-du-huset-infor-forsaljning/</t>
  </si>
  <si>
    <t>https://www.lansfast.se/maklare/sodermanland/nykoping/</t>
  </si>
  <si>
    <t>Hitta din lokala mäklare här</t>
  </si>
  <si>
    <t>sufracofinebrands.com</t>
  </si>
  <si>
    <t>https://www.frii.se/3-fordelar-med-att-valja-naturliga-skonhetsprodukter/</t>
  </si>
  <si>
    <t>https://sufracofinebrands.com/kategori/aleppotval/</t>
  </si>
  <si>
    <t>Aleppotvål</t>
  </si>
  <si>
    <t>https://beautytube.se/varfin-5-tips-for-en-friskare-och-snyggare-hud/</t>
  </si>
  <si>
    <t>https://www.askskinfo.com/varumarke/all-i-am-beauty</t>
  </si>
  <si>
    <t>All I Am Beauty</t>
  </si>
  <si>
    <t>https://bygg-appen.se/ovrigt/skar-ner-hushallets-elrakningar-med-dessa-5-tips</t>
  </si>
  <si>
    <t>Jämför elpriser här</t>
  </si>
  <si>
    <t>https://www.expensive-world.com/most-expensive-tuxedos/</t>
  </si>
  <si>
    <t>https://blugiallo.com/custom-tailored/clothes/tuxedo/</t>
  </si>
  <si>
    <t>Tuxedo</t>
  </si>
  <si>
    <t>https://romeoojulia.se/rekommendationer/darfor-bor-du-gora-en-ordentlig-storstadning-infor-varens-ankomst/</t>
  </si>
  <si>
    <t>tiotak.se</t>
  </si>
  <si>
    <t>https://bygg-appen.se/tips-och-trick/ska-du-anlita-hantverkare-detta-ar-bra-att-tanka-pa</t>
  </si>
  <si>
    <t>https://tiotak.se/</t>
  </si>
  <si>
    <t xml:space="preserve">Takläggare </t>
  </si>
  <si>
    <t>vont</t>
  </si>
  <si>
    <t>https://www.forfest.se/planera-20-talsfesten-alla-tips-du-behover-for-ett-great-gatsby-tema/</t>
  </si>
  <si>
    <t>https://www.vont.se/</t>
  </si>
  <si>
    <t>Vape</t>
  </si>
  <si>
    <t>https://eztronics.se/saa-kan-du-minska-foretagets-elforbrukning-och-spara-pengar/</t>
  </si>
  <si>
    <t>https://www.elmarknad.se/spotpris/idag</t>
  </si>
  <si>
    <t>dagens spotpris</t>
  </si>
  <si>
    <t>https://brafiler.se/nyheter/tips-att-anv%C3%A4nda-n%C3%A4r-du-ska-inreda-ditt-hemmakontor-eller-datorh%C3%B6rna/1013</t>
  </si>
  <si>
    <t>https://www.swedoffice.se/kategori/69602-gaffelparm-trarygg</t>
  </si>
  <si>
    <t>Pärmar</t>
  </si>
  <si>
    <t>https://eciggshoppen.se/allt-du-behover-veta-om-vaping-ny-smak-ute-vart-att-testa/</t>
  </si>
  <si>
    <t>https://www.vont.se/product/vont-to-go-blue-raspberry-sw</t>
  </si>
  <si>
    <t>blue raspberry</t>
  </si>
  <si>
    <t>advancepointcap.com</t>
  </si>
  <si>
    <t>https://calbizjournal.com/fast-track-financing-how-same-day-business-loans-keep-your-business-moving/</t>
  </si>
  <si>
    <t>https://advancepointcap.com/blog/same-day-smb-loan/</t>
  </si>
  <si>
    <t>US</t>
  </si>
  <si>
    <t>same day business loans.</t>
  </si>
  <si>
    <t>https://veckodag.nu/</t>
  </si>
  <si>
    <t>happysocks.com</t>
  </si>
  <si>
    <t>https://publicistpaper.com/exploring-the-charm-of-crazy-socks-colorful-adventures-await/</t>
  </si>
  <si>
    <t>https://www.happysocks.com/us/collection/socks-for-men</t>
  </si>
  <si>
    <t xml:space="preserve">Crazy socks </t>
  </si>
  <si>
    <t>https://ridzeal.com/step-into-style-trendy-and-comfortable-socks-for-women/</t>
  </si>
  <si>
    <t>https://www.happysocks.com/us/collection/socks-for-women</t>
  </si>
  <si>
    <t>socks for women</t>
  </si>
  <si>
    <t>https://bytevarsity.com/elevate-your-style-with-the-best-mens-socks/</t>
  </si>
  <si>
    <t>best men’s socks</t>
  </si>
  <si>
    <t>https://www.newsbreak.com/@kate-westall-1672678/3137303509502-step-up-your-formal-style-the-art-of-selecting-dress-socks</t>
  </si>
  <si>
    <t>dress socks</t>
  </si>
  <si>
    <t>https://sflcn.com/navigating-supply-chain-disruptions-emergency-business-loans-for-mitigating-supplier-issues/</t>
  </si>
  <si>
    <t>https://advancepointcap.com/emergency-loan/</t>
  </si>
  <si>
    <t xml:space="preserve">emergency business loans </t>
  </si>
  <si>
    <t>https://ecommunity.se/blugiallo-lyfter-herrmodet-till-en-ny-niva/</t>
  </si>
  <si>
    <t>https://blugiallo.se/</t>
  </si>
  <si>
    <t xml:space="preserve">hittar du din outfit här </t>
  </si>
  <si>
    <t>https://ecommunity.se/kopbarnvagn-gor-foraldraskapet-enklare-med-hogkvalitativa-barnvagnar/</t>
  </si>
  <si>
    <t xml:space="preserve">Bugaboo barnvagn </t>
  </si>
  <si>
    <t>https://ecommunity.se/swedoffice-se-sajten-for-alla-dina-kontorsmaterialsbehov/</t>
  </si>
  <si>
    <t>kontorsmaterial</t>
  </si>
  <si>
    <t>https://hemstart.se/vaping-vs-smoking-hur-vape-har-forandrat-nikotinmarknaden/</t>
  </si>
  <si>
    <t>https://www.executiveeffect.se/blugiallo-ratt-klader-for-styrelsemotet/</t>
  </si>
  <si>
    <t xml:space="preserve">Kostymer </t>
  </si>
  <si>
    <t>https://eventeffect.se/swedoffice-se-kontorsmaterial-for-event/</t>
  </si>
  <si>
    <t>kontorsmaterial för event</t>
  </si>
  <si>
    <t>https://ecommunity.se/forsta-sig-pa-blodsocker-en-omfattande-guide-fran-chronos/</t>
  </si>
  <si>
    <t xml:space="preserve">Blodsocker </t>
  </si>
  <si>
    <t>https://ecommunity.se/upptack-fordelarna-med-teakolja/</t>
  </si>
  <si>
    <t>teakolja</t>
  </si>
  <si>
    <t>https://ecommunity.se/upptack-aleppotvalen-den-naturliga-och-hallbara-losningen/</t>
  </si>
  <si>
    <t>https://sufracofinebrands.com/kategori/aleppotval</t>
  </si>
  <si>
    <t>https://ranaposten.no/okende-interesse-for-aksjer-i-norge/</t>
  </si>
  <si>
    <t>https://markets.vontobel.com/nb-no/produkter/leverage/bull-bear-sertifikater/DE000VV87KH8</t>
  </si>
  <si>
    <t>NO</t>
  </si>
  <si>
    <t xml:space="preserve">bull og bear </t>
  </si>
  <si>
    <t>https://ecommunity.se/upptack-magin-med-dr-ceuracles-hudvardsprodukter/</t>
  </si>
  <si>
    <t>dr-ceuracle</t>
  </si>
  <si>
    <t>pontech</t>
  </si>
  <si>
    <t>https://savethefuture.se/flytbryggor-en-omfattande-guide-till-pontoner-och-vagbrytare/</t>
  </si>
  <si>
    <t>https://pontechmarina.com/se/flytbryggor/</t>
  </si>
  <si>
    <t>Flytbryggor</t>
  </si>
  <si>
    <t>https://www.executiveeffect.se/vont-stallet-for-hogkvalitativa-podsystem-nikotinpasar-och-engangsvapes/</t>
  </si>
  <si>
    <t>ecigg</t>
  </si>
  <si>
    <t>https://parkleken.se/</t>
  </si>
  <si>
    <t>engångsvape</t>
  </si>
  <si>
    <t>www.adligo.io</t>
  </si>
  <si>
    <t>https://eventeffect.se/adligo-io-din-losning-for-intranatkommunikation-vid-evenemang/</t>
  </si>
  <si>
    <t>https://www.adligo.io/</t>
  </si>
  <si>
    <t xml:space="preserve">Intranät </t>
  </si>
  <si>
    <t>https://www.fibre2fashion.com/industry-article/9598/tips-to-find-a-tuxedo-tailored-to-your-needs-and-style</t>
  </si>
  <si>
    <t>tuxedo</t>
  </si>
  <si>
    <t>https://lifestylebloggen.se/langtidssocker-vad-ar-det-och-hur-mats-det/</t>
  </si>
  <si>
    <t>HbA1c</t>
  </si>
  <si>
    <t>https://pengeskole.dk/saadan-tjener-du-penge-paa-at-samarbejde-med-de-rigtige-sponsorer-paa-din-blog/</t>
  </si>
  <si>
    <t>https://konsumtionen.se/sa-gor-du-dig-redo-for-varen/</t>
  </si>
  <si>
    <t>https://www.kopbarnvagn.se/</t>
  </si>
  <si>
    <t>rehabgrossisten.com</t>
  </si>
  <si>
    <t>https://openinfo.se/kom-tillbaka-till-traningen-efter-en-skada/</t>
  </si>
  <si>
    <t>https://rehabgrossisten.com/</t>
  </si>
  <si>
    <t>rehabprodukter</t>
  </si>
  <si>
    <t>https://dinfinans.se/ar-ditt-foretag-konkurshotat-overvag-en-foretagsrekonstruktion/</t>
  </si>
  <si>
    <t xml:space="preserve">Företagsrekonstruktion </t>
  </si>
  <si>
    <t>https://valutacentralen.se/handfasta-tips-for-att-forbattra-ditt-foretags-likviditet/</t>
  </si>
  <si>
    <t>https://pengar.in/vilken-ar-den-billigaste-matbutiken/</t>
  </si>
  <si>
    <t>rekonstruktion</t>
  </si>
  <si>
    <t>https://ekonomiboken.se/fixa-en-praktisk-arbetsplats-darhemma/</t>
  </si>
  <si>
    <t>https://industrimagasinet.se/4-tips-for-att-gora-din-arbetsdag-effektivare/</t>
  </si>
  <si>
    <t>pärmar</t>
  </si>
  <si>
    <t>https://bolagsekonomen.se/tappar-du-latt-fokus-vid-hemarbete-har-ar-nagra-tips-for-en-mer-produktiv-arbetsdag/</t>
  </si>
  <si>
    <t xml:space="preserve">kopieringspapper </t>
  </si>
  <si>
    <t>https://byggavilla.se/truck-for-storre-byggprojekt-hyra-eller-kopa/</t>
  </si>
  <si>
    <t>https://toyota-forklifts.se/begagnade-truckar/</t>
  </si>
  <si>
    <t xml:space="preserve">begagnade truckar </t>
  </si>
  <si>
    <t>https://bossingsbilservice.se/plocktruckar-for-ditt-event/</t>
  </si>
  <si>
    <t>välja rätt plocktruck för ditt event.</t>
  </si>
  <si>
    <t>https://bareblog.se/kopguide-hitta-ratt-motviktstruck-for-foretaget/</t>
  </si>
  <si>
    <t>https://livsstilsforandringar.se/diabetes-den-mangfacetterade-folksjukdomen/</t>
  </si>
  <si>
    <t>https://livsstilsforandringar.se/personliga-halsoplaner-efter-dna-blir-allt-mer-populart/</t>
  </si>
  <si>
    <t xml:space="preserve">precisionsmedicin </t>
  </si>
  <si>
    <t>https://savethefuture.se/flytbryggor-for-hamnar-och-marinor-en-jamforelse-av-betongbryggor-och-trabetongbryggor/</t>
  </si>
  <si>
    <t>https://pontonhamnar.se/produkter/flytbryggor/</t>
  </si>
  <si>
    <t>https://stilero.se/b/inred-hemmakontoret-med-smart-skrivbordsforvaring/</t>
  </si>
  <si>
    <t>https://www.swedoffice.se/kategori/69602-gaffelparm-trarygg/</t>
  </si>
  <si>
    <t>https://ladytalk.se/hudvardsprodukter-du-inte-kan-leva-utan-2023/</t>
  </si>
  <si>
    <t>https://livsstilsbloggen.se/sa-lyckas-man-med-halsosamma-livstilsforandringar/</t>
  </si>
  <si>
    <t>https://industrilinjen.se/sa-kan-man-spara-in-pa-sin-elanvandning-for-att-dra-ner-sina-manadskostnader/</t>
  </si>
  <si>
    <t>fairinvestments.se</t>
  </si>
  <si>
    <t>https://dinfinans.se/viktiga-saker-att-tanka-pa-som-ny-investerare/</t>
  </si>
  <si>
    <t>https://www.linkedin.com/company/fair-investments-sweden-ab/?originalSubdomain=se</t>
  </si>
  <si>
    <t xml:space="preserve">Fair Investments </t>
  </si>
  <si>
    <t>https://www.godfatherstyle.com/3-fool-proof-tips-on-how-to-create-your-personal-style/</t>
  </si>
  <si>
    <t>mens socks</t>
  </si>
  <si>
    <t>https://44bars.com/how-to-put-together-a-party-outfit-that-works/</t>
  </si>
  <si>
    <t>best mens socks</t>
  </si>
  <si>
    <t>https://gladafamiljer.se/gor-stadningen-roligare-med-dessa-tips/</t>
  </si>
  <si>
    <t>https://flerbarnsmamman.se/detta-bor-man-tanka-pa-nar-man-ska-kopa-en-barnvagn/</t>
  </si>
  <si>
    <t>https://www.kopbarnvagn.se/sv/artiklar/bugaboo-donkey-5-mono-inkl-bugaboo-babyskydd.html</t>
  </si>
  <si>
    <t>bugaboo barnvagnar</t>
  </si>
  <si>
    <t>https://nordicinvestor.se/detta-bor-man-veta-om-man-ska-kopa-ett-fritidshus/</t>
  </si>
  <si>
    <t>Mäklare trosa</t>
  </si>
  <si>
    <t>https://dindromvilla.se/gar-du-i-saljtankar-har-ar-tipsen-som-sakerstaller-en-lyckad-forsaljning/</t>
  </si>
  <si>
    <t xml:space="preserve">Mäklare trosa </t>
  </si>
  <si>
    <t>https://emmabodagranit.se/b/tips-till-dig-som-ska-bygga-trall/</t>
  </si>
  <si>
    <t>https://pontechmarina.com/se/flytbrygga/</t>
  </si>
  <si>
    <t>Flytbrygga</t>
  </si>
  <si>
    <t>https://andrashop.se/b/lagga-klinker-for-hand/</t>
  </si>
  <si>
    <t>https://rehabgrossisten.com/skydd-bandage/hand/handledsstod/</t>
  </si>
  <si>
    <t xml:space="preserve">handledsskydd </t>
  </si>
  <si>
    <t>https://flerbarnsmamman.se/de-viktigaste-skonhetsprodukterna-att-mota-sommaren-med/</t>
  </si>
  <si>
    <t>https://sufracofinebrands.com/kategori/varumarken-compagnie-de-provence</t>
  </si>
  <si>
    <t>Aleppo tvål</t>
  </si>
  <si>
    <t>https://andrashop.se/b/platsbyggd-forvaring/</t>
  </si>
  <si>
    <t>https://www.swedoffice.se/kategori/49902-kopieringspapper</t>
  </si>
  <si>
    <t>https://industrimagasinet.se/forberedelser-infor-kommande-byggprojekt/</t>
  </si>
  <si>
    <t>takläggare</t>
  </si>
  <si>
    <t>villarelining.se</t>
  </si>
  <si>
    <t>https://dindromvilla.se/sa-kan-du-spara-pengar-vid-en-renovering/</t>
  </si>
  <si>
    <t>https://www.villarelining.se/</t>
  </si>
  <si>
    <t>relining</t>
  </si>
  <si>
    <t>https://byggmester.se/fornya-hemmet-utan-renovering/</t>
  </si>
  <si>
    <t>https://stilero.se/b/konsten-att-inreda-badrum-som-ett-proffs/</t>
  </si>
  <si>
    <t>relining för villa</t>
  </si>
  <si>
    <t>https://roligapresenttips.se/unna-dig-sjalv-en-omtanksam-present-det-fortjanar-du/</t>
  </si>
  <si>
    <t>https://www.vont.se/to-go/0-mg-ml</t>
  </si>
  <si>
    <t>nikotinfri vape</t>
  </si>
  <si>
    <t>https://billigpresent.se/presenttips-till-bastisen-som-har-allt/</t>
  </si>
  <si>
    <t>https://herrtidningar.se/tips-om-hur-du-kan-bryta-din-daliga-vana/</t>
  </si>
  <si>
    <t>https://finansassistans.se/darfor-ar-det-viktigt-att-tanka-langsiktigt-nar-det-kommer-till-investeringar/</t>
  </si>
  <si>
    <t>https://smartfinansiering.se/en-kortfattad-guide-kring-vad-man-ska-tanka-pa-for-nya-investerare/</t>
  </si>
  <si>
    <t>https://andaraprofessionals.teamtailor.com/jobs/2387837-investeringsradgivare-till-fair-investments</t>
  </si>
  <si>
    <t>https://blommar.nu/b/fina-blommor-som-gor-underverk-for-hyn/</t>
  </si>
  <si>
    <t>https://www.askskinfo.com/varumarke/sol-de-janeiro/</t>
  </si>
  <si>
    <t xml:space="preserve">sol de janeiro </t>
  </si>
  <si>
    <t>https://www.thearcadiaonline.com/3-accessories-that-will-elevate-any-outfit/</t>
  </si>
  <si>
    <t>crazy socks</t>
  </si>
  <si>
    <t>https://emmabodagranit.se/b/takpapp-en-guide/</t>
  </si>
  <si>
    <t>https://www.mainfranken24.de/aktuelles/hausbesitzer-in-mainfranken-aufgepasst-auch-waermepumpen-sollten-versichert-sein</t>
  </si>
  <si>
    <t>https://arctic.se/nibewp/</t>
  </si>
  <si>
    <t>www.arctic.se/de</t>
  </si>
  <si>
    <t>https://vivaglammagazine.com/guide-10-essential-items-for-the-minimalist-mans-wardrobe/</t>
  </si>
  <si>
    <t>https://blugiallo.com/tailored/overcoat-wool-dark-brown/</t>
  </si>
  <si>
    <t>brown overcoat</t>
  </si>
  <si>
    <t>https://www.poshbeautyblog.com/fashion-and-style/2023/4/21/these-items-can-add-some-flair-and-excitement-to-a-minimal-outfit</t>
  </si>
  <si>
    <t>https://www.happysocks.com/us/collection/dressed</t>
  </si>
  <si>
    <t xml:space="preserve">dress socks </t>
  </si>
  <si>
    <t>https://fashionbloggers.se/detta-bor-man-skaffa-nar-man-vantar-sitt-forsta-barn/</t>
  </si>
  <si>
    <t>https://seblogg.se/sa-valjer-du-ratt-entreprenor-i-samband-med-byggnation/</t>
  </si>
  <si>
    <t>https://aksjeskole.com/noen-gode-tips-for-investering/</t>
  </si>
  <si>
    <t>https://markets.vontobel.com/nb-no</t>
  </si>
  <si>
    <t>https://www.fla.de/annoncer/annoncorbetalt-indhold/56905/hausbesitzer-sollten-warmepumpen-versichern-lassen</t>
  </si>
  <si>
    <t>Wärmepumpen-Versicherung</t>
  </si>
  <si>
    <t>https://www.flushthefashion.com/culture/investing-in-the-perfect-suit-heres-what-to-consider/</t>
  </si>
  <si>
    <t>https://blugiallo.com/clothing-inspiration/the-fresco-suit-a-reason-to-love-high-twist-wool/</t>
  </si>
  <si>
    <t>fresco suit</t>
  </si>
  <si>
    <t>http://www.catwalkyourself.com/create-chic-wardrobe-garments-love/</t>
  </si>
  <si>
    <t>https://www.voguefreaks.com/gift-ideas-for-the-boyfriend/</t>
  </si>
  <si>
    <t>best socks for men</t>
  </si>
  <si>
    <t>https://www.fashiongonerogue.com/outfit-accessories/</t>
  </si>
  <si>
    <t>best mens sock</t>
  </si>
  <si>
    <t>https://www.barbiesbeautybits.com/2023/04/top-tips-to-get-your-wardrobe-spring.html</t>
  </si>
  <si>
    <t>https://www.happysocks.com/us/collection/socks-for-dogs</t>
  </si>
  <si>
    <t>dog socks</t>
  </si>
  <si>
    <t>https://cultedge.com/how-to-match-your-socks-with-your-outfit/</t>
  </si>
  <si>
    <t xml:space="preserve">colorful socks </t>
  </si>
  <si>
    <t>https://faa.dk/annoncoerbetaltindhold/antallet-af-konkurser-stiger-hvad-kan-din-virksomhed-goere-for-ikke-at-blive-en-del-af-statistikken</t>
  </si>
  <si>
    <t xml:space="preserve">kreditvurdering </t>
  </si>
  <si>
    <t>https://fashionterest.com/adding-color-to-your-wardrobe/</t>
  </si>
  <si>
    <t>https://viekonomi.se/sa-slipper-du-telefonforsaljare/</t>
  </si>
  <si>
    <t>https://www.facebook.com/fairinvestmentsswedenAB/</t>
  </si>
  <si>
    <t>https://www.catwalkyourself.com/create-chic-wardrobe-garments-love/</t>
  </si>
  <si>
    <t xml:space="preserve">socks for women </t>
  </si>
  <si>
    <t>https://1883magazine.com/smart-casual-the-fundamentals-of-a-casual-attire/</t>
  </si>
  <si>
    <t>https://www.flushthefashion.com/culture/how-to-get-your-wardrobe-ready-for-spring/</t>
  </si>
  <si>
    <t>colorful socks</t>
  </si>
  <si>
    <t>https://www.habit.se/lb-article/179137/varen-ar-en-fantastisk-tid-for-den-som-ar-intresserad-av-mode</t>
  </si>
  <si>
    <t>hitta kläder här</t>
  </si>
  <si>
    <t>https://hairmagazine.se/ska-du-gifta-dig-eller-besoka-ett-brollop-sa-ser-du-till-att-du-lyckas-med-din-frisyr/</t>
  </si>
  <si>
    <t>https://blugiallo.se/guider/brollopsguide-akt-ett-vem/</t>
  </si>
  <si>
    <t>tas till en bröllopsguide.</t>
  </si>
  <si>
    <t>https://stylingguiden.se/planerar-du-ett-brollop-detta-ska-du-tanka-pa/</t>
  </si>
  <si>
    <t>https://blugiallo.se/tagg/brollop/</t>
  </si>
  <si>
    <t xml:space="preserve">bröllopskläder </t>
  </si>
  <si>
    <t>dieselkraft.se</t>
  </si>
  <si>
    <t>https://bilvardsguiden.se/</t>
  </si>
  <si>
    <t>https://www.dieselkraft.se/</t>
  </si>
  <si>
    <t>chiptrim</t>
  </si>
  <si>
    <t>tryggbil.se</t>
  </si>
  <si>
    <t>https://www.tryggbil.se/</t>
  </si>
  <si>
    <t xml:space="preserve">vw service </t>
  </si>
  <si>
    <t>Tryggbil</t>
  </si>
  <si>
    <t>https://bossingsbilservice.se/</t>
  </si>
  <si>
    <t>bilverkstad</t>
  </si>
  <si>
    <t>https://podradio.nu/vaping-vs-smoking-hur-vaping-har-forandrat-nikotinmarknaden/</t>
  </si>
  <si>
    <t xml:space="preserve">Vape </t>
  </si>
  <si>
    <t>https://hemsidor24.se/artiklar/engangsvapes-for-vapers-pa-sprang/</t>
  </si>
  <si>
    <t>https://www.tastefulspace.com/2023/05/09/how-to-look-rich-on-a-shoestring-budget/</t>
  </si>
  <si>
    <t>https://industrimagasinet.se/detta-ska-man-tanka-pa-om-man-vill-starta-ett-eget-foretag/</t>
  </si>
  <si>
    <t>https://nybyggande.se/varfor-du-alltid-bor-borja-med-planeringen-av-ett-byggprojekt-i-sa-god-tid-som-mojligt/</t>
  </si>
  <si>
    <t>https://eventeffect.se/rehabgrossisten-hogkvalitativa-rehabprodukter/</t>
  </si>
  <si>
    <t>Här hittar ni rehabprodukter</t>
  </si>
  <si>
    <t>https://infobloggen.se/en-snabbguide-till-saker-att-tanka-pa-for-dig-som-funderar-kring-att-starta-ett-foretag/</t>
  </si>
  <si>
    <t xml:space="preserve">https://schjodt.com/expertise/rekonstruktion-insolvens  </t>
  </si>
  <si>
    <t>https://smartkonstruktion.se/fordelar-med-att-kopa-begagnade-saker-till-sitt-hem/</t>
  </si>
  <si>
    <t>https://allesdaheim.de/das-mussen-sie-uber-warmepumpen-fur-ihr-eigenheim-wissen/</t>
  </si>
  <si>
    <t xml:space="preserve">Wärmepumpen Versicherung </t>
  </si>
  <si>
    <t>https://heimundmehr.de/das-mussen-sie-wissen-bevor-sie-in-eine-warmepumpe-investieren/</t>
  </si>
  <si>
    <t>https://svenskafinanser.se/tips-for-den-som-vill-borja-spara-pengar-genom-att-investera-pa-borsen/</t>
  </si>
  <si>
    <t>https://borsbolag.se/hur-prestationsbaserad-avkastning-och-fair-investment-ar-korrelerat/</t>
  </si>
  <si>
    <t>https://kundportal.fairinvestments.se/</t>
  </si>
  <si>
    <t>https://evigliv.se/ha-en-spadag-for-dig-sjalv-eller-med-dina-vanner/</t>
  </si>
  <si>
    <t>tvålpump</t>
  </si>
  <si>
    <t>https://viekonomi.se/</t>
  </si>
  <si>
    <t>https://www.enterprisemagazine.se/nyheter/artikel/fair-investments-modellportfolj-har-gatt-700-procent-upp</t>
  </si>
  <si>
    <t>https://finansieringar.se/darfor-ar-fonder-det-basta-alternativet-for-den-som-vill-borja-med-investeringar/</t>
  </si>
  <si>
    <t>Fair investments</t>
  </si>
  <si>
    <t>https://kapitalguide.se/att-investera-pengar-regelbundet-och-langsiktigt-ar-det-basta-sattet-att-samla-ihop-ett-storre-kapital-over-tid/</t>
  </si>
  <si>
    <t>https://naturliglivsstil.se/sa-blir-den-stora-varstadningen-lite-mindre-plagsam-att-genomfora/</t>
  </si>
  <si>
    <t xml:space="preserve">städprodukter </t>
  </si>
  <si>
    <t>https://finansassistans.se/saker-att-ha-i-atanke-nar-man-funderar-pa-att-kopa-fritidshus/</t>
  </si>
  <si>
    <t>https://egenvilla.se/drommer-du-om-att-kopa-en-egen-villa-detta-ska-du-tanka-pa/</t>
  </si>
  <si>
    <t>mäklare trosa</t>
  </si>
  <si>
    <t>https://nybyggande.se/detta-bor-man-tanka-pa-nar-man-ska-anlita-hantverkare/</t>
  </si>
  <si>
    <t xml:space="preserve">takläggare </t>
  </si>
  <si>
    <t>https://smartkonstruktion.se/en-snabb-checklista-for-dig-som-planerar-att-anlita-hantverkare/</t>
  </si>
  <si>
    <t>https://smartkonstruktion.se/darfor-ar-det-sa-viktigt-att-underhalla-din-villa/</t>
  </si>
  <si>
    <t>https://stilrenahem.se/har-du-olika-husprojekt-att-ta-tag-i-underhall-ar-alltid-battre-an-reparation/</t>
  </si>
  <si>
    <t>https://fair-1fweb.crosskey.se/Account/Login</t>
  </si>
  <si>
    <t>https://bokforingsprogram24.se/schjodt-rekonstruktion-och-insolvens/</t>
  </si>
  <si>
    <t xml:space="preserve">rekonstruktion </t>
  </si>
  <si>
    <t>https://evigliv.se/sa-kommer-man-igang-med-traning-och-att-ata-battre-pa-ett-enkelt-satt/</t>
  </si>
  <si>
    <t xml:space="preserve">hälsoplan </t>
  </si>
  <si>
    <t>https://bonuskillen.se/en-snabbguide-till-vapes/</t>
  </si>
  <si>
    <t>https://evigliv.se/vill-du-sluta-roka-da-kan-en-vape-vara-nagonting-att-titta-narmare-pa/</t>
  </si>
  <si>
    <t>https://lifestylebyps.com/blogs/mens-fashion-blog/make-your-business-attire-stand-out</t>
  </si>
  <si>
    <t xml:space="preserve">best mens socks </t>
  </si>
  <si>
    <t>https://citygoldmedia.com/get-the-perfect-summer-look-with-colorful-socks/</t>
  </si>
  <si>
    <t>https://digitalglobaltimes.com/complete-your-wardrobe-with-the-best-socks/</t>
  </si>
  <si>
    <t>https://www.bgfashion.net/article/18709/80/Go-bold-when-choosing-socks</t>
  </si>
  <si>
    <t>https://www.fluxmagazine.com/trends-to-follow-replace-your-whole-wardrobe/</t>
  </si>
  <si>
    <t xml:space="preserve">best socks for men </t>
  </si>
  <si>
    <t>http://fashionetc.com/fashion/fashion-news/9281-3-ways-to-be-more-stylish-today</t>
  </si>
  <si>
    <t>https://elektronikkungen.se/vilken-typ-av-kontorsmaterial-ar-viktigt-att-ha-tillgangligt-pa-ett-hemmakontor/</t>
  </si>
  <si>
    <t xml:space="preserve">kontorsmaterial </t>
  </si>
  <si>
    <t>https://www.fixthelife.com/how-to-spice-up-the-mens-wardrobe-with-a-few-steps/</t>
  </si>
  <si>
    <t>https://nighthelper.com/why-accessories-matter-much-more-than-you-think/</t>
  </si>
  <si>
    <t>https://aspiringgentleman.com/fashion/this-is-how-you-make-your-formal-outfits-more-casual/</t>
  </si>
  <si>
    <t>https://www.finehomesandliving.com/fashion/get-your-wardrobe-ready-for-summer/article_c1b7f72c-f9c4-11ed-911f-f31952d396cd.html</t>
  </si>
  <si>
    <t>https://www.salonprivemag.com/take-your-outfit-to-a-higher-ground/</t>
  </si>
  <si>
    <t>https://www.happysocks.com/us/collection/socks-for-men?awc=10052_1684929254_2e2a33737054484e05465402c4a44a8d&amp;utm_source=AffiliateWindow&amp;utm_medium=Affiliate&amp;utm_content=VigLink+Inc&amp;utm_campaign=ES</t>
  </si>
  <si>
    <t>https://smartkonstruktion.se/detta-ska-man-tanka-pa-nar-man-ska-bygga-en-brygga/</t>
  </si>
  <si>
    <t>https://pontechmarina.com/se/</t>
  </si>
  <si>
    <t>https://bolagsekonomen.se/detta-ska-man-tanka-pa-nar-man-har-anstallt-en-ny-medarbetare/</t>
  </si>
  <si>
    <t>https://www.adligo.io/sv</t>
  </si>
  <si>
    <t>onboarding</t>
  </si>
  <si>
    <t>https://businessmanualen.se/detta-ska-man-tanka-pa-nar-man-valjer-en-arbetsplattform-till-en-arbetsplats/</t>
  </si>
  <si>
    <t>arbetsplattform</t>
  </si>
  <si>
    <t>https://alltombeauty.se/tank-pa-detta-nar-du-ska-handla-skonhetsprodukter/</t>
  </si>
  <si>
    <t xml:space="preserve">Dr ceuracle </t>
  </si>
  <si>
    <t>https://brollopspresenten.se/tank-pa-detta-infor-ditt-besok-pa-ett-brollop/</t>
  </si>
  <si>
    <t>https://evigliv.se/rehabbar-du-efter-en-skada-tank-pa-detta/</t>
  </si>
  <si>
    <t>https://aktivamammor.se/en-snabbguide-till-knaskydd/</t>
  </si>
  <si>
    <t>https://rehabgrossisten.com/skydd-bandage/kna/knaskydd/</t>
  </si>
  <si>
    <t xml:space="preserve">knäskydd </t>
  </si>
  <si>
    <t>https://businessmanualen.se/en-snabbguide-till-hemmakontor/</t>
  </si>
  <si>
    <t>https://www.swedoffice.se/kategori/69604-gaffelparm-plast</t>
  </si>
  <si>
    <t xml:space="preserve">pärmar </t>
  </si>
  <si>
    <t>https://veckodag.nu/varfor-vape-ersatter-cigaretter/</t>
  </si>
  <si>
    <t>https://veckodag.nu/vont-se-platsen-att-ga-till-for-pod-system-nikotinpasar-och-engangs-vapes/</t>
  </si>
  <si>
    <t>Vont.se – Platsen att gå till för Pod-system, nikotinpåsar och engångs-vapes</t>
  </si>
  <si>
    <t>https://www.forfest.se/</t>
  </si>
  <si>
    <t>Vont.se</t>
  </si>
  <si>
    <t>https://blogg.vett-och-etikett.com/nagra-viktiga-saker-att-tanka-pa-under-ett-brollop/</t>
  </si>
  <si>
    <t>bröllopsguide</t>
  </si>
  <si>
    <t>https://www.thewowstyle.com/how-to-make-a-playful-impression-with-socks/</t>
  </si>
  <si>
    <t>https://focusera.se/sa-ser-man-till-att-man-kan-koncetrera-sig-pa-jobbet/</t>
  </si>
  <si>
    <t>plocktruckar</t>
  </si>
  <si>
    <t>https://avisendanmark.dk/annoncorbetalt-indhold/derfor-skal-din-virksomhed-faa-en-kreditvurdering-af-potentielle-kunder</t>
  </si>
  <si>
    <t>https://www.creditsafe.com/dk/da/kredit-risiko/kreditrapporter/kreditvurdering.html</t>
  </si>
  <si>
    <t>https://frederiksbergliv.dk/annoncorbetaltindhold/kredit-vaerdier-og-sikkerhed-det-skal-i-overveje-inden-jeres-virksomhed-indgaar-et-samarbejde</t>
  </si>
  <si>
    <t>https://deavita.net/what-to-consider-when-buying-dog-socks-286100.html</t>
  </si>
  <si>
    <t xml:space="preserve">Dogs socks </t>
  </si>
  <si>
    <t xml:space="preserve">https://www.fibre2fashion.com/industry-article/9659/the-great-benefits-of-a-colourful-sock </t>
  </si>
  <si>
    <t>colourful socks</t>
  </si>
  <si>
    <t>miamipool.se</t>
  </si>
  <si>
    <t>https://www.frii.se/vi-hitta-foretaget-med-de-finaste-poolerna/</t>
  </si>
  <si>
    <t>https://miamipool.se/</t>
  </si>
  <si>
    <t xml:space="preserve">swimming pool </t>
  </si>
  <si>
    <t>https://svenskarbetsratt.se/marknadsledande-byra-inom-rekonstruktion/</t>
  </si>
  <si>
    <t>Rekonstruktion</t>
  </si>
  <si>
    <t>https://techchannel.se/detta-kan-man-tanka-pa-nar-man-ska-inreda-ett-kontor/</t>
  </si>
  <si>
    <t>https://socialsummit17.se/kallan-till-alla-tankbara-kontorsmaterial/</t>
  </si>
  <si>
    <t xml:space="preserve">Kontorsmaterial </t>
  </si>
  <si>
    <t>https://fashionforest.se/hur-ska-man-egentligen-kla-sig-pa-ett-brollop/</t>
  </si>
  <si>
    <t>bröllopskläder</t>
  </si>
  <si>
    <t>https://tidende.dk/sponseret-indhold/5-gode-tips-naar-du-starter-virksomhed-paa-bornholm/134032</t>
  </si>
  <si>
    <t>Kreditvurdering</t>
  </si>
  <si>
    <t>https://aktivakvinnor.se/kom-igang-med-din-traning-och-kost-pa-ratt-satt/</t>
  </si>
  <si>
    <t>hälsoplan</t>
  </si>
  <si>
    <t>https://www.executiveeffect.se/rehabgrossisten-din-palitliga-kalla-for-skydd-bandage-och-rehabprodukter/</t>
  </si>
  <si>
    <t xml:space="preserve">rehabprodukter </t>
  </si>
  <si>
    <t>https://www.saleseffect.se/swedoffice-se-den-ultimata-destinationen-for-kontorets-kontorsmaterialbehov/</t>
  </si>
  <si>
    <t>klicka här för att hitta kontorsmaterial</t>
  </si>
  <si>
    <t>https://eventeffect.se/begagnade-truckar-palitlighet-och-sinnesfrid-for-ditt-foretag/</t>
  </si>
  <si>
    <t>begagnade truckar</t>
  </si>
  <si>
    <t>https://tidskriftenskeppet.se/eldrivna-fordon-blir-allt-vanligare-men-ar-det-fordelaktigt-eller-inte/</t>
  </si>
  <si>
    <t>https://www.executiveeffect.se/utforska-vont-se-vapes-innovationer-i-varlden-av-e-cigaretter/</t>
  </si>
  <si>
    <t>vape</t>
  </si>
  <si>
    <t>https://erhvervplus.dk/annoncoerbetaltindhold/hvad-betyder-kreditvurderinger-for-virksomheder</t>
  </si>
  <si>
    <t>https://www.stylemotivation.com/here-are-5-ways-to-match-your-outfit-with-your-partner/</t>
  </si>
  <si>
    <t>https://www.fashiondivadesign.com/these-are-the-most-popular-fashion-styles-today/</t>
  </si>
  <si>
    <t>https://www.mynewsdesk.com/se/visibility-punktum-group/blog_posts/seo-goer-det-laettare-att-saelja-sina-produkter-och-naa-ut-till-en-stoerre-maalgrupp-114464</t>
  </si>
  <si>
    <t>städprodukter</t>
  </si>
  <si>
    <t>https://xn--btstart-exa.se/flytbryggor-och-brotillbehor/</t>
  </si>
  <si>
    <t>Pontech.se</t>
  </si>
  <si>
    <t>robomarkets.com</t>
  </si>
  <si>
    <t>https://www.robomarkets.com/se/forex-trading/trading/isk/</t>
  </si>
  <si>
    <t xml:space="preserve">ISK Valutakonto </t>
  </si>
  <si>
    <t>https://stilguiden.nu/all-i-am-beauty/</t>
  </si>
  <si>
    <t xml:space="preserve">ALL I AM BEAUTY </t>
  </si>
  <si>
    <t>https://www.mynewsdesk.com/se/visibility-punktum-group/blog_posts/lyckas-som-broellopsplanerare-redan-idag-114445</t>
  </si>
  <si>
    <t xml:space="preserve">bröllopsplanerare </t>
  </si>
  <si>
    <t>https://www.fashionado.net/blog/2023/6/21/how-to-spice-up-your-minimalistic-wardrobe</t>
  </si>
  <si>
    <t xml:space="preserve">best men’s socks </t>
  </si>
  <si>
    <t>https://easyreadernews.com/the-ultimate-checklist-for-a-night-out-at-manhattan-beach/</t>
  </si>
  <si>
    <t>https://fashionsholics.com/these-styles-are-trending-this-year/</t>
  </si>
  <si>
    <t xml:space="preserve">men’s socks </t>
  </si>
  <si>
    <t>https://fashionedits.com/the-ultimate-guide-to-finding-a-suit/</t>
  </si>
  <si>
    <t>https://blugiallo.com/tailoring-guides/peak-lapels-vs-notch-lapels-the-guide/</t>
  </si>
  <si>
    <t>peak vs. notch lapel.</t>
  </si>
  <si>
    <t>https://mentalitch.com/the-importance-of-dress-socks-elevating-your-style-and-confidence/</t>
  </si>
  <si>
    <t>https://www.happysocks.com/eu/collection/dressed</t>
  </si>
  <si>
    <t>https://dodbuzz.com/choosing-the-right-dog-socks/</t>
  </si>
  <si>
    <t>https://www.happysocks.com/eu/collection/socks-for-dogs</t>
  </si>
  <si>
    <t xml:space="preserve">Dog socks </t>
  </si>
  <si>
    <t>https://filstalexpress.de/freizeit/154360/</t>
  </si>
  <si>
    <t>Wärmepumpe Versicherung</t>
  </si>
  <si>
    <t>https://www.womendailymagazine.com/3-key-pieces-for-your-functional-wardrobe-this-year/</t>
  </si>
  <si>
    <t>https://www.mynewsdesk.com/se/visibility-punktum-group/blog_posts/dessa-tankesaett-kan-hjaelpa-en-att-hantera-en-rehab-114462</t>
  </si>
  <si>
    <t>https://fashionedits.com/5-simple-tips-to-add-more-color-to-your-mens-wardrobe/</t>
  </si>
  <si>
    <t>https://www.happysocks.com/us/collection/socks-for-men?utm_source=AffiliateWindow&amp;utm_medium=Affiliate&amp;utm_content=Skimlinks&amp;utm_campaign=Sweden&amp;zanpid=8619_1688458929_1f17a1c3e7810af927eb0c2a654b96ff</t>
  </si>
  <si>
    <t>conclean.se</t>
  </si>
  <si>
    <t>https://poolstart.se/mjolkigt-vatten-i-poolen/</t>
  </si>
  <si>
    <t>https://conclean.se/produkter/minireningsverk/</t>
  </si>
  <si>
    <t>Minireningsverk</t>
  </si>
  <si>
    <t>https://fashionallure.com/dress-socks-for-men-in-popular-patterns/</t>
  </si>
  <si>
    <t xml:space="preserve">crazy socks </t>
  </si>
  <si>
    <t>https://dailyiowan.com/2023/07/06/3-key-pieces-for-a-functional-and-fashionable-wardrobe/</t>
  </si>
  <si>
    <t>men’s socks</t>
  </si>
  <si>
    <t>https://silentbio.com/dog-socks-fashionable-functional-accessories/</t>
  </si>
  <si>
    <t>https://waterwaysmagazine.com/how-dress-socks-can-transform-your-outfit/</t>
  </si>
  <si>
    <t xml:space="preserve">Dressed socks </t>
  </si>
  <si>
    <t>blugiallo.se</t>
  </si>
  <si>
    <t>https://www.frii.se/skraddarsydda-klader-med-perfekt-passform-att-omfamna-kvalitet-stil-och-unikhet/</t>
  </si>
  <si>
    <t>Klicka här</t>
  </si>
  <si>
    <t>distansinstitutet.se</t>
  </si>
  <si>
    <t>https://socialsummit17.se/studera-pa-distans-var-du-vill-nar-du-vill/</t>
  </si>
  <si>
    <t>https://socialsummit17.se/skadeverkstader-en-omfattande-studie-av-skadeaterstallning-och-kundtjanst/</t>
  </si>
  <si>
    <t xml:space="preserve">Skadeverkstad </t>
  </si>
  <si>
    <r>
      <rPr>
        <u/>
        <sz val="9"/>
        <color rgb="FF1155CC"/>
        <rFont val="Roboto Mono"/>
      </rPr>
      <t>https://serviceteknikerkarlstad.se/relining-en-innovativ-och-fordelaktig-teknik-for-avloppsrenovering/</t>
    </r>
    <r>
      <rPr>
        <sz val="9"/>
        <rFont val="Roboto Mono"/>
      </rPr>
      <t xml:space="preserve"> </t>
    </r>
  </si>
  <si>
    <t xml:space="preserve">Relining </t>
  </si>
  <si>
    <t>https://bygghuddinge.se/relining-en-banbrytande-metod-for-avloppsrenovering/</t>
  </si>
  <si>
    <t>Relining</t>
  </si>
  <si>
    <t>https://eciggshoppen.se/e-cigg-ett-battre-alternativ-till-traditionell-tobaksrokning/</t>
  </si>
  <si>
    <t>vont.se</t>
  </si>
  <si>
    <t>El cigg</t>
  </si>
  <si>
    <t>Alfa.no</t>
  </si>
  <si>
    <t>https://ranaposten.no/pa-tide-med-nye-fritidssko-dette-bor-du-se-etter/</t>
  </si>
  <si>
    <t>https://www.alfa.no/collections/fritidssko</t>
  </si>
  <si>
    <t xml:space="preserve">fritidssko </t>
  </si>
  <si>
    <t>https://www.pengenytt.no/er-du-klar-for-norgesferie-3-rad-for-en-vellykket-ferie/</t>
  </si>
  <si>
    <t>https://www.alfa.no/</t>
  </si>
  <si>
    <t>https://xn--bodposten-n8a.no/5-mater-a-forberede-seg-til-skisesongen/</t>
  </si>
  <si>
    <t>https://www.alfa.no/collections/fjellskisko</t>
  </si>
  <si>
    <t xml:space="preserve">fjellskisko </t>
  </si>
  <si>
    <t>aretrotale.com</t>
  </si>
  <si>
    <t>https://www.theluxeinsider.com/lifestyle/5-things-to-consider-when-looking-for-pre-owned-luxury-items/</t>
  </si>
  <si>
    <t>https://aretrotale.com/</t>
  </si>
  <si>
    <t>https://familjehogtider.se/karlekens-dag-man-aldrig-kommer-glomma-men-hur-ska-man-egentligen-kla-sig-pa-ett-brollop/</t>
  </si>
  <si>
    <t>bröllop</t>
  </si>
  <si>
    <t>https://www.frii.se/att-studera-till-socialpedagog-pa-distans-en-vag-mot-personlig-utveckling-och-socialt-ansvar/</t>
  </si>
  <si>
    <t>https://distansinstitutet.se/distansutbildningar/pedagogik/socialpedagog/</t>
  </si>
  <si>
    <t>Socialpedagog [på] distans</t>
  </si>
  <si>
    <r>
      <rPr>
        <u/>
        <sz val="9"/>
        <color rgb="FF1155CC"/>
        <rFont val="Roboto Mono"/>
      </rPr>
      <t>https://hoganassaluhall.se/att-studera-som-loneadministrator-pa-distans-lonekonsult-utbildning-som-nyckel-till-framgang/</t>
    </r>
    <r>
      <rPr>
        <sz val="9"/>
        <rFont val="Roboto Mono"/>
      </rPr>
      <t xml:space="preserve"> </t>
    </r>
  </si>
  <si>
    <t>https://distansinstitutet.se/distansutbildningar/administration/loneadministrator/</t>
  </si>
  <si>
    <t>lönekonsult utbildning</t>
  </si>
  <si>
    <t>https://jetshopfree.se/studera-pedagogik-pa-distans-pedagogik-utbildning-for-framtidens-larare/</t>
  </si>
  <si>
    <t>https://distansinstitutet.se/distansutbildningar/pedagogik/</t>
  </si>
  <si>
    <t>pedagogik utbildning</t>
  </si>
  <si>
    <t>https://kamagraquees.nu/att-studera-hr-utbildning-pa-distans-en-vag-mot-en-framgangsrik-hr-karriar/</t>
  </si>
  <si>
    <t>https://distansinstitutet.se/distansutbildningar/hr/</t>
  </si>
  <si>
    <t>hr utbildningar distans</t>
  </si>
  <si>
    <t>https://freddielarsson.se/att-studera-administrator-utbildning-pa-distans-byggande-av-effektiva-administrativa-ledare/</t>
  </si>
  <si>
    <t>https://distansinstitutet.se/distansutbildningar/administration/</t>
  </si>
  <si>
    <t>administratör utbildning</t>
  </si>
  <si>
    <t>https://dinlokalabokhandel.se/att-studera-kommunikator-utbildning-pa-distans-skapa-effektiva-budskap-for-framgangsrika-kommunikationsstrategier/</t>
  </si>
  <si>
    <t>https://distansinstitutet.se/distansutbildningar/kommunikation/</t>
  </si>
  <si>
    <t>kommunikatör utbildning</t>
  </si>
  <si>
    <t>https://sek-converter.se/att-studera-ekonomi-utbildning-pa-distans-byggande-av-finansiell-expertis-for-framtidens-ekonomer/</t>
  </si>
  <si>
    <t>https://distansinstitutet.se/distansutbildningar/ekonomi/</t>
  </si>
  <si>
    <t>ekonomi utbildning distans</t>
  </si>
  <si>
    <t>https://serviceteknikerkarlstad.se/att-studera-inredare-utbildning-pa-distans-skapandet-av-kreativa-inredningslosningar/</t>
  </si>
  <si>
    <t>https://distansinstitutet.se/distansutbildningar/inredning/</t>
  </si>
  <si>
    <t>inredare utbildning</t>
  </si>
  <si>
    <t>https://blogipedia.se/?p=268</t>
  </si>
  <si>
    <t>https://distansinstitutet.se/artiklar/mot-studenten-projektledare/</t>
  </si>
  <si>
    <t>utbildningar projektledning</t>
  </si>
  <si>
    <t>https://thefashionglobe.com/three-dynamic-ways-for-men-to-personalise-their-style</t>
  </si>
  <si>
    <t>https://www.theluxeinsider.com/lifestyle/mix-and-match-your-dress-socks-with-your-suit/#google_vignette</t>
  </si>
  <si>
    <t>https://www.openthenews.com/tips-on-how-to-choose-socks-for-a-party/</t>
  </si>
  <si>
    <t>https://uniquelifetips.com/selecting-the-best-socks-to-wear/</t>
  </si>
  <si>
    <t>https://www.prettyprogressive.com/expert-tips-for-finding-the-best-socks-for-women/</t>
  </si>
  <si>
    <t>https://www.newsanyway.com/2023/07/20/the-art-of-sock-pairing-creating-stylish-combinations/</t>
  </si>
  <si>
    <t>https://www.fashionabc.org/socks-as-gifts-unique-and-thoughtful-ideas-for-any-occasion/</t>
  </si>
  <si>
    <t>https://baucemag.com/the-psychology-of-colors-what-your-choice-says-about-you/</t>
  </si>
  <si>
    <t>https://www.happysocks.com/us/collection/dressed%E2%80%8B</t>
  </si>
  <si>
    <t>https://thenewsgod.com/the-health-benefits-of-wearing-quality-socks/#google_vignette</t>
  </si>
  <si>
    <t>lemontree.se</t>
  </si>
  <si>
    <t>https://www.mynewsdesk.com/se/visibility-punktum-group/blog_posts/ett-djupdyk-i-testautomatisering-114708</t>
  </si>
  <si>
    <t>https://lemontree.se/tjanster/testautomatisering/</t>
  </si>
  <si>
    <t>testautomatisering</t>
  </si>
  <si>
    <t>https://mobilpengar.se/robomarkets-com-den-basta-online-maklaren-for-handel-med-aktier-och-smarta-investeringar/</t>
  </si>
  <si>
    <t>https://www.robomarkets.com/se/</t>
  </si>
  <si>
    <t>https://sek-converter.se/foretagsrekonstruktion-insolvens-och-ekonomisk-radgivning-for-foretag-i-ekonomiska-svarigheter/</t>
  </si>
  <si>
    <t>https://financefinder.se/foretagsrekonstruktion-och-ekonomisk-radgivning-en-vag-till-overlevnad-nar-foretaget-star-i-ekonomiska-svarigheter/</t>
  </si>
  <si>
    <t xml:space="preserve">Klicka här </t>
  </si>
  <si>
    <t>https://savethefuture.se/forbattrad-arbetsplatsproduktivitet-med-kopieringspapper-av-kvalitet-och-miljovanlighet/</t>
  </si>
  <si>
    <t>https://www.editorsbeauty.com/home-2/sock-hacks-clever-uses-for-old-or-mismatched-socks?rq=sock</t>
  </si>
  <si>
    <t>https://fashiongtonpost.com/how-to-care-for-your-socks/</t>
  </si>
  <si>
    <t>https://serviceteknikerkarlstad.se/maklare-i-trosa-en-guide-till-fastighetsmarknaden-och-kop-salj-processen/</t>
  </si>
  <si>
    <t>Mäklare [i] trosa</t>
  </si>
  <si>
    <t>https://bygghuddinge.se/maklare-i-nykoping-en-guide-till-fastighetsmarknaden-och-kop-salj-processen/</t>
  </si>
  <si>
    <t xml:space="preserve">Mäklare [i] nyk[ö]ping </t>
  </si>
  <si>
    <t>https://edgehyllie.se/maklare-i-nykoping-din-guide-till-framgangsrika-fastighetsaffarer/</t>
  </si>
  <si>
    <t xml:space="preserve">Mäklare [i] nyköping </t>
  </si>
  <si>
    <t>https://www.radionordkapp.no/nyheter/23842/dette-ma-du-huske-til-sommerens-fjellturer/</t>
  </si>
  <si>
    <t>https://www.alfa.no/collections/tursko</t>
  </si>
  <si>
    <t>Tursko</t>
  </si>
  <si>
    <t>https://dfly.no/fem-mater-a-forberede-seg-til-skisesongen/</t>
  </si>
  <si>
    <t>https://jetshopfree.se/nikotinfria-vapes-en-utforskning-av-e-cigaretternas-halsosammare-alternativ/</t>
  </si>
  <si>
    <t>https://haronaglarspa.se/big-ben-stand-up-skrattfesten-som-fangar-hjartat-av-stockholm/</t>
  </si>
  <si>
    <r>
      <rPr>
        <u/>
        <sz val="9"/>
        <color rgb="FF1155CC"/>
        <rFont val="Roboto Mono"/>
      </rPr>
      <t>https://bigbenstandup.com/svensk-stand-up/svenska-komiker/tomas-bonderud</t>
    </r>
    <r>
      <rPr>
        <b/>
        <u/>
        <sz val="9"/>
        <color rgb="FF1155CC"/>
        <rFont val="Roboto Mono"/>
      </rPr>
      <t xml:space="preserve"> (https://spelacasino.io/</t>
    </r>
    <r>
      <rPr>
        <b/>
        <sz val="9"/>
        <rFont val="Roboto Mono"/>
      </rPr>
      <t>)</t>
    </r>
  </si>
  <si>
    <t xml:space="preserve">Tomas Bonderud </t>
  </si>
  <si>
    <t>https://kollektomat.se/cfd-handel-en-guide-till-contracts-for-difference-cfd/</t>
  </si>
  <si>
    <t>https://www.robomarkets.com/se/forex-trading/trading/specifications/card/pro-stan/AMZN/</t>
  </si>
  <si>
    <t>-[] CFD handel</t>
  </si>
  <si>
    <t>https://hagvallsjoman.se/index-en-guide-till-finansiella-referenspunkter/</t>
  </si>
  <si>
    <t>https://www.robomarkets.com/se/forex-trading/assets/indices/</t>
  </si>
  <si>
    <t>Index</t>
  </si>
  <si>
    <t>https://www.frii.se/havstangshandel-en-guide-till-att-forsta-och-hantera-risken-i-leveraged-trading/</t>
  </si>
  <si>
    <t>Hävstångshandel</t>
  </si>
  <si>
    <t>https://dinlokalabokhandel.se/havstangshandel-avancerade-strategier-for-optimering-av-risk-och-avkastning/</t>
  </si>
  <si>
    <t>Hävstång</t>
  </si>
  <si>
    <t>https://kamagraquees.nu/bilverkstaden-en-nodvandig-resurs-for-fordonsunderhall-och-reparationer/</t>
  </si>
  <si>
    <t>[V]erkstad [på] [T]yresö</t>
  </si>
  <si>
    <t>foyen.se</t>
  </si>
  <si>
    <t>https://socialsummit17.se/fastighetsjuridik-en-oversikt-av-aganderatt-transaktioner-och-tvister/</t>
  </si>
  <si>
    <r>
      <rPr>
        <u/>
        <sz val="9"/>
        <color rgb="FF1155CC"/>
        <rFont val="Roboto Mono"/>
      </rPr>
      <t>https://www.foyen.se/</t>
    </r>
    <r>
      <rPr>
        <sz val="9"/>
        <rFont val="Roboto Mono"/>
      </rPr>
      <t xml:space="preserve"> </t>
    </r>
    <r>
      <rPr>
        <b/>
        <sz val="9"/>
        <rFont val="Roboto Mono"/>
      </rPr>
      <t>(</t>
    </r>
    <r>
      <rPr>
        <b/>
        <u/>
        <sz val="9"/>
        <color rgb="FF1155CC"/>
        <rFont val="Roboto Mono"/>
      </rPr>
      <t>https://bigbenstandup.com/svensk-stand-up/svenska-komiker/tomas-bonderud</t>
    </r>
    <r>
      <rPr>
        <b/>
        <sz val="9"/>
        <rFont val="Roboto Mono"/>
      </rPr>
      <t>)</t>
    </r>
  </si>
  <si>
    <t>fastighetsjuridik</t>
  </si>
  <si>
    <t>https://sek-converter.se/fastighetsjuridik-och-digitalisering-framtidens-utmaningar-och-mojligheter/</t>
  </si>
  <si>
    <t xml:space="preserve">Foyen.se </t>
  </si>
  <si>
    <t>https://bygghuddinge.se/teakolja-i-atervunna-plastforpackningar-en-miljovanlig-effektiv-och-giftfri-travardsprodukt/</t>
  </si>
  <si>
    <t>https://www.blufashion.com/style/how-to-take-the-dressy-look-to-the-next-level/</t>
  </si>
  <si>
    <t>https://www.happysocks.com/us/adults/trend-edit</t>
  </si>
  <si>
    <t>https://www.theinspirespy.com/socks-fashion-trends-for-the-modern-individual/</t>
  </si>
  <si>
    <t>https://voguefreaks.com/gift-ideas-for-the-boyfriend/</t>
  </si>
  <si>
    <t>zperfume.se</t>
  </si>
  <si>
    <t>https://haronaglarspa.se/chanel-allure-homme-sport-en-dynamisk-elegans/</t>
  </si>
  <si>
    <t>https://www.zperfume.se/products/inspired-by-chanel-allure-homme-sport</t>
  </si>
  <si>
    <t>[C]hanel [A]llure [H]omme [S]port</t>
  </si>
  <si>
    <t>https://www.happysocks.com/us/adults/trend-edit?awc=10052_1691401924_370b73eb1de51572fbfdc4339f61e471&amp;utm_medium=Affiliate&amp;utm_content=VigLink+Inc&amp;utm_source=AffiliateWindow&amp;utm_campaign=ES</t>
  </si>
  <si>
    <t>isakstrafikskola.se</t>
  </si>
  <si>
    <t>https://www.frii.se/isaks-trafikskola-i-eskilstuna-en-vag-till-sakerhet-och-framgang/</t>
  </si>
  <si>
    <t>https://www.isakstrafikskola.se/</t>
  </si>
  <si>
    <t xml:space="preserve">Trafikskola eskilstuna </t>
  </si>
  <si>
    <t>https://nouveaumodels.se/elevate-your-wardrobe-with-elegance-discover-the-overcoat-wool-dark-brown/</t>
  </si>
  <si>
    <t>https://savethefuture.se/minireningsverk-en-innovativ-losning-for-hallbar-vattenrening/</t>
  </si>
  <si>
    <t xml:space="preserve">Minireningsverk </t>
  </si>
  <si>
    <t>https://firmify.se/distansutbildning-utvecklingen-av-larande-i-den-digitala-tidsaldern/</t>
  </si>
  <si>
    <t>https://distansinstitutet.se/distansutbildningar/</t>
  </si>
  <si>
    <t xml:space="preserve">Distansutbildning </t>
  </si>
  <si>
    <t>https://www.saleseffect.se/cady-training-academy-utbildning-eller-snabb-genvag/</t>
  </si>
  <si>
    <t>https://aip.nu/elever-kanner-sig-lurade-av-utbildningsforetag-som-anlitas-av-kommuner/</t>
  </si>
  <si>
    <t>Cady</t>
  </si>
  <si>
    <t>fairinvestments</t>
  </si>
  <si>
    <t>https://socialsummit17.se/fokus-pa-framtiden-langsiktig-investering-genom-bolagsforvarv/</t>
  </si>
  <si>
    <t>https://www.reco.se/fair-investments-sweden-ab</t>
  </si>
  <si>
    <t>https://jetshopfree.se/framtida-finansiell-trygghet-forvaltning-radgivning-och-pension/</t>
  </si>
  <si>
    <t>https://www.affarsvarlden.se/tagg/fair-investments</t>
  </si>
  <si>
    <t>https://kamagraquees.nu/att-na-hogre-hojder-maximerad-avkastning-vardefull-konsulttjanst-och-portfoljskydd/</t>
  </si>
  <si>
    <t>https://twitter.com/fairinvswe</t>
  </si>
  <si>
    <t>Fair Investments</t>
  </si>
  <si>
    <t>https://socialsummit17.se/testautomation-effektivisera-mjukvarutestning-med-automatiserade-processer/</t>
  </si>
  <si>
    <t>Testautomation</t>
  </si>
  <si>
    <t>https://xn--malmcloud-37a.se/effektiv-mjukvarutestning-genom-automatiserade-processer-utforska-testautomatiseringens-fordelar/</t>
  </si>
  <si>
    <t>Testautomatisering</t>
  </si>
  <si>
    <t>https://www.frii.se/lyxen-och-njutningen-av-att-ha-en-swimming-pool/</t>
  </si>
  <si>
    <t>swimming pool</t>
  </si>
  <si>
    <t>tandea.se</t>
  </si>
  <si>
    <t>https://www.executiveeffect.se/din-palitliga-tandlakare-i-stockholm-for-enastaende-tandvard/</t>
  </si>
  <si>
    <t>https://www.tandea.se/</t>
  </si>
  <si>
    <t>https://hoganassaluhall.se/vapes-som-hjalpmedel-for-rokavvanjning-en-djupdykning-i-effektivitet-och-kontrovers/</t>
  </si>
  <si>
    <t>https://eventeffect.se/en-omfattande-guide-till-testautomatisering/</t>
  </si>
  <si>
    <t xml:space="preserve">testautomatisering </t>
  </si>
  <si>
    <t>https://eventeffect.se/vapes-inom-affarslivet-en-djupdykning-i-en-vaxande-trend/</t>
  </si>
  <si>
    <t>https://www.saleseffect.se/tandlakare-och-tandvard-en-djupdykning-i-yrket-och-dess-omfattande-roll/</t>
  </si>
  <si>
    <t>Tandläkare i Stockholm</t>
  </si>
  <si>
    <t>https://www.saleseffect.se/flytbryggor-en-djupdykning-i-konstruktion-anvandning-och-framtid/</t>
  </si>
  <si>
    <t>https://www.mynewsdesk.com/se/visibility-punktum-group/blog_posts/saett-retrotrenden-i-fokus-uppdatera-din-pr-och-kommunikationsstrategi-115051</t>
  </si>
  <si>
    <t>veterinarklinikenbirsta.se</t>
  </si>
  <si>
    <t>https://www.frii.se/en-omfattande-guide-till-veterinarer-och-veterinarmedicin-djurs-halsa-och-valbefinnande/</t>
  </si>
  <si>
    <t>https://www.veterinarklinikenbirsta.se/</t>
  </si>
  <si>
    <t>veterinär [i] [S]undsvall</t>
  </si>
  <si>
    <t>https://kamagraquees.nu/kontorsmaterial-en-djupdykning-i-arbetets-hjarta/</t>
  </si>
  <si>
    <t>https://socialsummit17.se/stadprodukter-och-deras-vikt-i-skapandet-av-ett-valbehallet-hem/</t>
  </si>
  <si>
    <t>https://kamagraquees.nu/propplosare-en-undersokning-av-dess-funktioner-anvandning-och-fordelar/</t>
  </si>
  <si>
    <t>https://haxan.se/products/propplosare</t>
  </si>
  <si>
    <t>propplösare</t>
  </si>
  <si>
    <t>https://www.frii.se/att-byta-tak-pa-en-jordbruksfastighet-en-nodvandig-investering-for-framtiden/</t>
  </si>
  <si>
    <t>https://tiotak.se/byta-tak-jordbruksfastighet/</t>
  </si>
  <si>
    <t>jordbruksfastighet</t>
  </si>
  <si>
    <t>https://dinlokalabokhandel.se/att-byta-tak-pa-en-ekonomibyggnad-en-djupdykning-i-processen-och-dess-fordelar/</t>
  </si>
  <si>
    <t>https://tiotak.se/byta-tak-ekonomibyggnad/</t>
  </si>
  <si>
    <t>ekonomibyggnad</t>
  </si>
  <si>
    <t>https://haronaglarspa.se/att-byta-tak-i-maskinhall-optimering-av-funktionalitet-och-skydd-for-jordbruksverksamheter/</t>
  </si>
  <si>
    <t>https://tiotak.se/byta-tak-maskinhall/</t>
  </si>
  <si>
    <t>maskinhall</t>
  </si>
  <si>
    <t>https://vardagsbetraktelser.se/blogg/den-moderna-kostymens-roll-i-samhallet-mer-an-bara-en-arbetskladsel/</t>
  </si>
  <si>
    <t>https://blugiallo.se/herrklader/klader/kostymer/</t>
  </si>
  <si>
    <t xml:space="preserve">kostymen </t>
  </si>
  <si>
    <t>https://vattenreningssystem.se/flytbryggor-och-dess-mojlighet-till-nya-infrastruktursmojligheter/</t>
  </si>
  <si>
    <t>flytbrygga</t>
  </si>
  <si>
    <t>https://xn--malmcloud-37a.se/att-boka-skadebesiktning-hos-en-skadeverkstad/</t>
  </si>
  <si>
    <t>Skadeverkstad</t>
  </si>
  <si>
    <t>https://s-automation.se/bilmekanikerns-vardefulla-roll-i-skadeverkstaden-jobbet-och-dess-ansvarigheter/</t>
  </si>
  <si>
    <t>verkstad tyresö</t>
  </si>
  <si>
    <t>https://www.frii.se/nikotinfri-vaping-en-djupdykning-i-teknik-halsa-och-kultur/</t>
  </si>
  <si>
    <t>https://dinlokalabokhandel.se/vaping-som-globalt-fenomen-utforskning-av-en-kulturell-och-halsorelaterad-revolution/</t>
  </si>
  <si>
    <t>https://edgehyllie.se/modern-relining-teknik-for-vvs-i-villor/</t>
  </si>
  <si>
    <t>Relining villa</t>
  </si>
  <si>
    <t>https://interiorforyou.se/modern-rorrenovering-med-relining/</t>
  </si>
  <si>
    <t>https://coinmixer.se/foretagsrekonstruktion-processen-for-foretagsoverlevnad-och-aterhamtning/</t>
  </si>
  <si>
    <t>https://mobilpengar.se/insolvens-orsaker-konsekvenser-och-hantering/</t>
  </si>
  <si>
    <t>Insolvens</t>
  </si>
  <si>
    <t>https://bergen2017.no/vestlandsvaer-krever-vestlandsklaer/</t>
  </si>
  <si>
    <t>https://cpp-luxury.com/the-most-valuable-luxury-vintage-brands/</t>
  </si>
  <si>
    <t>https://dagensperspektiv.no/annonsorinnhold/2023/ut-pa-tur-aldri-sur-slik-far-du-barna-med-pa-tur</t>
  </si>
  <si>
    <t>tursko</t>
  </si>
  <si>
    <t>https://dottrusty.com/how-to-choose-the-right-socks-for-men/</t>
  </si>
  <si>
    <t xml:space="preserve">mens socks </t>
  </si>
  <si>
    <t>https://infomeddnews.com/5-considerations-if-you-want-to-start-a-medical-or-wellness-business/</t>
  </si>
  <si>
    <t>https://advancepointcap.com/medical-business-loans/</t>
  </si>
  <si>
    <t>medical business loans</t>
  </si>
  <si>
    <t>https://stilrenahem.se/hur-man-skapar-det-optimala-arbetsrummet/</t>
  </si>
  <si>
    <t>https://listor.se/livsstil/5-anledningar-varfor-rehab-ar-viktigt-vid-skador/</t>
  </si>
  <si>
    <t>https://www.thebulletintime.com/trend/4-cool-ways-to-style-your-socks/</t>
  </si>
  <si>
    <t>https://thedigestonline.com/branded-content/5-ways-to-finance-your-small-business/</t>
  </si>
  <si>
    <t>same day business loans</t>
  </si>
  <si>
    <t>https://budgetbrollop.se/maste-brollop-alltid-vara-dyra/</t>
  </si>
  <si>
    <t>https://gravnorrkoping.se/kopieringspapper-den-ofta-overskuggade-hjalten-i-arbetsvarlden/</t>
  </si>
  <si>
    <t>https://www.totallystockholm.se/klader-for-olika-livets-tillfallen-fran-vardag-till-brollop/</t>
  </si>
  <si>
    <t>https://webb-kurser.se/den-evolutionara-vagen-framat-fordjupning-i-distansstudier/</t>
  </si>
  <si>
    <t>https://socialfactory.se/att-forma-framtiden-genom-distansstudier-en-djupdykning-i-att-studera-till-socialpedagog-pa-distans/</t>
  </si>
  <si>
    <t>https://1direct.se/studera-pa-distans-den-digitala-utbildningsrevolutionen/</t>
  </si>
  <si>
    <t>https://distansinstitutet.se/</t>
  </si>
  <si>
    <t>Läs om utbildningar på distans här</t>
  </si>
  <si>
    <t>https://14karat.se/studera-till-lonekonsult-pa-distans-en-framtidsinriktad-utbildningsvag/</t>
  </si>
  <si>
    <t>https://makeachange.se/pedagogisk-utbildning-pa-distans-framtidens-vag-mot-att-forma-kunskap/</t>
  </si>
  <si>
    <t>https://andreanorrman.se/framtiden-for-utbildning-inom-human-resources-hr-pa-distans/</t>
  </si>
  <si>
    <t>https://xn--malmcloud-37a.se/?p=448</t>
  </si>
  <si>
    <t>https://svalan.se/kommunikator-utbildning-pa-distans-och-dess-mojligheter-utmaningar/</t>
  </si>
  <si>
    <t>https://sek-converter.se/framtiden-for-utbildning-inom-ekonomi/</t>
  </si>
  <si>
    <t>ekonomi utbildning [på] distans</t>
  </si>
  <si>
    <t>https://serviceteknikerkarlstad.se/nya-horisonten-for-kreativ-utbildning-inredare-utbildning-pa-distans/</t>
  </si>
  <si>
    <t>https://now.nu/utbildning-i-projektledning-pa-distans-framtiden-for-flexibel-kompetensutveckling/</t>
  </si>
  <si>
    <t>utbildningar [i] projektledning</t>
  </si>
  <si>
    <t>https://serviceteknikerkarlstad.se/det-oundvikliga-tillskottet-for-ett-valmaende-hem/</t>
  </si>
  <si>
    <t>https://sufracofinebrands.com/kategori/sopset</t>
  </si>
  <si>
    <t>sopborste</t>
  </si>
  <si>
    <t>https://interiorforyou.se/?p=273</t>
  </si>
  <si>
    <t>https://activeman.com/guide-choosing-the-perfect-pair-of-socks/</t>
  </si>
  <si>
    <t>https://dailyiowan.com/2023/10/16/alternative-business-lending-a-new-era-of-financing-for-small-enterprises/</t>
  </si>
  <si>
    <t>https://advancepointcap.com/alternative-business-financing/</t>
  </si>
  <si>
    <t>alternative business lending.</t>
  </si>
  <si>
    <t>https://www.gudstory.com/what-does-our-fashion-attire-reveal-about-us/</t>
  </si>
  <si>
    <t>https://xn--malmcloud-37a.se/blankning-inom-finansvarlden-strategin-riskerna-och-dess-paverkan/</t>
  </si>
  <si>
    <t>blanka</t>
  </si>
  <si>
    <t>https://14karat.se/?p=278</t>
  </si>
  <si>
    <t>https://andreanorrman.se/?p=307</t>
  </si>
  <si>
    <t>Förbättra handelsupplevelsen med TradingView-integration</t>
  </si>
  <si>
    <t>https://marketingmartin.se/index-en-omfattande-utforskning-av-aktiemarknadens-matare-och-ekonomiska-indikatorer/</t>
  </si>
  <si>
    <t>index</t>
  </si>
  <si>
    <t>https://bloggfamiljen.se/?p=369</t>
  </si>
  <si>
    <t>https://www.robomarkets.com/se/forex-trading/platforms/metatrader4-mt4/</t>
  </si>
  <si>
    <t>metatrader 4</t>
  </si>
  <si>
    <t>https://s-automation.se/aktietips-en-djupdykning-i-konsten-av-aktieinvesteringar/</t>
  </si>
  <si>
    <t>aktietips</t>
  </si>
  <si>
    <t>https://medeltidsmarknad.se/?p=268</t>
  </si>
  <si>
    <t>daytrading</t>
  </si>
  <si>
    <t>https://jessicasmaleriostad.se/?p=248</t>
  </si>
  <si>
    <t>hävstång</t>
  </si>
  <si>
    <t>https://andreanorrman.se/big-ben-standup-stockholms-komikscen-som-fostrat-sveriges-storsta-komiker/</t>
  </si>
  <si>
    <t>https://bigbenstandup.com/svensk-stand-up/svenska-komiker/tomas-bonderud</t>
  </si>
  <si>
    <t>Tomas Bonderud</t>
  </si>
  <si>
    <t>https://serviceteknikerkarlstad.se/fastighetsjuridik-fran-hyresratt-till-fastighetsbildning/</t>
  </si>
  <si>
    <t>https://www.foyen.se/affarsomraden/fastighet/</t>
  </si>
  <si>
    <t>https://dinlokalabokhandel.se/att-boka-in-sig-till-en-trafikskola-en-vag-mot-sjalvstandighet-och-sakerhet-pa-vagarna/</t>
  </si>
  <si>
    <t>[t]rafikskola [i] [E]skilstuna</t>
  </si>
  <si>
    <t>https://dinlokalabokhandel.se/skapa-den-perfekta-sommarsemestern-hemma-med-en-egen-swimming-pool/</t>
  </si>
  <si>
    <t>https://marketingmartin.se/testautomatisering/</t>
  </si>
  <si>
    <t>oconnors.se</t>
  </si>
  <si>
    <t>https://lammetochbrodet.se/den-unika-charmen-hos-irlandska-pubar/</t>
  </si>
  <si>
    <t>https://www.oconnors.se/</t>
  </si>
  <si>
    <t>[p]ub [i] [U]ppsala</t>
  </si>
  <si>
    <t>https://socialsummit17.se/tandvard-i-framkant-tandlakarvarlden-i-stockholm/</t>
  </si>
  <si>
    <t>Tandläkare stockholm</t>
  </si>
  <si>
    <t>https://xn--malmcloud-37a.se/?p=429</t>
  </si>
  <si>
    <t>https://www.hometownstation.com/featured-stories/how-to-launch-a-medical-practice-with-the-right-financing-480113</t>
  </si>
  <si>
    <t xml:space="preserve">medical business loans </t>
  </si>
  <si>
    <t>https://www.healthsoothe.com/dental-clinic-expansion-and-medical-practice-loans/</t>
  </si>
  <si>
    <t>https://www.reviewgorilla.co.no/blog/vinterens-forste-skitur-derfor-ma-du-velge-riktig-fottoy/</t>
  </si>
  <si>
    <t>https://dinlokalabokhandel.se/fair-investments-en-tillforlitlig-partner-for-kapitalforvaltning/</t>
  </si>
  <si>
    <t>https://www.frii.se/?p=792</t>
  </si>
  <si>
    <t>https://hoganassaluhall.se/fair-investments-en-framgangssaga-om-langsiktig-investering-i-globala-kvalitetsbolag/</t>
  </si>
  <si>
    <t>https://webb-kurser.se/fair-investments-att-investera-med-hjartat/</t>
  </si>
  <si>
    <t>https://www.executiveeffect.se/vad-ar-fair-investments/</t>
  </si>
  <si>
    <t>https://sund.nu/din-kalla-for-kvalitativa-rehabprodukter-i-over-20-ar-rehabgrossisten-com/</t>
  </si>
  <si>
    <t>Se mer info här</t>
  </si>
  <si>
    <t xml:space="preserve">https://thejeansblog.com/jeans-advice/vintage-denim-what-you-need-to-know-before-buying/ </t>
  </si>
  <si>
    <t xml:space="preserve">aretrotale.com </t>
  </si>
  <si>
    <t>https://www.shawanoleader.com/entrepreneur/5-tips-for-styling-the-best-casual-business-outfit/</t>
  </si>
  <si>
    <t>https://themotherhuddle.com/best-gift-ideas-for-the-stylish-man/</t>
  </si>
  <si>
    <t>https://vivaglammagazine.com/4-essential-considerations-for-the-perfect-simple-outfit/</t>
  </si>
  <si>
    <t>https://fashionisers.com/2023/09/12/how-to-style-your-outfit-with-the-perfect-pair-of-socks/</t>
  </si>
  <si>
    <t>sipski.se</t>
  </si>
  <si>
    <t>https://www.askskinfo.com/varumarke/skinome</t>
  </si>
  <si>
    <t>skinome</t>
  </si>
  <si>
    <t>https://stilguiden.nu/</t>
  </si>
  <si>
    <t>https://blugiallo.se/herrklader/klader/kostymbyxor/</t>
  </si>
  <si>
    <t>kostymbyxor</t>
  </si>
  <si>
    <t>https://artikelzonen.com/att-tanka-pa-nar-du-ska-gifta-dig-pa-ett-slott/</t>
  </si>
  <si>
    <t>kostym</t>
  </si>
  <si>
    <t>https://borsbolag.se/</t>
  </si>
  <si>
    <t>https://www.foyen.se/affarsomraden/fastighetsratt/</t>
  </si>
  <si>
    <t>ledkungen.se</t>
  </si>
  <si>
    <t>https://ledkungen.se/</t>
  </si>
  <si>
    <t>https://artikelzonen.com/vad-ar-ett-quiz/</t>
  </si>
  <si>
    <t>https://easyreadernews.com/5-tips-for-succeeding-as-a-business-contractor-in-california/</t>
  </si>
  <si>
    <t>https://advancepointcap.com/construction-loans/</t>
  </si>
  <si>
    <t>loans for construction</t>
  </si>
  <si>
    <t>https://kakform.se/</t>
  </si>
  <si>
    <t>Bikarbonat</t>
  </si>
  <si>
    <t>https://www.bathav.se/</t>
  </si>
  <si>
    <t>https://pontonhamnar.se/</t>
  </si>
  <si>
    <t>Pontoner</t>
  </si>
  <si>
    <t xml:space="preserve">https://svenskasnapsvisor.se/
</t>
  </si>
  <si>
    <t>https://svenskhistoria.se/</t>
  </si>
  <si>
    <t>https://econotimes.com/5-Essential-Considerations-When-Taking-Out-a-Business-Loan-1662973</t>
  </si>
  <si>
    <t>https://www.executiveeffect.se/5-rehabiliteringsverktyg-for-ditt-kna/</t>
  </si>
  <si>
    <t>https://onlinehealthmedia.com/fund-your-business-with-a-medical-business-loan/</t>
  </si>
  <si>
    <t xml:space="preserve">Medical business loans </t>
  </si>
  <si>
    <t>https://www.bedriftsguiden.no/articles/article-17069.htm</t>
  </si>
  <si>
    <t>www.alfa.no</t>
  </si>
  <si>
    <t>https://finansieringar.se/framtidens-finansiella-landskap-etiskt-investering/</t>
  </si>
  <si>
    <t>https://www.affarsvarlden.se/native/spetsig-fond-hittar-globala-vinnare</t>
  </si>
  <si>
    <t xml:space="preserve">Mäklare nyköping </t>
  </si>
  <si>
    <t>https://stabilokonomi.dk/saadan-kan-du-diversificere-din-portefoelje/</t>
  </si>
  <si>
    <t>https://markets.vontobel.com/da-dk</t>
  </si>
  <si>
    <t>Bull og bear</t>
  </si>
  <si>
    <t>https://newcarbike.com/applying-for-auto-repair-business-loans/</t>
  </si>
  <si>
    <t>https://advancepointcap.com/auto-repair-loans/</t>
  </si>
  <si>
    <t>auto repair loans</t>
  </si>
  <si>
    <t>https://debrabernier.com/3-types-of-loans-for-auto-repair-shops-to-consider/</t>
  </si>
  <si>
    <t>small business loans for auto repair shop</t>
  </si>
  <si>
    <t>https://www.smartbusinessdaily.com/alternative-business-lending-options/</t>
  </si>
  <si>
    <t>alternative business lending</t>
  </si>
  <si>
    <t>https://contentrally.com/alternative-business-financing/</t>
  </si>
  <si>
    <t>alternative business financing</t>
  </si>
  <si>
    <t>https://www.socialmediamagazine.org/business-loans/</t>
  </si>
  <si>
    <t>https://advancepointcap.com/</t>
  </si>
  <si>
    <t>Find all type of business loans here</t>
  </si>
  <si>
    <t>https://thedailynotes.com/construction-business-up-and-running/</t>
  </si>
  <si>
    <t>https://advancepointcap.com/blog/construction-company-loc/</t>
  </si>
  <si>
    <t>construction line of credit.</t>
  </si>
  <si>
    <t>https://norskeanmeldelser.no/nettbutikker/ut-pa-tur-sjekk-norges-topp-5-perler-a-besoke</t>
  </si>
  <si>
    <t>https://www.alfa.no/collections/tursko-til-herre</t>
  </si>
  <si>
    <t>tursko til herre</t>
  </si>
  <si>
    <t>https://www.omnihomeideas.com/home-and-kitchen/5-things-to-consider-before-starting-a-construction-business/</t>
  </si>
  <si>
    <t>construction business loans</t>
  </si>
  <si>
    <t>https://fashionisers.com/2023/09/25/3-things-to-keep-in-mind-when-buying-secondhand-clothing/</t>
  </si>
  <si>
    <t>https://www.fullerhairtransplant.se/2023/09/27/hur-du-valjer-ratt-tandlakare-i-stockholm/</t>
  </si>
  <si>
    <t>tandläkare i Stockholm</t>
  </si>
  <si>
    <t>https://emilyandblair.com/emergency-business-loans/</t>
  </si>
  <si>
    <t>Emergency Business Loans</t>
  </si>
  <si>
    <t>https://www.knuten.nu/2023/09/22/mojligheter-till-akut-tandvard-hjalp-i-stockholm/</t>
  </si>
  <si>
    <t>https://www.tandea.se/tandvard/akut-tandvard-stockholm/</t>
  </si>
  <si>
    <t xml:space="preserve">Akut tandvård Stockholm </t>
  </si>
  <si>
    <t xml:space="preserve">https://bolagshistorik.se/kontorets-ryggrad-vardet-av-att-valja-ratt-kontorsmaterial/ </t>
  </si>
  <si>
    <t xml:space="preserve">https://merfakta.se/papperets-ursprung-fran-forntida-kina-till-modern-anvandning/ </t>
  </si>
  <si>
    <t>https://www.fashion-mommy.com/4-tips-on-how-to-style-your-socks-to-perfection/</t>
  </si>
  <si>
    <t>https://thejeansblog.com/styling-jeans/styling-socks-with-jeans-in-2023/</t>
  </si>
  <si>
    <t>https://fashionsizzle.com/2023/10/02/5-ways-to-style-your-socks-to-make-your-outfit-pop/</t>
  </si>
  <si>
    <t>https://www.beckleyboutique.com/how-to-style-and-wear-socks-like-a-pro/</t>
  </si>
  <si>
    <t>https://fashionablymale.net/2023/10/03/styling-mens-dress-socks-for-a-stylish-outfit/</t>
  </si>
  <si>
    <t>https://labradortime.com/essential-considerations-when-choosing-dog-socks-for-your-labrador/</t>
  </si>
  <si>
    <t>https://gafashion.net/5-alternative-ways-to-make-your-socks-the-centerpiece/</t>
  </si>
  <si>
    <t>https://livsfakta.se/parmar-som-en-oundganglig-del-av-dokumenthantering/</t>
  </si>
  <si>
    <t xml:space="preserve">Pärmar </t>
  </si>
  <si>
    <t>https://textiledetails.com/learn-more-about-sock-fabrics/</t>
  </si>
  <si>
    <t>https://theinscribermag.com/sock-game-strong-a-comprehensive-guide-to-dress-sock-fashion/</t>
  </si>
  <si>
    <t>https://techduffer.com/stepping-up-your-style-mens-sock-essentials/</t>
  </si>
  <si>
    <t xml:space="preserve">men’s sock </t>
  </si>
  <si>
    <t>https://ventsmagazine.co.uk/dressing-from-the-ground-up-the-importance-of-dress-socks/</t>
  </si>
  <si>
    <t>https://fruitsedge.com/step-out-in-style-the-wildest-crazy-sock-fashion-trends/</t>
  </si>
  <si>
    <t xml:space="preserve">crazy sock </t>
  </si>
  <si>
    <t>https://www.stephilareine.com/2023/10/sock-styling-101-elevate-your-wardrobe-with-womens-sock-trend.html</t>
  </si>
  <si>
    <t>https://www.businesstomark.com/mens-sock-trends-stay-fashion-forward-with-the-latest-must-have-styles/</t>
  </si>
  <si>
    <t>https://mitechnews.com/guest-columns/how-to-deal-with-financial-emergency-in-your-business/</t>
  </si>
  <si>
    <t>https://brandskor.se/att-sakerstalla-hallbara-tandhalsovanor-en-guide-till-ett-skinande-leende-livet-ut/</t>
  </si>
  <si>
    <t xml:space="preserve">tandläkare i Stockholm </t>
  </si>
  <si>
    <t>https://serviceteknikerkarlstad.se/bikarbonat-den-naturliga-stadhjalten-som-forvandlar-ditt-hem-inom-och-utomhus/</t>
  </si>
  <si>
    <t>https://haxan.se/products/haxan-bikarbonat</t>
  </si>
  <si>
    <t>bikarbonat</t>
  </si>
  <si>
    <t>???</t>
  </si>
  <si>
    <t>https://socialsummit17.se/cady-utbildning-en-vag-till-arbete-eller-en-falla/</t>
  </si>
  <si>
    <t>Cady utbildning</t>
  </si>
  <si>
    <t>https://sek-converter.se/ekonomiutbildning-pa-distans/</t>
  </si>
  <si>
    <t>https://serviceteknikerkarlstad.se/inredningsutbildning-pa-distans-nyckeln-till-att-forverkliga-dina-drommar-om-att-bli-inredare/</t>
  </si>
  <si>
    <t>https://abm-utvikling.no/herresko-for-vinteren-stil-og-funksjonalitet-i-ett/</t>
  </si>
  <si>
    <t xml:space="preserve">Vintersko til herre </t>
  </si>
  <si>
    <t>https://gravnorrkoping.se/skadeverkstad-pa-tyreso-din-destination-for-volkswagen-reparationer/</t>
  </si>
  <si>
    <t>Volkswagen tyresö</t>
  </si>
  <si>
    <t>https://makeachange.se/skadeverkstad-i-tyreso-en-omfattande-oversikt/</t>
  </si>
  <si>
    <t xml:space="preserve">Skadeverkstad tyresö </t>
  </si>
  <si>
    <t>https://svalan.se/skadebesiktning-i-tyreso-en-fullstandig-guide-till-processen/</t>
  </si>
  <si>
    <t xml:space="preserve">Skadebesiktning tyresö </t>
  </si>
  <si>
    <t>https://now.nu/skadeverkstad-och-skadebesiktningsprocessen-for-volkswagen-bilar-i-haninge/</t>
  </si>
  <si>
    <t>Volkswagen haninge</t>
  </si>
  <si>
    <t>https://p2catering.se/irlandska-pubar-och-deras-betydelse-en-resa-genom-pubkulturen/</t>
  </si>
  <si>
    <t xml:space="preserve">Pub uppsala
</t>
  </si>
  <si>
    <t>https://14karat.se/?p=305</t>
  </si>
  <si>
    <t xml:space="preserve">Fair investments
</t>
  </si>
  <si>
    <t>https://andreanorrman.se/fair-investments-forvaltning-radgivning-och-pension/</t>
  </si>
  <si>
    <t>https://coinmixer.se/fair-investments-en-ledande-aktor-inom-langsiktiga-globala-kvalitetsinvesteringar/</t>
  </si>
  <si>
    <t>https://mobilpengar.se/fair-investments-en-djupdykning-i-prestanda-och-avkastning/</t>
  </si>
  <si>
    <t>https://vainu.io/company/fair-investments-sweden-ab-omsattning-och-nyckeltal/1180004/foretagsinfo</t>
  </si>
  <si>
    <t>https://savethefuture.se/solcellsanlaggningar-en-omfattande-guide-fran-installation-till-forsakring-och-underhall/</t>
  </si>
  <si>
    <t>https://arctic.se/se/forsakringslosningar/svensksolenergi/</t>
  </si>
  <si>
    <t xml:space="preserve">försäkring solceller
</t>
  </si>
  <si>
    <t>https://webb-kurser.se/studera-pa-distans-en-omvalvande-utbildningsmetod-i-en-digital-tidsalder/</t>
  </si>
  <si>
    <t>https://www.utbildningsforetagen.se/2020/11/marcus-lindh-distansinstitutet-2-2/</t>
  </si>
  <si>
    <t>Distansinstitutet</t>
  </si>
  <si>
    <t>https://optioneronline.se/distansutbildning-en-nyckel-till-framtidens-arbetsmarknad/</t>
  </si>
  <si>
    <t>Distansutbildning</t>
  </si>
  <si>
    <t>https://xn--malmcloud-37a.se/led-lampor-framtidens-belysning-och-dess-oandliga-mangsidighet/</t>
  </si>
  <si>
    <t>http://ledkungen.se/</t>
  </si>
  <si>
    <t>ledlampor</t>
  </si>
  <si>
    <t>ritty.se</t>
  </si>
  <si>
    <t>https://xn--malmcloud-37a.se/den-digitala-framtiden-fordelarna-med-att-hyra-kassasystem-for-smidiga-transaktioner/</t>
  </si>
  <si>
    <t>https://ritty.se/</t>
  </si>
  <si>
    <t>kassasystem</t>
  </si>
  <si>
    <t>https://marketingmartin.se/forenkla-forsaljning-och-transaktioner-fordelarna-med-att-hyra-kassasystem-som-privatperson/</t>
  </si>
  <si>
    <t>https://ritty.se/hyr-kassa/</t>
  </si>
  <si>
    <t xml:space="preserve">Hyra kassasystem
</t>
  </si>
  <si>
    <t>triwa.com</t>
  </si>
  <si>
    <t>https://www.beckleyboutique.com/looking-for-a-new-watch-here-are-3-essentials-to-finding-the-perfect-mens-watch/</t>
  </si>
  <si>
    <t>https://www.triwa.com/watches-for-men</t>
  </si>
  <si>
    <t>watches for men</t>
  </si>
  <si>
    <t>https://guldkorn.nu/kopieringspapper/</t>
  </si>
  <si>
    <t>Kopieringspapper</t>
  </si>
  <si>
    <t>https://laxrecept.se/flytbryggor-fran-kravspecifikation-till-leverans-och-montering/</t>
  </si>
  <si>
    <t>https://northernskymag.com/starting-a-medical-business-in-five-steps/</t>
  </si>
  <si>
    <t>medical business financing</t>
  </si>
  <si>
    <t>https://fashionablymale.net/2023/10/23/stylish-essentials-7-classic-menswear-basics-worth-investing-in/</t>
  </si>
  <si>
    <t>See watches for men</t>
  </si>
  <si>
    <t>https://gafashion.net/essential-tips-to-find-the-best-second-hand-clothing/</t>
  </si>
  <si>
    <t xml:space="preserve">https://emblemwealth.com/small-businesses-come-out-of-crisis/ </t>
  </si>
  <si>
    <t>mergency business loan.</t>
  </si>
  <si>
    <t>https://techtrendspro.com/starting-a-tech-company/</t>
  </si>
  <si>
    <t xml:space="preserve">emergency business loan </t>
  </si>
  <si>
    <t>https://smallbusinessjournals.com/startup-construction-business/</t>
  </si>
  <si>
    <t>construction line of credit</t>
  </si>
  <si>
    <t>https://fashionsizzle.com/2023/10/5-ways-to-be-a-more-sustainable-fashion-consumer/</t>
  </si>
  <si>
    <t>https://www.triwa.com/sv/time-for-solar</t>
  </si>
  <si>
    <t>Solar watch</t>
  </si>
  <si>
    <t>https://sportjournalen.se/bandage-en-avgorande-komponent-i-forebyggande-och-behandling-av-sportskador/</t>
  </si>
  <si>
    <t xml:space="preserve">bandage </t>
  </si>
  <si>
    <t>https://www.netlands.nu/2023/10/25/vad-innebar-det-att-vara-en-site-reliability-engineer-sre-och-vem-behover-deras-expertis/</t>
  </si>
  <si>
    <t>https://lemontree.se/tjanster/devops/site-reliability-engineering/</t>
  </si>
  <si>
    <t xml:space="preserve">Site Reliability Engineer </t>
  </si>
  <si>
    <t>hemplybalance.com</t>
  </si>
  <si>
    <t>https://www.alltjanstsala.se/2023/10/27/cbd-olja-i-sverige-en-vaxande-trend-med-halsosamma-fordelar/</t>
  </si>
  <si>
    <t>https://hemplybalance.se/</t>
  </si>
  <si>
    <t xml:space="preserve">CBD olja </t>
  </si>
  <si>
    <r>
      <rPr>
        <u/>
        <sz val="9"/>
        <color rgb="FF1155CC"/>
        <rFont val="Roboto Mono"/>
      </rPr>
      <t>https://www.adriantomic.se/2023/10/20/oversikt-av-bryggtillbehor-flyttbryggor-och-vagbrytare/</t>
    </r>
    <r>
      <rPr>
        <sz val="9"/>
        <rFont val="Roboto Mono"/>
      </rPr>
      <t> </t>
    </r>
  </si>
  <si>
    <t>https://pontonhamnar.se/produkter/flytbrygga/</t>
  </si>
  <si>
    <t xml:space="preserve">Flytbrygga </t>
  </si>
  <si>
    <t>https://dinenettsider.no/hvordan-impregnere-sko/</t>
  </si>
  <si>
    <t>tursko herre</t>
  </si>
  <si>
    <t>https://dittnettsted.com/slik-fjerner-du-vond-lukt-fra-sko/</t>
  </si>
  <si>
    <t>https://www.alfa.no/collections/vintersko-til-herre</t>
  </si>
  <si>
    <t>varme vintersko</t>
  </si>
  <si>
    <t>https://barnkatalogen.se/darfor-ar-det-viktigt-att-ta-hand-om-ditt-barns-tander/</t>
  </si>
  <si>
    <t>Tandläkare Stockholm</t>
  </si>
  <si>
    <t>https://177finnmark.no/jakten-pa-den-beste-turskoen/</t>
  </si>
  <si>
    <t>https://www.alfa.no/pages/hvilken-tursko-skal-jeg-velge</t>
  </si>
  <si>
    <t>hvilken tursko skal jeg velge</t>
  </si>
  <si>
    <t>https://www.sbnewsroom.com/small-business/</t>
  </si>
  <si>
    <t xml:space="preserve">same day business loan </t>
  </si>
  <si>
    <t>https://realwealthbusiness.com/secure-the-funds/</t>
  </si>
  <si>
    <t>same day business funding</t>
  </si>
  <si>
    <t>https://pluslifestyles.com/starting-your-own-lifestyle-brand/</t>
  </si>
  <si>
    <t>same day business loan</t>
  </si>
  <si>
    <t>https://bytevarsity.com/choosing-the-perfect-watch-a-comprehensive-guide-to-match-your-style-and-needs/</t>
  </si>
  <si>
    <t>https://www.triwa.com/</t>
  </si>
  <si>
    <t>watches</t>
  </si>
  <si>
    <t>https://publicistpaper.com/watches-for-every-occasion-how-to-build-your-collection/</t>
  </si>
  <si>
    <t>Triwa.com</t>
  </si>
  <si>
    <t>https://www.lenkeguiden.no/hvordan-vaske-sko-i-vaskemaskin/</t>
  </si>
  <si>
    <t>https://www.alfa.no/collections/vintersko-til-dame</t>
  </si>
  <si>
    <t xml:space="preserve">vintersko dame </t>
  </si>
  <si>
    <t>https://kilander-racing.se/bast-bilforsakring-i-sverige/</t>
  </si>
  <si>
    <t>https://xn--bstfrskringar-bfbf9z.se/bilforsakringar/</t>
  </si>
  <si>
    <t>bäst bilförsäkring</t>
  </si>
  <si>
    <t>https://uppsalabostad.se/sa-jamfor-du-forsakringar-hitta-ratt-forsakring-till-ratt-pris/</t>
  </si>
  <si>
    <t>jämför försäkring</t>
  </si>
  <si>
    <t>https://industrimagasinet.se/mellan-land-och-hav/</t>
  </si>
  <si>
    <t>https://www.fashion-mommy.com/how-to-spot-the-best-vintage-items/</t>
  </si>
  <si>
    <t>https://fashiongtonpost.com/essentials-to-find-treasures-when-second-hand-shopping/</t>
  </si>
  <si>
    <t>https://smartfinansiering.se/effektivt-arbete/</t>
  </si>
  <si>
    <t>https://livsfakta.se/den-perfekta-bryggan-en-guide-for-husagare-med-sjotomt/</t>
  </si>
  <si>
    <t xml:space="preserve">flytbrygga </t>
  </si>
  <si>
    <t>e-ciggbolaget.se</t>
  </si>
  <si>
    <t>https://www.totallystockholm.se/rokning-och-battre-nikotinalternativ/</t>
  </si>
  <si>
    <t>https://e-ciggbolaget.se/e-cigaretter</t>
  </si>
  <si>
    <t>E-cigg</t>
  </si>
  <si>
    <t>https://bolagshistorik.se/att-lara-sig-att-utveckla-hemsidor-en-guide-for-nyborjare/</t>
  </si>
  <si>
    <t xml:space="preserve">utveckling </t>
  </si>
  <si>
    <t>https://ladycare.se/teknologiska-framsteg-inom-tandvard/</t>
  </si>
  <si>
    <t xml:space="preserve">Tandläkare i Stockholm </t>
  </si>
  <si>
    <t>https://finansfeber.se/subventionerad-tandvard-for-svenska-ungdomar/</t>
  </si>
  <si>
    <t>https://m360.no/hvordan-vaske-sko/</t>
  </si>
  <si>
    <t>https://www.alfa.no/collections/sikkerhet-vernesko</t>
  </si>
  <si>
    <t>vernesko</t>
  </si>
  <si>
    <t>https://www.djungeltrumman.se/e-cigaretter-som-nikotinersattningsbehandling-nrt-en-ny-horisont-for-rokavvanjning/</t>
  </si>
  <si>
    <t>https://e-ciggbolaget.se/e-cigaretter/</t>
  </si>
  <si>
    <t>https://www.totallyorebro.se/uncategorized/recensioner-av-e-cigaretter-hitta-det-perfekta-valet-for-dig/</t>
  </si>
  <si>
    <t xml:space="preserve">e-cigg </t>
  </si>
  <si>
    <t>https://affarsstaden.se/esb-aditorial/forandringar-och-innovationer-inom-e-cigarettindustrin/</t>
  </si>
  <si>
    <t>e-cigg</t>
  </si>
  <si>
    <t>https://www.nojesnytthelsingborg.se/2023/11/21/vilken-styrka-ska-man-valja-pa-sin-forsta-e-cigg/</t>
  </si>
  <si>
    <t>E-Cigg</t>
  </si>
  <si>
    <t>https://ecommunity.se/en-guide-till-flytande-fundament/</t>
  </si>
  <si>
    <t>https://nyheteridag.se/konstruktion-och-underhall-av-vagbrytare/</t>
  </si>
  <si>
    <t>https://pontechmarina.com/se/flytbrygga/vagbrytare/</t>
  </si>
  <si>
    <t>vågbrytare</t>
  </si>
  <si>
    <t>https://nyheteridag.se/devops-och-framtidens-affarsframgang/</t>
  </si>
  <si>
    <t xml:space="preserve">DevOps </t>
  </si>
  <si>
    <t>https://beautymama.se/aterfa-ditt-leende-med-tandimplantat/</t>
  </si>
  <si>
    <t>https://www.tandea.se/tandvard/tandimplantat/</t>
  </si>
  <si>
    <t>tandimplantat i Stockholm</t>
  </si>
  <si>
    <t>https://textiledetails.com/matching-your-watch-to-your-suit/</t>
  </si>
  <si>
    <t xml:space="preserve">https://nygal.com/how-to-gift-more-sustainably-this-christmas/ </t>
  </si>
  <si>
    <t>https://www.triwa.com/time-for-solar</t>
  </si>
  <si>
    <t>https://ledarsidorna.se/fa-battre-fokus-pa-ditt-hemmakontor/</t>
  </si>
  <si>
    <t>mariatand.se</t>
  </si>
  <si>
    <t>https://www.executiveeffect.se/modern-tandvard-med-omsorg-pa-sodermalm-din-palitliga-tandlakare-for-optimal-munhalsa/</t>
  </si>
  <si>
    <t>https://www.mariatand.se/</t>
  </si>
  <si>
    <t>tandläkare på Södermalm</t>
  </si>
  <si>
    <t xml:space="preserve">https://pluslifestyles.com/benefits-of-solar-watches/ </t>
  </si>
  <si>
    <t>https://nettxpress.no/kjop-nye-sko-pa-nett/</t>
  </si>
  <si>
    <t>https://www.alfa.no/collections/fritidssko-til-dame</t>
  </si>
  <si>
    <t>fritidssko dame</t>
  </si>
  <si>
    <t>https://savethefuture.se/advokatbyra-i-stockholm-expertis-och-juridisk-mangfald/</t>
  </si>
  <si>
    <t>https://www.foyen.se/om-oss/vara-kontor/foyen-i-stockholm/</t>
  </si>
  <si>
    <t xml:space="preserve">Advkoatbyråer stockholm </t>
  </si>
  <si>
    <t>https://businessacademy.se/skapa-festlig-stamning-pa-kontoret-juliga-tips-och-kontorsmaterial-for-en-harlig-arbetsmiljo/</t>
  </si>
  <si>
    <t>https://trevligahem.se/den-ultimata-losningen-for-miljovanlig-silverputsning/</t>
  </si>
  <si>
    <t>https://haxan.se/products/haxan-silverputs</t>
  </si>
  <si>
    <t>silverputs</t>
  </si>
  <si>
    <t xml:space="preserve">https://bolagshistorik.se/flytbryggor-robusta-materialval-och-anpassningsbar-design-for-hallbar-infrastruktur-pa-vattnet/ </t>
  </si>
  <si>
    <t>https://www.totallystockholm.se/fortroende-och-kontinuitet-vagen-till-langsiktig-munhalsa-med-din-tandlakare-i-stockholm/</t>
  </si>
  <si>
    <t>https://beautymama.se/skonhet-och-tandlakare-en-synergi-for-valbefinnande-pa-sodermalm/</t>
  </si>
  <si>
    <t>Tandläkare Södermalm</t>
  </si>
  <si>
    <t>https://varmlandsbygden.se/partner/upptack-varlden-av-flytbryggor/</t>
  </si>
  <si>
    <t>https://varmlandsbygden.se/partner/sre-att-navigera-terrangen-for-hogtrafikerade-webbplatser/</t>
  </si>
  <si>
    <t>SRE</t>
  </si>
  <si>
    <t>https://alltomnorrtalje.se/cbd-olja-och-cbd-hampaolja-en-analys-om-likheter-och-skillnader/</t>
  </si>
  <si>
    <t>https://hemplybalance.se/cbd-hampaoljor/</t>
  </si>
  <si>
    <t>CBD olja</t>
  </si>
  <si>
    <t>https://alltomnorrtalje.se/vikten-av-en-palitlig-tandlakare/</t>
  </si>
  <si>
    <t>freckeus.se</t>
  </si>
  <si>
    <t>https://serviceteknikerkarlstad.se/klassisk-arkitektur-i-stockholm-en-fusion-av-tidlos-skonhet-och-modern-funktion/</t>
  </si>
  <si>
    <t>https://www.freckeus.se/</t>
  </si>
  <si>
    <t>arkitekt[er]  [i] stockholm</t>
  </si>
  <si>
    <t>https://bygghuddinge.se/en-komplett-guide-till-att-byta-tak-pa-ekonomibyggnader-taklaggarens-expertprocess/</t>
  </si>
  <si>
    <t>https://tiotak.se</t>
  </si>
  <si>
    <t>https://edgehyllie.se/optimera-fastighetens-hallbarhet-och-varde/</t>
  </si>
  <si>
    <t>https://kollektomat.se/professionell-vagledning-genom-ekonomiska-kriser/</t>
  </si>
  <si>
    <t>carpcon.se</t>
  </si>
  <si>
    <t>https://serviceteknikerkarlstad.se/nar-ar-det-dags-att-byta-fonster/</t>
  </si>
  <si>
    <t>https://carpcon.se/fonsterbyte/</t>
  </si>
  <si>
    <t xml:space="preserve">Fönsterbyte </t>
  </si>
  <si>
    <t>https://bloggfamiljen.se/big-ben-standup-hjartat-av-stockholms-standup-scen/</t>
  </si>
  <si>
    <t>https://bigbenstandup.com</t>
  </si>
  <si>
    <t xml:space="preserve">Stand up [i] stockholm </t>
  </si>
  <si>
    <t>https://socialsummit17.se/skapa-ett-vinterparadis-med-en-egen-swimming-pool-eller-spabad/</t>
  </si>
  <si>
    <t>https://lasagne.nu/pubkulturens-hjarta-irlandska-pubar-och-deras-varldsligt-igenkanda-charm/</t>
  </si>
  <si>
    <t xml:space="preserve">Pub [i] uppsala </t>
  </si>
  <si>
    <t>https://sek-converter.se/en-ny-varld-av-forsaljningsmojligheter-for-saljare/</t>
  </si>
  <si>
    <t xml:space="preserve">Hyra kassasystem </t>
  </si>
  <si>
    <t>saneringscompaniet.se</t>
  </si>
  <si>
    <t>https://socialsummit17.se/sanering-och-fasadtvatt-vikten-av-professionella-for-hallbara-resultat/</t>
  </si>
  <si>
    <t>https://saneringscompaniet.se/</t>
  </si>
  <si>
    <t>fasadtvätt [i] malmö</t>
  </si>
  <si>
    <t>notyfile.se/sv</t>
  </si>
  <si>
    <t>https://marketingmartin.se/effektivisera-foretagets-orderhantering-skapandet-och-hanteringen-av-ordrar/</t>
  </si>
  <si>
    <t>https://notyfile.se/</t>
  </si>
  <si>
    <t>orderhanteringssystem</t>
  </si>
  <si>
    <t>https://s-automation.se/optimera-kundhantering-med-smarta-saljverktyg-forbattra-crm-for-kundtillvaxt-och-effektiv-kommunikation/</t>
  </si>
  <si>
    <t>crm-verktyg</t>
  </si>
  <si>
    <t>https://gravnorrkoping.se/saneringslosningar-for-bostadsratter-och-foreningar-modern-teknik-och-proffsforetag-med-erfarenhet-for-effektiva-resultat/</t>
  </si>
  <si>
    <t>Sanering</t>
  </si>
  <si>
    <t>alexbyggkonsult.se</t>
  </si>
  <si>
    <t>https://andreanorrman.se/husbesiktningar-en-avgorande-process-for-bade-saljare-och-kopare/</t>
  </si>
  <si>
    <t>https://alexbyggkonsult.se/</t>
  </si>
  <si>
    <t>Husbesiktningar</t>
  </si>
  <si>
    <t>spoors.health</t>
  </si>
  <si>
    <t>https://eteriskaoljorna.se/lions-mane-svampen-bidragande-till-forbattrad-halsa-och-kognition/</t>
  </si>
  <si>
    <t>www.spoors.health</t>
  </si>
  <si>
    <t>Lions mane</t>
  </si>
  <si>
    <t>https://ethereumkurs.org/kan-du-kjope-sko-med-krypto/</t>
  </si>
  <si>
    <t>https://alltomnorrtalje.se/parmar-en-tidlos-hjalpreda-for-foretag-organisation/</t>
  </si>
  <si>
    <t>https://bonusfamilj.se/sakerstall-tandhalsan-hos-en-valetablerad-tandlakare/</t>
  </si>
  <si>
    <t>https://finansieringar.se/vardet-av-parmar-och-kontorsmaterial-for-smidig-och-saker-dokumentation/</t>
  </si>
  <si>
    <r>
      <rPr>
        <u/>
        <sz val="9"/>
        <color rgb="FF1155CC"/>
        <rFont val="Roboto Mono"/>
      </rPr>
      <t>swedoffice.se</t>
    </r>
    <r>
      <rPr>
        <sz val="9"/>
        <color rgb="FF000000"/>
        <rFont val="Roboto Mono"/>
      </rPr>
      <t xml:space="preserve"> </t>
    </r>
  </si>
  <si>
    <t>norteam.se</t>
  </si>
  <si>
    <t>https://techbladet.se/norteam-stockholms-banbrytande-it-tjansteforetag-revolutionerar-molnbaserade-losningar/</t>
  </si>
  <si>
    <t>https://www.norteam.se/</t>
  </si>
  <si>
    <t>Norteam</t>
  </si>
  <si>
    <t>https://bolagshistorik.se/flytbroar-och-vagbrytare-en-harmonisk-samexistens-over-vatten/</t>
  </si>
  <si>
    <t>Vågbrytare</t>
  </si>
  <si>
    <t>https://industrimagasinet.se/pontoner-och-flytbroar-en-oversikt-av-viktiga-vattenkorsningsverktyg/</t>
  </si>
  <si>
    <t>hvvs.se</t>
  </si>
  <si>
    <t>https://serviceteknikerkarlstad.se/vvs-effektiva-system-och-hallbarhet/</t>
  </si>
  <si>
    <t>https://www.hvvs.se/</t>
  </si>
  <si>
    <t>VVS [i] Uppsala</t>
  </si>
  <si>
    <t>https://bygghuddinge.se/rormokare-och-vvs-byggnadsteknikens-ryggrad/</t>
  </si>
  <si>
    <t>Rörmockare Uppsala</t>
  </si>
  <si>
    <t>sundsvallbergvarme.se</t>
  </si>
  <si>
    <t>https://savethefuture.se/bergvarme-den-rena-vinsten-for-miljo-och-ekonomi/</t>
  </si>
  <si>
    <t>https://sundsvallbergvarme.se</t>
  </si>
  <si>
    <t>Bergvärme i Sundsvall</t>
  </si>
  <si>
    <t>w3solenergi.se</t>
  </si>
  <si>
    <t>https://savethefuture.se/solenergi-investeringen-som-lyser-upp-framtiden/</t>
  </si>
  <si>
    <t>https://w3elsolenergi.se</t>
  </si>
  <si>
    <t>sol energi</t>
  </si>
  <si>
    <t>https://mobilt-bredband.no/kan-sko-vaere-miljovennlige/</t>
  </si>
  <si>
    <t>https://alfa.no/collections/skisko-til-herre</t>
  </si>
  <si>
    <t xml:space="preserve">skisko herre </t>
  </si>
  <si>
    <t>https://www.novasverige.se/</t>
  </si>
  <si>
    <t>https://www.lansfast.se/maklare/stockholm/taby-danderyd/</t>
  </si>
  <si>
    <t>mäklare danderyd</t>
  </si>
  <si>
    <t>https://nordictimes.com/partner/a-retro-tale-where-timeless-elegance-meets-sustainability/</t>
  </si>
  <si>
    <t>Aretrotale.com</t>
  </si>
  <si>
    <t>https://mammagruppen.se/att-uppratthalla-en-god-munhalsa-under-graviditeten/</t>
  </si>
  <si>
    <t>https://www.mariatand.se/behandling/tandimplantat-stockholm</t>
  </si>
  <si>
    <t>tandimplantat Stockholm</t>
  </si>
  <si>
    <t>https://varmlandsbygden.se/partner/att-forsta-smartor-i-knat-och-instabila-knaleder/</t>
  </si>
  <si>
    <t>knäskydd</t>
  </si>
  <si>
    <t>spelklubben.se</t>
  </si>
  <si>
    <t>https://casinodjungel.se/</t>
  </si>
  <si>
    <t>https://www.spelklubben.se/sv</t>
  </si>
  <si>
    <t>Spelklubben som erbjuder både casino och betting</t>
  </si>
  <si>
    <t>https://fashionablymale.net/2024/01/09/sustainable-mens-fashion-five-tips-to-thrift-shop-with-success/</t>
  </si>
  <si>
    <t>https://xn--beste-ln-g0a.com/coop-mastercard/</t>
  </si>
  <si>
    <t>Lansfast Danderyd &amp; täby</t>
  </si>
  <si>
    <t>https://eventeffect.se/att-navigera-genom-fastighetsmarknaden-att-hitta-ratt-fastighetsmaklare/</t>
  </si>
  <si>
    <t>mäklare i Täby</t>
  </si>
  <si>
    <t>https://www.skriva-artikel.se/</t>
  </si>
  <si>
    <t>https://www.party-zeiger.de/dampf-ablassen-mit-dampf</t>
  </si>
  <si>
    <t>https://www.vont.co/de/e-zigarette</t>
  </si>
  <si>
    <t xml:space="preserve">Einweg E Zigarette </t>
  </si>
  <si>
    <t>https://moveitmama.se/overvinna-tandlakarskrack</t>
  </si>
  <si>
    <r>
      <rPr>
        <u/>
        <sz val="10"/>
        <color rgb="FF1155CC"/>
        <rFont val="Arial"/>
        <family val="2"/>
      </rPr>
      <t>https://www.tandea.se/</t>
    </r>
    <r>
      <rPr>
        <sz val="10"/>
        <rFont val="Arial"/>
        <family val="2"/>
      </rPr>
      <t xml:space="preserve"> </t>
    </r>
  </si>
  <si>
    <t xml:space="preserve">Tandläkare i stockholm </t>
  </si>
  <si>
    <t>https://www.mistyann.se/vad-gor-man-inom-hemtjansten</t>
  </si>
  <si>
    <t>https://distansinstitutet.se/distansutbildningar/pedagogik/vardbitrade/</t>
  </si>
  <si>
    <t>Vårdbiträde utbildning</t>
  </si>
  <si>
    <t>https://www.naringslivetfb.se/</t>
  </si>
  <si>
    <t>https://www.fly-comair.com/how-to-choose-a-solar-watch-for-your-air-travel</t>
  </si>
  <si>
    <t>Watches for men</t>
  </si>
  <si>
    <t>https://www.rightonblog.net/ordning-pa-kontoret</t>
  </si>
  <si>
    <t>https://www.swedoffice.se</t>
  </si>
  <si>
    <t>pontonhamnar.se</t>
  </si>
  <si>
    <t>https://www.genvag.nu/</t>
  </si>
  <si>
    <t>Site</t>
  </si>
  <si>
    <t>Sveriges största utbud av pontoner och flytbryggor</t>
  </si>
  <si>
    <t>https://luddep.se/nyckeln-till-forenklade-affarer</t>
  </si>
  <si>
    <t>https://movingimagesmalmo.se/grymt-flyt-i-bathamnen</t>
  </si>
  <si>
    <t>https://www.inmygarden.se/ta-vara-pa-solens-energi</t>
  </si>
  <si>
    <t>försäkring [av] solceller</t>
  </si>
  <si>
    <t>https://www.instrumentenland.de/wie-ein-musiker-nikotin-geniessen-mit-e-zigaretten</t>
  </si>
  <si>
    <t>https://www.vont.co/de/e-zigarette/0-mg-ml</t>
  </si>
  <si>
    <t>E Zigarette ohne Nikotin</t>
  </si>
  <si>
    <t>https://www.mansjouren.nu/</t>
  </si>
  <si>
    <t>https://www.simmasverige.se/lyxsommar-hemma-med-egen-pool</t>
  </si>
  <si>
    <t>https://www.sitartmag.com/finansiell-aterhamtning</t>
  </si>
  <si>
    <t xml:space="preserve">Rekonstruktion </t>
  </si>
  <si>
    <t>försäkring av dina solceller</t>
  </si>
  <si>
    <t>swimmingpool i trädgården</t>
  </si>
  <si>
    <t>orderhanteringssystem från notyfile.se</t>
  </si>
  <si>
    <t>flytbryggor</t>
  </si>
  <si>
    <t>rekonstruktion och insolvens</t>
  </si>
  <si>
    <t>https://www.grav12.se/bergvarme-bra-for-bade-miljo-och-planbok</t>
  </si>
  <si>
    <t>https://www.lula.se/fonsterna-ar-husets-ogon</t>
  </si>
  <si>
    <t>https://klubbace.se/sluta-snusa-utan-att-sluta-snusa</t>
  </si>
  <si>
    <t>https://www.vont.se/nicotine-pouches</t>
  </si>
  <si>
    <t>tobaksfritt snus</t>
  </si>
  <si>
    <t>https://www.bfhq.se/cbd-olja-for-okat-valmaende</t>
  </si>
  <si>
    <t>cbd olja</t>
  </si>
  <si>
    <t>https://www.life-science.se/sadla-om</t>
  </si>
  <si>
    <t>https://www.streetnstrip.se/underhall-av-bilens-metalldetaljer</t>
  </si>
  <si>
    <t>Silverputs</t>
  </si>
  <si>
    <t>https://www.gadgetgirl.se/skratt-ar-basta-medicinen</t>
  </si>
  <si>
    <t>stand up i Stockholm</t>
  </si>
  <si>
    <t>klicka här för mer info</t>
  </si>
  <si>
    <t>Häxan silverputs</t>
  </si>
  <si>
    <t>cbd-olja</t>
  </si>
  <si>
    <t>övergå till tobaksfritt snus</t>
  </si>
  <si>
    <t>https://www.nyhetsbrevskola.se/forbattra-din-affarsmodell-med-devops</t>
  </si>
  <si>
    <t>https://lemontree.se</t>
  </si>
  <si>
    <t>DevOps</t>
  </si>
  <si>
    <t>https://www.pingpongbarnklader.se/antligen-en-tandlakare-jag-vagar-lita-pa</t>
  </si>
  <si>
    <t xml:space="preserve">Tandläkare på södermalm </t>
  </si>
  <si>
    <t>https://www.rambollnatura.se/investering-med-hjalp-av-ett-investmentbolag</t>
  </si>
  <si>
    <t>https://fairinvestments.se/</t>
  </si>
  <si>
    <t>Investmentbolag</t>
  </si>
  <si>
    <t>https://www.somanordic.se/</t>
  </si>
  <si>
    <t>https://www.unvelo.se/</t>
  </si>
  <si>
    <t>https://www.vont.se/to-go</t>
  </si>
  <si>
    <t>placera dina pengar i ett investmentbolag</t>
  </si>
  <si>
    <t>https://www.idreren.se/</t>
  </si>
  <si>
    <t>https://www.kavena.se/</t>
  </si>
  <si>
    <t>https://ledkungen.se/collections/led-lister</t>
  </si>
  <si>
    <t>LED-lister</t>
  </si>
  <si>
    <t>https://amandajnsn.se/</t>
  </si>
  <si>
    <t>https://www.lansfast.se/maklare/sodermanland/trosa/</t>
  </si>
  <si>
    <t>mäklare i Trosa</t>
  </si>
  <si>
    <t>https://www.xn--hemsida-fretag-3pb.se/smarta-investeringar-for-framtiden</t>
  </si>
  <si>
    <t xml:space="preserve">Fair investments </t>
  </si>
  <si>
    <t>https://www.rightonblog.net/mysigt-att-hanga-pa-pub</t>
  </si>
  <si>
    <t>https://www.wildjunketmagazine.com/electronics-to-carry-on-your-adventure-trip</t>
  </si>
  <si>
    <t>relining i Stockholm på villarelining.se</t>
  </si>
  <si>
    <t>O'Connor's pub i Uppsala</t>
  </si>
  <si>
    <t>solar watch</t>
  </si>
  <si>
    <t>https://www.leaderbergslagen.se/</t>
  </si>
  <si>
    <t>väletablerad takläggare</t>
  </si>
  <si>
    <t>https://www.panhardklubben.se/</t>
  </si>
  <si>
    <t>https://www.kadesign.se/ta-vara-pa-solens-energi</t>
  </si>
  <si>
    <t>solenergi</t>
  </si>
  <si>
    <t>https://luddep.se/dags-att-borja-investera</t>
  </si>
  <si>
    <t>https://www.bodhi.se/finn-mening-och-nya-mal-karriarsskifte-pa-distans</t>
  </si>
  <si>
    <t xml:space="preserve">Socialpedagog distans </t>
  </si>
  <si>
    <t>https://www.life-science.se/trygg-och-hallbar-investering</t>
  </si>
  <si>
    <t>https://www.allabolag.se/5568169626/bokslut</t>
  </si>
  <si>
    <t>https://www.panorastic.de/kredite-und-kreditbeurteilungen-in-der-digitalen-welt</t>
  </si>
  <si>
    <t>https://www.the-wedding-bazaar.com/vintage-wedding-ideas-for-a-timeless-look</t>
  </si>
  <si>
    <t>Socialpedagog på distans</t>
  </si>
  <si>
    <t>Fair Investment, ett investeringsbolag med ett hållbart fokus</t>
  </si>
  <si>
    <t>hållbart investeringsbolag som Fair Investments</t>
  </si>
  <si>
    <t>https://www.kulturakademintrappan.se/</t>
  </si>
  <si>
    <t>https://www.alexbyggkonsult.se/</t>
  </si>
  <si>
    <t>husbesiktning i Sundsvall</t>
  </si>
  <si>
    <t>https://www.bgfashion.net/article/19101/81/TRIWA-Redefining-Watches-as-Symbols-of-Change-and-Sustainability</t>
  </si>
  <si>
    <t>https://triwa.com/</t>
  </si>
  <si>
    <t>https://klubbace.se/hur-kan-pengar-vaxa</t>
  </si>
  <si>
    <t>https://www.inmygarden.se/planera-forst-bygg-sen</t>
  </si>
  <si>
    <t>arkitekt i stockholm</t>
  </si>
  <si>
    <t>https://www.nyhetsbrevskola.se/stod-i-juridiska-fragor</t>
  </si>
  <si>
    <t>advokatbyrå stockholm</t>
  </si>
  <si>
    <t>https://www.peoma.se/var-radd-om-dina-knan</t>
  </si>
  <si>
    <t>Knäskydd</t>
  </si>
  <si>
    <t>https://www.xpublishing.se/varfor-ar-ett-kassasystem-ett-maste</t>
  </si>
  <si>
    <t>knäskydd som stabiliserar benet</t>
  </si>
  <si>
    <t>hyra kassasystem</t>
  </si>
  <si>
    <t>https://www.gadgetgirl.se/bygg-din-trygghet</t>
  </si>
  <si>
    <t>https://twitter.com/i/flow/login?redirect_after_login=%2FFairInvSwe</t>
  </si>
  <si>
    <t>trovärdigt investeringsbolag som Fair Investments</t>
  </si>
  <si>
    <t xml:space="preserve">kvalificerad advokatbyrå i Stockholm </t>
  </si>
  <si>
    <t>arkitekt i Stockholm</t>
  </si>
  <si>
    <t>https://movingimagesmalmo.se/graffiti-klotter-eller-konst</t>
  </si>
  <si>
    <t>fasadtvätt i malmö</t>
  </si>
  <si>
    <t>https://www.beautyboulevard.se/ingen-bradska-med-att-hitta-sitt-kall</t>
  </si>
  <si>
    <t>https://www.bergscykling.se/maxa-uthallighet-med-reishi</t>
  </si>
  <si>
    <t>https://www.spoors.health/</t>
  </si>
  <si>
    <t>lions mane svamp</t>
  </si>
  <si>
    <t>https://www.rightonblog.net/hur-mycket-tanker-du-pa-framtiden</t>
  </si>
  <si>
    <t>https://www.merinfo.se/foretag/Fair-Investments-Sweden-AB-5568169626/2k3576i-kqah</t>
  </si>
  <si>
    <t>https://www.streetnstrip.se/laga-bilen-i-stockholm</t>
  </si>
  <si>
    <t>bilverkstad tyresö</t>
  </si>
  <si>
    <t>studera till vårdbiträde på distans</t>
  </si>
  <si>
    <t>fasadtvätt i Malmö</t>
  </si>
  <si>
    <t>https://www.gymnasiade.com/fair-investments-vad-ar-det</t>
  </si>
  <si>
    <t xml:space="preserve">välja Fair investments </t>
  </si>
  <si>
    <t>etiskt investeringsbolag</t>
  </si>
  <si>
    <t>anlita auktoriserad bilverkstad i Stockholm</t>
  </si>
  <si>
    <t>https://www.gashaga.nu/hur-ser-ditt-dromhus-ut</t>
  </si>
  <si>
    <t>mäklare täby</t>
  </si>
  <si>
    <t>https://www.schmack.se/att-driva-foretag-i-sverige</t>
  </si>
  <si>
    <t>https://www.foyen.se</t>
  </si>
  <si>
    <t xml:space="preserve">Advokatbyrå </t>
  </si>
  <si>
    <t>https://www.theartofthepossible.net/molntjanster-fran-microsoft</t>
  </si>
  <si>
    <t>https://www.radio86.se/aven-en-liten-vattenlacka-kan-bli-ett-stort-problem</t>
  </si>
  <si>
    <t>ringa en rörmokare i Uppsala</t>
  </si>
  <si>
    <t>anlita en advokatbyrå</t>
  </si>
  <si>
    <t>https://www.artscreen.se/kontorsmaterial-aven-for-konstnarer</t>
  </si>
  <si>
    <t>rätt kontorsmaterial för din firma</t>
  </si>
  <si>
    <t>svenskaeljouren.se</t>
  </si>
  <si>
    <t>https://www.mynewsdesk.com/se/visibility-punktum-group/blog_posts/att-vaelja-raett-elektriker-i-stockholm-en-guide-foer-smarta-beslut-117093</t>
  </si>
  <si>
    <t>https://svenskaeljouren.se/elektriker-stockholm</t>
  </si>
  <si>
    <t>elektriker i Stockholm</t>
  </si>
  <si>
    <t>https://hemsidor24.se/artiklar/varlden-av-e-cigaretter-och-fordelarna-med-ett-startpaket/</t>
  </si>
  <si>
    <t>https://e-ciggbolaget.se/e-cigaretter/startpaket/?hr-page=%7B%22product_count%22%3A24%7D</t>
  </si>
  <si>
    <t>https://www.executiveeffect.se/framgangsrikt-fastighetskop-konsten-att-valja-ratt-fastighetsmaklare/</t>
  </si>
  <si>
    <t>mäklare i Danderyd</t>
  </si>
  <si>
    <t>https://www.annonsparken.se/nar-det-ar-dags-att-serva-bilen</t>
  </si>
  <si>
    <t xml:space="preserve">bilverkstad stockholm </t>
  </si>
  <si>
    <t>https://www.cattisb.se/vad-ar-vitt-snus-egentligen</t>
  </si>
  <si>
    <t>vitt snus</t>
  </si>
  <si>
    <t>https://www.lula.se/darfor-ar-led-battre</t>
  </si>
  <si>
    <t xml:space="preserve">ledlampor </t>
  </si>
  <si>
    <t>https://www.pingpongbarnklader.se/nya-horisonter</t>
  </si>
  <si>
    <t>distansinstitutet</t>
  </si>
  <si>
    <t>https://www.tarelugnt.se/ett-tandlakarbesok-att-minnas</t>
  </si>
  <si>
    <t xml:space="preserve">Tandläkare stockholm </t>
  </si>
  <si>
    <t>https://www.rambollnatura.se/sa-fungerar-en-vagbrytare</t>
  </si>
  <si>
    <t xml:space="preserve">Vågbrytare </t>
  </si>
  <si>
    <t>ekonomiskt att byta till ledlampor</t>
  </si>
  <si>
    <t>auktoriserad bilverkstad i Tyresö</t>
  </si>
  <si>
    <t>https://www.vont.se/vitt-snus</t>
  </si>
  <si>
    <t>vitt snus och tobaksfria snusprodukter:</t>
  </si>
  <si>
    <t>https://www.tronderjycken.se/</t>
  </si>
  <si>
    <t>pålitlig veterinär i Sundsvall</t>
  </si>
  <si>
    <t>cdg.io</t>
  </si>
  <si>
    <t>https://tomtechblog.com/your-smartphone-your-shield-how-to-strengthen-your-device-s-cybersecurity/</t>
  </si>
  <si>
    <t>https://www.cdg.io/services/virtual-ciso/</t>
  </si>
  <si>
    <t>cybersecurity</t>
  </si>
  <si>
    <t>https://www.commedica.com/varden-skriker-efter-folk</t>
  </si>
  <si>
    <t>https://www.dejavubok.se/sjalvforverkligande-genom-utbildning</t>
  </si>
  <si>
    <t>https://www.mirrorcube.se/sakra-roren-i-din-villa</t>
  </si>
  <si>
    <t xml:space="preserve">Relining [i] Stockholm </t>
  </si>
  <si>
    <t>gå en vårdbiträde utbildning</t>
  </si>
  <si>
    <t>Villa-relining i Stockholm</t>
  </si>
  <si>
    <t>https://www.northcountrysbdc.org/</t>
  </si>
  <si>
    <t>mens watches</t>
  </si>
  <si>
    <t>https://www.innovate4climate.ch/</t>
  </si>
  <si>
    <t>wärmepumpe versicherung</t>
  </si>
  <si>
    <t xml:space="preserve">See watches for men </t>
  </si>
  <si>
    <t>https://www.rightonblog.net/vape-istallet-for-en-cigarett</t>
  </si>
  <si>
    <t>https://www.beautyboulevard.se/ett-vackert-leende-ar-allt</t>
  </si>
  <si>
    <t>högkvalitativa tandimplantat i Stockholm</t>
  </si>
  <si>
    <t>https://ironmanmagazine.se/medicinsk-svamp-for-valmaendet</t>
  </si>
  <si>
    <t>watches for men at triwa.com</t>
  </si>
  <si>
    <t>använda en vape</t>
  </si>
  <si>
    <t>https://www.typisktsvenskt.se/</t>
  </si>
  <si>
    <t>https://www.schmack.se/gammal-ladugard-far-nytt-liv</t>
  </si>
  <si>
    <t xml:space="preserve">takläggning </t>
  </si>
  <si>
    <t>https://www.tarelugnt.se/ratt-maklare-gor-forsaljningen-till-en-barnlek</t>
  </si>
  <si>
    <t>utbildning till vårdbiträde</t>
  </si>
  <si>
    <t>https://www.artscreen.se/fa-nytt-liv-i-metaller</t>
  </si>
  <si>
    <t>Häxans Silverputs</t>
  </si>
  <si>
    <t>takläggning av proffs</t>
  </si>
  <si>
    <t>erfaren mäklare i Danderyd</t>
  </si>
  <si>
    <t>https://ingelaclarin.se/investera-hallbart-kanns-battre-i-sjalen</t>
  </si>
  <si>
    <t>https://www.entreprenorsjakten.se/</t>
  </si>
  <si>
    <t>https://ingelaclarin.se/studera-pedagogik-pa-distans</t>
  </si>
  <si>
    <t>https://www.annonsparken.se/forsakra-solcellerna</t>
  </si>
  <si>
    <t>https://www.radio86.se/tandvark-ar-inte-en-lek</t>
  </si>
  <si>
    <t>https://www.rambollnatura.se/ar-mina-pengar-sakra-pa-banken</t>
  </si>
  <si>
    <t>DORA</t>
  </si>
  <si>
    <t>https://www.uebermorgenmagazin.de/entspannen-ohne-zigaretten</t>
  </si>
  <si>
    <t>https://www.vont.co/de/nikotinpouches</t>
  </si>
  <si>
    <t>nikotinpouches</t>
  </si>
  <si>
    <t>https://www.xpublishing.se/kontorsrattor-ar-vi-allihopa</t>
  </si>
  <si>
    <t>försäkring av solceller</t>
  </si>
  <si>
    <t>https://lemontree.se/branscher/bank-finans-forsakring/dora/</t>
  </si>
  <si>
    <t>professionella tandläkare i Stockholm</t>
  </si>
  <si>
    <t>https://eciggshoppen.se/utforskning-av-vaping-en-djupdykning-i-varlden-av-e-cigaretter/</t>
  </si>
  <si>
    <t>https://e-ciggbolaget.se/?hr-page=%7B%22product_count%22%3A24%7D</t>
  </si>
  <si>
    <t>https://www.xocmusic.com/how-to-buy-an-authentic-vintage-designer-handbag-the-guide</t>
  </si>
  <si>
    <t>https://uppsalabostad.se/optimera-arbetsmiljon-vardet-av-effektiva-kontorsmaterial/</t>
  </si>
  <si>
    <t>https://www.animonhus.se/hur-koper-man-en-fastighet</t>
  </si>
  <si>
    <t>få bra hjälp med fastighetsjuridik av experter</t>
  </si>
  <si>
    <t>https://eventeffect.se/vad-du-bor-leta-efter-for-att-hitta-den-perfekta-tandlakaren/</t>
  </si>
  <si>
    <t xml:space="preserve">Besök Tandea </t>
  </si>
  <si>
    <t>Finansplassen.no</t>
  </si>
  <si>
    <t>https://xn--bodposten-n8a.no/er-det-lurt-a-lane-penger-i-2024/#google_vignette</t>
  </si>
  <si>
    <t>https://finansplassen.no/lan</t>
  </si>
  <si>
    <t>låne penger</t>
  </si>
  <si>
    <t>https://www.cattisb.se/viktigt-pa-riktigt</t>
  </si>
  <si>
    <t>https://www.tornedalia.se/privat-reningsverk-for-enskilda-avlopp</t>
  </si>
  <si>
    <t>studier till vårdbiträde</t>
  </si>
  <si>
    <t>https://www.dejavubok.se/tips-for-dig-med-dalig-ekonomi</t>
  </si>
  <si>
    <t>https://www.theartofthepossible.net/var-far-man-anvanda-vape</t>
  </si>
  <si>
    <t>Engångs vape</t>
  </si>
  <si>
    <t>https://www.executiveeffect.se/att-ha-tillgang-till-en-mangsidig-elektriker-i-stockholm/</t>
  </si>
  <si>
    <t>https://foraldraguiden.se/24-7-eljour-en-livraddare-i-noden/</t>
  </si>
  <si>
    <t>Svenska Eljouren</t>
  </si>
  <si>
    <t>rörmokare.nu</t>
  </si>
  <si>
    <t>https://eventeffect.se/den-oundgangliga-rollen-av-en-mangsidig-rormokare-for-ett-smidigt-hemliv/</t>
  </si>
  <si>
    <t>rorjour247.se</t>
  </si>
  <si>
    <t>https://www.saleseffect.se/den-moderna-rormokaren-en-expert-pa-alla-vvs-utmaningar/</t>
  </si>
  <si>
    <t>https://rorjour247.se/</t>
  </si>
  <si>
    <t>Här finns rörmokare i Stockholm.</t>
  </si>
  <si>
    <t>https://hemstart.se/att-ha-en-24-7-rorjour-en-livraddare-i-akuta-vvs-situationer/</t>
  </si>
  <si>
    <t>rekommenderas rorjour247.se</t>
  </si>
  <si>
    <t>https://havstomt.se/artiklar/mastare-av-rormokeri-i-stockholm/</t>
  </si>
  <si>
    <t>https://xn--rrmokare-n4a.nu/</t>
  </si>
  <si>
    <t xml:space="preserve">rörmokare i Stockholm </t>
  </si>
  <si>
    <t>https://www.mynewsdesk.com/se/visibility-punktum-group/blog_posts/engaangs-vapes-det-praktiska-alternativet-foer-enkel-aanga-117178</t>
  </si>
  <si>
    <t>https://e-ciggbolaget.se/e-cigaretter/engangs-vape/?hr-page=%7B%22product_count%22%3A24%7D</t>
  </si>
  <si>
    <t>engångs vape</t>
  </si>
  <si>
    <t>https://www.augustsurfcafe.se/3-yrken-med-enkel-utbildning</t>
  </si>
  <si>
    <t>https://www.imike.se/naturens-gava-for-halsan</t>
  </si>
  <si>
    <t>Medicinalsvampar som Chaga</t>
  </si>
  <si>
    <t>https://www.ideum.nu/</t>
  </si>
  <si>
    <t>CRM-verktyg</t>
  </si>
  <si>
    <t>https://www.albatrosssegel.se/</t>
  </si>
  <si>
    <t>https://www.fena.nu/</t>
  </si>
  <si>
    <t>bra mäklare i Danderyd</t>
  </si>
  <si>
    <t>https://reserrunt.se/panther-bar-en-djupdykning-i-engangsvapes-med-mesh-coil/</t>
  </si>
  <si>
    <t>https://e-ciggbolaget.se/e-cigaretter/engangs-vape/panther-bar/?hr-page=%7B%22product_count%22%3A24%7D</t>
  </si>
  <si>
    <t xml:space="preserve">Panther Bar </t>
  </si>
  <si>
    <t>https://roligaste.se/engangsvapes-och-utmaningen-med-atervinning/</t>
  </si>
  <si>
    <t>engångs vape hos E-Ciggbolaget</t>
  </si>
  <si>
    <t>https://www.lices.se/jag-ska-bli-vardbitrade</t>
  </si>
  <si>
    <t>https://www.tarelugnt.se/cbd-olja-for-halsa-och-valbefinnande</t>
  </si>
  <si>
    <r>
      <rPr>
        <u/>
        <sz val="11"/>
        <color rgb="FF000000"/>
        <rFont val="Arial"/>
        <family val="2"/>
      </rPr>
      <t xml:space="preserve">Hemplys </t>
    </r>
    <r>
      <rPr>
        <u/>
        <sz val="11"/>
        <color rgb="FF1155CC"/>
        <rFont val="Arial"/>
        <family val="2"/>
      </rPr>
      <t>cbd olja</t>
    </r>
  </si>
  <si>
    <t xml:space="preserve">Hempys CBD olja </t>
  </si>
  <si>
    <t>https://www.antigympa.nu/</t>
  </si>
  <si>
    <t>distansutbildning till vårdbiträde</t>
  </si>
  <si>
    <t>Häxans propplösare</t>
  </si>
  <si>
    <t>Stabila webbplatser med SRE</t>
  </si>
  <si>
    <t>engångs vapes från Vont</t>
  </si>
  <si>
    <t>https://www.pengenytt.no/naeringslivets-fremtid-og-din-privatokonomi-innsikt-fra-nhos-arskonferanse-2024/</t>
  </si>
  <si>
    <t>https://finansplassen.no/lan/forbrukslan/refinansiering</t>
  </si>
  <si>
    <t xml:space="preserve">Finansplassen </t>
  </si>
  <si>
    <t>Studera till vårdbiträde</t>
  </si>
  <si>
    <t xml:space="preserve">https://hoganassaluhall.se/pionjarer-inom-e-cigaretter-och-sveriges-basta-utbud/ </t>
  </si>
  <si>
    <t>https://e-ciggbolaget.se/e-cigaretter/?hr-page=%7B%22product_count%22%3A24%7D</t>
  </si>
  <si>
    <t>Sveriges bästa utbud av e-cigaretter</t>
  </si>
  <si>
    <t>https://mrfinans.com/remember-kredittkort/</t>
  </si>
  <si>
    <t>https://kalkulator.io/barnebidrag-kalkulator/</t>
  </si>
  <si>
    <t>https://alfa.no/collections/fritidssko-til-dame</t>
  </si>
  <si>
    <t>https://megarock.se/den-revolutionerande-varlden-av-engangsvapes/</t>
  </si>
  <si>
    <t>https://e-ciggbolaget.se/e-cigaretter/engangs-vape/aroma-king/?hr-page=%7B%22product_count%22%3A24%7D</t>
  </si>
  <si>
    <t>klicka här</t>
  </si>
  <si>
    <t>https://ultranordic.se/aroma-king-engangs-vape-en-djupdykning-i-enastaende-smak-och-prestanda/</t>
  </si>
  <si>
    <t xml:space="preserve">Aroma King </t>
  </si>
  <si>
    <t>https://mestrock.se/den-ultimata-engangsvape-upplevelsen/?utm_content=cmp-true</t>
  </si>
  <si>
    <t>https://e-ciggbolaget.se/e-cigaretter/engangs-vape/frunkbar-frozen-strawberry-engangs-vape/</t>
  </si>
  <si>
    <t>testa på Frunk Bar</t>
  </si>
  <si>
    <t>https://www.gashaga.nu/bygg-din-egen-brygga</t>
  </si>
  <si>
    <t xml:space="preserve">Pontonhamnar </t>
  </si>
  <si>
    <t>https://www.sydkoster.se/</t>
  </si>
  <si>
    <t>studera på distans på en vårdbiträdeutbildning</t>
  </si>
  <si>
    <t>kamux.fi</t>
  </si>
  <si>
    <t>https://uutisankka.com/uncategorized/kaytetyn-auton-myynti-toiselle-yksityishenkilolle-tai-liikkeeseen/</t>
  </si>
  <si>
    <t>Kamux.fi/</t>
  </si>
  <si>
    <t>FI</t>
  </si>
  <si>
    <t>Ostetaan autoja</t>
  </si>
  <si>
    <t>https://digijuorut.fi/sekalaista/den-sista-resa-viimeinen-matka-dokumenttielokuvassa-ajetaan-autolla-ja-pohditaan-elaman-tarkoitusta/</t>
  </si>
  <si>
    <t xml:space="preserve">Pontoner </t>
  </si>
  <si>
    <t>https://www.bipolarsjuk.se/sag-hejda-till-rokningen</t>
  </si>
  <si>
    <t>https://savethefuture.se/frunk-bar-frozen-strawberry-ar-en-engangs-vape-enhet-som-presenterar-en-spannande-och-fruktig-twist-till-den-vaxande-varlden-av-e-cigaretter/</t>
  </si>
  <si>
    <t xml:space="preserve">Frunk Bar </t>
  </si>
  <si>
    <t>https://topplistor.nu/upptack-vaping-en-fargglad-resa-genom-varlden-av-angor/</t>
  </si>
  <si>
    <t>här handlar vi engångsvapes</t>
  </si>
  <si>
    <t>https://www.kiropraktoreklund.com/</t>
  </si>
  <si>
    <t>vårdbiträde utbildning här</t>
  </si>
  <si>
    <t xml:space="preserve">https://xn--malmcloud-37a.se/vaporesso-innovativ-ledande-inom-utvecklingen-av-e-cigaretter/ </t>
  </si>
  <si>
    <t>https://e-ciggbolaget.se/vaporesso/?hr-page=%7B%22product_count%22%3A24%7D</t>
  </si>
  <si>
    <t xml:space="preserve">VAPORESSO </t>
  </si>
  <si>
    <t>https://statens-dataforum.no/2024/02/03/hvordan-vaske-hvite-sko/</t>
  </si>
  <si>
    <t>https://www.alfa.no/collections/skisko-til-herre</t>
  </si>
  <si>
    <t>skisko herre</t>
  </si>
  <si>
    <t>https://www.forfattarcentrum.nu/distansstudier-oppnar-nya-dorrar</t>
  </si>
  <si>
    <t xml:space="preserve">Tips om dessa </t>
  </si>
  <si>
    <t>https://drycker.nu/mech-coils-och-deras-roll-i-en-tillfredsstallande-vapingupplevelse/</t>
  </si>
  <si>
    <t xml:space="preserve">testa Panther Bar </t>
  </si>
  <si>
    <t>https://hittafestlokal.se/voom-bars-hogteknologiska-nyanserade-vapingupplevelse/</t>
  </si>
  <si>
    <t>https://e-ciggbolaget.se/e-cigaretter/pod-system/pod-kit/voom-bar-engangs-e-cigarett/</t>
  </si>
  <si>
    <t xml:space="preserve">VOOM BAR </t>
  </si>
  <si>
    <t>https://www.northgrid.se/att-bo-och-studera-i-norr</t>
  </si>
  <si>
    <t>Blogg</t>
  </si>
  <si>
    <t>https://moveitmama.se/vad-gor-en-socialpedagog</t>
  </si>
  <si>
    <t>läsa till socialpedagog via distans</t>
  </si>
  <si>
    <t>https://www.xpublishing.se/sa-sparar-du-till-dina-barn</t>
  </si>
  <si>
    <t>långsiktigt och tryggt sparande hos investmentbolag</t>
  </si>
  <si>
    <t>https://www.mer-trafik.se/automatisera-mjukvarutest</t>
  </si>
  <si>
    <t>nordenhydralic.se</t>
  </si>
  <si>
    <t>https://www.racestuff.se/sa-byter-du-hydraulslang-sakert</t>
  </si>
  <si>
    <t>https://nordenhydraulic.se/ledningskomponenter/slang-ledningskomponenter/hydraulslang/</t>
  </si>
  <si>
    <t>byta ut hydraulslang</t>
  </si>
  <si>
    <t>https://www.rambollnatura.se/</t>
  </si>
  <si>
    <t>https://www.faonorden.se/</t>
  </si>
  <si>
    <t>Försäkring av solceller</t>
  </si>
  <si>
    <t>https://www.bipolarsjuk.se/vem-kan-bli-vardbitrade</t>
  </si>
  <si>
    <t>så kan du välja en vårdbiträdeutbildning</t>
  </si>
  <si>
    <t>https://www.dombacksmark.se/sa-ofta-ska-du-putsa-fonster</t>
  </si>
  <si>
    <t>https://haxan.se/blogs/news/putsa-fonster-som-proffs</t>
  </si>
  <si>
    <t>MS</t>
  </si>
  <si>
    <t>putsa fönster</t>
  </si>
  <si>
    <t>https://www.morebyggen.se/</t>
  </si>
  <si>
    <t>Vänd dig till mäklare i Danderyd</t>
  </si>
  <si>
    <t>https://www.forweb.se/maste-reklamen-vara-sann</t>
  </si>
  <si>
    <t>https://www.northgrid.se/fonsterbyte-ar-en-investering-pa-flera-satt</t>
  </si>
  <si>
    <t>proffs på fönster</t>
  </si>
  <si>
    <t>Alfa.se</t>
  </si>
  <si>
    <t>https://www.mynewsdesk.com/se/visibility-punktum-group/blog_posts/fritidsskor-foer-herr-en-guide-till-stil-och-komfort-117309</t>
  </si>
  <si>
    <t>https://alfaoutdoor.se/collections/fritidsskor-herr</t>
  </si>
  <si>
    <t>fritidsskor för herr</t>
  </si>
  <si>
    <t>https://www.mabattre.nu/</t>
  </si>
  <si>
    <t>må bättre av att gå över till vitt snus</t>
  </si>
  <si>
    <t>https://hunch.se/forhojt-valmaende-med-cbd-olja</t>
  </si>
  <si>
    <t>hemply balance cbd olja</t>
  </si>
  <si>
    <t>https://www.animonhus.se/har-du-en-tomt-intill-vattnet</t>
  </si>
  <si>
    <t>pontechmarina.com</t>
  </si>
  <si>
    <t>https://www.netref.net/smart-hantering-av-it-och-molntjanster-fran-microsoft</t>
  </si>
  <si>
    <t>https://www.in2site.se/</t>
  </si>
  <si>
    <t>kontorsmaterial och allt du behöver till kontoret</t>
  </si>
  <si>
    <t xml:space="preserve">Concleans minireningsverk  </t>
  </si>
  <si>
    <t>https://matchbook.nu/investera-i-din-framtid</t>
  </si>
  <si>
    <t>utbilda dig till vårdbiträde</t>
  </si>
  <si>
    <t>byta tak</t>
  </si>
  <si>
    <t>https://www.konstframjandet.org/</t>
  </si>
  <si>
    <t xml:space="preserve">fantastisk tandläkare på södermalm </t>
  </si>
  <si>
    <t>https://www.theartofthepossible.net/investera-etiskt-och-hallbart</t>
  </si>
  <si>
    <t>https://fairinvestments.se/in-english/</t>
  </si>
  <si>
    <t xml:space="preserve">investeringsbolaget Fair Investments </t>
  </si>
  <si>
    <t>https://www.f17-flygdag2014.se/varlden-fran-ovan</t>
  </si>
  <si>
    <r>
      <rPr>
        <sz val="10"/>
        <color theme="1"/>
        <rFont val="Arial"/>
        <family val="2"/>
      </rPr>
      <t xml:space="preserve">webbplatsen </t>
    </r>
    <r>
      <rPr>
        <sz val="10"/>
        <color rgb="FF000000"/>
        <rFont val="Arial"/>
        <family val="2"/>
      </rPr>
      <t>pontonhamnar.se</t>
    </r>
  </si>
  <si>
    <t>https://www.jujutsu2018.se/</t>
  </si>
  <si>
    <t>https://www.spoors.health/product-page/organic-nordic-lions-mane</t>
  </si>
  <si>
    <t>lion's mane hos spoors.health</t>
  </si>
  <si>
    <t>https://www.webwill.se/gor-det-mesta-av-livet-medan-du-har-det</t>
  </si>
  <si>
    <t>https://downloadcentral.no/news/l%C3%A5ne-penger-en-veiledning-til-%C3%A5-navigere-i-l%C3%A5nemarkedet/1048</t>
  </si>
  <si>
    <t xml:space="preserve">Låne Pengar </t>
  </si>
  <si>
    <t>https://www.plus46fashion.se/leendet-ar-din-viktigaste-accessoar</t>
  </si>
  <si>
    <t xml:space="preserve">ledande tandläkare i stockholm </t>
  </si>
  <si>
    <t>https://www.ungkompensation.se/</t>
  </si>
  <si>
    <t>distansinstitutet.se distansutbildningar</t>
  </si>
  <si>
    <t>https://www.sitartmag.com/danderyd-en-juvel-pa-fastighetsmarknaden</t>
  </si>
  <si>
    <t>bästa mäklaren i Danderyd</t>
  </si>
  <si>
    <t>https://www.favorreklambyra.se/smarta-investeringar</t>
  </si>
  <si>
    <t>https://www.realtid.se/investeringsnatverk-hjalper-la-reine-mannens-solcellsbolag/</t>
  </si>
  <si>
    <t>Opportun Capital</t>
  </si>
  <si>
    <t>https://www.modern-myths.com/why-retro-watches-are-a-perfect-fashion-accessory</t>
  </si>
  <si>
    <t>https://www.oekobau-ruhrgebiet.de/warmepumpen-im-alltag</t>
  </si>
  <si>
    <t>https://arctic.se/nibe-warmepumpe-versicherung/</t>
  </si>
  <si>
    <t>https://www.ljusarkitektur.se/</t>
  </si>
  <si>
    <t>ledlist</t>
  </si>
  <si>
    <t>https://www.northgrid.se/bygga-pool-i-norrland</t>
  </si>
  <si>
    <t>en riktig swimming pool hemma</t>
  </si>
  <si>
    <t>https://www.skogkattklubbenbirka.se/djur-far-illa-av-cigarettrok</t>
  </si>
  <si>
    <t>olika typer av Vape</t>
  </si>
  <si>
    <t>https://ironmanmagazine.se/du-behovs-inom-varden</t>
  </si>
  <si>
    <t>https://www.favorreklambyra.se/vad-innebar-crm</t>
  </si>
  <si>
    <t>https://notyfile.se/sv/</t>
  </si>
  <si>
    <t>rätt crm-verktyg</t>
  </si>
  <si>
    <t>https://www.augustsurfcafe.se/klotter-ar-sa-onodigt</t>
  </si>
  <si>
    <t>företag som utför fasadtvätt i Malmö</t>
  </si>
  <si>
    <t>https://www.innovationskontorett.se/</t>
  </si>
  <si>
    <t>Logo</t>
  </si>
  <si>
    <t>https://www.hookedonnature.se/</t>
  </si>
  <si>
    <t>DORA, regelverket som stärker den finansiella sektorns motståndskraft</t>
  </si>
  <si>
    <t>https://www.cattisb.se/sa-lindrar-du-knasmartan</t>
  </si>
  <si>
    <t>knäskydd som stabiliserar och avlastar</t>
  </si>
  <si>
    <t>https://www.sveafaktura.se/tre-satt-att-fa-dina-pengar-att-vaxa</t>
  </si>
  <si>
    <t>https://www.prestacreator.com/why-you-need-an-open-source-solution-for-your-online-store</t>
  </si>
  <si>
    <t>solar-powered watches</t>
  </si>
  <si>
    <t>https://www.stromfestival.de/feiern-und-geniessen</t>
  </si>
  <si>
    <t>https://www.omkull.se/vardyrket-behover-fler</t>
  </si>
  <si>
    <t>gå en vårdbiträde-utbildning</t>
  </si>
  <si>
    <t>https://www.positivlaktarkultur.se/investera-eller-spara</t>
  </si>
  <si>
    <t>https://www.di.se/brandstudio/fair-investments/fair-investments-vi-tar-bara-betalt-for-verkliga-resultat-det-tjanar-alla-pa/</t>
  </si>
  <si>
    <t>läsa mer om Fair Investments</t>
  </si>
  <si>
    <t>https://ibmetall.se/</t>
  </si>
  <si>
    <t>https://www.inmygarden.se/radda-ditt-gamla-avlopp</t>
  </si>
  <si>
    <t>företag som utför relining i Stockholm</t>
  </si>
  <si>
    <t>https://ingelaclarin.se/tankar-kring-tobak</t>
  </si>
  <si>
    <t>att använda tobaksfritt snus</t>
  </si>
  <si>
    <t>https://nestebank.no/igambling/refinansiering-nokkelen-til-bedre-okonomisk-frihet/</t>
  </si>
  <si>
    <t>Refinansiering</t>
  </si>
  <si>
    <t>https://www.illervanner.se/5-sommarjobb-som-kan-bli-en-karriar</t>
  </si>
  <si>
    <t>gå en utbildning till vårdbiträde</t>
  </si>
  <si>
    <t>https://www.bodhi.se/bikarbonat-5-husmorstips-du-behover</t>
  </si>
  <si>
    <t>https://www.tivedshandel.se/</t>
  </si>
  <si>
    <r>
      <rPr>
        <sz val="10"/>
        <color rgb="FF000000"/>
        <rFont val="Arial"/>
        <family val="2"/>
      </rPr>
      <t xml:space="preserve">Hemplys </t>
    </r>
    <r>
      <rPr>
        <sz val="10"/>
        <color rgb="FF000000"/>
        <rFont val="Arial"/>
        <family val="2"/>
      </rPr>
      <t>cbd olja</t>
    </r>
  </si>
  <si>
    <t>https://www.slbk.se/</t>
  </si>
  <si>
    <t>https://moveitmama.se/dags-att-sluta-roka</t>
  </si>
  <si>
    <t>cannabislight.se</t>
  </si>
  <si>
    <t>https://eventeffect.se/en-djupdykning-i-cbd-cbg-och-cbn-oljor-skillnader-och-anvandningsomraden/</t>
  </si>
  <si>
    <t>https://cannabislight.se/</t>
  </si>
  <si>
    <t>https://www.saleseffect.se/prisvard-cb</t>
  </si>
  <si>
    <t>https://cannabislight.se/kategori/cbd-olja-extrakt/</t>
  </si>
  <si>
    <t>glitnor.com</t>
  </si>
  <si>
    <t>https://canadanewsmedia.ca/the-booming-business-of-online-casinos-a-look-at-current-trends/</t>
  </si>
  <si>
    <t>https://luckycasino.com/en/</t>
  </si>
  <si>
    <t>CA</t>
  </si>
  <si>
    <t>https://www.tidernaslandskap.se/en-nystart-vid-40</t>
  </si>
  <si>
    <t>man kan läsa en vårdbiträdeutbildning online</t>
  </si>
  <si>
    <t>https://www.commedica.com/kapitalforvaltning-vad-ar-det</t>
  </si>
  <si>
    <t>kapitalförvaltning</t>
  </si>
  <si>
    <t>https://www.klintabykrog.se/</t>
  </si>
  <si>
    <t>mäklare i Täby för bra boende</t>
  </si>
  <si>
    <t>vårdbiträde utbildning på distans</t>
  </si>
  <si>
    <t>https://www.illervanner.se/aldrig-for-sent-att-borja-spara</t>
  </si>
  <si>
    <t xml:space="preserve">https://galamagazine.se/aroma-king-den-ultimata-engangsvapen-med-en-varld-av-smak/ </t>
  </si>
  <si>
    <t xml:space="preserve">https://agentinteractive.se/en-djupdykning-i-vapes-aterfyllbara-eller-engangsvapes/ </t>
  </si>
  <si>
    <t>e-cigaretter</t>
  </si>
  <si>
    <t xml:space="preserve">https://grimetonradio.se/voom-bar-den-innovativa-engangsvapen-med-cotton-coil/ </t>
  </si>
  <si>
    <t>VOOM Bar</t>
  </si>
  <si>
    <t xml:space="preserve">https://signalnoi.se/voom-bar-den-ultimata-engangsvapen-med-elegans-och-variation/ </t>
  </si>
  <si>
    <t xml:space="preserve">VOOM Bar </t>
  </si>
  <si>
    <t>https://www.tnp.no/norsk/oppdag-fjellets-skatter-med-alfa-no-en-guide-til-kvalitetssko-og-eksepsjonell-kundeservice/</t>
  </si>
  <si>
    <t>Her har Alfa.no</t>
  </si>
  <si>
    <t>https://www.pelikaista.fi/artikkeli/hauskoja-peleja-tien-paalla/</t>
  </si>
  <si>
    <t>https://luckycasino.com/fi/games-lobby/live_roulette</t>
  </si>
  <si>
    <t>hauskat pelit LuckyCasinolla</t>
  </si>
  <si>
    <t>https://www.varldenshaftigaste.se/artiklar/den-ultimata-guiden-till-roliga-spel-online-upptack-en-varld-av-underhallning/</t>
  </si>
  <si>
    <t>https://happycasino.se/casino</t>
  </si>
  <si>
    <t>roliga spel online</t>
  </si>
  <si>
    <t>https://www.puskaradio.net/opas-online-vaarojen-valttamiseen.php</t>
  </si>
  <si>
    <t>https://luckycasino.com/fi/</t>
  </si>
  <si>
    <t>Nauti Luckycasinon online-kasinopeleistä</t>
  </si>
  <si>
    <t>https://hazard.se/casino/levande-spanning-en-djupdykning-i-varlden-av-live-casino-spel-online/</t>
  </si>
  <si>
    <t>https://happycasino.se/live</t>
  </si>
  <si>
    <t xml:space="preserve">Live casinospel online </t>
  </si>
  <si>
    <t>https://fredrik-eriksson.se/digital-underhallning-med-online-kasinon/</t>
  </si>
  <si>
    <t xml:space="preserve">luckycasino.com/sv/ </t>
  </si>
  <si>
    <t>luckycasino.com/sv/</t>
  </si>
  <si>
    <t>https://www.fordonfinans.se/maximera-din-online-casino-upplevelse-sa-har-far-du-mer-for-dina-pengar.html</t>
  </si>
  <si>
    <t>https://luckycasino.com/sv/double-up</t>
  </si>
  <si>
    <t>Missa inte LuckyCasinos erbjudanden</t>
  </si>
  <si>
    <t>https://elokuvamaailma.net/tutustu-online-kasinoiden-viihdetta-tarjoavaan-maailmaan/</t>
  </si>
  <si>
    <t>LuckyCasinolla on paljon tarjottavaa</t>
  </si>
  <si>
    <t>https://wartsila-osake.fi/tutustu-online-kasinon-maailmaan-tarjoukset-ja-bonukset-parantavat-kokemustasi/</t>
  </si>
  <si>
    <t>https://everydaytourist.ca/globe-trekking-international-travel/5haj5shfrusxawxk4fjpq4yj9rx0bt</t>
  </si>
  <si>
    <t>https://www.skogshojdspa.se/</t>
  </si>
  <si>
    <t>skaffa tandimplantat i stockholm</t>
  </si>
  <si>
    <t>https://www.dejavubok.se/en-ode-till-kontorsmaterial</t>
  </si>
  <si>
    <t>https://www.schmack.se/den-ultimata-vapen</t>
  </si>
  <si>
    <t>engångsvapen Vont To Go</t>
  </si>
  <si>
    <t>https://ranaposten.no/refinansiering-av-forbrukslan/</t>
  </si>
  <si>
    <t>refinansiering</t>
  </si>
  <si>
    <t>https://www.omkull.se/ar-solceller-en-smart-investering-i-sverige</t>
  </si>
  <si>
    <t>försäkringar för solcellsanläggningar</t>
  </si>
  <si>
    <t>https://movingimagesmalmo.se/en-karriar-med-mening</t>
  </si>
  <si>
    <t>spana in denna vårdbiträdeutbildning</t>
  </si>
  <si>
    <t>https://www.rambollnatura.se/blufforetag-och-investering-navigera-ratt-i-det-ekonomiska-landskapet</t>
  </si>
  <si>
    <t>https://www.privataaffarer.se/alla-nyheter/nyheter/35-nya-bluffbolag-i-oktober-pa-fis-varningslista/</t>
  </si>
  <si>
    <t>investeringsbolag som Opportun Kapital</t>
  </si>
  <si>
    <t>https://moveitmama.se/investeringar-for-framtiden</t>
  </si>
  <si>
    <t>https://fairinvestments.se/finansiell-information/</t>
  </si>
  <si>
    <t>Fair Investments finansiella information</t>
  </si>
  <si>
    <t>https://ironmanmagazine.se/stark-kroppen-genom-arbete-lektioner-fran-taklaggare</t>
  </si>
  <si>
    <t>kompetenta takläggare</t>
  </si>
  <si>
    <t>https://www.foodiebag.se/</t>
  </si>
  <si>
    <t>Mariatand på Södermalm i Stockholm</t>
  </si>
  <si>
    <t>https://jesperlandberg.se/navigera-tryggt-uppe-i-molnen</t>
  </si>
  <si>
    <t>https://meetingroom.se/</t>
  </si>
  <si>
    <t>högkvalitativt kontorsmaterial från Swedoffice</t>
  </si>
  <si>
    <t>https://www.hotelnice.se/losningen-bortom-det-kommunala-avloppsnatet</t>
  </si>
  <si>
    <t xml:space="preserve">pålitlig leverantör av minireningsverk </t>
  </si>
  <si>
    <t>https://www.simmasverige.se/dyk-in-i-nya-mojligheter</t>
  </si>
  <si>
    <t>https://www.augustsurfcafe.se/surfing-i-sverige</t>
  </si>
  <si>
    <t>https://www.cattisb.se/bygg-din-morgondag</t>
  </si>
  <si>
    <t>investera i globala vinnare</t>
  </si>
  <si>
    <t>https://www.torontomike.com/2024/01/why-online-casinos-and-sports-betting-is-becoming-more-popular-than-ever/</t>
  </si>
  <si>
    <t xml:space="preserve">Luckycasino.com/en/ </t>
  </si>
  <si>
    <t>https://www.cualestuhuella.cl/noticia/otras-noticias/2024/02/guia-apasionados-casinos-apuestas-deportivas</t>
  </si>
  <si>
    <t>https://cl.luckycasino.com/es/live</t>
  </si>
  <si>
    <t>Chile</t>
  </si>
  <si>
    <t>juegos de casino en vivo de Luckycasino</t>
  </si>
  <si>
    <t xml:space="preserve">https://regionalista.cl/2024/02/el-auge-de-los-casinos-en-linea-perspectivas-y-desafios-en-chile-y-el-mundo/ </t>
  </si>
  <si>
    <t>https://cl.luckycasino.com/es/</t>
  </si>
  <si>
    <t>Obtén más información sobre Luckycasino aquí</t>
  </si>
  <si>
    <t>https://koordinater.se/artiklar/happycasino-erbjuder-smidig-och-spannande-spelunderhallning-online.aspx</t>
  </si>
  <si>
    <t>https://happycasino.se/</t>
  </si>
  <si>
    <t>HappyCasino: ett online casino</t>
  </si>
  <si>
    <t>https://ekonomistart.se/de-basta-och-mest-populara-casinospelen-i-onlinecasinon/</t>
  </si>
  <si>
    <t>https://luckycasino.com/sv/games-lobby/mostPopular</t>
  </si>
  <si>
    <t>de mest populära casinospelen på LuckyCasino</t>
  </si>
  <si>
    <t>https://www.lfc.se/nyheter/56126/balansgangen-mellan-underhallning-och-ansvarsfullt-spelande-i-casinospel</t>
  </si>
  <si>
    <t xml:space="preserve">casinospel online </t>
  </si>
  <si>
    <t>https://nyheteridag.se/spelklubben-det-nya-paradigmetfor-online-casinon-i-sverige/</t>
  </si>
  <si>
    <t>Spelklubben.se</t>
  </si>
  <si>
    <t>https://ledarsidorna.se/spelklubben-revolutionerande-kundtjanst-i-online-casino-varlden/</t>
  </si>
  <si>
    <t>https://www.reporteminero.cl/noticia/otras-noticias/2024/02/mejor-experiencia-casino-casa</t>
  </si>
  <si>
    <t xml:space="preserve">https://aksjeskole.com/norges-nye-autoritaere-kilde-til-finans-og-okonomi/ </t>
  </si>
  <si>
    <t>https://finansplassen.no/</t>
  </si>
  <si>
    <t>Finansplassen</t>
  </si>
  <si>
    <t>https://www.totallystockholm.se/det-nya-onlinecasinot-som-leder-vagen-till-spannande-underhallning/</t>
  </si>
  <si>
    <t>https://www.totallyorebro.se/uncategorized/valkommen-till-spelklubben-ditt-nya-hem-for-spanning-och-underhallning/</t>
  </si>
  <si>
    <t>http://nojesnytthelsingborg.se/2024/02/26/spelklubben-framtidens-onlinecasino-</t>
  </si>
  <si>
    <t>Nu lanseras Spelklubben</t>
  </si>
  <si>
    <t>https://www.djungeltrumman.se/spelklubben-ett-djarvt-steg-in-i-framtiden-for-svenska-onlinecasinon/</t>
  </si>
  <si>
    <t>https://www.kingsizemag.se/okategoriserat/spelklubben-det-nya-ansvarsfulla-online-casinot-i-sverige/</t>
  </si>
  <si>
    <t xml:space="preserve">nytt casino i Sverige </t>
  </si>
  <si>
    <t>https://www.totallydublin.ie/uncategorized/spelklubben-det-ansvarsfulla-onlinecasinot-for-framtiden/</t>
  </si>
  <si>
    <t xml:space="preserve">Spelklubben </t>
  </si>
  <si>
    <t>https://trondheim24.no/nyheter/et-dypdykk-i-alfa-nos-vinterskounivers/</t>
  </si>
  <si>
    <t>https://traningskort.se/e-ciggbolaget-se-revolutionerar-vapen-med-ett-bredare-utbud-av-engangsvapes/</t>
  </si>
  <si>
    <t>vi handlar engångsvapes här</t>
  </si>
  <si>
    <t>https://www.missseychelles.info/why-you-need-a-retro-belt-for-a-beauty-competition</t>
  </si>
  <si>
    <t>https://www.gadgetgirl.se/stopp-i-roren-inga-problem</t>
  </si>
  <si>
    <t>bra propplösare för att rensa ur rören</t>
  </si>
  <si>
    <t>medicinalsvampen chaga</t>
  </si>
  <si>
    <t>https://www.tomos.ch/motorradfahren-und-nikotin</t>
  </si>
  <si>
    <t>https://hemsidor24.se/artiklar/den-revolutionerande-gemenskapen-hos-spelklubben-ett-nytt-kapitel-inom-online-casinoindustrin/</t>
  </si>
  <si>
    <t>https://www.spelklubben.se/sv/live-casino</t>
  </si>
  <si>
    <t>besöka Spelklubben.se</t>
  </si>
  <si>
    <t>https://panncentralen.se/nyheter/spelklubben-det-nya-exklusiva-online-casinot-for-alla-och-allas-spelbehov/</t>
  </si>
  <si>
    <t>https://eventeffect.se/fair-investments-en-djupdykning-i-finansiell-forvaltning/</t>
  </si>
  <si>
    <t>https://www.moviezine.se/nyheter/sponsrat-en-djupdykning-i-online-casinots-foranderliga-landskap-slotsspelens-roll</t>
  </si>
  <si>
    <t>https://luckycasino.com/sv/games-lobby/slots</t>
  </si>
  <si>
    <t>casino</t>
  </si>
  <si>
    <t>https://www.totallystockholm.se/tandlakare-i-stockholm-en-nyckelaktor-for-tandhalsa-i-huvudstaden/</t>
  </si>
  <si>
    <t>https://www.djungeltrumman.se/lyxen-av-underhallning-utforska-casinospelen-pa-happycasino/</t>
  </si>
  <si>
    <t>casinospel på HappyCasino</t>
  </si>
  <si>
    <t>https://haligonia.ca/how-to-get-started-with-sports-betting-299167/</t>
  </si>
  <si>
    <t>https://luckycasino.com/en/sports#page=prelive</t>
  </si>
  <si>
    <t>sports betting at LuckyCasino Sport</t>
  </si>
  <si>
    <t>https://www.schmack.se/soker-du-jobb</t>
  </si>
  <si>
    <t>vårdbiträde utbildning</t>
  </si>
  <si>
    <t>https://www.webbhotellsrecensioner.se/hur-skiljer-sig-sre-fran-traditionell-systemadministration</t>
  </si>
  <si>
    <t>https://www.reinertsen.se/</t>
  </si>
  <si>
    <t>https://www.realtid.se/la-reinemannens-solcellsbolag-byter-skal/</t>
  </si>
  <si>
    <t>https://www.webwill.se/antligen-rokfri</t>
  </si>
  <si>
    <t>vape från Vont</t>
  </si>
  <si>
    <t>https://sipski.se/aroma-king-den-ultimataengangsvapen-for-en-smakfullupplevelse/</t>
  </si>
  <si>
    <t>Aroma King</t>
  </si>
  <si>
    <t>https://svenskasnapsvisor.se/frunk-bar-frozen-strawberry-vape-det-ultimata-valet-for-alla-vape-entusiaster/</t>
  </si>
  <si>
    <t>Testa på frunk bar</t>
  </si>
  <si>
    <t>https://uppsalabostad.se/panther-bar-den-allomfattande-engangsvape-upplevelsen/</t>
  </si>
  <si>
    <t>Testa Panther Bar</t>
  </si>
  <si>
    <t>https://ultranordic.se/panther-bar-en-djarv-nykomling-i-varlden-av-engangsvapes/</t>
  </si>
  <si>
    <t>https://www.lyckansapple.se/panther-bar-en-djarv-nykomling/</t>
  </si>
  <si>
    <t>https://e-ciggbolaget.se/e-cigaretter/engangs-vape/panther-bar</t>
  </si>
  <si>
    <t>https://no.moyens.net/netthandel/netthandel-i-norge-nar-nye-hoyder/</t>
  </si>
  <si>
    <t xml:space="preserve">vintersko damer </t>
  </si>
  <si>
    <t xml:space="preserve">https://karjal.fi/online-kasino-mukanasi-kaikkialla/ </t>
  </si>
  <si>
    <t>https://safedollar.fi/digitaalinen-vallankumous-online-kasinolla/</t>
  </si>
  <si>
    <t>Hauskat pelit Luckycasinolla</t>
  </si>
  <si>
    <t xml:space="preserve">https://diginyt.fi/syvallinen-tutkimus-online-kasinosta-ja-pelin-suosiosta/ </t>
  </si>
  <si>
    <t>hauskat pelit Luckycasinolla</t>
  </si>
  <si>
    <t>elavtaldirekt.se</t>
  </si>
  <si>
    <t>https://savethefuture.se/upptack-det-basta-elavtalet-for-dina-behov/</t>
  </si>
  <si>
    <t>https://elavtaldirekt.se/</t>
  </si>
  <si>
    <t>länk till rekommenderat elavtal</t>
  </si>
  <si>
    <t>kelleher-international</t>
  </si>
  <si>
    <t>https://www.itstimeforbusiness.com/the-business-dynamics-of-modern-matchmaking/</t>
  </si>
  <si>
    <t>https://kelleher-international.com/</t>
  </si>
  <si>
    <t>professional matchmaking service</t>
  </si>
  <si>
    <t>https://www.totallyorebro.se/uncategorized/luckycasino-en-djupdykning-i-online-spelandets-varld/</t>
  </si>
  <si>
    <t>https://luckycasino.com/sv/</t>
  </si>
  <si>
    <t>https://www.djungeltrumman.se/luckycasino-dar-klassiker-moter-innovation-i-online-casinospelvarlden/</t>
  </si>
  <si>
    <t>Läs mer om de roliga spelen på Luckycasino</t>
  </si>
  <si>
    <t xml:space="preserve">https://dfly.no/navigering-i-finansverdenen/ </t>
  </si>
  <si>
    <t>https://www.totallystockholm.se/luckycasino-utforska-spanningen-med-hog-volatilitet-i-online-slots/</t>
  </si>
  <si>
    <t>https://nordictimes.com/partner/maximera-produktiviteten-pa-arbetsplatsen/</t>
  </si>
  <si>
    <t>https://www.lfc.se/nyheter/56264/utforska-den-spannande-varlden-av-luckycasino</t>
  </si>
  <si>
    <t>Casinospel online</t>
  </si>
  <si>
    <t>https://www.moviezine.se/nyheter/annons-happy-casino</t>
  </si>
  <si>
    <t>https://savethefuture.se/cannabislight-sveriges-ledande-leverantor-av-cbd-produkter/</t>
  </si>
  <si>
    <t>https://s-automation.se/vikten-av-en-efterfragad-och-palitlig-rormokartjanst-i-stockholm/</t>
  </si>
  <si>
    <t>Besök Rörmokare.nu</t>
  </si>
  <si>
    <t xml:space="preserve"> https://lifehacking.se/naturligt-valbefinnande-med-sveriges-basta-cbd-produkter/</t>
  </si>
  <si>
    <t>Cannabislight.se</t>
  </si>
  <si>
    <t>https://podradio.nu/den-omistliga-betydelsen-av-online-casinon-med-breda-spelutbud/</t>
  </si>
  <si>
    <t xml:space="preserve">Läs mer om de roliga spelen på Luckycasino </t>
  </si>
  <si>
    <t>https://podradio.nu/tandlakare-i-stockholm-en-nyckelaktor-for-tandhalsa-i-huvudstaden/</t>
  </si>
  <si>
    <t>https://podradio.nu/utforska-vont-to-go-en-smakfull-resa-genom-fruktiga-engangsvapes/</t>
  </si>
  <si>
    <t>https://nyheteridag.se/utforska-en-varld-av-casinon-medhappycasino-smidighet-ochenkelhet-for-att-upptacka-nya-ochgamla-casinoklassiker/</t>
  </si>
  <si>
    <t>live casinospel online</t>
  </si>
  <si>
    <t>https://ledarsidorna.se/revolutionen-av-online-casinon/</t>
  </si>
  <si>
    <t>HappyCasino: ett online casino,</t>
  </si>
  <si>
    <t>https://www.radionordkapp.no/nyheter/26076/en-guide-til-lan-og-refinansiering/</t>
  </si>
  <si>
    <t xml:space="preserve">Refinansiering </t>
  </si>
  <si>
    <t>https://savethefuture.se/smidiga-och-effektiva-rormokare-i-stockholm-for-aldre-moderna-bostader/</t>
  </si>
  <si>
    <t>rörmokare i Stockholm</t>
  </si>
  <si>
    <t>https://www.casino-play.nu/olika-insattningsmetoder-pa-svenska-online-casinon/</t>
  </si>
  <si>
    <t>https://www.spelklubben.se/sv/casino</t>
  </si>
  <si>
    <t>Casino</t>
  </si>
  <si>
    <t>https://nhl-odds.nu/artiklar/forbattra-tittarupplevelsen-i-nhl-med-analyser/</t>
  </si>
  <si>
    <t>Visit Spelkubben here</t>
  </si>
  <si>
    <t>https://spelsidor.one/2024/03/19/att-lasa-motstandarens-kroppssprak-och-signaler-vid-casinospel/</t>
  </si>
  <si>
    <t>Live casino</t>
  </si>
  <si>
    <t>https://spelaonlinecasino.eu/nyheter/hur-teknologin-har-utvecklat-online-casinon-och-betting/</t>
  </si>
  <si>
    <t>Pick your favorite casino here</t>
  </si>
  <si>
    <t>https://svenska-spelare.se/nyheter/slots-online-utforska-de-senaste-trenderna-och-spelen/</t>
  </si>
  <si>
    <t>Nytt casino</t>
  </si>
  <si>
    <t>https://xn--ntcasinona-q5a.se/casino/fran-pionjarer-till-revolutionarer-aventyret-bakom-online-casinonas-framgang/</t>
  </si>
  <si>
    <t>We suggest this online casino</t>
  </si>
  <si>
    <t>https://xn--lnablanco-52a.se/nyheter/konsten-att-fatta-strategiska-ekonomiska-beslut/</t>
  </si>
  <si>
    <t>https://www.spelklubben.se/sv/live-casino/blackjack</t>
  </si>
  <si>
    <t>Black jack</t>
  </si>
  <si>
    <t>https://faktainfo.se/e-ciggbolaget-revolutionerar-e-cigarettindustrin-med-ett-oovertraffat-utbud/</t>
  </si>
  <si>
    <t>https://e-ciggbolaget.se/</t>
  </si>
  <si>
    <t xml:space="preserve">vape </t>
  </si>
  <si>
    <t>https://yearlymagazine.com/exploring-the-growing-trend-of-professional-matchmaking-services/</t>
  </si>
  <si>
    <t>A professional matchmaking service</t>
  </si>
  <si>
    <t>https://lundaluppen.se/engangsvapen-n-one-framtidens-e-cigarett/</t>
  </si>
  <si>
    <t>https://e-ciggbolaget.se/e-cigaretter/engangs-vape/n-one/</t>
  </si>
  <si>
    <t>N ONE</t>
  </si>
  <si>
    <t>https://citynavigator.se/frunk-bar-en-revolution-inom-engangs-e-cigaretter/</t>
  </si>
  <si>
    <t>https://e-ciggbolaget.se/e-cigaretter/engangs-vape/frunk-bar/</t>
  </si>
  <si>
    <t>https://www.xtremt.se/frunk-bar-ett-revolutionerande-inslag-inom-engangsvapearvarlden/</t>
  </si>
  <si>
    <t>Frunk Bar</t>
  </si>
  <si>
    <t>https://helaostrasmaland.se/introduktion-till-panther-bar-den-revolutionerande-engangsvapeupplevelsen/</t>
  </si>
  <si>
    <t>https://e-ciggbolaget.se/e-cigaretter/engangs-vape/panther-bar/</t>
  </si>
  <si>
    <t>https://energikungen.se/elavtaldirekt-din-guide-till-optimala-elavtal/</t>
  </si>
  <si>
    <t>jämföra elavtal</t>
  </si>
  <si>
    <t>https://traningskort.se/tandea-din-helhetslosning-for-tandvard-i-stockholm/</t>
  </si>
  <si>
    <t>tryggvi.se</t>
  </si>
  <si>
    <t>https://pengar.in/tryggvi-den-smarta-vagen-till-lan-med-creditsafe/</t>
  </si>
  <si>
    <t>https://tryggvi.se/lan-med-creditsafe/</t>
  </si>
  <si>
    <t>lån med Creditsafe</t>
  </si>
  <si>
    <t>https://faktainfo.se/fair-investments-forstklassiga-finansiella-losningar-for-alla/</t>
  </si>
  <si>
    <t>https://fashionablefit.net/det-nya-ansiktet-av-online-casinospel/</t>
  </si>
  <si>
    <t>nytt casino i Sverige</t>
  </si>
  <si>
    <t>https://thebrewery.se/voom-bar-den-ultimata-engangs-e-cigarett-erfarenheten/</t>
  </si>
  <si>
    <t>VOOM BAR</t>
  </si>
  <si>
    <t>https://havstomt.se/artiklar/det-nya-casinot-i-sverige/</t>
  </si>
  <si>
    <t>det nya casinot i Sverige</t>
  </si>
  <si>
    <t>https://hexweb.se/nu-lanseras-spelklubben/</t>
  </si>
  <si>
    <t>https://hervibor.no/finn-den-rette-jaktstovelen-en-guide-for-entusiaster/</t>
  </si>
  <si>
    <t>https://www.alfa.no/pages/hvilken-jaktstovel-skal-jeg-velge</t>
  </si>
  <si>
    <t xml:space="preserve">finne den riktige jaktstøvel </t>
  </si>
  <si>
    <t>https://kilander-racing.se/spelklubben-det-ledande-valet-for-online-spelunderhallning/</t>
  </si>
  <si>
    <t>https://megarock.se/spelklubben-det-nya-online-casinot/</t>
  </si>
  <si>
    <t>https://eventeffect.se/alfa-outdoors-herr-fritidsskor-upplev-kvalitet-komfort-mangsidighet/</t>
  </si>
  <si>
    <t>fritidsskor herr</t>
  </si>
  <si>
    <t>filippa-k.com/se/sv/</t>
  </si>
  <si>
    <t>https://foraldraguiden.se/filippa-k-ledande-inom-medveten-konsumtion/</t>
  </si>
  <si>
    <t>https://www.filippa-k.com/se/sv/dam/ready-to-wear/toppar</t>
  </si>
  <si>
    <t>toppar</t>
  </si>
  <si>
    <t>https://budgetbrollop.se/dammode-och-kostymer-for-kvinnor-en-tidlos-elegans/</t>
  </si>
  <si>
    <t>https://www.filippa-k.com/se/sv/dam/ready-to-wear/byxor</t>
  </si>
  <si>
    <t>kostymbyxor dam</t>
  </si>
  <si>
    <t>https://roligaste.se/valkommen-till-spelklubben/</t>
  </si>
  <si>
    <t xml:space="preserve">Besök Spelklubben.se </t>
  </si>
  <si>
    <t>awaio.com</t>
  </si>
  <si>
    <t>https://s-automation.se/revolutionen-for-arbetsplats-och-kontorslosningar-awaio/</t>
  </si>
  <si>
    <t>https://awaio.com/</t>
  </si>
  <si>
    <t>https://lifehacking.se/spelklubben-det-nya-onlinecasinot-som-forandrar-spelet/</t>
  </si>
  <si>
    <t>Besök Spelklubben.se</t>
  </si>
  <si>
    <t>https://husera.nu/spelklubben-det-nya-paradigmet-for-onlinecasinon/</t>
  </si>
  <si>
    <t>casino med Swish</t>
  </si>
  <si>
    <t>https://sipski.se/spelklubben-ditt-ultimata-mal-for-online-casinounderhallning/</t>
  </si>
  <si>
    <t>https://bredbandimobilen.se/spelklubben-dar-variation-moter-gemenskap/</t>
  </si>
  <si>
    <t>Besök Spelklubben</t>
  </si>
  <si>
    <t>https://irate-games.com/spelklubben-nya-horisonter/</t>
  </si>
  <si>
    <t xml:space="preserve">Spelklubben.se </t>
  </si>
  <si>
    <t>https://8d.se/spelklubben-nya-mattstocken/</t>
  </si>
  <si>
    <t>https://mestrock.se/upptack-spelklubben/</t>
  </si>
  <si>
    <t>Spelklubben</t>
  </si>
  <si>
    <t>https://www.totallyorebro.se/uncategorized/tryggvi-din-partner-for-forsakringsjamforelse/</t>
  </si>
  <si>
    <t>https://tryggvi.se/</t>
  </si>
  <si>
    <t>Tryggvi.se</t>
  </si>
  <si>
    <t>https://www.totallystockholm.se/att-hitta-det-basta-och-billigaste-elbolaget-genom-elavtaldirekt/</t>
  </si>
  <si>
    <t>https://elavtaldirekt.se/basta-elbolaget/</t>
  </si>
  <si>
    <t xml:space="preserve">bästa elbolaget </t>
  </si>
  <si>
    <t>https://distansinstitutet.se</t>
  </si>
  <si>
    <t>https://bygghuddinge.se/carpcon-din-fonsterexpert-for-ett-smidigt-fonsterbyte/</t>
  </si>
  <si>
    <t>https://renbyggbransch.nu/hvvs-uppsalas-ledande-rormokare-vvs-tjanster-for-hallbar-komfort/</t>
  </si>
  <si>
    <t>Rörmockare [i] Uppsala</t>
  </si>
  <si>
    <t>https://interiorforyou.se/hubinette-vvs-din-partner-for-effektivt-vvs-underhall-omsorg-i-uppsala/</t>
  </si>
  <si>
    <t xml:space="preserve">VVS &amp; rörmokare </t>
  </si>
  <si>
    <t>legendbygg.com</t>
  </si>
  <si>
    <t>https://bygghuddinge.se/legend-bygg-din-tillforlitliga-partner-for-byggprojekt-i-sundsvall/</t>
  </si>
  <si>
    <t>https://legendbygg.com/</t>
  </si>
  <si>
    <t>byggföretag</t>
  </si>
  <si>
    <t>qsundsvall.se</t>
  </si>
  <si>
    <t>https://p2catering.se/quality-hotel-sundsvall-deras-restaurang-q-bar-en-oas-for-mat-musik-gemenskap/</t>
  </si>
  <si>
    <t>http://qsundsvall.se/</t>
  </si>
  <si>
    <t xml:space="preserve">Restaurang [i] sundsvall </t>
  </si>
  <si>
    <t>https://xn--malmcloud-37a.se/awaio-revolutionerande-arbetsplatslosningar-for-det-hybrida-arbetssattet/</t>
  </si>
  <si>
    <t>https://dinlokalabokhandel.se/big-ben-stand-up-stockholms-standup-ikon/</t>
  </si>
  <si>
    <t xml:space="preserve">Stand up i stockholm </t>
  </si>
  <si>
    <t>https://gravnorrkoping.se/foyen-ledande-affarsjuridisk-advokatbyra-med-unik-spetskompetens/</t>
  </si>
  <si>
    <t>advokatbyrå i stockholm</t>
  </si>
  <si>
    <t>https://gravnorrkoping.se/stockholm-en-stad-av-tidlos-skonhet-modernitet/</t>
  </si>
  <si>
    <t>heteknik.se</t>
  </si>
  <si>
    <t>https://dinlokalabokhandel.se/he-teknik-skapare-av-oforglomliga-foretagsevent-i-visby/</t>
  </si>
  <si>
    <t>https://www.heteknik.se/</t>
  </si>
  <si>
    <t>företagsevent visby</t>
  </si>
  <si>
    <t>reveljens.se</t>
  </si>
  <si>
    <t>https://dinlokalabokhandel.se/att-ta-det-forsta-steget-mot-ett-korkort/</t>
  </si>
  <si>
    <t>https://reveljens.se/</t>
  </si>
  <si>
    <t>Trafikskola [i] östersund</t>
  </si>
  <si>
    <t>https://renbyggbransch.nu/lansforsakringar-fastighetsformedling-lansfast-i-nykoping-erbjuder-helhetstjanster-for-bade-kopare-saljare/</t>
  </si>
  <si>
    <t>rosapensionat.se</t>
  </si>
  <si>
    <t>https://lammetochbrodet.se/rosas-visbys-idylliska-tillflyktsort-for-lugna-retreater/</t>
  </si>
  <si>
    <t>https://rosaspensionat.se/</t>
  </si>
  <si>
    <t xml:space="preserve">hotell visby </t>
  </si>
  <si>
    <t>https://socialsummit17.se/mariatorgets-tandlakarmottagning-en-pilgrimsvandring-genom-sodermalms-tandvardshistoria/</t>
  </si>
  <si>
    <t>Tandläkare [på] södermalm</t>
  </si>
  <si>
    <t>m6bygg.se</t>
  </si>
  <si>
    <t>https://serviceteknikerkarlstad.se/m6-bygg-din-allomfattande-partner-for-bygg-renovering-i-stockholm/</t>
  </si>
  <si>
    <t>https://m6bygg.se/</t>
  </si>
  <si>
    <t>Byggfirma [i] Stockholm</t>
  </si>
  <si>
    <t>https://firmify.se/notyfile-det-ultimata-crm-verktyget-for-alla-typer-av-verksamheter/</t>
  </si>
  <si>
    <t>https://socialsummit17.se/pontech-innovativa-skapare-av-hallbara-skraddarsydda-flytbryggor/</t>
  </si>
  <si>
    <t>https://socialsummit17.se/pontonhamnar-en-djupdykning-i-trygghet-hallbarhet/</t>
  </si>
  <si>
    <t>https://tommytappar.se/tiotaks-taklaggare-fornyelse-av-tak-for-ekonomibyggnader-maskinhallar-jordbruksfastigheter-industrihallar/</t>
  </si>
  <si>
    <t>https://renbyggbransch.nu/tiotaks-solcellsinlaggningar-framtidens-energilosning/</t>
  </si>
  <si>
    <t>https://tiotak.se/plattak/plattak-med-solceller/</t>
  </si>
  <si>
    <t xml:space="preserve">Solceller </t>
  </si>
  <si>
    <t>https://renbyggbransch.nu/revolutionerande-rorrenovering-med-villarelining-framtidens-losningsleverantor/</t>
  </si>
  <si>
    <t>Relining [i] stockholm</t>
  </si>
  <si>
    <t>https://bygghuddinge.se/sundsvall-bergvarme-revolutionerande-uppvarmningslosningar-for-en-hallbar-framtid/</t>
  </si>
  <si>
    <t>Bergvärme [i] Sundsvall</t>
  </si>
  <si>
    <t>alvtorpet.se</t>
  </si>
  <si>
    <t>https://serviceteknikerkarlstad.se/alvtorpet-en-vagledande-forebild-inom-fastighetsforvaltning-trivsel-i-solleftea/</t>
  </si>
  <si>
    <t>https://www.alvtorpet.se/</t>
  </si>
  <si>
    <t>Lägenhet [i] Sollefteå</t>
  </si>
  <si>
    <t>https://bygghuddinge.se/alvtorpet-lagenheter-i-centrala-solleftea/</t>
  </si>
  <si>
    <t>Bostad [i] Sollefteå</t>
  </si>
  <si>
    <t>ttsab.nu</t>
  </si>
  <si>
    <t>https://serviceteknikerkarlstad.se/timra-teknik-service-ab-forstklassiga-bygglosningar-for-moderna-hem/</t>
  </si>
  <si>
    <t>https://ttsab.nu/bygg/</t>
  </si>
  <si>
    <t xml:space="preserve">Bygg </t>
  </si>
  <si>
    <t>https://www.konditorivimmerby.se/far-man-prata-om-toalettbesok</t>
  </si>
  <si>
    <t>Concleans minireningsverk</t>
  </si>
  <si>
    <t>https://www.polteknik.se/hur-lange-haller-solceller</t>
  </si>
  <si>
    <t>ha försäkring av solceller</t>
  </si>
  <si>
    <t>https://www.gislavednaringsliv.se/</t>
  </si>
  <si>
    <t>Rättvisa investeringar som är både hållbara och etiska brukar kallas Fair Investments</t>
  </si>
  <si>
    <t>https://darknsmart.se/utmarkt-kvalitativ-veterinarvard-i-sundsvall/</t>
  </si>
  <si>
    <t>veterinär [i] sundsvall</t>
  </si>
  <si>
    <t>https://serviceteknikerkarlstad.se/w3-ledande-inom-hallbar-elinstallation-solenergi/</t>
  </si>
  <si>
    <t>https://bygghuddinge.se/w3-ledande-inom-elinstallationer-solcellspaket-for-hemmet/</t>
  </si>
  <si>
    <t>http://w3elsolenergi.se</t>
  </si>
  <si>
    <t>Solenergi</t>
  </si>
  <si>
    <t>https://www.netuniversity.se/vem-kan-bli-maklare</t>
  </si>
  <si>
    <t>mäklarfirma i Täby</t>
  </si>
  <si>
    <t>https://www.ghali.se/kan-jag-ge-cbd-olja-till-hunden</t>
  </si>
  <si>
    <t>https://hedgehog.se/darfor-ska-barn-borsta-tanderna</t>
  </si>
  <si>
    <t>https://www.omkull.se/kretaivt-bygge-nar-bor-man-hjalp-av-experter</t>
  </si>
  <si>
    <t>https://m6bygg.se/totalentreprenad-stockholm/</t>
  </si>
  <si>
    <t>Totalentreprenad Stockholm</t>
  </si>
  <si>
    <t>https://www.plus46fashion.se/forverkliga-drommen-att-arbeta-med-inredning</t>
  </si>
  <si>
    <t>https://distansinstitutet.se/distansutbildningar/inredning/inredare/</t>
  </si>
  <si>
    <t>Inredare utbildning</t>
  </si>
  <si>
    <t>https://www.skyblues.se/smart-spel</t>
  </si>
  <si>
    <t>https://rabattkodsidan.se/nytt/happycasino-dar-spanning-och-lycka-mots-for-ultimat-underhallning/</t>
  </si>
  <si>
    <t>Casinospel på HappyCasino</t>
  </si>
  <si>
    <t>https://lchfklubben.se/forbattrad-munhalsa-med-lchf</t>
  </si>
  <si>
    <t>https://www.favorreklambyra.se/den-osynliga-hjalten-i-din-marknadsforingsstrategi</t>
  </si>
  <si>
    <t>https://www.norteam.se/tjanster/sakerhet</t>
  </si>
  <si>
    <t>It säkerhet</t>
  </si>
  <si>
    <t>https://www.totallyorebro.se/uncategorized/svenska-eljouren-ledande-pa-elinstallationer-eljour-i-sverige/</t>
  </si>
  <si>
    <t>https://svenskaeljouren.se/</t>
  </si>
  <si>
    <t>Läs mer om Fair Investments här</t>
  </si>
  <si>
    <t>https://www.totallystockholm.se/svenska-eljouren-ledande-inom-elektriska-losningar-i-hela-sverige/</t>
  </si>
  <si>
    <t>https://www.sistersinlaw.se/blog/2024/4/5/hur-man-klar-sig-for-ett-sommarbrollop</t>
  </si>
  <si>
    <t>https://bergen2017.no/norges-likestillingsutfordring-pa-arbeidsplassen/</t>
  </si>
  <si>
    <t>https://beasbokhylla.se/</t>
  </si>
  <si>
    <t>löneadministratör utbildning</t>
  </si>
  <si>
    <t>https://blogg.vett-och-etikett.com/svenskt-mode-en-vav-av-tradition-och-innovation/</t>
  </si>
  <si>
    <t>https://www.filippa-k.com/se/sv/dam/ready-to-wear/kavajer</t>
  </si>
  <si>
    <t>Kavaj dam</t>
  </si>
  <si>
    <t>https://megogmagen.no/velg-de-riktige-turstovlene-en-guide-for-alle-terreng/</t>
  </si>
  <si>
    <t>velge tursko</t>
  </si>
  <si>
    <t>https://www.naturfotomagasinet.se/vad-ar-gront-sparande</t>
  </si>
  <si>
    <t>Fair Investments kan hjälpa dig</t>
  </si>
  <si>
    <t>startmotor.se</t>
  </si>
  <si>
    <t>https://www.dombacksmark.se/byta-generator-pa-traktorn</t>
  </si>
  <si>
    <t>https://www.startmotor.se/kategori/generatorer</t>
  </si>
  <si>
    <t>att köpa generator på nätet</t>
  </si>
  <si>
    <t>https://emmylinneas.se/crm-revolutionen</t>
  </si>
  <si>
    <t>Notyfile</t>
  </si>
  <si>
    <t>https://quizy.se/luckycasino-det-ultimata-online-casinot/</t>
  </si>
  <si>
    <t>De mest populära casinospelen på LuckyCasino</t>
  </si>
  <si>
    <t>https://www.yogastudiostockholm.se/10-saker-maklare-sager-och-vad-det-betyder</t>
  </si>
  <si>
    <t>Länsfast i Täby</t>
  </si>
  <si>
    <t>https://www.inspiremethursday.com/the-right-clothes-can-boost-creativity</t>
  </si>
  <si>
    <t>https://aretrotale.com/en/</t>
  </si>
  <si>
    <t>https://www.dombacksmark.se/gora-verklig-skillnad-for-framtiden</t>
  </si>
  <si>
    <t>https://distansinstitutet.se/distansutbildningar/kommunikation/miljostrateg/</t>
  </si>
  <si>
    <t>distansutbildning till miljöstrateg</t>
  </si>
  <si>
    <t>https://www.safsenlogi.se/</t>
  </si>
  <si>
    <t>Mariatorgets Tandläkarmottagning som är experter på tandimplantat i Stockholm</t>
  </si>
  <si>
    <t>https://taxiterapeuterna.se/</t>
  </si>
  <si>
    <t>https://fairinvestments.se/investeringsfilosofi/forvaltning-pension/</t>
  </si>
  <si>
    <t>Spara till pensionen</t>
  </si>
  <si>
    <t>https://www.gbbb-berlin.com/</t>
  </si>
  <si>
    <t>Einweg E-Zigarette</t>
  </si>
  <si>
    <t>https://www.bestatter-netz.net/</t>
  </si>
  <si>
    <t>https://veganmage.se/veganism-och-tandhalsa</t>
  </si>
  <si>
    <t>Tandläkare i stockholm</t>
  </si>
  <si>
    <t>Fair Investments - ett fantastiskt investeringsbolag</t>
  </si>
  <si>
    <t>https://www.itstimeforbusiness.com/the-role-of-artificial-intelligence-in-personal-development/</t>
  </si>
  <si>
    <t xml:space="preserve">professional matchmaking service </t>
  </si>
  <si>
    <t>https://www.fotbollsvm.se/happycasino-ett-paradis-for-klassiska-slots-och-live-casino-nojen/</t>
  </si>
  <si>
    <t>HappyCasino.se</t>
  </si>
  <si>
    <t>https://www.campsite.se/artiklar/happycasino-fortrollande-underhallning-med-sakerhet/</t>
  </si>
  <si>
    <t>Roliga spel online</t>
  </si>
  <si>
    <t>https://www.konditorivimmerby.se/ar-det-farligt-att-vejpa-om-man-ar-gravid</t>
  </si>
  <si>
    <t>https://www.bokensframtid.se/man-kan-lasa-online-ocksa</t>
  </si>
  <si>
    <t>löneadministratör utbildning på distans</t>
  </si>
  <si>
    <t>https://www.pokerplay.se/recension-och-guide-till-spelklubben/</t>
  </si>
  <si>
    <t>nytt casino</t>
  </si>
  <si>
    <t>https://www.mtt-poker.com/spelklubbens-live-casino-en-guidad-resa/</t>
  </si>
  <si>
    <t>live casino</t>
  </si>
  <si>
    <t>https://www.smss.se/</t>
  </si>
  <si>
    <t>https://www.vaken.se/det-absolut-viktigaste-kontorsmaterialet/</t>
  </si>
  <si>
    <t>https://www.play-casino.se/spelklubben-din-guide-till-live-blackjack/</t>
  </si>
  <si>
    <t xml:space="preserve">blackjack </t>
  </si>
  <si>
    <t>https://www.kasino-bonus.nu/spelklubben-recension-och-guide/</t>
  </si>
  <si>
    <t>https://www.casino-bonusarna.se/nyheter/spelklubben-se-en-lysande-ny-stjarna-pa-spelhimlen/</t>
  </si>
  <si>
    <t>https://www.spela-roulette.se/nyheter/spelklubben-recension-av-casinot/</t>
  </si>
  <si>
    <t xml:space="preserve">casinospel </t>
  </si>
  <si>
    <t>https://bettasmart.se/casino/nya-svenska-casinon-2024-framtidens-spelupplevelser/</t>
  </si>
  <si>
    <t xml:space="preserve">nya svenska casino </t>
  </si>
  <si>
    <t>https://www.favorreklambyra.se/de-hetaste-yrkena-just-nu-spotlight-pa-upphandlare</t>
  </si>
  <si>
    <t>https://distansinstitutet.se/distansutbildningar/ekonomi/upphandlare/</t>
  </si>
  <si>
    <t>bli en framgångsrik upphandlare</t>
  </si>
  <si>
    <t>ett välrenommerat investmentbolag</t>
  </si>
  <si>
    <t>https://hunch.se/distansstudier-i-vuxen-alder-kanske-ska-man-bli-ekonomiassistent</t>
  </si>
  <si>
    <t>https://distansinstitutet.se/distansutbildningar/ekonomi/ekonomiassistent/</t>
  </si>
  <si>
    <t>ekonomiassistentutbildning på distans</t>
  </si>
  <si>
    <t>https://www.slaktforskarnashus.se/</t>
  </si>
  <si>
    <t>jag flyttade från Danderyd till Täby med hjälp av mäklarfirman Länsfastigheter</t>
  </si>
  <si>
    <t>https://www.vatterchallenge.se/</t>
  </si>
  <si>
    <t>investera med hjälp av Fair Investments</t>
  </si>
  <si>
    <t>https://www.memoryhou.se/historia-och-framtid-vi-maste-ta-hand-om-miljon-for-att-ha-en-chans</t>
  </si>
  <si>
    <t>miljöstrateg</t>
  </si>
  <si>
    <t>https://www.dejavubok.se/tander-i-litteraturen</t>
  </si>
  <si>
    <t>https://www.interiorguiden.se/ar-solceller-vart-att-satsa-pa</t>
  </si>
  <si>
    <t>investeringsnätverk som Opportun Capital</t>
  </si>
  <si>
    <t>https://canarsiecourier.com/the-evolution-of-social-interaction-in-the-digital-age/</t>
  </si>
  <si>
    <t>https://dinvilla.no/hvordan-sikre-det-beste-lanet-en-guide-til-smart-pengebruk/</t>
  </si>
  <si>
    <t>https://edgehyllie.se/carpcon-erbjuder-omfattande-hogkvalitativa-fonsterbytestjanster/</t>
  </si>
  <si>
    <t>https://edgehyllie.se/legend-bygg-en-pionjar-inom-byggindustrin/</t>
  </si>
  <si>
    <t>https://www.mynewsdesk.com/se/visibility-punktum-group/blog_posts/att-foerstaa-laanemarknaden-118475</t>
  </si>
  <si>
    <t>lån med creditsafe</t>
  </si>
  <si>
    <t>https://gutten.no/lan-og-renteokninger-nokkeloverveielser-for-du-tar-opp-lan/</t>
  </si>
  <si>
    <t>massagestockholm.se</t>
  </si>
  <si>
    <t>https://haronaglarspa.se/sthlm-physique-forstklassig-massage-i-hela-stockholm/</t>
  </si>
  <si>
    <t>https://massagestockholm.se/</t>
  </si>
  <si>
    <t>Massage [i] Stockholm</t>
  </si>
  <si>
    <t>https://socialsummit17.se/frunk-bar-varumarket-for-toppkvalitet-i-varlden-av-engangs-e-cigaretter/</t>
  </si>
  <si>
    <t>https://e-ciggbolaget.se/e-cigaretter/engangs-vape/frunk-bar</t>
  </si>
  <si>
    <t>Aaatak.se</t>
  </si>
  <si>
    <t>https://serviceteknikerkarlstad.se/aaa-tak-forstklassigt-skydd-mot-vader-vind-med-langvarig-prestanda/</t>
  </si>
  <si>
    <t>https://aaatak.se/</t>
  </si>
  <si>
    <t>papptak stockholm</t>
  </si>
  <si>
    <t>https://andreanorrman.se/stockholms-basta-standup-big-ben-standup/</t>
  </si>
  <si>
    <t>https://bygghuddinge.se/freckeus-fornyar-klassisk-arkitektur-for-en-ny-tid/</t>
  </si>
  <si>
    <t>https://xn--malmcloud-37a.se/he-teknik-skapare-av-oforglomliga-foretagsevent-i-visby/</t>
  </si>
  <si>
    <t>https://interiorforyou.se/lansfast-din-partner-i-bostadsaffarer/</t>
  </si>
  <si>
    <t>https://kamagraquees.nu/mariatorgets-tandlakarmottagning-forstklassiga-munhalsotjanster-pa-sodermalm/</t>
  </si>
  <si>
    <t>https://bygghuddinge.se/m6-bygg-kvalitetsorienterad-byggfirma-i-stockholm/</t>
  </si>
  <si>
    <t>https://secworks.se/revolutionerande-forsaljningshantering-notyfiles-intuitiva-crm-plattform/</t>
  </si>
  <si>
    <t>https://gravnorrkoping.se/pontech-ledande-inom-hallbara-skraddarsydda-flytbryggor/</t>
  </si>
  <si>
    <t>https://guldkorn.nu/spelklubben-revolutionen-av-svensk-online-spelunderhallning/</t>
  </si>
  <si>
    <t>https://www.mynewsdesk.com/se/visibility-punktum-group/blog_posts/kvinnors-skjortor-en-evig-stilikon-118489</t>
  </si>
  <si>
    <t>https://www.filippa-k.com/se/sv/dam/ready-to-wear/skjortor-blusar</t>
  </si>
  <si>
    <t>Vit skjorta dam</t>
  </si>
  <si>
    <t>https://www.anasayfa.se/fornybar-kraft-ar-vagen-att-ga</t>
  </si>
  <si>
    <t>Opportun Capital satsar på solceller</t>
  </si>
  <si>
    <t>https://www.mirrorcube.se/bli-inredare-las-pa-distans</t>
  </si>
  <si>
    <t>bli inredare via distansutbildning</t>
  </si>
  <si>
    <t>https://dejtingcoachen.se/spelklubben-det-nya-svenska-onlinecasinot-med-autentisk-casinokansla/</t>
  </si>
  <si>
    <t>https://festdrinken.se/spelklubben-det-nya-casinot-i-sverige-som-revolutionerar-online-spelvarlden/</t>
  </si>
  <si>
    <t>https://www.nancysfood.se/skapandet-av-minnen-samhorighet-spelklubben-revolutionerar-det-onlinecasino-varlden/</t>
  </si>
  <si>
    <t>https://internettricks.se/en-oas-av-variation-gemenskap-inom-online-spelvarlden-hos-spelklubben/</t>
  </si>
  <si>
    <t>besök Spelklubben</t>
  </si>
  <si>
    <t>https://herbalstore.se/spelklubben-revolutionen-av-trygga-snabba-transaktioner-i-online-casinovarlden/</t>
  </si>
  <si>
    <t>gordetmedrw.se</t>
  </si>
  <si>
    <t>https://bilarenan.se/gordetmedrw-din-ultimata-partner-for-bilvard/</t>
  </si>
  <si>
    <t>https://gordetmedrw.se/sv/page/bilvardskurs</t>
  </si>
  <si>
    <t>bilvårdsprodukter</t>
  </si>
  <si>
    <t>https://www.northgrid.se/tre-fordelar-med-cloudportal</t>
  </si>
  <si>
    <t>https://www.norteam.se/cloud-portal</t>
  </si>
  <si>
    <t>IT-system</t>
  </si>
  <si>
    <t>https://www.traslottet.se/flytbrygga-eller-fast-brygga</t>
  </si>
  <si>
    <t>pontoner under bryggan har många fördelar</t>
  </si>
  <si>
    <t>mrnicco.com</t>
  </si>
  <si>
    <t>https://wasila.ae/mr-nicco-pioneering-excellence-in-the-smokeless-tobacco-market/</t>
  </si>
  <si>
    <t>https://www.mrnicco.com/</t>
  </si>
  <si>
    <t>UE</t>
  </si>
  <si>
    <t>restate.se</t>
  </si>
  <si>
    <t>https://www.executiveeffect.se/hur-gar-det-till-nar-man-vill-ombilda-sin-hyresratt/</t>
  </si>
  <si>
    <t>https://restate.se/ombildning-till-bostadsratt/</t>
  </si>
  <si>
    <t>ombildning till bostadsrätt</t>
  </si>
  <si>
    <t>storgruppen.se</t>
  </si>
  <si>
    <t>https://eventeffect.se/farorna-med-asbest-en-tyst-hot-mot-halsa-och-sakerhet/</t>
  </si>
  <si>
    <t>https://storgruppen.se/asbestsanering/</t>
  </si>
  <si>
    <t>asbestsanering</t>
  </si>
  <si>
    <t>https://eventeffect.se/tryggvi-din-partner-i-jamforelse-av-forsakringar/</t>
  </si>
  <si>
    <t>jämför försäkringar</t>
  </si>
  <si>
    <t>https://www.commedica.com/behover-man-en-maklare</t>
  </si>
  <si>
    <t>en mäklare som Länsfast i Danderyd</t>
  </si>
  <si>
    <t>https://jimmys.se/quality-hotel-sundsvall-och-dess-oslagbara-restaurang-q-bar-den-naturliga-samlingsplatsen-for-mat-musik-manniskor/</t>
  </si>
  <si>
    <t>https://www.qsundsvall.se/restaurang/</t>
  </si>
  <si>
    <t>https://p2catering.se/rosas-hotell-i-visby-en-oas-av-historisk-charm-modern-elegans/</t>
  </si>
  <si>
    <t>https://edgehyllie.se/bergvarme-i-sundsvall-erbjuder-helhetslosningar-for-ren-vinst-miljovanlig-uppvarmning/</t>
  </si>
  <si>
    <t>Bergvärme Sundsvall</t>
  </si>
  <si>
    <t>https://gravnorrkoping.se/pontonhamnar-en-omfattande-analys-av-sakra-och-effektiva-flytbryggor-for-hamnar-och-marinor/</t>
  </si>
  <si>
    <t>https://interiorforyou.se/tiotak-erbjuder-helhetstjanster-for-takbyte-i-mellan-sodra-sverige/</t>
  </si>
  <si>
    <t>https://socialsummit17.se/tiotak-ledande-inom-solcellsinstallationer/</t>
  </si>
  <si>
    <t>https://edgehyllie.se/timra-teknik-service-ab-ttsab-byggnadstjanster-av-exceptionell-kvalite/</t>
  </si>
  <si>
    <t>https://edgehyllie.se/alvtorpet-harmoniska-hem-vid-den-ljuva-alven/</t>
  </si>
  <si>
    <t>Lägenhet Sollefteå</t>
  </si>
  <si>
    <t>https://tommytappar.se/upptack-mangfalden-av-lagenheter-bostader-hos-alvtorpet-i-solleftea/</t>
  </si>
  <si>
    <t>https://www.anasayfa.se/ett-strategiskt-drag-for-framtiden</t>
  </si>
  <si>
    <t>distansutbildning till upphandlare</t>
  </si>
  <si>
    <t>https://www.favorreklambyra.se/utmaningen-i-att-hitta-ett-bra-byggforetag-i-stockholm</t>
  </si>
  <si>
    <t>exempel på en byggfirma i Stockholm</t>
  </si>
  <si>
    <t>https://socialsummit17.se/veterinarkliniken-birsta-en-allomfattande-vard-for-dina-djur/</t>
  </si>
  <si>
    <t>veterinär sundsvall</t>
  </si>
  <si>
    <t>https://edgehyllie.se/den-framvaxande-solkrafts-revolutionen-genom-w3s-tjanster/</t>
  </si>
  <si>
    <t>https://tommytappar.se/w3-ledande-inom-elinstallationer-solcellsprojekt-i-hela-sverige/</t>
  </si>
  <si>
    <t>w3elsolenergi.se</t>
  </si>
  <si>
    <t>https://www.skogkattklubbenbirka.se/alternativa-avloppsreningssystem-for-ditt-hem</t>
  </si>
  <si>
    <t>https://www.memoryhou.se/framtiden-ar-ljus</t>
  </si>
  <si>
    <t>försäkra dina solceller</t>
  </si>
  <si>
    <t>https://www.hhss.se/</t>
  </si>
  <si>
    <t>tandläkare.se</t>
  </si>
  <si>
    <t>https://www.kingsizemag.se/okategoriserat/den-nya-exklusiva-tandvarden-5-satt-tandvarden-har-moderniserats-till-en-trevligare-upplevelse/</t>
  </si>
  <si>
    <t>https://www.tandlakare.se/stad/stockholm/</t>
  </si>
  <si>
    <t>Tandläkare [i] stockholm</t>
  </si>
  <si>
    <t>https://www.tandea.se/kliniker/tandlakare-ostermalm/</t>
  </si>
  <si>
    <t>https://www.djungeltrumman.se/smarta-halsoval-som-betalar-sig-i-langden/</t>
  </si>
  <si>
    <t>tandläkare på östermalm</t>
  </si>
  <si>
    <t>https://www.panorastic.de/digitales-marketing-von-nikotinhaltigen-produkten</t>
  </si>
  <si>
    <t>https://www.vont.co/de/nikotinbeutel</t>
  </si>
  <si>
    <t>nikotin pouches</t>
  </si>
  <si>
    <t>https://annikas.nu/index.php/2024/04/29/kvinnors-mode-elegans-och-anpassning-over-tid/</t>
  </si>
  <si>
    <t>https://skvallra.se/blogg/mode-for-kvinnor-moderna-stilguider-och-trender/</t>
  </si>
  <si>
    <t xml:space="preserve">toppar </t>
  </si>
  <si>
    <t>https://peacock.nu/livsstil/svenskt-dammode-i-kavaj-en-resa-genom-tid-och-trender/</t>
  </si>
  <si>
    <t xml:space="preserve">kavajen dam </t>
  </si>
  <si>
    <t>https://cpp-luxury.com/maintaining-privacy-in-high-profile-lives/</t>
  </si>
  <si>
    <t>https://alltomnorrtalje.se/spelklubben-det-nya-svenska-onlinecasinot-som-erbjuder-spannande-spelupplevelser/</t>
  </si>
  <si>
    <t>https://alltomnorrtalje.se/n-one-ett-djarvt-steg-framat-i-varlden-av-engangsvapes/</t>
  </si>
  <si>
    <t>N One</t>
  </si>
  <si>
    <t>https://alltomnorrtalje.se/upplev-naturen-med-alfas-hogkvalitativa-vandringskangor-for-damer/</t>
  </si>
  <si>
    <t>https://alfaoutdoor.se/collections/vandringskangor-till-dam</t>
  </si>
  <si>
    <t>vandringskängor till dam</t>
  </si>
  <si>
    <t>https://alltomnorrtalje.se/luckycasino-erbjuder-spanning-potential-for-stora-vinster/</t>
  </si>
  <si>
    <r>
      <rPr>
        <u/>
        <sz val="9"/>
        <color rgb="FF1155CC"/>
        <rFont val="Roboto Mono"/>
      </rPr>
      <t>LuckyCasino.com/sv/</t>
    </r>
    <r>
      <rPr>
        <sz val="9"/>
        <rFont val="Roboto Mono"/>
      </rPr>
      <t>/</t>
    </r>
  </si>
  <si>
    <t>https://alltomnorrtalje.se/fairinvestments-langsiktig-kapitalforvaltning-for-dig-med-stora-drommar/</t>
  </si>
  <si>
    <t>Fairinvestments</t>
  </si>
  <si>
    <t>https://alltomnorrtalje.se/utforska-friheten-med-vont-to-go-den-ultimata-engangsvapen/</t>
  </si>
  <si>
    <t>http://dagenshomeopati.se/luckycasino-det-svenska-onlinecasinot-som-erbjuder-enastaende-spelupplevelser/</t>
  </si>
  <si>
    <t>LuckyCasino är ett svenskt casino</t>
  </si>
  <si>
    <t>http://dagenshomeopati.se/frunk-bar-revolutionerar-engangs-e-cigarett-industrin/</t>
  </si>
  <si>
    <t>https://varmlandsbygden.se/partner/luckycasino-ett-spelaventyr-vart-du-an-gar/</t>
  </si>
  <si>
    <t>Här finns LuckyCasinos populära spel</t>
  </si>
  <si>
    <t>https://varmlandsbygden.se/partner/utforska-en-varld-av-smidig-lattillganglig-casinounderhallning-med-happycasino/</t>
  </si>
  <si>
    <t>Livespel</t>
  </si>
  <si>
    <t>https://varmlandsbygden.se/partner/fairinvestments-en-djupdykning-i-den-vinnande-investeringsfilosofin/</t>
  </si>
  <si>
    <t>https://varmlandsbygden.se/partner/tandea-ett-kompetent-tandvardscenter-i-stockholm/</t>
  </si>
  <si>
    <t>tandläkare i stockholm</t>
  </si>
  <si>
    <t>https://varmlandsbygden.se/partner/panther-bar-engangsvapes-ett-djarvt-steg-in-i-vape-varlden/</t>
  </si>
  <si>
    <t>Panther Bar</t>
  </si>
  <si>
    <t>https://varmlandsbygden.se/partner/spelklubben-det-senaste-tillskottet-i-sveriges-online-casinovarld/</t>
  </si>
  <si>
    <r>
      <rPr>
        <sz val="9"/>
        <color rgb="FF000000"/>
        <rFont val="Roboto Mono"/>
      </rPr>
      <t>Spelklubbe</t>
    </r>
    <r>
      <rPr>
        <sz val="9"/>
        <color theme="1"/>
        <rFont val="Roboto Mono"/>
      </rPr>
      <t>n</t>
    </r>
  </si>
  <si>
    <t>https://varmlandsbygden.se/partner/cbd-olja-hos-cannabislight-sveriges-bredaste-sortiment-av-hogkvalitativa-produkter/</t>
  </si>
  <si>
    <t>CBD Olja</t>
  </si>
  <si>
    <t>https://varmlandsbygden.se/partner/aaa-tak-palitliga-hallbara-taklosningar-i-stockholm/</t>
  </si>
  <si>
    <t>papptak i Stockholm</t>
  </si>
  <si>
    <t>https://varmlandsbygden.se/partner/alfa-forstahandsvalet-for-hogkvalitativa-slitstarka-bekvama-fritidsskor-for-herr/</t>
  </si>
  <si>
    <t>https://nordictimes.com/partner/happycasino-garanterad-underhallning-spanning-lycka/</t>
  </si>
  <si>
    <t>HappyCasino</t>
  </si>
  <si>
    <t>https://nordictimes.com/partner/spelklubben-ett-forstklassigt-svenskt-onlinecasino-for-spannande-spelupplevelser-stora-vinster/</t>
  </si>
  <si>
    <t>https://nordictimes.com/partner/voom-bar-den-perfekta-engangsvapen-for-alla-tillfallen/</t>
  </si>
  <si>
    <t>https://www.vaken.se/det-nya-storslagna-casinot-i-sverige-spelklubben/</t>
  </si>
  <si>
    <t>nya casinot i Sverige</t>
  </si>
  <si>
    <t>https://www.vaken.se/cbd-olja-extrakt-forstklassig-kvalitet-blixtsnabba-leveranser-hos-cannabislight/</t>
  </si>
  <si>
    <t>https://www.vaken.se/happycasino-revolutionerar-onlinecasinospelande-med-en-streamlinead-anvandarupplevelse/</t>
  </si>
  <si>
    <t>HappyCasino Sverige</t>
  </si>
  <si>
    <t>https://www.vaken.se/e-ciggbolaget-destinationen-for-hogkvalitativa-e-cigg-e-juicer-nikotinshottar-engangsvapes/</t>
  </si>
  <si>
    <t>https://www.vaken.se/fairinvestments-forvaltning-for-alla-andamal-for-riktiga-resultat/</t>
  </si>
  <si>
    <t>https://www.kingsizemag.se/okategoriserat/elavtaldirekt-din-guide-i-sokandet-av-optimala-elavtal/</t>
  </si>
  <si>
    <t xml:space="preserve">jämför elavtal </t>
  </si>
  <si>
    <t xml:space="preserve">https://www.socialmediamagazine.org/matchmaking-business </t>
  </si>
  <si>
    <t>https://www.sveafaktura.se/alla-bor-ha-en-utbildning-inom-ekonomi</t>
  </si>
  <si>
    <t>ekonomiassistent utbildning</t>
  </si>
  <si>
    <t>https://www.dotartdesign.co.uk/tailoring-your-website-for-your-target-audience</t>
  </si>
  <si>
    <t>retro fashion items</t>
  </si>
  <si>
    <t>https://urbanevolution.se/</t>
  </si>
  <si>
    <t>https://www.webwill.se/planera-for-framtiden-investera-smart</t>
  </si>
  <si>
    <t>företag som jobbar med kapitalförvaltning</t>
  </si>
  <si>
    <t>mobot.com</t>
  </si>
  <si>
    <t>https://thestripesblog.com/from-airports-to-living-rooms-the-new-wave-of-personalized-fitness-for-travelers/</t>
  </si>
  <si>
    <t>Mobot.com</t>
  </si>
  <si>
    <t>Mobot water bottle</t>
  </si>
  <si>
    <t>seniorrabatt.se</t>
  </si>
  <si>
    <t>https://www.dailywaffle.co.uk/2025/04/how-to-turn-bank-holidays-into-mini-vacations-no-matter-your-budget/</t>
  </si>
  <si>
    <t>https://discountsover60s.co.uk/</t>
  </si>
  <si>
    <t>DE</t>
  </si>
  <si>
    <t>discount over 60</t>
  </si>
  <si>
    <t>lsb.se</t>
  </si>
  <si>
    <t>https://www.maklarringen.se/upptack-maklarringen/bostadsjuridik-ekonomi/amorteringskrav-baseras-pa-skuldkvot</t>
  </si>
  <si>
    <t>https://www.lsb.se/ekonomiskolan/amortera-eller-spara-det-basta-valet-din-ekonomi</t>
  </si>
  <si>
    <t>Insert</t>
  </si>
  <si>
    <t>lån</t>
  </si>
  <si>
    <t>https://alltomnorrtalje.se/rormokare-nu-din-palitliga-partner-for-rorarbeten-i-stockholm/</t>
  </si>
  <si>
    <t xml:space="preserve">https://rörmokare.nu/ </t>
  </si>
  <si>
    <t>https://varmlandsbygden.se/partner/rorjour-24-7-omfattande-vvs-tjanster-palitlig-kundservice/</t>
  </si>
  <si>
    <t>Rörjour 24/7</t>
  </si>
  <si>
    <t>https://nordictimes.com/partner/rorjour-24-7-raddningen-dygnet-runt/</t>
  </si>
  <si>
    <t xml:space="preserve">här finns rörmokare i Stockholm </t>
  </si>
  <si>
    <t>https://www.vaken.se/rormokare-nu-din-allt-i-ett-losning-for-rorrelaterade-behov/</t>
  </si>
  <si>
    <t>https://kingsizemag.se/okategoriserat/maximera-dina-avkastningar-med-fair-investments-erbjuder-langsiktig-kapitalforvaltning-for-dina-stora-drommar/</t>
  </si>
  <si>
    <t>https://airfryeroppskrifter.com/fjellsko-en-guide-til-det-riktige-valget-for-dine-utendorseventyr</t>
  </si>
  <si>
    <t>https://www.alfa.no/pages/hvilken-fjellsko-skal-jeg-velge</t>
  </si>
  <si>
    <t>Fjellsko</t>
  </si>
  <si>
    <t>https://teknologihjelp.com/ga-pa-eventyr-med-de-helt-rette-skoene/?utm_content=cmp-true</t>
  </si>
  <si>
    <t>rätt sko</t>
  </si>
  <si>
    <t>https://www.bipolarsjuk.se/kan-man-bli-rik-snabbt</t>
  </si>
  <si>
    <t>att spara långsiktigt med Fair Investments</t>
  </si>
  <si>
    <t>https://www.plus46fashion.se/hall-koll-detta-om-du-startar-modellagentur</t>
  </si>
  <si>
    <t>hjälp med affärsjuridik på advokatbyrå i Stockholm</t>
  </si>
  <si>
    <t>https://www.anasayfa.se/varfor-behovs-en-maklare</t>
  </si>
  <si>
    <t>mäklare i Täby med gott rykte</t>
  </si>
  <si>
    <t>https://www.mullsjophoto.se/</t>
  </si>
  <si>
    <t>Fair Investments - Maximera ditt sparkapital</t>
  </si>
  <si>
    <t>https://www.upplevroslagen.se/</t>
  </si>
  <si>
    <t xml:space="preserve">Mariatorgets Tandläkarmottagning i centrala Stockholm </t>
  </si>
  <si>
    <t>byggföretag som M6 Bygg</t>
  </si>
  <si>
    <t>https://www.netuniversity.se/sa-funkar-solceller</t>
  </si>
  <si>
    <t>fördelaktig försäkring av solceller</t>
  </si>
  <si>
    <t>https://www.energieffektivabyggnader.se/</t>
  </si>
  <si>
    <t>Jämför knäskydd hos rehabgrossisten</t>
  </si>
  <si>
    <t>https://www.lerumvildmark.se/</t>
  </si>
  <si>
    <t xml:space="preserve">investera med Fair Investments </t>
  </si>
  <si>
    <t>https://www.radio86.se/sakra-ditt-foretags-digitala-tillgangar</t>
  </si>
  <si>
    <t>trygg grund för IT-säkerhet</t>
  </si>
  <si>
    <t>https://www.saleseffect.se/vad-kan-b2b-marknaden-lara-sig-av-spelbranschen/</t>
  </si>
  <si>
    <t xml:space="preserve">casino </t>
  </si>
  <si>
    <t>https://www.hsm2016.se/</t>
  </si>
  <si>
    <t>FAIR INVESTMENTS</t>
  </si>
  <si>
    <t>https://www.aarep.se/vikten-av-att-ta-en-paus-da-och-da</t>
  </si>
  <si>
    <t>https://www.vont.se/engangs-vape</t>
  </si>
  <si>
    <t>engångsvapen Vont To-Go</t>
  </si>
  <si>
    <t>https://www.radonguiden.se/</t>
  </si>
  <si>
    <t>Fair Investments erbjuder kapitalförvaltning</t>
  </si>
  <si>
    <t>https://www.madeinsweden.se/</t>
  </si>
  <si>
    <t>https://teknologihjelp.com/hvordan-ai-revolusjonerer-kredittvurdering-og-lanegodkjenning/</t>
  </si>
  <si>
    <t>låne pengar</t>
  </si>
  <si>
    <t>https://airfryeroppskrifter.com/slik-sparer-airfryers-penger-og-energi</t>
  </si>
  <si>
    <t xml:space="preserve">refinansiering </t>
  </si>
  <si>
    <t>https://hervibor.no/planlegging-av-ditt-drommehus/</t>
  </si>
  <si>
    <t>https://www.filmdistrictdubai.com/blogs/the-global-surge-of-nicotine-pouches-redefining-smokeless-tobacco</t>
  </si>
  <si>
    <t xml:space="preserve">nicotine pouches </t>
  </si>
  <si>
    <t>https://www.goongee.com/leveraging-retro-fashion-for-web-marketing-success</t>
  </si>
  <si>
    <t>https://www.skanerunt.nu/</t>
  </si>
  <si>
    <t>det välrenommerade företaget Fair Investments</t>
  </si>
  <si>
    <t>https://www.count.nu/</t>
  </si>
  <si>
    <t>https://www.startmotor.se/kategori/solenoider</t>
  </si>
  <si>
    <t>hitta din solenoid här</t>
  </si>
  <si>
    <t>https://www.dombacksmark.se/varfor-maste-man-borsta-tanderna</t>
  </si>
  <si>
    <t>Kolla dina tänder hos tandläkare i Stockholm</t>
  </si>
  <si>
    <t>https://shellkonto.nu/investeringens-hornstenar</t>
  </si>
  <si>
    <t>navigera genom investeringsdjungeln</t>
  </si>
  <si>
    <t>https://www.swelarm.se/</t>
  </si>
  <si>
    <t xml:space="preserve">Läs mer om Fair Investments här </t>
  </si>
  <si>
    <t>https://www.alpenkarpatenkorridor.at/naturschutz-fur-die-alpen-und-karpaten</t>
  </si>
  <si>
    <t>https://www.mistyann.se/kan-man-kopa-ett-overgivet-hus</t>
  </si>
  <si>
    <t>vända sig till en mäklare i Danderyd och få hjälp</t>
  </si>
  <si>
    <t>https://ironmanmagazine.se/slagit-ut-en-tand</t>
  </si>
  <si>
    <t>tandimplantat från Tandea i Stockholm</t>
  </si>
  <si>
    <t>sakraror.se</t>
  </si>
  <si>
    <t>https://eventeffect.se/planerar-du-ett-event-se-till-att-ha-ratt-vvs-expertis/</t>
  </si>
  <si>
    <t>https://sakraror.se/vara-tjanster/allman-service-vvs/vvs-i-sollentuna/</t>
  </si>
  <si>
    <t>För event i förorter som tex Sollentuna kan lokala VVS-företag erbjuda lösningar anpassade efter lokala förhållanden</t>
  </si>
  <si>
    <t>https://socialbizmagazine.com/customer-engagement-strategies-inspired-by-matchmaking/</t>
  </si>
  <si>
    <t>professional matchmaking services</t>
  </si>
  <si>
    <t>https://conversationswithrina.com/relationships/the-rise-of-professional-matchmaking-services/</t>
  </si>
  <si>
    <t>https://businesstechnet.com/building-successful-business-relationships-lessons-from-matchmaking-experts/</t>
  </si>
  <si>
    <t>https://lookwhatmomfound.com/2024/05/exploring-professional-matchmaking-services-enhancing-private-life-and-business-connections.html</t>
  </si>
  <si>
    <t>https://www.audiofly.se/stil-och-elegans-den-vita-skjortan-for-damer/</t>
  </si>
  <si>
    <t>vit skjorta dam</t>
  </si>
  <si>
    <t>https://godestad.se/stilfulla-och-praktiska-kavajer-for-damer-en-garderobsnodvandighet/</t>
  </si>
  <si>
    <t>kavaj dam</t>
  </si>
  <si>
    <t>https://ginamaria.se/stilguide-kostymbyxor-for-damer/</t>
  </si>
  <si>
    <t>https://lomelina.se/blogg/toppvalen-av-damer-toppklader-hitta-stilen-som-passar-just-dig/</t>
  </si>
  <si>
    <t>https://firmify.se/arbetsplatsens-halsa-och-valmaende-viktiga-strategier-for-foretag/#</t>
  </si>
  <si>
    <t>https://www.casinosnack.com/varfor-spelar-vi-klassiska-casinospel/</t>
  </si>
  <si>
    <t>https://www.casinocenter.se/allt-du-behover-veta-om-fotbolls-em-2024/</t>
  </si>
  <si>
    <t>https://www.vinstraden.se/vad-ar-casino-game-shows/</t>
  </si>
  <si>
    <t>https://www.roulettecenter.se/strategier-i-blackjack/</t>
  </si>
  <si>
    <t>blackjack</t>
  </si>
  <si>
    <t>https://www.bergsmk.nu/</t>
  </si>
  <si>
    <t>https://www.vont.se/vape</t>
  </si>
  <si>
    <t>https://www.branschradet-vilma.se/</t>
  </si>
  <si>
    <t>Byggfirman M6 Bygg i Stockholm</t>
  </si>
  <si>
    <t>spolarent.se</t>
  </si>
  <si>
    <t>https://www.totallystockholm.se/underhall-din-bostad-for-att-slippa-dyra-kostnader/</t>
  </si>
  <si>
    <t>https://www.spolarent.se/stamspolning-stockholm/</t>
  </si>
  <si>
    <t>Ankare stamspolning stockholm</t>
  </si>
  <si>
    <t>https://www.wermland.nu/darfor-ska-du-skaffa-solceller</t>
  </si>
  <si>
    <t>https://www.nbvj.nu/byt-ut-utedasset-mot-en-vanlig-toalett</t>
  </si>
  <si>
    <t>https://www.linnestudenterna.se/</t>
  </si>
  <si>
    <t>investering och kapitalförvaltning</t>
  </si>
  <si>
    <t>https://www.lula.se/kopa-bostad-tank-pa-det-har</t>
  </si>
  <si>
    <t>pålitliga mäklare som Länsfast i Danderyd</t>
  </si>
  <si>
    <t>https://www.rambollnatura.se/molntjanster-kan-man-lita-pa-dem</t>
  </si>
  <si>
    <t xml:space="preserve">https://knutpunktslussen.se/energisnala-fonsterlosningar/ </t>
  </si>
  <si>
    <t>Fönsterbyte</t>
  </si>
  <si>
    <t xml:space="preserve">https://renbyggbransch.nu/byggindustrin-innovativa-material/ </t>
  </si>
  <si>
    <t>Byggföretag</t>
  </si>
  <si>
    <t xml:space="preserve">https://hot-maillogginse.se/aktiviteter-for-hela-familjen-i-sundsvall/ </t>
  </si>
  <si>
    <t>Restaurang sundsvall</t>
  </si>
  <si>
    <t xml:space="preserve">https://sundmans.se/gotland-ditt-perfekta-sommarparadis/ </t>
  </si>
  <si>
    <t>Hotell Visby</t>
  </si>
  <si>
    <t xml:space="preserve">https://bygghuddinge.se/bergvarme-i-kallt-klimat-en-effektiv-och-hallbar-losning/ </t>
  </si>
  <si>
    <t xml:space="preserve">https://rolandagius.se/sakerhet-pa-byggarbetsplatser-skydd-och-forebyggande-atgarder/ </t>
  </si>
  <si>
    <t>Bygg</t>
  </si>
  <si>
    <t xml:space="preserve">https://luxuryspa.se/stockholm-for-livsnjutare-mat-kultur-och-valmaende/ </t>
  </si>
  <si>
    <t>massage stockholm</t>
  </si>
  <si>
    <t xml:space="preserve">https://uppsalamagicandcomedy.se/5-roliga-aktiviteter-i-stockholm/ </t>
  </si>
  <si>
    <t>https://standupsverige.se/</t>
  </si>
  <si>
    <t>Stand up i stockholm</t>
  </si>
  <si>
    <t xml:space="preserve">https://kronbacken.se/hur-du-valjer-tak-for-ditt-sommarprojekt/ </t>
  </si>
  <si>
    <t xml:space="preserve">https://svalan.se/norra-djurgardsstaden-en-framtidsvision-i-stockholm/ </t>
  </si>
  <si>
    <t>Arkitekt i stockholm</t>
  </si>
  <si>
    <t xml:space="preserve">https://jessicasmaleriostad.se/foretagsevent-i-sverige-har-ar-de-hetaste-platserna/ </t>
  </si>
  <si>
    <t>Företagsevent visby</t>
  </si>
  <si>
    <t xml:space="preserve">https://kollektomat.se/kundcentrerade-bygglosningar-fokus-pa-kunden/ </t>
  </si>
  <si>
    <t>https://jovialsundsvall.se/</t>
  </si>
  <si>
    <t>Totalentreprenader i Sundsvall</t>
  </si>
  <si>
    <t xml:space="preserve">https://b-room.se/sa-forbereder-du-ditt-hem-for-forsaljning/ </t>
  </si>
  <si>
    <t>Mäklare nyköping</t>
  </si>
  <si>
    <t xml:space="preserve">https://stockholmextra.se/daglig-tandvard-tips-och-rad/ </t>
  </si>
  <si>
    <t>Tandläkare södermalm</t>
  </si>
  <si>
    <t xml:space="preserve">https://creatables.se/fem-smarta-tips-for-att-valja-byggfirma-med-fortroende-i-stockholm/ </t>
  </si>
  <si>
    <t>Byggfirma Stockholm</t>
  </si>
  <si>
    <t xml:space="preserve">https://coresys.se/framtiden-for-ai-inom-logistik-och-leveranskedjor/ </t>
  </si>
  <si>
    <t>Orderhanteringssystem</t>
  </si>
  <si>
    <t xml:space="preserve">https://edgehyllie.se/sa-underhaller-du-ditt-tak-aret-runt/ </t>
  </si>
  <si>
    <t>Takläggare</t>
  </si>
  <si>
    <t>https://tommytappar.se/sa-kan-du-sanka-dina-energikostnader-hemma/</t>
  </si>
  <si>
    <t>Solceller</t>
  </si>
  <si>
    <t>ampilo.se</t>
  </si>
  <si>
    <t xml:space="preserve">https://naturensar.se/framtidens-djurhalsa-samarbete-och-innovation/ </t>
  </si>
  <si>
    <t>Veterinär sundsvall</t>
  </si>
  <si>
    <t xml:space="preserve">https://oljudsthlm.se/adblue-i-lastbilar-en-grundlig-genomgang/ </t>
  </si>
  <si>
    <t>http://optione.se/adblue-off/</t>
  </si>
  <si>
    <t>AdBlue Lastbil</t>
  </si>
  <si>
    <t xml:space="preserve">https://brofastet.se/guide-till-trapprenovering-tips-och-rad/ </t>
  </si>
  <si>
    <t>https://formtrappan.se/</t>
  </si>
  <si>
    <t>Trapprenovering</t>
  </si>
  <si>
    <t>https://www.medalgon.se/</t>
  </si>
  <si>
    <t xml:space="preserve">https://diakoniablogg.se/fordelar-med-solenergi-ekonomiskt-och-miljovanligt/ </t>
  </si>
  <si>
    <t xml:space="preserve">https://paracas.se/cirkular-ekonomi-en-hallbar-vag-framat/ </t>
  </si>
  <si>
    <t>https://www.bathav.se/maximal-avkoppling-pa-havet/</t>
  </si>
  <si>
    <t>https://e-ciggbolaget.se/e-cigaretter/engangs-vape/n-one</t>
  </si>
  <si>
    <t xml:space="preserve">N one </t>
  </si>
  <si>
    <t>https://borsbolag.se/nikotinets-roll-i-affarsvarlden/</t>
  </si>
  <si>
    <t>https://havstomt.se/artiklar/stockholms-skargard-vackraste-havstomter/</t>
  </si>
  <si>
    <t>https://e-ciggbolaget.se/voom/</t>
  </si>
  <si>
    <t>Voom Vape</t>
  </si>
  <si>
    <t>https://hexweb.se/dave-grohl-rocklegend-och-vapingentusiast/</t>
  </si>
  <si>
    <t>https://irate-games.com/bloons-td-6-en-tidlos-klassiker-i-tower-defense-genren/</t>
  </si>
  <si>
    <t>https://e-ciggbolaget.se/e-cigaretter/engangs-vape/</t>
  </si>
  <si>
    <t>https://aktiefeed.se/investeringar-i-vape-industrin-en-vaxande-marknad/</t>
  </si>
  <si>
    <t>https://ecommunity.se/vg-och-pg-i-e-vatskor-vad-du-behover-veta/</t>
  </si>
  <si>
    <t>E-ciggbolaget.se</t>
  </si>
  <si>
    <t>https://panncentralen.se/nyheter/vaping-i-sportvarlden-ar-det-ett-bra-nikotinalternativ-for-idrottare/</t>
  </si>
  <si>
    <t>Besök e-ciggbolaget.se</t>
  </si>
  <si>
    <t>https://aktiefeed.se/aktuellt-hur-spelbolagen-presterar-pa-borsen-2024/</t>
  </si>
  <si>
    <t>https://ecommunity.se/viktiga-tips-nar-du-byter-till-ett-nytt-casino/</t>
  </si>
  <si>
    <t>https://rabattkodsidor.se/2024/05/28/tekniken-som-forandrar-spelvarlden-fran-digitalt-till-verkligt/</t>
  </si>
  <si>
    <t>https://www.bilforsakringjamfor.se/5-tips-sa-vardefallet-pa-bilen-minskar/</t>
  </si>
  <si>
    <t>https://www.totallyorebro.se/uncategorized/hansyn-till-miljon-nya-sattet-att-investera/</t>
  </si>
  <si>
    <t>https://www.mynewsdesk.com/se/visibility-punktum-group/blog_posts/maximera-avkastningen-med-saekerhet-en-djupdykning-i-raettvisa-investeringars-unika-strategi-118509</t>
  </si>
  <si>
    <t>Ansvarstagande investeringar</t>
  </si>
  <si>
    <t>https://www.totallystockholm.se/maximera-din-pension-smarta-tips-for-framtida-trygghet/</t>
  </si>
  <si>
    <t>Fair investments måtto är [balans mellan säkerhet och avkastning] texten inom parentes som ankare men använd hela meningen</t>
  </si>
  <si>
    <t>https://www.djungeltrumman.se/hur-sveriges-foretag-investerar-2024/</t>
  </si>
  <si>
    <t>Fair investments - prestationsbaserad förvaltning  OBS länken här är bara "fair investments"</t>
  </si>
  <si>
    <t>https://www.nojesnytthelsingborg.se/2024/05/30/nycklarna-till-framgang-hur-du-kan-skala-upp-ditt-foretag/</t>
  </si>
  <si>
    <t>Fair investments bokslut 2024</t>
  </si>
  <si>
    <t>https://www.kingsizemag.se/okategoriserat/lagre-rantor-vad-innebar-det-for-din-ekonomi/</t>
  </si>
  <si>
    <t>Fair investments bolagsinformation</t>
  </si>
  <si>
    <t>https://www.totallystockholm.se/dyrare-tandvard-vad-hander-med-svenska-folkhalsan/</t>
  </si>
  <si>
    <t>https://www.totallystockholm.se/olika-sorters-takmaterial-for-olika-klimat/</t>
  </si>
  <si>
    <t>https://www.totallyorebro.se/uncategorized/avfallshantering-och-atervinning-en-guide/</t>
  </si>
  <si>
    <t>https://www.djungeltrumman.se/5-tips-for-ett-lyckat-bostadsrattskop-rad-och-tips/</t>
  </si>
  <si>
    <t>Ombildning till bostadsrätt</t>
  </si>
  <si>
    <t>https://www.totallyorebro.se/uncategorized/giftiga-hem-dolda-amnena-som-kan-paverka-halsan/</t>
  </si>
  <si>
    <t>Asbestsanering</t>
  </si>
  <si>
    <t>purakliniken.se</t>
  </si>
  <si>
    <t>https://www.totallyorebro.se/uncategorized/estetiska-injektioner-for-man-en-vaxande-trend-inom-skonhetsindustrin/</t>
  </si>
  <si>
    <t>www.purakliniken.se</t>
  </si>
  <si>
    <t>https://www.smileproduktionsbyra.se/</t>
  </si>
  <si>
    <t>https://www.agidack.se/</t>
  </si>
  <si>
    <t>generator eller andra viktiga bilkomponenter</t>
  </si>
  <si>
    <t>https://www.fastforwardmedia.se/spara-rattvist-vad-innebar-det</t>
  </si>
  <si>
    <t>https://www.bodhi.se/lindra-tandvark-med-meditation</t>
  </si>
  <si>
    <t>bra tandläkare i Stockholm</t>
  </si>
  <si>
    <t>https://www.jaktsidan.se/2024/06/03/5-tips-for-tjejer-som-vill-borja-jaga/</t>
  </si>
  <si>
    <t>vandringskängor som är specialanpassade för dam</t>
  </si>
  <si>
    <t>https://www.jaktsidan.se/2024/06/02/spannande-aktiviteter-att-gora-med-dina-jaktkompisar/</t>
  </si>
  <si>
    <t>Nu lanseras Speklubben</t>
  </si>
  <si>
    <t>https://www.jaktsidan.se/2024/06/01/hitta-ratt-avslappningsmetod-nar-du-ar-ute-i-skogen/</t>
  </si>
  <si>
    <t>https://cannabislight.se/vad-ar-cbd-en-komplett-nyborjarguide/</t>
  </si>
  <si>
    <t>CBD, kan vara ett utmärkt sätt för avslappning och fokus</t>
  </si>
  <si>
    <t>https://www.shadowtrain.com/poetry-and-fashion</t>
  </si>
  <si>
    <t>A Retro Tale</t>
  </si>
  <si>
    <t>https://www.allthingsgreen.nu/</t>
  </si>
  <si>
    <t>https://x.com/i/flow/login?redirect_after_login=%2FFairInvSwe</t>
  </si>
  <si>
    <t>Opportun Capital jobbar med rättvis kapitalförvalting</t>
  </si>
  <si>
    <t>https://www.rambollnatura.se/vad-ar-vitt-snus</t>
  </si>
  <si>
    <t>Vitt snus</t>
  </si>
  <si>
    <t>https://www.svenskbyggtidning.se/2024/05/30/installation-av-ups-system-uninterruptible-power-supply/</t>
  </si>
  <si>
    <t>Elektriker stockholm</t>
  </si>
  <si>
    <t>https://www.nordiskaprojekt.se/2024/05/30/sa-optimerar-du-ditt-hem-for-elbilar-fran-eluttag-utomhus-till-laddboxinstallationer/</t>
  </si>
  <si>
    <t>https://www.svenskbyggtidning.se/2024/05/30/byggsektorns-paverkan-nar-branschen-tar-initiativ-skapar-det-resonans/</t>
  </si>
  <si>
    <t>Rörmokare.nu</t>
  </si>
  <si>
    <t>rörmokare stockholm</t>
  </si>
  <si>
    <t>https://www.nordiskaprojekt.se/2024/05/30/nodsituationer-och-rormokeri-sa-hittar-du-akutrormokare-i-stockholm/</t>
  </si>
  <si>
    <t xml:space="preserve">https://rorjour247.se/rormokare-stockholm
</t>
  </si>
  <si>
    <t>hittar en pålitlig rörmokare</t>
  </si>
  <si>
    <t>https://www.svenskbyggtidning.se/2024/05/30/sa-fungerar-spolbilen-din-losning-for-avloppsstopp-och-underhall/</t>
  </si>
  <si>
    <t>Rekommenderar rorjour247.se/</t>
  </si>
  <si>
    <t>https://ledarsidorna.se/sov-gott-sa-blir-du-av-med-somnloshet/</t>
  </si>
  <si>
    <t xml:space="preserve">CBD </t>
  </si>
  <si>
    <t>https://gulfinside.com/new-trend-nicotine-pouches/</t>
  </si>
  <si>
    <t>Nicotine pouches</t>
  </si>
  <si>
    <t xml:space="preserve">https://socialsummit17.se/effektiv-vvs-planering-for-badrumsrenoveringar/ </t>
  </si>
  <si>
    <t>vvs Sollentuna</t>
  </si>
  <si>
    <t>https://www.favorreklambyra.se/taklagsfest-ar-kul</t>
  </si>
  <si>
    <t>https://www.interiorguiden.se/fordelar-med-minireningsverk</t>
  </si>
  <si>
    <t>https://conclean.se/</t>
  </si>
  <si>
    <t>everynightstudios.com</t>
  </si>
  <si>
    <t>https://fluxshop.se/att-passa-in</t>
  </si>
  <si>
    <t>https://everynightstudios.com/</t>
  </si>
  <si>
    <t>Hos Every Night Studios kan du designa både kepsar, t-shirts och annat</t>
  </si>
  <si>
    <t>https://www.bonusbay.se/</t>
  </si>
  <si>
    <t xml:space="preserve">Fair investments - prestationsbaserad förvaltning </t>
  </si>
  <si>
    <t>https://www.imike.se/tvist-och-tvistlosning</t>
  </si>
  <si>
    <t>https://www.foyen.se/affarsomraden/tvistlosning/</t>
  </si>
  <si>
    <t>tvistlösning</t>
  </si>
  <si>
    <t>https://luddep.se/sre-vad-ar-det</t>
  </si>
  <si>
    <t xml:space="preserve">https://lemontree.se/tjanster/devops/site-reliability-engineering/ </t>
  </si>
  <si>
    <t>https://www.lula.se/tankar-om-framtid-och-pengar</t>
  </si>
  <si>
    <t>artikel på Affärsvärlden om Fair Investments</t>
  </si>
  <si>
    <t>https://www.shopon.se/ett-langsiktigt-sparande-ar-viktigt</t>
  </si>
  <si>
    <t>Kapitalförvaltning</t>
  </si>
  <si>
    <t>https://www.glimtenigrytan.se/kan-man-lita-pa-maklare</t>
  </si>
  <si>
    <t>en mäklare i Täby du kan lita på</t>
  </si>
  <si>
    <t>https://www.aktasylt.se/</t>
  </si>
  <si>
    <t>rörmokare i Sollentuna</t>
  </si>
  <si>
    <t>https://www.executiveeffect.se/skonhetsoperationer-i-fokus-allt-fler-valjer-att-forandra-sitt-utseende/</t>
  </si>
  <si>
    <t>https://www.purakliniken.se/</t>
  </si>
  <si>
    <t>estetiska injektioner</t>
  </si>
  <si>
    <t>https://luddep.se/hitta-ratt-it-losningar-for-ditt-foretag</t>
  </si>
  <si>
    <t>https://www.cattisb.se/att-kanna-sig-trygg-hos-tandlakaren</t>
  </si>
  <si>
    <t>hitta en tandläkare i Stockholm</t>
  </si>
  <si>
    <t>https://www.mirakelmusik.se/vad-ar-en-vape</t>
  </si>
  <si>
    <t>Engångs vape finns också i många olika smaker</t>
  </si>
  <si>
    <t>https://www.julianh.se/ranta-pa-ranta-effekten-vad-ar-det</t>
  </si>
  <si>
    <t>läs omdömen för Fair Investments här</t>
  </si>
  <si>
    <t>https://www.icanrestwhenimdead.com/vad-ar-vo2-max</t>
  </si>
  <si>
    <t>https://nem.health/vo2-max-indikator-for-livslangd-och-kardiovaskular-halsa/</t>
  </si>
  <si>
    <t>vo2 max</t>
  </si>
  <si>
    <t>https://www.plus46fashion.se/sa-gar-en-botoxbehandling-till</t>
  </si>
  <si>
    <t>https://www.purakliniken.se/estetisk-injektion/botox-stockholm/</t>
  </si>
  <si>
    <t>botox i Stockholm</t>
  </si>
  <si>
    <t>https://www.apelviken.nu/</t>
  </si>
  <si>
    <t>Mer om ombildning till bostadsrätt finns här</t>
  </si>
  <si>
    <t>https://liveamoment.org/finding-the-perfect-match-how-to-find-the-right-partner/</t>
  </si>
  <si>
    <t xml:space="preserve">professional matchmaking services </t>
  </si>
  <si>
    <t>https://www.b-samfundet.se/</t>
  </si>
  <si>
    <t>https://www.realtid.se/la-reine-mannen-ar-tillbaka-lockar-investeringar-till-solcellsbranschen/</t>
  </si>
  <si>
    <t>https://moveitmama.se/att-spara-pengar-som-pensionar</t>
  </si>
  <si>
    <t>https://seniorrabatt.se/</t>
  </si>
  <si>
    <t>pensionärsrabatt</t>
  </si>
  <si>
    <t>kvarnx.com</t>
  </si>
  <si>
    <t>https://www.executiveeffect.se/forenkla-dina-kryptoinvesteringar/</t>
  </si>
  <si>
    <t>https://www.kvarnx.com/sv/foretaget</t>
  </si>
  <si>
    <t xml:space="preserve">KvarnX </t>
  </si>
  <si>
    <t>snusnetto.se</t>
  </si>
  <si>
    <t>https://www.saleseffect.se/vitt-snus-en-revolution-pa-snusmarknaden/</t>
  </si>
  <si>
    <t>https://www.snusnetto.se/tobaksfritt-snus/</t>
  </si>
  <si>
    <t>https://tv-tabla.nu/blogg/infor-fotbolls-em-2024-favoriter-spelplatser-och-experttips</t>
  </si>
  <si>
    <t>https://www.spelklubben.se/sv/betting</t>
  </si>
  <si>
    <t>Enligt bettingsajten spelklubben.se</t>
  </si>
  <si>
    <t>https://www.dombacksmark.se/solkraft-en-smart-energilosning</t>
  </si>
  <si>
    <t>https://www.svenskrallycross.se/</t>
  </si>
  <si>
    <t>Fair Investments finansiell information</t>
  </si>
  <si>
    <t>Hitta totalentreprenad i Stockholm här</t>
  </si>
  <si>
    <t>https://www.annonsparken.se/sa-gar-det-till-att-fa-tandimplantat</t>
  </si>
  <si>
    <t>https://tvprogram.nu/blogg/fotbolls-em-2024-tv-sandningar-och-expertpaneler</t>
  </si>
  <si>
    <t xml:space="preserve">oddsen </t>
  </si>
  <si>
    <t>https://www.reseledaren.nu/upplev-las-vegas/</t>
  </si>
  <si>
    <t>https://www.spelklubben.se/sv/live-casino/roulette</t>
  </si>
  <si>
    <t>roulette på riktigt</t>
  </si>
  <si>
    <t xml:space="preserve">https://letsbuildup.org/how-do-i-find-the-right-partner-for-me/ </t>
  </si>
  <si>
    <t xml:space="preserve">Professional matchmaking services </t>
  </si>
  <si>
    <t>https://www.totalengagement.org/embracing-vintage-and-retro-fashion-a-timeless-trend-on-social-media</t>
  </si>
  <si>
    <t>Länsfast i täby</t>
  </si>
  <si>
    <t>https://www.tidernaslandskap.se/maximera-avkastning-utan-hog-risk</t>
  </si>
  <si>
    <t>https://ironmanmagazine.se/forebygg-knasmarta</t>
  </si>
  <si>
    <t>Knäskydd ger extra stöd och stabilitet till knäleden</t>
  </si>
  <si>
    <t>https://www.racestuff.se/hur-funkar-en-solenoid</t>
  </si>
  <si>
    <t>solenoid</t>
  </si>
  <si>
    <t xml:space="preserve">https://analysistheme.com/the-importance-of-finding-the-most-partner/ </t>
  </si>
  <si>
    <t>https://www.dmce.at/versicherung-fur-smarte-technologien</t>
  </si>
  <si>
    <t>https://www.sekventiellt.se/spara-smart</t>
  </si>
  <si>
    <t xml:space="preserve">https://dragons.no/lane-penger-til-oppussing-hus-og-bil/ </t>
  </si>
  <si>
    <t>Fair Investment för framtiden</t>
  </si>
  <si>
    <t>https://www.sffl.se/</t>
  </si>
  <si>
    <t>https://www.bildamusik.nu/</t>
  </si>
  <si>
    <t>vape innehåller ingen tobak</t>
  </si>
  <si>
    <t xml:space="preserve"> vitt snus</t>
  </si>
  <si>
    <t>https://www.anasayfa.se/ska-man-spara-eller-slosa</t>
  </si>
  <si>
    <t>Fair Investments bokslut 2024</t>
  </si>
  <si>
    <t>https://veganmage.se/darfor-anlitar-jag-en-maklare</t>
  </si>
  <si>
    <t>En mäklare i Danderyd</t>
  </si>
  <si>
    <t>https://www.nordiskaprojekt.se/2024/06/25/rormokare-i-storstader-som-stockholm/</t>
  </si>
  <si>
    <t>https://eventeffect.se/intervju-med-gordetmedrw-om-bilvard/</t>
  </si>
  <si>
    <t>kurs för bilvård och bilvårdsprodukter</t>
  </si>
  <si>
    <t>https://eventeffect.se/svenska-foretags-investeringar-en-overblick/</t>
  </si>
  <si>
    <t>fair investment</t>
  </si>
  <si>
    <t>https://ekonomistart.se/sveriges-mest-blankade-aktier/</t>
  </si>
  <si>
    <t>https://pengar.in/hur-raknar-jag-ut-manadslon-till-timlon/</t>
  </si>
  <si>
    <t>https://valutor.nu/vad-ar-resecheckar/</t>
  </si>
  <si>
    <t>https://modernalivet.se/okategoriserade/planera-for-en-hallbar-framtid-kloka-livsval-for-en-gronare-varld/</t>
  </si>
  <si>
    <t>https://modernalivet.se/halsa/fordelarna-med-cbd-olja-en-naturlig-losning-for-din-halsa/</t>
  </si>
  <si>
    <t>https://modernalivet.se/sport-spel/den-nya-generationen-av-casinospel/</t>
  </si>
  <si>
    <t>https://www.spelklubben.se/sv/casino/slots</t>
  </si>
  <si>
    <t xml:space="preserve">videoslots </t>
  </si>
  <si>
    <t>https://modernalivet.se/ekonomi/investeringar-for-en-hallbar-framtid/</t>
  </si>
  <si>
    <t>Fair Investment</t>
  </si>
  <si>
    <t>https://modernalivet.se/ekonomi/fair-investment-en-positiv-oversikt/</t>
  </si>
  <si>
    <t>https://modernalivet.se/halsa/tandvard-i-stockholm/</t>
  </si>
  <si>
    <t>https://modernalivet.se/reseguider/packa-ratt-en-komplett-checklista-for-din-nasta-campingresa/</t>
  </si>
  <si>
    <t xml:space="preserve">fritidskor för herrar </t>
  </si>
  <si>
    <t>https://modernalivet.se/okategoriserade/teknologiska-innovationer-som-framjar-en-hallbar-livsstil/</t>
  </si>
  <si>
    <t>engångsvapes</t>
  </si>
  <si>
    <t>https://modernalivet.se/okategoriserade/vanliga-skonhetsbehandlingar-en-oversikt/</t>
  </si>
  <si>
    <t xml:space="preserve">Tandblekning </t>
  </si>
  <si>
    <t>https://modernalivet.se/okategoriserade/varfor-fler-investerare-vander-sig-till-kryptovalutor/</t>
  </si>
  <si>
    <t>https://www.kvarnx.com/sv/kryptovalutor</t>
  </si>
  <si>
    <t>kryptovalutor</t>
  </si>
  <si>
    <t>https://filmeye.se/fem-serienyheter-att-se-fram-emot-i-host-2024/</t>
  </si>
  <si>
    <t xml:space="preserve">prestationsbaserad investering </t>
  </si>
  <si>
    <t>https://poolstart.se/skapa-din-drompool/</t>
  </si>
  <si>
    <t>papptak</t>
  </si>
  <si>
    <t>https://havstomt.se/artiklar/renovering-av-havsnara-fastigheter/</t>
  </si>
  <si>
    <t>https://www.bathav.se/hall-dina-avloppssystem-rena/</t>
  </si>
  <si>
    <t>Stamspolning</t>
  </si>
  <si>
    <t>https://www.kingsizemag.se/okategoriserat/den-vaxande-trenden-av-hallbart-mode-i-sverige/</t>
  </si>
  <si>
    <t>https://www.totallyorebro.se/uncategorized/sa-maximerar-du-dina-investeringar-i-dagens-ekonomi/</t>
  </si>
  <si>
    <t>https://www.totallyorebro.se/uncategorized/nikotinfritt-snus-ar-det-har-for-att-stanna/</t>
  </si>
  <si>
    <t>https://www.snusnetto.se/nyheter/</t>
  </si>
  <si>
    <t>tobaksfria produkter</t>
  </si>
  <si>
    <t>https://www.dagensinfrastruktur.se/2024/06/25/har-finns-rormokare-i-stockholm/</t>
  </si>
  <si>
    <t>Här finns rörmokare i stockholm</t>
  </si>
  <si>
    <t>https://www.grontsamhallsbyggande.se/2024/06/25/underhallstips-for-vvs-system-i-bostader/</t>
  </si>
  <si>
    <t>https://www.totallystockholm.se/utforska-stockholms-innovativa-scen/</t>
  </si>
  <si>
    <t>https://www.kvarnx.com/sv</t>
  </si>
  <si>
    <t>kryptovalutor så som Bitcoin</t>
  </si>
  <si>
    <t>https://www.kingsizemag.se/okategoriserat/kryptovalutor-2024-en-guide-till-den-nya-finansiella-eran/</t>
  </si>
  <si>
    <t>Köpa och sälja krypto</t>
  </si>
  <si>
    <t>https://www.kingsizemag.se/okategoriserat/de-5-godaste-snussmakerna-2024/</t>
  </si>
  <si>
    <t>vitt snus / tobaksfritt snus</t>
  </si>
  <si>
    <t xml:space="preserve">https://www.oslo.com/blog/2024/06/25/utforsk-den-norske-fjellheimen-et-paradis-fotturister/ </t>
  </si>
  <si>
    <t>https://www.alfa.no/pages/hvilken-tursko-skal-jeg-vel</t>
  </si>
  <si>
    <t>campsite.se</t>
  </si>
  <si>
    <t xml:space="preserve">https://www.oslo.com/blog/2024/06/26/lan-og-investeringer-veien-til-okonomisk-stabilitet/ </t>
  </si>
  <si>
    <t>https://www.oslo.com/blog/2024/06/25/utforsk-den-norske-fjellheimen-et-paradis-fotturister/</t>
  </si>
  <si>
    <t>https://www.xpublishing.se/barnsanger-ger-smartare-barn</t>
  </si>
  <si>
    <t>https://www.animonhus.se/valja-system-for-avlopp</t>
  </si>
  <si>
    <t>https://www.hskraft.se/</t>
  </si>
  <si>
    <t>balans mellan säkerhet och avkastning</t>
  </si>
  <si>
    <t>https://www.dagensinfrastruktur.se/2024/06/25/elektronikmassan-2024-innovationer-och-trender-som-formar-framtiden/</t>
  </si>
  <si>
    <t>https://www.grontsamhallsbyggande.se/2024/06/25/elektriker-i-stockholm-allt-du-behover-veta-for-sakra-installationer/</t>
  </si>
  <si>
    <t>Svenska eljouren</t>
  </si>
  <si>
    <t>https://www.fjell-ljom.no/skopleie-101-tips-for-a-fa-favorittparet-ditt-til-a-vare-lenger/230864</t>
  </si>
  <si>
    <t>https://www.tarelugnt.se/solceller-framtidens-energi</t>
  </si>
  <si>
    <t xml:space="preserve">https://tvvestfold.no/velg-de-riktige-skoene-for-fotturer/ </t>
  </si>
  <si>
    <t>velge fjellsko</t>
  </si>
  <si>
    <t>https://no.moyens.net/markedsforing/viktigheten-av-a-undersoke-markedet-for-man-laner-penger/</t>
  </si>
  <si>
    <t>https://www.memoryhou.se/om-jag-hade-en-miljon</t>
  </si>
  <si>
    <t>Fair Investments bolagsinformation här</t>
  </si>
  <si>
    <t>https://www.interiorguiden.se/att-hitta-en-byggfirma-i-stockholm</t>
  </si>
  <si>
    <t>bra byggfirma i Stockholm</t>
  </si>
  <si>
    <t>https://draghundcenter.se/</t>
  </si>
  <si>
    <t>Vitt snus är ett tobaksfritt alternativ</t>
  </si>
  <si>
    <t>https://filmeye.se/casinospel-fran-filmduken-till-spelplanen/</t>
  </si>
  <si>
    <t>https://www.spelklubben.se/sv/live-casino/game-shows</t>
  </si>
  <si>
    <t xml:space="preserve">casino game shows </t>
  </si>
  <si>
    <t>https://techgroup21.com/the-critical-role-of-cybersecurity-in-todays-digital-world/</t>
  </si>
  <si>
    <t>vciso</t>
  </si>
  <si>
    <t>https://myinternetaccess.net/understanding-cybersecurity-the-essential-pillar-of-digital-safety/</t>
  </si>
  <si>
    <t xml:space="preserve">Virtual CISO </t>
  </si>
  <si>
    <t>Länsfast i Danderyd</t>
  </si>
  <si>
    <t>https://www.cortinaklubben.nu/</t>
  </si>
  <si>
    <t xml:space="preserve">generator </t>
  </si>
  <si>
    <t>https://hedgehog.se/tandimplantat-sa-gar-det-till</t>
  </si>
  <si>
    <t>tandimplantat i Stockholm hos Tandea</t>
  </si>
  <si>
    <t>https://www.onelonghouse.com/embracing-the-charm-of-vintage-fashion</t>
  </si>
  <si>
    <t>A Retro Tale offer a curated selection of vintage-inspired clothing and accessories</t>
  </si>
  <si>
    <t>https://businessforreal.se/</t>
  </si>
  <si>
    <t>Kapitalförvaltning (Logo)</t>
  </si>
  <si>
    <t>https://www.joomlaforeningen.se/</t>
  </si>
  <si>
    <t>IT-företag i Stockholm</t>
  </si>
  <si>
    <t>https://shellkonto.nu/sa-fungerar-solceller</t>
  </si>
  <si>
    <t>https://www.traslottet.se/lat-proffsen-skota-roren</t>
  </si>
  <si>
    <t>VVS-expert i Sollentuna</t>
  </si>
  <si>
    <t>https://oljudsthlm.se/carpcon-din-expert-for-fonster-fonsterbyten/</t>
  </si>
  <si>
    <t>fönsterbyte</t>
  </si>
  <si>
    <t>https://rolandagius.se/hubinette-vvs-en-ledande-komplett-vvs-partner-for-alla-behov/</t>
  </si>
  <si>
    <t>https://gardets.nu/betydelsen-av-hogkvalitativa-vvs-och-rormokartjanster-tillgangliga-24-7/</t>
  </si>
  <si>
    <t>https://onmovies.se/big-ben-stand-up-stockholms-legend-inom-standup-komedi/</t>
  </si>
  <si>
    <t>Stand up Stockholm</t>
  </si>
  <si>
    <t>https://economictimes.ae/guides/the-rapid-growth-of-nicotine-pouches-a-modern-alternative-to-smoking/</t>
  </si>
  <si>
    <t>https://www.mrnicco.com/snus-vs-nicotine-pouches/</t>
  </si>
  <si>
    <t>https://fashionista.se/every-night-studios-grafisk-design-produktion-av-tryck-brodyr-for-foretag/</t>
  </si>
  <si>
    <t>Every Night Studios</t>
  </si>
  <si>
    <t>jovialsundsvall.se</t>
  </si>
  <si>
    <t>https://brofastet.se/totalentreprenader-nyckeln-till-framgangsrika-projekt-inom-vvs-och-bygg/</t>
  </si>
  <si>
    <t>https://renbyggbransch.nu/att-uppratthalla-en-hogkvalitativ-byggfirma/</t>
  </si>
  <si>
    <t xml:space="preserve">byggföretag Sundsvall </t>
  </si>
  <si>
    <t>https://wetravel.nu/upptack-sundsvall-evenemang-sevardheter-mycket-mer/</t>
  </si>
  <si>
    <t xml:space="preserve">Restaurang i sundsvall </t>
  </si>
  <si>
    <t>https://doortogate.se/upptack-medeltidsstaden-visby-en-resa-genom-historien/</t>
  </si>
  <si>
    <t>https://maltidsvision.se/varma-upp-ditt-hem-med-bergvarme-en-overlagsen-uppvarmningsmetod/</t>
  </si>
  <si>
    <t>https://passioneffect.se/vitt-snus-hotas-av-eu-forbud/</t>
  </si>
  <si>
    <t>tobaksfria nikotinpåsar</t>
  </si>
  <si>
    <t>https://tommytappar.se/att-skaffa-sig-en-tillforlitlig-maklare-en-guide-for-bostadskopare-saljare/</t>
  </si>
  <si>
    <t>https://edgehyllie.se/hemrenovering-tips-for-ett-sakert-och-effektivt-projekt/</t>
  </si>
  <si>
    <t>https://brofastet.se/miljovanliga-byggmaterial-en-framtid-med-hallbara-val/</t>
  </si>
  <si>
    <t>https://kastatarning.se/piffa-till-hemmet-med-lacker-led-belysning/</t>
  </si>
  <si>
    <t>https://familje-sidan.se/allt-du-behover-veta-om-tandimplantat-fran-planering-till-utforande-resultat/</t>
  </si>
  <si>
    <t>https://coachjesper.se/vo2-max-en-nyckel-till-optimal-halsa-fysisk-prestation/</t>
  </si>
  <si>
    <t>https://lightsymposium.se/valj-ratt-kopieringspapper-for-verksamhetens-alla-behov/</t>
  </si>
  <si>
    <t>https://undersammatak.se/uncategorized/maximering-av-ditt-tak-mer-an-bara-skydd-for-huvudet</t>
  </si>
  <si>
    <t>https://www.lidingonyheter.se/den-sociala-dimensionen-av-onlinecasinon/</t>
  </si>
  <si>
    <t xml:space="preserve">Nytt casino </t>
  </si>
  <si>
    <t>https://sportpaket.se/utforska-korsningen-mellan-sport-och-onlinecasinon/</t>
  </si>
  <si>
    <t>https://galantdesign.se/hus/forbattringar-byggnationer-infor-sommaren-sa-forhojer-du-sommarupplevelsen-i-din-villa/</t>
  </si>
  <si>
    <t>https://kronbacken.se/roliga-sommaraktiviteter-for-dig-och-din-hund/</t>
  </si>
  <si>
    <t>https://knutpunktslussen.se/utnyttja-potentialen-med-solceller-pa-ekonomibyggnader-industrihallar/</t>
  </si>
  <si>
    <t>byta tak på maskinhall</t>
  </si>
  <si>
    <t>https://grimetonradio.se/vikten-av-tillgang-till-en-trygg-tillforlitlig-bilmekaniker-med-kannedom-om-din-bil/</t>
  </si>
  <si>
    <t>https://tryggbil.se/volkswagen/</t>
  </si>
  <si>
    <t>volkswagen service</t>
  </si>
  <si>
    <t>https://paracas.se/nar-bilen-inte-fungerar-som-den-ska-hur-en-palitlig-bilverkstad-kan-hjalpa-dig/</t>
  </si>
  <si>
    <t>bilvervice i tyresö</t>
  </si>
  <si>
    <t>https://savethefuture.se/solceller-sommaren-solen-en-djupdykning-i-ljusets-energins-betydelse/</t>
  </si>
  <si>
    <t>https://www.skargarden.se/forbattra-ditt-aventyr-med-sportsbetting-online/</t>
  </si>
  <si>
    <t>https://www.vasterastidning.se/nativeannons/sakert-och-roligt-casinospel-online-en-guide-for-vasterasbor/257410</t>
  </si>
  <si>
    <t xml:space="preserve">Betta online </t>
  </si>
  <si>
    <t>https://swenug.se/sa-fungerar-solenergi/</t>
  </si>
  <si>
    <t>https://w3elsolenergi.se/om-solenergi/</t>
  </si>
  <si>
    <t>så fungerar solenergi</t>
  </si>
  <si>
    <t>https://eciggshoppen.se/vapes-e-cigaretter-minskade-risker-jamfort-med-traditionella-cigaretter/</t>
  </si>
  <si>
    <t>e-ciggbolaget</t>
  </si>
  <si>
    <t>https://makeachange.se/vetenskapen-bakom-vaping-vad-sager-forskningen-om-halsoeffekterna/</t>
  </si>
  <si>
    <t>https://rikedomen.se/vetenskapen-bakom-vaping-vad-sager-forskningen-om-halsoeffekterna/</t>
  </si>
  <si>
    <t>frunk bar</t>
  </si>
  <si>
    <t>https://www.spelochfilm.se/film-och-online-slots-en-oslagbar-kombo/</t>
  </si>
  <si>
    <t>https://www.spelklubben.se/sv/</t>
  </si>
  <si>
    <t xml:space="preserve">Nytt svensk casino </t>
  </si>
  <si>
    <t>https://www.gameelite.se/utvecklingen-av-online-slots/</t>
  </si>
  <si>
    <t>Hitta ditt nästa slotspel här</t>
  </si>
  <si>
    <t>https://svenskacasinosidorna.se/nytt/moderna-live-casino-online-en-revolution-inom-digital-spelunderhallning/</t>
  </si>
  <si>
    <t>slot games</t>
  </si>
  <si>
    <t>https://www.spela-online-casino.se/skillnader-mellan-ett-live-casino-och-ett-klassiskt-casino-online/</t>
  </si>
  <si>
    <t xml:space="preserve">Black jack </t>
  </si>
  <si>
    <t>https://pokeronline.nu/poker-tillverkare-och-operatorer-en-inblick-i-spelindustrins-nyckelaktorer/</t>
  </si>
  <si>
    <t>https://esport-gaming.se/artiklar/e-sportstillverkare-och-operatorer-en-djupdykning-i-branschen/</t>
  </si>
  <si>
    <t xml:space="preserve">Casino </t>
  </si>
  <si>
    <t>https://www.kimura.se/spannande-fajt-under-ufc-paris-benoit-saint-denis-gar-match/</t>
  </si>
  <si>
    <t>Betting på spelklubben.se</t>
  </si>
  <si>
    <t>cherry.com</t>
  </si>
  <si>
    <t>https://www.kimura.se/</t>
  </si>
  <si>
    <t>https://www.cherry.com/sv/casino</t>
  </si>
  <si>
    <t>https://hockeybladet.nu/artikel/recap-av-hockeysasongen-2023-2024-hojdpunkter-och-overraskningar/</t>
  </si>
  <si>
    <t>betting</t>
  </si>
  <si>
    <t>https://satsamanualen.se/maximera-din-marknadsforing-med-kreativa-merchandise-losningar/</t>
  </si>
  <si>
    <t>https://ekonomiskbalans.se/sa-har-kan-du-dra-nytta-av-prestationsbaserad-forvaltning/</t>
  </si>
  <si>
    <t>https://smartareekonomi.se/effektiva-strategier-for-rattvisa-investeringar/</t>
  </si>
  <si>
    <t>https://merkapital.se/varfor-kundomdomen-ar-avgorande-for-investeringsframgang/</t>
  </si>
  <si>
    <t xml:space="preserve">Omdömen för Fair Investments </t>
  </si>
  <si>
    <t>https://investeringskapital.se/viktiga-faktorer-att-beakta-i-finansiella-rapporter/</t>
  </si>
  <si>
    <t>https://kapitalskolan.se/forsta-och-utnyttja-rattvisa-investeringsmojligheter/</t>
  </si>
  <si>
    <t>https://livsekonomi.se/maximera-din-avkastning-med-etiska-investeringsval/</t>
  </si>
  <si>
    <t>https://familjeekonomin.se/forsta-foretagets-ekonomiska-halsa-genom-bokslut/</t>
  </si>
  <si>
    <t>https://livsstilsexperten.se/nyckeln-till-framgangsrika-investeringar-sakerhet-och-avkastning/</t>
  </si>
  <si>
    <t>https://livsstilsbloggen.se/hur-bolagsinformation-kan-hjalpa-dig-att-fatta-battre-beslut/</t>
  </si>
  <si>
    <t>https://tinytech.se/sa-har-diversifierar-du-dina-investeringar-for-maximal-sakerhet/</t>
  </si>
  <si>
    <t>https://satsamanualen.se/effektiva-metoder-for-langsiktig-kapitaltillvaxt/</t>
  </si>
  <si>
    <t>https://nybyggande.se/hur-du-sakerstaller-att-dina-solceller-ar-ratt-forsakrade/</t>
  </si>
  <si>
    <t>https://husjournalen.se/hur-du-valjer-ratt-forsakring-for-dina-solceller/</t>
  </si>
  <si>
    <t>försäkring solceller</t>
  </si>
  <si>
    <t>https://viktigainformationer.se/sa-hittar-du-den-basta-tandlakaren-i-stockholm/</t>
  </si>
  <si>
    <t>https://samlivet.se/fordelarna-med-regelbundna-tandlakarbesok/</t>
  </si>
  <si>
    <t>https://livsbanken.se/att-valja-ratt-tandlakare-en-guide-for-stockholmare/</t>
  </si>
  <si>
    <t>https://modernbusinesslife.com/the-business-model-behind-high-end-matchmaking-services/</t>
  </si>
  <si>
    <t>http://www.kelleher-international.com/</t>
  </si>
  <si>
    <t>Professional Matchmaking Service</t>
  </si>
  <si>
    <t>https://marry-marry.com/how-to-navigate-the-modern-dating-landscape/</t>
  </si>
  <si>
    <t>Kelleher International Matchmaking</t>
  </si>
  <si>
    <t>https://lovelolablog.com/2024/07/19/finding-love-in-the-digital-era-strategies-for-modern-singles/</t>
  </si>
  <si>
    <t>https://xn--lpskola-90a.nu/blogg/gor-aldrig-kompromissar-med-kvaliteten-pa-dina-frtidsskor/</t>
  </si>
  <si>
    <t>https://alfaoutdoor.se/</t>
  </si>
  <si>
    <t>premiumkvalitet på dina nya fritidsskor</t>
  </si>
  <si>
    <t>https://tommytappar.se/fonsterbyten-en-omfattande-guide-till-basta-resultat/</t>
  </si>
  <si>
    <t>https://renbyggbransch.nu/effektiv-avloppsrening-for-lantbrukare/</t>
  </si>
  <si>
    <t>https://conclean.se</t>
  </si>
  <si>
    <t>concleans minireningsverk</t>
  </si>
  <si>
    <t>https://medeltidsmarknad.se/steg-for-steg-hur-du-valjer-ratt-minireningsverk/</t>
  </si>
  <si>
    <t>minireningsverk</t>
  </si>
  <si>
    <t>https://lillavik.se/fastighetsratt-dess-inverkan-pa-bostadsratts-och-hyresrattsagare/</t>
  </si>
  <si>
    <t>Fastighetsrätt</t>
  </si>
  <si>
    <t>https://saralundberg.se/skapa-ett-oforglomligt-event-genom-konsten-att-skapa-atmosfar/</t>
  </si>
  <si>
    <t>https://gravnorrkoping.se/byggprojekt-som-kan-uppgradera-din-hemester/</t>
  </si>
  <si>
    <t>https://now.nu/den-ultimata-guiden-for-en-smidig-flytt-flyttips-checklistor/</t>
  </si>
  <si>
    <t>https://missli.se/den-ultimata-guiden-for-att-forbereda-din-bostad-for-forsaljning/</t>
  </si>
  <si>
    <t>https://thewildroseaccessories.se/ekonomiska-aspekter-vid-forsaljning-av-bostad</t>
  </si>
  <si>
    <t>https://naturensar.se/en-omfattande-guide-till-juridiska-aspekter-vid-forsaljning-av-bostad/</t>
  </si>
  <si>
    <t>https://modernating.se/teknologins-roll-vid-forsaljning-av-bostader/</t>
  </si>
  <si>
    <t>Länsfast i danderyd</t>
  </si>
  <si>
    <t>https://edgehyllie.se/led-lister-skapa-stamning-atmosfar-i-ditt-hem/</t>
  </si>
  <si>
    <t>https://ledkungen.se</t>
  </si>
  <si>
    <t>https://keynote.se/sre-seo-nycklar-till-starkare-mer-hallbara-webbplatser/</t>
  </si>
  <si>
    <t>https://akallaapotek.se/tandvardens-utveckling-de-senaste-50-aren-fran-70-talet-till-idag/</t>
  </si>
  <si>
    <t>tandimplantat stockholm</t>
  </si>
  <si>
    <t>https://sundmans.se/vad-ar-skillnaden-mellan-skalfasader-tandregleringar-och-tandimplantat/</t>
  </si>
  <si>
    <t>Tandläkare på södermalm</t>
  </si>
  <si>
    <t>https://oljudsthlm.se/totalentreprenader-mojligheten-till-skapandet-av-spannande-byggnadsprojekt/</t>
  </si>
  <si>
    <t>https://nykonsument.se/innovativa-byggnadsmaterial-som-forandrar-byggindustrin/</t>
  </si>
  <si>
    <t xml:space="preserve">Byggfirma Stockholm </t>
  </si>
  <si>
    <t>https://52metodenhalvfasta.se/vikten-av-ett-starkt-vo2-max-hur-det-paverkar-halsa-livslangd/</t>
  </si>
  <si>
    <t>https://signalnoi.se/vikten-av-en-b2b-it-partner-i-hanteringen-av-cyberhot-och-driftstorningar/</t>
  </si>
  <si>
    <t>https://coresys.se/molntjansternas-betydelse-i-dagens-it-webbaserade-infrastruktur/</t>
  </si>
  <si>
    <t>it företag stockholm</t>
  </si>
  <si>
    <t>https://huddingeextra.se/den-oemotstandliga-lyxen-av-en-egen-flytbrygga-en-sommardrom/</t>
  </si>
  <si>
    <t>https://fashionista.se/vad-gor-estetisk-tandvard-unik/</t>
  </si>
  <si>
    <t>botox stockholm</t>
  </si>
  <si>
    <t>https://hhbf.se/fordelarna-med-att-ombilda-hyresratter-till-bostadsratter/</t>
  </si>
  <si>
    <t>https://novamedtech.se/knaskydd-knastod-anvandningsomraden-fordelar/</t>
  </si>
  <si>
    <t>https://zelium.se/allmanhet/fordelar-med-att-vara-senior-pensionar-mojligheter-och-formaner-i-samhallet/</t>
  </si>
  <si>
    <t>https://serviceteknikerkarlstad.se/vad-ar-vvs-hur-utfors-vanliga-projekt/</t>
  </si>
  <si>
    <t>Rörmokare Sollentuna</t>
  </si>
  <si>
    <t>https://brak.se/hur-solenoider-forbattrar-prestanda-i-elektriska-motorer/</t>
  </si>
  <si>
    <t>https://brofastet.se/likstromsgeneratorer-deras-syfte-i-samband-med-den-elektriska-motorn/</t>
  </si>
  <si>
    <t xml:space="preserve">Generator </t>
  </si>
  <si>
    <t>https://modernating.se/mc-batterier-funktion-skillnader-fran-bilbatterier-ratt-val-av-batteri/</t>
  </si>
  <si>
    <t>https://www.startmotor.se/kategori/mc-batterier</t>
  </si>
  <si>
    <t>MC-batteri</t>
  </si>
  <si>
    <t>https://lillavik.se/vad-ar-en-elmotor-och-vad-ar-skillnaden-mellan-en-elmotor-flaktmotor-och-torkarmotor/</t>
  </si>
  <si>
    <t>https://www.startmotor.se/kategori/elmotorer</t>
  </si>
  <si>
    <t>elmotor</t>
  </si>
  <si>
    <t>https://firmify.se/miljovanliga-alternativ-hallbarhet-inom-framstallandet-av-kopieringspapper/</t>
  </si>
  <si>
    <t>https://schuck.se/de-vanligaste-tandproblemen-hur-du-kan-forebygga-dem/</t>
  </si>
  <si>
    <t>https://forlivochrorelse.se/allt-du-behover-veta-om-tandimplantat-fran-kirurgi-till-eftervard/</t>
  </si>
  <si>
    <t>tandimplantat i stockholm hos tandea</t>
  </si>
  <si>
    <t>https://jessicasmaleriostad.se/hur-forodande-ett-skadat-tak-kan-vara-for-din-ekonomibyggnad-industri/</t>
  </si>
  <si>
    <t>https://tommytappar.se/installera-solceller-vid-takbyte-en-smart-investering-for-framtiden/</t>
  </si>
  <si>
    <t>byta tak maskinhall</t>
  </si>
  <si>
    <t>https://hhbf.se/tecken-pa-att-du-bor-ta-in-bilen-till-en-skadeverkstad/</t>
  </si>
  <si>
    <t>https://stockholmextra.se/upptack-fordelarna-med-regelbunden-bilservice-en-guide-for-bilagare-i-stockholm/</t>
  </si>
  <si>
    <t>vw stockholm</t>
  </si>
  <si>
    <t>https://andreanorrman.se/framtiden-for-hallbar-forpackning-inom-tobaksindustrin/</t>
  </si>
  <si>
    <t>https://zelium.se/halsa/trender-inom-halsa-och-valmaende-en-djupdykning-i-moderna-livsstilsval/</t>
  </si>
  <si>
    <t>https://uppsalamagicandcomedy.se/regler-lagar-kring-snus-vitt-snus-i-eu/</t>
  </si>
  <si>
    <t>https://naturensar.se/allt-du-behover-veta-om-hydraulsystem/</t>
  </si>
  <si>
    <t>https://nordenhydraulic.se/</t>
  </si>
  <si>
    <t>Nordén Hydralauik</t>
  </si>
  <si>
    <t>https://brak.se/vitt-snus-en-ny-favorit-i-sverige/</t>
  </si>
  <si>
    <t>https://e-ciggbolaget.se/vitt-snus</t>
  </si>
  <si>
    <t>https://oljudsthlm.se/fordelar-med-vitt-snus/</t>
  </si>
  <si>
    <t>https://e-ciggbolaget.se/vitt-snus/</t>
  </si>
  <si>
    <t>https://beanit.se/okad-popularitet-for-e-cigaretter-och-vapes-i-sverige/</t>
  </si>
  <si>
    <t>hampabonden.se</t>
  </si>
  <si>
    <t>https://eteriskaoljorna.se/fordelar-med-hampaprotein/</t>
  </si>
  <si>
    <t>https://hampabonden.se/33-hampaprodukter/hampaprotein</t>
  </si>
  <si>
    <t>hampaprotein</t>
  </si>
  <si>
    <t>https://bygghuddinge.se/upptack-fordelarna-med-formtrappan/</t>
  </si>
  <si>
    <t>formtrappan</t>
  </si>
  <si>
    <t>https://healthyliving.se/halsofordelar-med-massage/</t>
  </si>
  <si>
    <t>Massage Stockholm</t>
  </si>
  <si>
    <t>https://firmify.se/optimera-ditt-fordon-med-optione/</t>
  </si>
  <si>
    <t>optione.se/adblue-off/</t>
  </si>
  <si>
    <t>Ad Blue för lastbil</t>
  </si>
  <si>
    <t>joureliten.se</t>
  </si>
  <si>
    <t>https://edgehyllie.se/jourelektriker-fran-joureliten-din-raddare-i-noden/</t>
  </si>
  <si>
    <t>https://www.joureliten.se/jour-elektriker/</t>
  </si>
  <si>
    <t>jour elektriker</t>
  </si>
  <si>
    <t>https://brofastet.se/miljovanliga-byggmaterial-for-moderna-hem/</t>
  </si>
  <si>
    <t>https://bloggfamiljen.se/energibesparing-med-papptak/</t>
  </si>
  <si>
    <t>https://anwire.org/why-companies-should-consider-a-virtual-ciso/</t>
  </si>
  <si>
    <t>virtual ciso</t>
  </si>
  <si>
    <t>https://appleworld.today/2024/07/the-importance-of-cybersecurity-for-businesses-today/</t>
  </si>
  <si>
    <t>https://digitaledge.org/the-growing-threat-of-cyberattacks-on-businesses/</t>
  </si>
  <si>
    <t>https://dutchbullion.de/waermepumpe-versicherung-was-sie-wissen-muessen/</t>
  </si>
  <si>
    <t>arctic.se/nibe-warmepumpe-versicherung/</t>
  </si>
  <si>
    <t>https://ladyfashion.se/vikten-av-regelbundna-tandlakarbesok-for-din-halsa/</t>
  </si>
  <si>
    <t>https://levdittlivnu.se/asbestsanering-sakra-din-bostad-mot-osynliga-faror/</t>
  </si>
  <si>
    <t>https://modernalivet.se/livsstil/hitta-balansen-i-vardagen-moderna-livsstilsval/</t>
  </si>
  <si>
    <t>https://byggbalans.se/hur-stamspolning-forebygger-kostsamma-vattenlackor/</t>
  </si>
  <si>
    <t>stamspolning stockholm</t>
  </si>
  <si>
    <t>https://aktivaunga.se/vikten-av-en-halsosam-livsstil-for-unga/</t>
  </si>
  <si>
    <t>https://hazard.se/casino/cherry-com-oppnar-sveriges-nyaste-livecasino/</t>
  </si>
  <si>
    <t>https://www.cherry.com/sv/live-casino</t>
  </si>
  <si>
    <t>Cherry.com</t>
  </si>
  <si>
    <t>https://casinoviking.io/sv/blogg/cherry-casino-recension/</t>
  </si>
  <si>
    <t>Cherry Casino</t>
  </si>
  <si>
    <t>https://webbkrysset.se/blogg/recension-av-spelklubben-ett-nytt-casino-pa-uppgang/</t>
  </si>
  <si>
    <t>https://www.spelklubben.se/</t>
  </si>
  <si>
    <t>nytt populärt casino</t>
  </si>
  <si>
    <t>https://casinosmsbetalning.se/blogg/olika-typer-av-roulette-en-guide-for-varje-typ-av-spelare/</t>
  </si>
  <si>
    <t>live roulette</t>
  </si>
  <si>
    <t>https://spelnytt.nu/casinon/nya-casinospel-innovation-och-underhallning/</t>
  </si>
  <si>
    <t>https://www.spelklubben.se/sv/casino/new-games</t>
  </si>
  <si>
    <t>nya casinospel</t>
  </si>
  <si>
    <t>https://www.casinorus.se/blogg/sa-paverkar-ny-teknik-casinospel/</t>
  </si>
  <si>
    <t>https://madforit.se/blogg/gonzos-quest-vad-gor-det-sa-speciellt/</t>
  </si>
  <si>
    <t>https://www.onlinepengar.com/changpeng-zhao-domd-till-fangelse/</t>
  </si>
  <si>
    <t>En bra kryptomäklare som KvarnX</t>
  </si>
  <si>
    <t>https://henricsons.se/blogg/betting-vid-stora-masterskap-en-guide/</t>
  </si>
  <si>
    <t>vanliga frågor om online betting</t>
  </si>
  <si>
    <t>https://www.saleseffect.se/6-effektiva-saljstrategier-2024-trender-och-tips/</t>
  </si>
  <si>
    <t>https://hampabonden.se/</t>
  </si>
  <si>
    <t>hampaprodukter hos Hampabonden</t>
  </si>
  <si>
    <t>https://eventeffect.se/flytande-evenemang/</t>
  </si>
  <si>
    <t>https://misterdubai.ae/exploring-the-rise-of-smoke-free-alternatives/</t>
  </si>
  <si>
    <t>https://www.nettotobak.com/all-white-portion/</t>
  </si>
  <si>
    <t>https://ledarsidorna.se/innovativa-strategier-for-hallbart-ledarskap/</t>
  </si>
  <si>
    <t>https://ledarsidorna.se/hallbara-investeringar-och-deras-betydelse-for-framtiden/</t>
  </si>
  <si>
    <t>https://nyheteridag.se/ny-teknik-och-halsa-hur-innovationer-forandrar-vart-dagliga-liv/</t>
  </si>
  <si>
    <t>cbd-produkter</t>
  </si>
  <si>
    <t>https://nyheteridag.se/digital-revolution-smarta-klockor-som-forandrar-var-vardag/</t>
  </si>
  <si>
    <t>Hitta olika engångs vape på https://www.vont.se/engangs-vape</t>
  </si>
  <si>
    <t>https://nyheteridag.se/bitcoins-senaste-nedgang-ett-koplage/</t>
  </si>
  <si>
    <t>Kryptovalutor</t>
  </si>
  <si>
    <t>nettotobak.com</t>
  </si>
  <si>
    <t>https://ledarsidorna.se/regulativa-utmaningar-for-tobaksfria-nikotinprodukter-i-europa/</t>
  </si>
  <si>
    <t>https://www.totallystockholm.se/nyheter-inom-casinobranschen-spelinspektionens-arbete-fem-ar-efter-omregleringen/</t>
  </si>
  <si>
    <t>https://www.kingsizemag.se/okategoriserat/den-digitala-revolutionen-musik-spel-och-underhallning-pa-cherry-casino/</t>
  </si>
  <si>
    <t>https://www.totallyorebro.se/uncategorized/utvecklingen-av-moderna-livecasinon-fran-da-till-nu/</t>
  </si>
  <si>
    <t>moderna livecasinon</t>
  </si>
  <si>
    <t>https://www.djungeltrumman.se/nyheter-inom-online-casino-branschen-cherry-casino-och-spelinspektionen/</t>
  </si>
  <si>
    <t>https://www.cherry.com/sv/</t>
  </si>
  <si>
    <t>Cherry casino</t>
  </si>
  <si>
    <t>https://www.totallystockholm.se/hitta-balansen-i-vardagen-moderna-livsstilsval/</t>
  </si>
  <si>
    <t>https://www.nettotobak.com/</t>
  </si>
  <si>
    <t>https://www.executiveeffect.se/vikten-av-mental-halsa-i-ledarskapet/</t>
  </si>
  <si>
    <t>https://cannabislight.se/produkt/premium-cbdolja-20pct/</t>
  </si>
  <si>
    <t>https://dogma.nu/solenergi-en-gron-framtid-for-energiproduktion/</t>
  </si>
  <si>
    <t>https://rikedomen.se/investera-i-solceller-ett-smart-satt-att-spara-tjana-pengar/</t>
  </si>
  <si>
    <t>https://freddielarsson.se/konsten-att-framfora-vass-provocerande-humor-balansgangen-mellan-humor-hansyn/</t>
  </si>
  <si>
    <t xml:space="preserve">Stand up stockholm </t>
  </si>
  <si>
    <t>https://clotheshor.se/uttrycka-sig-sjalv-och-sitt-foretag-med-egendesignad-merchandise/</t>
  </si>
  <si>
    <t>https://14karat.se/gron-investering-en-hallbar-satsning-som-okar-vardet-pa-din-bostad/</t>
  </si>
  <si>
    <t>https://nouveaumodels.se/led-teknikens-overlagsenhet-en-jamforelse-med-tidigare-belysningsformer/</t>
  </si>
  <si>
    <t>https://sund.nu/hur-dalig-munhalsa-kan-paverka-ens-allmanna-halsa-viktiga-kopplingar-man-bor-kanna-till/</t>
  </si>
  <si>
    <t>https://secworks.se/ekonomiska-fordelar-med-bulkinkop-av-kopieringspapper-for-foretag/</t>
  </si>
  <si>
    <t>https://annasfotnoter.se/underhall-av-tak-aret-runt-sasongsrelaterade-tips-skador-att-se-upp-for/</t>
  </si>
  <si>
    <t>https://lillavik.se/takbyten-solcellsinstallationer-en-investering-for-framtiden/</t>
  </si>
  <si>
    <t>https://oljudsthlm.se/sa-valjer-du-ratt-bilverkstad/</t>
  </si>
  <si>
    <t>https://rikedomen.se/sakerhetskontroll-av-bilen-infor-langre-resor/</t>
  </si>
  <si>
    <t>https://www.dagensinfrastruktur.se/2024/07/25/spelbranschen-vaxer-hur-far-man-svensk-spellicens/</t>
  </si>
  <si>
    <t>Sveriges nyaste onlinecasino</t>
  </si>
  <si>
    <t>https://www.nyaprojekt.se/2024/07/25/cherry-casino-en-forebild-i-hallbarhet-och-innovation/</t>
  </si>
  <si>
    <t>https://www.nordiskaprojekt.se/2024/07/25/industrins-digitala-transformation-med-ai-och-innovativa-losningar/</t>
  </si>
  <si>
    <t>ett brett utbud av casinospel</t>
  </si>
  <si>
    <t>https://www.dagensinfrastruktur.se/2024/07/25/moderna-livecasinon-en-revolution-inom-online-spel/</t>
  </si>
  <si>
    <t>dagens avancerade, interaktiva plattformar</t>
  </si>
  <si>
    <t>https://www.grontsamhallsbyggande.se/2024/07/25/vad-kan-online-casino-branschen-gora-for-att-vara-en-del-av-det-grona-samhallsbygget/</t>
  </si>
  <si>
    <t>onlinecasinon</t>
  </si>
  <si>
    <t>https://www.nyaprojekt.se/2024/07/25/sveriges-casinon-nedlaggningar-och-framtida-planer/</t>
  </si>
  <si>
    <t>spela casino</t>
  </si>
  <si>
    <t>https://www.svenskbyggtidning.se/2024/07/25/strategisk-planering-och-beslutsfattande-i-byggbranschen/</t>
  </si>
  <si>
    <t>https://www.dagensinfrastruktur.se/2024/07/25/framtidens-infrastruktur-investeringar-som-driver-utvecklingen/</t>
  </si>
  <si>
    <t>https://www.nyaprojekt.se/2024/07/25/digitaliseringens-inverkan-pa-svensk-industri/</t>
  </si>
  <si>
    <t>https://www.dagensinfrastruktur.se/2024/07/25/framtidens-infrastruktur-och-hallbara-investeringar/</t>
  </si>
  <si>
    <t>https://www.grontsamhallsbyggande.se/2024/07/25/hallbara-investeringar-for-en-gron-framtid/</t>
  </si>
  <si>
    <t>https://www.nyaprojekt.se/2024/07/25/framtidens-infrastruktur-hallbara-byggprojekt/</t>
  </si>
  <si>
    <t>https://www.svenskbyggtidning.se/2024/07/25/arbetsmiljo-och-sakerhet-pa-byggarbetsplatser-en-nyckel-till-framgang/</t>
  </si>
  <si>
    <t>Vitt Snus</t>
  </si>
  <si>
    <t>https://www.nordiskaprojekt.se/2024/07/25/digitalisering-och-halsa/</t>
  </si>
  <si>
    <t>https://www.dagensinfrastruktur.se/2024/07/25/sveriges-rekordstora-infrastruktursatsning/</t>
  </si>
  <si>
    <t>https://www.svenskbyggtidning.se/2024/07/25/kvalitetssakring-i-byggbranschen-metoder-for-att-sakerstalla-hallbara-och-palitliga-byggprojekt/</t>
  </si>
  <si>
    <t>https://www.svenskbyggtidning.se/2024/07/25/effektiv-projektledning-inom-byggbranschen-nyckeln-till-framgang/</t>
  </si>
  <si>
    <t>https://www.nordiskaprojekt.se/2024/07/25/innovationer-och-hallbarhet-i-bygg-och-anlaggningsbranschen/</t>
  </si>
  <si>
    <t>https://sakraror.se/monterat-och-klart-vvs-tjanster-till-fast-pris/</t>
  </si>
  <si>
    <t>vvs installation</t>
  </si>
  <si>
    <t>https://www.nordiskaprojekt.se/2024/07/25/framtidens-energilosningar-hur-innovationer-driver-hallbarhet/</t>
  </si>
  <si>
    <t>https://www.dagensinfrastruktur.se/2024/07/29/framtidens-infrastruktur-utveckling-och-utmaningar/</t>
  </si>
  <si>
    <t>https://www.dagensinfrastruktur.se/2024/07/25/hallbara-infrastrukturprojekt-en-nyckel-till-framtidens-stader/</t>
  </si>
  <si>
    <t>https://www.nordiskaprojekt.se/2024/07/25/hallbarhetsprojekt-och-deras-paverkan-pa-den-nordiska-byggsektorn/</t>
  </si>
  <si>
    <t xml:space="preserve">Kapitalförvaltning via Fair investments </t>
  </si>
  <si>
    <t>https://amcrazytourists.com/the-cultural-importance-of-2nd-hand-vintage-products-in-a-sustainable-fashion-landscape/</t>
  </si>
  <si>
    <t>https://www.businesstomark.com/the-resurgence-of-vintage-fashion/</t>
  </si>
  <si>
    <t>rusta.se</t>
  </si>
  <si>
    <t>https://www.dagensinfrastruktur.se/2024/07/29/hallbar-utveckling-och-effektiva-losningar-i-svensk-infrastruktur/</t>
  </si>
  <si>
    <t>https://www.rusta.com/se/sv/fritid/husdjur/hund/hundfoder/</t>
  </si>
  <si>
    <t>Hundfoder</t>
  </si>
  <si>
    <t>https://www.nyaprojekt.se/2024/07/29/framtidens-kontorsutrymmen-flexibla-och-hallbara-losningar/</t>
  </si>
  <si>
    <t>https://www.rusta.com/se/sv/hem--inredning/mattor/</t>
  </si>
  <si>
    <t>Mattor</t>
  </si>
  <si>
    <t>https://www.nyaprojekt.se/2024/07/29/skapa-ett-smart-och-energieffektivt-hem/</t>
  </si>
  <si>
    <t xml:space="preserve">Elektriker stockholm </t>
  </si>
  <si>
    <t>https://www.dagensinfrastruktur.se/2024/07/25/hallbara-losningar-och-avancerad-teknik-i-stockholms-byggprojekt/</t>
  </si>
  <si>
    <t>https://www.nyaprojekt.se/2024/07/29/betydelsen-av-digital-kommunikation-inom-byggsektorn/</t>
  </si>
  <si>
    <t>https://herravdelningen.se/kryptovalutor-en-revolution-inom-finansvarlden/</t>
  </si>
  <si>
    <r>
      <rPr>
        <sz val="10"/>
        <rFont val="Arial"/>
        <family val="2"/>
      </rPr>
      <t xml:space="preserve">Handla Kryptovalutor hos </t>
    </r>
    <r>
      <rPr>
        <u/>
        <sz val="10"/>
        <color rgb="FF1155CC"/>
        <rFont val="Arial"/>
        <family val="2"/>
      </rPr>
      <t>kvarnx.com</t>
    </r>
  </si>
  <si>
    <t>https://trendytech.se/nyheter-i-kryptovalutavarlden/</t>
  </si>
  <si>
    <t>https://annasfotnoter.se/effektiv-hantering-av-industriella-processer-vikten-av-ratt-tillbehor-och-utrustning/</t>
  </si>
  <si>
    <t>https://nordenhydraulic.se/hydraulik/hydrauliktillbehor/</t>
  </si>
  <si>
    <t>Hydrauliktillbehör</t>
  </si>
  <si>
    <t>https://makeachange.se/effektiva-losningar-for-moderna-hydrauliska-system/</t>
  </si>
  <si>
    <t>https://nordenhydraulic.se/tjanster/</t>
  </si>
  <si>
    <t>Nordén Hydraulic</t>
  </si>
  <si>
    <t>https://gardets.nu/optimera-din-bathamn-med-hallbara-brygglosningar/</t>
  </si>
  <si>
    <r>
      <rPr>
        <u/>
        <sz val="10"/>
        <color rgb="FF1155CC"/>
        <rFont val="Arial"/>
        <family val="2"/>
      </rPr>
      <t>https://pontonhamnar.se/</t>
    </r>
    <r>
      <rPr>
        <sz val="10"/>
        <rFont val="Arial"/>
        <family val="2"/>
      </rPr>
      <t xml:space="preserve"> </t>
    </r>
  </si>
  <si>
    <t>Ponton</t>
  </si>
  <si>
    <t>https://now.nu/en-guide-till-flytbryggor-forvandla-din-sjotomt/</t>
  </si>
  <si>
    <t>https://kamagraquees.nu/stand-up-i-stockholm-en-humoristisk-resa/</t>
  </si>
  <si>
    <t>https://gaffa.se/sponsrat-innehall/2024/januar-december/klaerne-som-garanterer-at-du-klarer-festivalsommeren/</t>
  </si>
  <si>
    <t>Alfa</t>
  </si>
  <si>
    <t>Handla Kryptovalutor hos kvarnx.com</t>
  </si>
  <si>
    <t>himala.ai</t>
  </si>
  <si>
    <t>https://www.metrotimes.com/contributor-news/how-ai-assistants-are-replacing-google-for-online-shopping-39720545</t>
  </si>
  <si>
    <t>https://himala.ai/</t>
  </si>
  <si>
    <t>AI assistant</t>
  </si>
  <si>
    <t>videoslots.com</t>
  </si>
  <si>
    <t>https://www.dagenshultsfred.se/nyheter/-/e/304311/fight-or-flight-sa-funkar-din-kropp-i-stressade-lagen/?desktop=true</t>
  </si>
  <si>
    <t>https://www.videoslots.com/sv</t>
  </si>
  <si>
    <t>videoslots</t>
  </si>
  <si>
    <t>https://www.idobusiness.co.uk/why-business-should-like-online-game/</t>
  </si>
  <si>
    <t>https://www.videoslots.com/</t>
  </si>
  <si>
    <t>https://london-post.co.uk/staycation-slowdown-surprising-ways-city-dwellers-relax-on-vacation/</t>
  </si>
  <si>
    <t>https://naturensar.se/hur-du-valjer-ratt-vvs-system-for-din-byggnad/</t>
  </si>
  <si>
    <t>VVS sollentuna</t>
  </si>
  <si>
    <t>https://tv-tabla.nu/blogg/tv-reklamer-vi-minns-en-nostalgisk-resa-genom-tidens-klassiker</t>
  </si>
  <si>
    <t>https://www.cherry.com/sv</t>
  </si>
  <si>
    <r>
      <rPr>
        <u/>
        <sz val="10"/>
        <color rgb="FF1155CC"/>
        <rFont val="Arial"/>
        <family val="2"/>
      </rPr>
      <t>https://tvprogram.nu/blogg/casinoreklamer-da-och-nu-en-resa-genom-tidens-spel</t>
    </r>
    <r>
      <rPr>
        <sz val="10"/>
        <rFont val="Arial"/>
        <family val="2"/>
      </rPr>
      <t xml:space="preserve"> </t>
    </r>
  </si>
  <si>
    <t>https://www.cherry.com/sv/live-casino/game-shows</t>
  </si>
  <si>
    <r>
      <rPr>
        <u/>
        <sz val="10"/>
        <color rgb="FF1155CC"/>
        <rFont val="Arial"/>
        <family val="2"/>
      </rPr>
      <t>https://filmeye.se/topp-5-casinorelaterade-filmer/</t>
    </r>
    <r>
      <rPr>
        <sz val="10"/>
        <rFont val="Arial"/>
        <family val="2"/>
      </rPr>
      <t xml:space="preserve"> </t>
    </r>
  </si>
  <si>
    <t>https://www.cherry.com/sv/casino/slots</t>
  </si>
  <si>
    <t>slots</t>
  </si>
  <si>
    <r>
      <rPr>
        <u/>
        <sz val="10"/>
        <color rgb="FF1155CC"/>
        <rFont val="Arial"/>
        <family val="2"/>
        <scheme val="minor"/>
      </rPr>
      <t>https://xn--sporthnt-5za.se/forbered-dig-infor-nya-premier-league-sasongen/</t>
    </r>
  </si>
  <si>
    <t>https://www.spelklubben.se/sv/betting/</t>
  </si>
  <si>
    <t>https://filmguide.nu/2024/08/16/de-10-basta-casino-och-las-vegas-filmerna/</t>
  </si>
  <si>
    <t>spela på casino</t>
  </si>
  <si>
    <t>https://podradio.nu/vikten-av-att-atervinna-engangsvapes-pa-korrekt-satt/</t>
  </si>
  <si>
    <t>Generisk ankare om engångsvape</t>
  </si>
  <si>
    <t>https://www.forsakringen.se/kopa-och-salja-krypto-en-omfattande-guide-till-en-digital-ekonomi/</t>
  </si>
  <si>
    <t>Köpa och sälja kryptovalutor</t>
  </si>
  <si>
    <t>https://xn--bst-odds-0za.se/sveriges-storsta-guldhopp-i-os-2024-armand-duplantis/</t>
  </si>
  <si>
    <t>Betting</t>
  </si>
  <si>
    <t>https://svenskacasinosidorna.se/nytt/upptack-varlden-av-svenska-casinon/</t>
  </si>
  <si>
    <t>https://hockeyspelet.se/landhockey-i-os-2024-resultat-och-kontroverser/</t>
  </si>
  <si>
    <t>live odds</t>
  </si>
  <si>
    <t>https://spelbolaget.nu/blogg/en-omfattande-recension-av-cherry-com/</t>
  </si>
  <si>
    <t>https://nyasvenskacasino.se/blogg/cherry-com-det-nygamla-casinot-som-ar-tillbaka/</t>
  </si>
  <si>
    <t>https://www.onlinepengar.com/bitcoin-senaste-utveckling-och-faktorer-som-paverkat-priset/</t>
  </si>
  <si>
    <t>Kryptomäklare som KvarnX</t>
  </si>
  <si>
    <t>https://xn--bsta-fonderna-bfb.nu/blogg/fonder-den-enkla-vagen-till-smartare-investeringar/</t>
  </si>
  <si>
    <t xml:space="preserve">https://bästcasino.eu/spelklubben/ </t>
  </si>
  <si>
    <t>spelklubben</t>
  </si>
  <si>
    <r>
      <rPr>
        <sz val="11"/>
        <rFont val="inherit"/>
      </rPr>
      <t>https://www.sportochfritidsnyheter.se/20240820/3937/svensk-bordtennis-hemligheten-bakom-framgang-trots-liten-befolkning</t>
    </r>
  </si>
  <si>
    <t>oddsen i matchen mot världsettan</t>
  </si>
  <si>
    <t>bethard.com</t>
  </si>
  <si>
    <t>https://www.kingsizemag.se/okategoriserat/guldstriden-i-fotbollsallsvenskan-vilka-lag-star-starkast-infor-hostsasongen/</t>
  </si>
  <si>
    <t>https://www.bethard.com/sv/sports</t>
  </si>
  <si>
    <t>odds på Allsvenskan</t>
  </si>
  <si>
    <t>https://www.djungeltrumman.se/bettingguide-en-introduktion-till-varlden-av-sportsbetting/</t>
  </si>
  <si>
    <t>https://www.nojesnytthelsingborg.se/2024/08/22/helsingborgs-if-chanser-till-allsvenskt-avancemang-i-host/</t>
  </si>
  <si>
    <t>https://www.bethard.com/sv/sports/live/fotboll</t>
  </si>
  <si>
    <t>Oddsen ser hyfsade ut</t>
  </si>
  <si>
    <t>https://www.vaken.se/underhallningsbranschens-paverkan-pa-ekonomin/</t>
  </si>
  <si>
    <t>https://www.lidingonyheter.se/engangsvape-en-ny-trend/</t>
  </si>
  <si>
    <r>
      <rPr>
        <sz val="11"/>
        <color rgb="FF000000"/>
        <rFont val="Arial, sans-serif"/>
      </rPr>
      <t>engångsvape</t>
    </r>
  </si>
  <si>
    <t>https://alltomnorrtalje.se/kryptovalutor-mojligheter-och-risker-i-en-digital-ekonomi/</t>
  </si>
  <si>
    <r>
      <rPr>
        <sz val="10"/>
        <color rgb="FF000000"/>
        <rFont val="Arial, sans-serif"/>
      </rPr>
      <t>KvarnX</t>
    </r>
  </si>
  <si>
    <t>snuset.se</t>
  </si>
  <si>
    <t>https://www.lidingonyheter.se/zyn-atervander-med-new-feel-efter-framgangarna-i-usa/</t>
  </si>
  <si>
    <t>https://www.snuset.se/snuskuriren/philip-morris-fasar-ut-shiro-till-forman-for-zyn/</t>
  </si>
  <si>
    <t>utfasning av varumärken som Shiro</t>
  </si>
  <si>
    <t>https://www.lidingonyheter.se/sakerhet-och-ansvar-inom-onlinecasinon/</t>
  </si>
  <si>
    <t>https://www.cherry.com/sv/responsible-gaming</t>
  </si>
  <si>
    <t>https://spelaonline.info/roulette/</t>
  </si>
  <si>
    <t>varianter av roulette</t>
  </si>
  <si>
    <t>KvarnX</t>
  </si>
  <si>
    <t>https://www.stockholmsbyggnyheter.se/20240820/6215/patriams-vinkelhus-pa-lilla-essingen-en-hallbar-framtid</t>
  </si>
  <si>
    <t>elektriker stockholm</t>
  </si>
  <si>
    <t>https://www.stockholmsbyggnyheter.se/20240820/6212/vvs-i-stockholm-en-oversikt-over-utvecklingen-och-framtiden</t>
  </si>
  <si>
    <t>https://rorjour247.se/rormokare-stockholm</t>
  </si>
  <si>
    <t>VVS i stockholm</t>
  </si>
  <si>
    <t>soartzy.com</t>
  </si>
  <si>
    <r>
      <rPr>
        <sz val="11"/>
        <rFont val="inherit"/>
      </rPr>
      <t>https://www.inredningsnyheter.se/20240820/19780/skapa-en-personlig-och-harmonisk-inredning</t>
    </r>
  </si>
  <si>
    <t>soartzy.com/tavlor/</t>
  </si>
  <si>
    <t>tavlor</t>
  </si>
  <si>
    <t>https://www.totallystockholm.se/tobak-och-vitt-snus-utmaningar-och-losningar-for-effektiv-alderskontroll-i-sverige/</t>
  </si>
  <si>
    <t>https://www.snuset.se/tobaksfritt-snus/</t>
  </si>
  <si>
    <t>https://hazard.se/betting/proffsens-bettingstrategi-sa-betar-de-basta/</t>
  </si>
  <si>
    <t>Bethard</t>
  </si>
  <si>
    <t>https://casinoviking.io/sv/blogg/en-djupgaende-recension-av-bethard-en-komplett-spelupplevelse/</t>
  </si>
  <si>
    <t>https://www.bethard.com/sv/</t>
  </si>
  <si>
    <t>Bethard.com</t>
  </si>
  <si>
    <t>https://englishlush.com/finding-the-best-alternatives-to-tinder-for-a-more-targeted/</t>
  </si>
  <si>
    <t>Professional Matchmaking Services</t>
  </si>
  <si>
    <t xml:space="preserve">https://eciggshoppen.se/cbd-olja-en-naturlig-losning-for-valbefinnande/ </t>
  </si>
  <si>
    <r>
      <rPr>
        <sz val="10"/>
        <color rgb="FF000000"/>
        <rFont val="Arial, sans-serif"/>
      </rPr>
      <t>CBD Olja</t>
    </r>
  </si>
  <si>
    <t>https://www.vaken.se/fordelarna-med-daglig-motion-for-bade-kropp-och-sinne/</t>
  </si>
  <si>
    <t>https://www.snusnetto.se</t>
  </si>
  <si>
    <r>
      <rPr>
        <sz val="11"/>
        <color rgb="FF000000"/>
        <rFont val="Arial, sans-serif"/>
      </rPr>
      <t>Snus</t>
    </r>
  </si>
  <si>
    <t>ekstromgaray.se</t>
  </si>
  <si>
    <t>https://www.vaken.se/hur-digitaliseringen-driver-den-svenska-detaljhandeln-framat/</t>
  </si>
  <si>
    <t>https://ekstromgaray.se/skicka-in-manus/</t>
  </si>
  <si>
    <r>
      <rPr>
        <sz val="11"/>
        <color rgb="FF000000"/>
        <rFont val="Arial, sans-serif"/>
      </rPr>
      <t>ge ut en bok</t>
    </r>
  </si>
  <si>
    <t>https://www.lidingonyheter.se/cbd-industrins-snabba-tillvaxt-i-sverige/</t>
  </si>
  <si>
    <r>
      <rPr>
        <sz val="10"/>
        <color rgb="FF000000"/>
        <rFont val="Arial, sans-serif"/>
      </rPr>
      <t>CBD är cannabisprodukter utan THC</t>
    </r>
  </si>
  <si>
    <t>https://alltomnorrtalje.se/investeringar-som-lonar-sig-strategier-for-resultatbaserad-framgang/</t>
  </si>
  <si>
    <r>
      <rPr>
        <u/>
        <sz val="10"/>
        <color rgb="FF000080"/>
        <rFont val="Arial"/>
        <family val="2"/>
      </rPr>
      <t>https://alltomnorrtalje.se/ta-hand-om-dina-fotter-sa-valjer-du-ratt-fritidsskor-for-dina-aventyr/</t>
    </r>
  </si>
  <si>
    <r>
      <rPr>
        <sz val="11"/>
        <color rgb="FF000000"/>
        <rFont val="Arial, sans-serif"/>
      </rPr>
      <t>slitstarka fritidsskor</t>
    </r>
  </si>
  <si>
    <t>https://alltomnorrtalje.se/papptak-en-vaxande-trend-i-stockholmsomradet/</t>
  </si>
  <si>
    <r>
      <rPr>
        <sz val="10"/>
        <color rgb="FF000000"/>
        <rFont val="Arial, sans-serif"/>
      </rPr>
      <t>papptak i stockholm</t>
    </r>
  </si>
  <si>
    <t>https://www.lidingonyheter.se/hur-ratt-val-av-mattor-kan-forbattra-din-inredning/</t>
  </si>
  <si>
    <t>mattor</t>
  </si>
  <si>
    <t>myownwater.com</t>
  </si>
  <si>
    <t>https://blogbuz.co.uk/branding-essentials-how-custom-water-bottles-can-boost-your-business/</t>
  </si>
  <si>
    <t>https://www.myownwater.com/</t>
  </si>
  <si>
    <t>Custom water bottles</t>
  </si>
  <si>
    <t>Snus</t>
  </si>
  <si>
    <t>https://www.totallyorebro.se/sponsrat/lathund-for-evenemangsarrangorer-viktiga-tjanster-och-funktioner/</t>
  </si>
  <si>
    <t>https://xn--rrmokare-n4a.nu/kontakta-oss</t>
  </si>
  <si>
    <t>Kontakta och boka rörmokare</t>
  </si>
  <si>
    <t>https://www.oddssidan.se/sporter-live-betting/</t>
  </si>
  <si>
    <r>
      <rPr>
        <sz val="11"/>
        <color rgb="FF000000"/>
        <rFont val="Arial, sans-serif"/>
      </rPr>
      <t>live-betting</t>
    </r>
  </si>
  <si>
    <t>https://www.entreprenad.com/lb-article/180715/investeringsmojligheter-inom-infrastruktur</t>
  </si>
  <si>
    <t>https://www.fri-kopenskap.se/lb-article/180716/axfoods-borsras-orsaker-och-framtidsutsikter</t>
  </si>
  <si>
    <t>https://www.svt.se/nyheter/ekonomi/darfor-rasar-borsen-ai-hajpen-har-nyktrat-till</t>
  </si>
  <si>
    <t>https://www.verkstaderna.se/lb-article/180717/investeringsmojligheter-inom-infrastruktur</t>
  </si>
  <si>
    <t>https://www.framtidensbygg.se/lb-article/180718/bra-investeringar-i-byggbranschen-2024-hallbarhet-och-regionala-mojligheter</t>
  </si>
  <si>
    <t>Fair Investments Facebooksida</t>
  </si>
  <si>
    <t>https://www.medtechmagazine.se/lb-article/180719/stark-tillvaxt-for-medtech-i-stockholmuppsala</t>
  </si>
  <si>
    <t>https://www.entreprenad.com/lb-article/180720/skalfasader-inom-bygg-modern-teknik-for-hallbar-renovering</t>
  </si>
  <si>
    <t>https://www.purakliniken.se/estetisk-tandvard/skalfasader/</t>
  </si>
  <si>
    <t>skalfasader</t>
  </si>
  <si>
    <t>https://www.framtidensbygg.se/lb-article/180721/vikten-av-regelbunden-stamspolning-for-fastigheters-hallbarhet</t>
  </si>
  <si>
    <t>stamspolning</t>
  </si>
  <si>
    <t>https://www.food-supply.se/lb-article/180738/sa-paverkar-trender-inom-livsmedelsindustrin-hundfoderbranschen</t>
  </si>
  <si>
    <t>hundfoder</t>
  </si>
  <si>
    <t>https://www.dagenshandel.se/lb-article/180742/every-night-studios-livar-upp-profilkladesbranschen</t>
  </si>
  <si>
    <t>https://everynightstudios.com/pages/om-oss</t>
  </si>
  <si>
    <t>profilkläder</t>
  </si>
  <si>
    <t>https://www.tungt.no/lb-article/180744/baerekraftige-turer-friluftsopplevelser-med-god-samvittighet</t>
  </si>
  <si>
    <t>https://www.alfa.no/collections/proff</t>
  </si>
  <si>
    <t>alfa outdoor</t>
  </si>
  <si>
    <t>https://www.dagenshandel.se/lb-article/180745/bokbranschens-nya-vag-sma-forlag-banar-vag-for-forandring</t>
  </si>
  <si>
    <t>ge ut bok</t>
  </si>
  <si>
    <t>https://www.habit.se/lb-article/180746/motiv-inom-mode-och-inredning-fran-tradition-till-innovation</t>
  </si>
  <si>
    <t xml:space="preserve">Unika motiv </t>
  </si>
  <si>
    <t>https://sporten.nu/betting-inom-sport-en-guide-for-nyborjare-och-erfarna-spelare/</t>
  </si>
  <si>
    <t>https://www.lidingonyheter.se/ekonomiska-orosmoln-och-solglimtar-senaste-arets-utmaningar/</t>
  </si>
  <si>
    <t>långsiktig kapitalförvaltning</t>
  </si>
  <si>
    <t>https://www.lidingonyheter.se/hallbarhet-sa-kan-sma-steg-gora-stor-skillnad/</t>
  </si>
  <si>
    <t>Handla kryptovalutor</t>
  </si>
  <si>
    <t>https://www.spelochfilm.se/grand-theft-auto-6-nyheter/</t>
  </si>
  <si>
    <t>https://casinostars.se/progressiva-jackpotspel-och-deras-attraktion</t>
  </si>
  <si>
    <t>https://www.cherry.com/sv/casino/jackpotspel</t>
  </si>
  <si>
    <t>jackpot</t>
  </si>
  <si>
    <t>https://ledarsidorna.se/it-system-inom-igaming-industrin/</t>
  </si>
  <si>
    <r>
      <rPr>
        <sz val="11"/>
        <color rgb="FF000000"/>
        <rFont val="Arial, sans-serif"/>
      </rPr>
      <t>online casino</t>
    </r>
  </si>
  <si>
    <r>
      <rPr>
        <sz val="11"/>
        <color rgb="FF000000"/>
        <rFont val="Arial"/>
        <family val="2"/>
      </rPr>
      <t>https://nyheteridag.se/den-svenska-tobaksindustrin-ekonomisk-betydelse-och-utmaningar/</t>
    </r>
  </si>
  <si>
    <t>https://www.snusnetto.se/</t>
  </si>
  <si>
    <t>snus</t>
  </si>
  <si>
    <t>https://finders.ae/nicotine-pouches/</t>
  </si>
  <si>
    <t>https://nyheteridag.se/den-svenska-tobaksindustrin-ekonomisk-betydelse-och-utmaningar/</t>
  </si>
  <si>
    <t>https://www.lidingonyheter.se/46285-2/</t>
  </si>
  <si>
    <t>https://svenskaeljouren.se</t>
  </si>
  <si>
    <t>https://www.entreprenad.com/lb-article/180714/vanliga-vvsproblem-och-hur-du-loser-dem-sjalv</t>
  </si>
  <si>
    <t>kontakta en professionell rörmokare</t>
  </si>
  <si>
    <r>
      <rPr>
        <sz val="11"/>
        <rFont val="Arial"/>
        <family val="2"/>
      </rPr>
      <t>https://havstomt.se/artiklar/forhoj-vardet-pa-din-strandtomt-med-en-skraddarsydd-flytbrygga/</t>
    </r>
  </si>
  <si>
    <r>
      <rPr>
        <sz val="11"/>
        <rFont val="Aptos, sans-serif"/>
      </rPr>
      <t>https://www.framtidensbygg.se/lb-article/180752/pontoner-en-nyckel-till-framtidens-byggprojekt</t>
    </r>
  </si>
  <si>
    <t>pontoner</t>
  </si>
  <si>
    <t>https://www.dagensnaringsliv.se/20240829/271839/snusets-roll-i-svensk-kultur-fran-tradition-till-moderna-trender</t>
  </si>
  <si>
    <t>snusnyheter</t>
  </si>
  <si>
    <t>https://www.allaannonser.se/samarb-casino.html</t>
  </si>
  <si>
    <t>https://www.allaannonser.se/samarb-spelstrategier.html</t>
  </si>
  <si>
    <t xml:space="preserve">https://modernalivet.se/halsa/hallbara-matvanor-en-vag-till-battre-halsa/  </t>
  </si>
  <si>
    <t>https://www.executiveeffect.se/hur-ai-omformar-bettingbranschen-en-titt-pa-framtiden/</t>
  </si>
  <si>
    <t>https://www.bethard.com/sv</t>
  </si>
  <si>
    <t>bethard</t>
  </si>
  <si>
    <t>https://www.imike.se/galler-rot-for-takbyte</t>
  </si>
  <si>
    <t>byta papptak i Stockholm</t>
  </si>
  <si>
    <t>https://www.interiorguiden.se/slipp-stressen-lat-proffsen-lagga-om-ditt-papptak</t>
  </si>
  <si>
    <t>https://www.jorgenlarsson.nu/funkar-solceller-om-strommen-gar</t>
  </si>
  <si>
    <t>https://www.themoveonline.com/the-timeless-appeal-of-vintage-styles</t>
  </si>
  <si>
    <t>https://www.hourlycomic.com/the-enduring-influence-of-pop-culture-on-vintage-fashion</t>
  </si>
  <si>
    <t>the world of vintage fashion</t>
  </si>
  <si>
    <t>https://www.glimtenigrytan.se/vaping-nar-du-reser-har-du-koll</t>
  </si>
  <si>
    <t>e-ciggaretter</t>
  </si>
  <si>
    <t>hbel.se</t>
  </si>
  <si>
    <t>https://www.anasayfa.se/nar-elen-slutar-fungera-hemma</t>
  </si>
  <si>
    <t>https://hbel.se/eltjanster-i-stockholm/</t>
  </si>
  <si>
    <t>hjälp med eltjänster av ett proffs</t>
  </si>
  <si>
    <t>https://www.traslottet.se/tips-med-ledlister</t>
  </si>
  <si>
    <t>led-lister här</t>
  </si>
  <si>
    <t>https://www.jorgenlarsson.nu/saker-och-skalbar-moln-infrastruktur</t>
  </si>
  <si>
    <t>Med rätt SRE-strategier kan företag bygga system som är stabila</t>
  </si>
  <si>
    <t>https://ironmanmagazine.se/sa-fungerar-ett-vo2-max-test</t>
  </si>
  <si>
    <t>Detta är din VO2 max</t>
  </si>
  <si>
    <t>https://www.interiorguiden.se/ombildning-till-brf-ar-det-vart-det</t>
  </si>
  <si>
    <t>https://www.malmo-dramatiska-teater.se/</t>
  </si>
  <si>
    <t>kolla efter pensionärsrabatt</t>
  </si>
  <si>
    <t>https://www.traslottet.se/dags-att-lagga-nytt-tak</t>
  </si>
  <si>
    <t>en pålitlig takläggare</t>
  </si>
  <si>
    <t>https://www.animonhus.se/byta-tak-pa-maskinhall-viktiga-aspekter</t>
  </si>
  <si>
    <t>byta tak på en maskinhall</t>
  </si>
  <si>
    <t>https://www.favorreklambyra.se/man-ar-inte-alltid-overens</t>
  </si>
  <si>
    <t>hjälp med tvistlösning</t>
  </si>
  <si>
    <t>https://www.rita.nu/trender-pa-bostadsmarknaden</t>
  </si>
  <si>
    <t>kontakta en mäklare i Nyköping</t>
  </si>
  <si>
    <t>https://www.mittegetjavlanarnia.se/tips-for-forstagangskopare</t>
  </si>
  <si>
    <t>lokal mäklare i Täby</t>
  </si>
  <si>
    <t>https://www.barkarbyflygklubb.se/forbered-ditt-hem-infor-forsaljning</t>
  </si>
  <si>
    <t>välja rätt mäklare</t>
  </si>
  <si>
    <t>https://www.rita.nu/myter-och-sanningar-om-tandblekning</t>
  </si>
  <si>
    <t>https://www.purakliniken.se/estetisk-tandvard/tandblekning-i-stockholm/</t>
  </si>
  <si>
    <t>Professionell tandblekning i Stockholm</t>
  </si>
  <si>
    <t>https://www.streetnstrip.se/hur-en-solenoid-i-bilmotorn-fungerar</t>
  </si>
  <si>
    <t>https://www.carnivor.se/sa-forbereder-du-dig-infor-ditt-tandlakarbesok</t>
  </si>
  <si>
    <t>https://www.odelberg.se/darfor-ska-du-besoka-tandlakaren-regelbundet</t>
  </si>
  <si>
    <t>besöka tandläkare i Stockholm regelbundet</t>
  </si>
  <si>
    <t>https://www.dl.nu/sa-hittar-du-ratt-tandlakare</t>
  </si>
  <si>
    <t>Jag valde en tandläkare i Stockholm</t>
  </si>
  <si>
    <t>https://www.nordelia.se/framtiden-for-vaping-hur-ser-den-ut</t>
  </si>
  <si>
    <t>Engångsvapes</t>
  </si>
  <si>
    <t>https://www.shopon.se/populara-smaker-inom-vaping</t>
  </si>
  <si>
    <t>vapes</t>
  </si>
  <si>
    <t>https://www.bipolarsjuk.se/sa-minskar-du-din-tandlakarskrack</t>
  </si>
  <si>
    <t>nodepositbonus.cc</t>
  </si>
  <si>
    <t>https://casinopie.com/exactly-what-is-shaping-and-driving-the-future-of-igaming/</t>
  </si>
  <si>
    <t>https://www.nodepositbonus.cc/</t>
  </si>
  <si>
    <t>no deposit bonus</t>
  </si>
  <si>
    <t>https://thefrisky.com/balancing-modern-life-with-digital-fun/</t>
  </si>
  <si>
    <t>no deposit bonus codes</t>
  </si>
  <si>
    <t>https://www.hofgeschnatter.de/</t>
  </si>
  <si>
    <t>https://www.vastraeriksberg.se/</t>
  </si>
  <si>
    <t>https://nordicshowcase.se/</t>
  </si>
  <si>
    <t>Stand up i Stockholm</t>
  </si>
  <si>
    <t>https://www.dahlsbageri.se/</t>
  </si>
  <si>
    <t>använda engångsvape</t>
  </si>
  <si>
    <t>https://www.guch.nu/</t>
  </si>
  <si>
    <t>Vitt snus är nikotinfritt</t>
  </si>
  <si>
    <t>https://www.entitet.se/</t>
  </si>
  <si>
    <t>https://www.kafekajak.se/</t>
  </si>
  <si>
    <t>https://hbel.se/</t>
  </si>
  <si>
    <t>elfirmor i Stockholm</t>
  </si>
  <si>
    <t>https://www.visualrank.se/</t>
  </si>
  <si>
    <t>byggfirma i Stockholm</t>
  </si>
  <si>
    <t>totalentreprenad i Stockholm</t>
  </si>
  <si>
    <t>https://www.fysiopodden.se/</t>
  </si>
  <si>
    <t>knäskydd &amp; knästöd</t>
  </si>
  <si>
    <t>https://www.vvs-boden.se/</t>
  </si>
  <si>
    <t>https://sakraror.se</t>
  </si>
  <si>
    <t>vvs branschen</t>
  </si>
  <si>
    <t>https://www.bandyrapport.nu/</t>
  </si>
  <si>
    <t>Säkra Rör &amp; Bygg AB</t>
  </si>
  <si>
    <t>https://tryggbil.se/</t>
  </si>
  <si>
    <t>Bilservice i Tyresö</t>
  </si>
  <si>
    <t>https://www.hedemoragokart.se/</t>
  </si>
  <si>
    <t>Volkswagen service</t>
  </si>
  <si>
    <t>https://www.swr-motorsport.se/</t>
  </si>
  <si>
    <t>Generator till bil</t>
  </si>
  <si>
    <t>https://www.webugglandesign.se/</t>
  </si>
  <si>
    <t>Kontorsmaterial från Swedoffice</t>
  </si>
  <si>
    <t>gå över till vitt snus</t>
  </si>
  <si>
    <t>https://www.hvordan.org/kategorier/16-tur-og-friluftsliv/175-hvordan-velger-du-riktige-fritidssko</t>
  </si>
  <si>
    <t>velg fritidssko</t>
  </si>
  <si>
    <t>https://www.canariaposten.no/97-tursko-alt-du-trenger-a-vite-for-a-velge-de-riktige.html</t>
  </si>
  <si>
    <r>
      <rPr>
        <u/>
        <sz val="9"/>
        <color rgb="FF1155CC"/>
        <rFont val="&quot;docs-Roboto Mono&quot;"/>
      </rPr>
      <t>www.alfa.no</t>
    </r>
  </si>
  <si>
    <t>alfa.no</t>
  </si>
  <si>
    <t>navx.store</t>
  </si>
  <si>
    <t>https://www.of.nl/het-voordeel-van-epoxylijm-bij-kleine-beschadigingen-aan-de-auto/</t>
  </si>
  <si>
    <r>
      <rPr>
        <u/>
        <sz val="9"/>
        <color rgb="FF1155CC"/>
        <rFont val="Helvetica"/>
      </rPr>
      <t>https://navx.store/nl/</t>
    </r>
  </si>
  <si>
    <t>NL</t>
  </si>
  <si>
    <t>jb weld</t>
  </si>
  <si>
    <t>pricecarz.com</t>
  </si>
  <si>
    <t>https://traveltweaks.com/how-to-get-around-on-your-holiday-in-romania-64213/</t>
  </si>
  <si>
    <r>
      <rPr>
        <u/>
        <sz val="10"/>
        <color rgb="FF1155CC"/>
        <rFont val="Arial"/>
        <family val="2"/>
        <scheme val="minor"/>
      </rPr>
      <t>https://pricecarz.com/en/</t>
    </r>
  </si>
  <si>
    <t>rent a car Romania</t>
  </si>
  <si>
    <t>https://www.citypendeln.se/stand-up-i-stockholm-en-evigt-vaxande-scen/</t>
  </si>
  <si>
    <t>https://budstr.se/vanliga-misstag-vid-forsaljning-av-bostader-hur-en-bra-maklarpartner-kan-hjalpa-dig-undvika-dem/</t>
  </si>
  <si>
    <t>https://www.anvandbarhet.se/en-omfattande-guide-om-olika-typer-av-led-belysning-deras-anvandningsomraden/</t>
  </si>
  <si>
    <t>https://www.medguru.se/hur-stress-kan-paverka-din-munhalsa-vad-du-kan-gora-for-att-skydda-dina-tander/</t>
  </si>
  <si>
    <t>https://ostgotamaran.se/forbattra-din-kardiovaskulara-halsa-en-guide-till-ett-langre-halsosammare-liv/</t>
  </si>
  <si>
    <t>https://subsidiescanner.nu/kvalitetsfaktorer-att-titta-efter-vid-kop-av-kopieringspapper/</t>
  </si>
  <si>
    <t>https://www.summsystems.se/sa-tar-du-hand-om-ditt-hem-for-att-undvika-vanliga-elproblem/</t>
  </si>
  <si>
    <t>Jour elektriker</t>
  </si>
  <si>
    <t>https://www.ectool.nu/bygglov-regler-vad-du-behover-veta-innan-du-byter-tak/</t>
  </si>
  <si>
    <t>https://laptimer.se/framtidens-bilservice-trender-teknologi/</t>
  </si>
  <si>
    <t>https://www.abcdirekt.se/hur-digitala-verktyg-har-revolutionerat-kladtryck-broderi/</t>
  </si>
  <si>
    <t>https://katarinaochvanner.se/hur-kladtryck-broderi-kan-forstarka-ditt-varumarke/</t>
  </si>
  <si>
    <t>Tryckeri i Stockholm</t>
  </si>
  <si>
    <t>https://dagenstv.com/artikel/starburst-en-tidlos-klassiker-fran-netent-</t>
  </si>
  <si>
    <t>https://www.cherry.com/sv/play/starburst</t>
  </si>
  <si>
    <t>spela Starburst</t>
  </si>
  <si>
    <t>https://www.americanfootballinternational.com/how-the-igaming-industry-has-affected-american-football/</t>
  </si>
  <si>
    <t>https://thefrisky.com/customized-bottled-water-shaping-lifestyle-trends/</t>
  </si>
  <si>
    <t xml:space="preserve">custom bottled water </t>
  </si>
  <si>
    <t>https://avstarnews.com/the-importance-of-cybersecurity-for-businesses-why-many-still-fall-short/</t>
  </si>
  <si>
    <t>https://onthisveryspot.com/latest-trends/boosting-it-security-on-a-budget-creative-strategies-for-businesses-without-in-house-experts/</t>
  </si>
  <si>
    <t>https://thestripesblog.com/the-perfect-dish-for-a-dinner-date-impress-with-elegance-and-flavor/</t>
  </si>
  <si>
    <t>https://www.starleaf.com/blog/bottled-water-trends/</t>
  </si>
  <si>
    <t>Custom Labeled Bottled Water</t>
  </si>
  <si>
    <t>https://byggx.se/hur-du-maximerar-dina-solcellers-effektivitet-aret-runt/</t>
  </si>
  <si>
    <r>
      <rPr>
        <u/>
        <sz val="10"/>
        <color rgb="FF1155CC"/>
        <rFont val="Arial"/>
        <family val="2"/>
        <scheme val="minor"/>
      </rPr>
      <t>https://pricecarz.com/en/</t>
    </r>
  </si>
  <si>
    <t>https://www.attention-riks.nu/</t>
  </si>
  <si>
    <t>hampaprodukter du hittar hos hampabonden</t>
  </si>
  <si>
    <t>https://www.sportsclubeducation.se/</t>
  </si>
  <si>
    <t>https://tipsmedoss.com/</t>
  </si>
  <si>
    <t>Logga</t>
  </si>
  <si>
    <t>https://metapress.com/what-is-a-virtual-chief-information-security-officer-vciso/</t>
  </si>
  <si>
    <t>https://dgmnews.com/posts/the-rise-of-personalized-products-a-new-era-in-consumer-engagement/</t>
  </si>
  <si>
    <t>Crystal Beverage Company</t>
  </si>
  <si>
    <t>https://www.favorreklambyra.se/</t>
  </si>
  <si>
    <t>Every Night Studios erbjuder hållbara tryck på kläder</t>
  </si>
  <si>
    <t>https://www.lfc.se/nyheter/57498/pl-omgang-4-fem-heta-matcher-att-spela-pa</t>
  </si>
  <si>
    <t>professionell hjälp med tvistlösning av jurister</t>
  </si>
  <si>
    <t>https://moveitmama.se/</t>
  </si>
  <si>
    <t>en mäklare i Nyköping</t>
  </si>
  <si>
    <t>https://www.rita.nu/</t>
  </si>
  <si>
    <t>https://www.skollyftet.se/</t>
  </si>
  <si>
    <t>https://eventeffect.se/digitaliseringens-paverkan-pa-evenemangsindustrin-mellan-det-fysiska-och-det-virtuella/</t>
  </si>
  <si>
    <t>https://www.bethard.com/sv/sports/live</t>
  </si>
  <si>
    <t>livebetting på sport</t>
  </si>
  <si>
    <t>https://www.totallyorebro.se/uncategorized/orebro-hockey-senaste-nytt-infor-den-nya-sasongen/</t>
  </si>
  <si>
    <t>Odds på SHL</t>
  </si>
  <si>
    <t>https://www.sportochfritidsnyheter.se/20241001/3994/5-tips-dig-som-inte-vill-missa-ett-enda-sportevenemang</t>
  </si>
  <si>
    <t>på bethard.com/sv/sports</t>
  </si>
  <si>
    <t>zmarta.se</t>
  </si>
  <si>
    <t>https://www.bilforsakringjamfor.se/hur-du-kan-jamfora-bilforsakringar-och-valja-ratt-forsakring/</t>
  </si>
  <si>
    <t>https://www.zmarta.se/forsakring/bilforsakring</t>
  </si>
  <si>
    <t>jämför bilförsäkringar</t>
  </si>
  <si>
    <t>https://alltomnorrtalje.se/sa-sparar-du-pengar-i-host-tips-for-att-minska-dina-kostnader/</t>
  </si>
  <si>
    <t>https://www.zmarta.se/el</t>
  </si>
  <si>
    <t>Zmarta.se och jämför elavtal</t>
  </si>
  <si>
    <t>https://www.forsakringen.se/sa-forsakrar-du-dig-om-att-fa-det-basta-privatlanet/</t>
  </si>
  <si>
    <t>https://www.zmarta.se/lana-pengar/privatlan</t>
  </si>
  <si>
    <t>Jämför privatlån</t>
  </si>
  <si>
    <t>https://www.sportochfritidsnyheter.se/20241001/3995/hur-fungerar-bilforsakringar</t>
  </si>
  <si>
    <t>jämför vad som är billigast och bäst</t>
  </si>
  <si>
    <t>https://kryptokoll.nu/kryptovalutor-och-blockkedjan-grunden-till-decentralisering/</t>
  </si>
  <si>
    <t>den bästa kunskapsbanken för grundkunskap och nyckelbegrepp om kryptovalutor</t>
  </si>
  <si>
    <t>https://preferensaktier.com/investera-i-kryptovalutor-hosten-2024-vad-du-bor-veta/</t>
  </si>
  <si>
    <t>Bästa kryptovalutorna att investera i hösten 2024</t>
  </si>
  <si>
    <t>https://www.naturligtglutenfritt.se/</t>
  </si>
  <si>
    <t>Hampaprotein</t>
  </si>
  <si>
    <t>En indikator för livslängd och och hälsa är VO2 Max</t>
  </si>
  <si>
    <t>https://www.maxi77klubben.se/</t>
  </si>
  <si>
    <t>zmarta</t>
  </si>
  <si>
    <t>https://www.itsawomensworld.se/</t>
  </si>
  <si>
    <t>vitt snus (generiskt)</t>
  </si>
  <si>
    <t>https://www.forshagadentaldepa.se/</t>
  </si>
  <si>
    <t>TANDBLEKNING I STOCKHOLM</t>
  </si>
  <si>
    <t>https://www.inmygarden.se/</t>
  </si>
  <si>
    <t>https://www.xpublishing.se/</t>
  </si>
  <si>
    <t>Pensionärsrabatt på resor</t>
  </si>
  <si>
    <t>https://komponenthus.com/2024/09/14/sa-forbereder-du-ditt-hem-for-vintern-skydda-ditt-vvs-system/</t>
  </si>
  <si>
    <t>https://www.joureliten.se/jour-rormokare/</t>
  </si>
  <si>
    <t>jour rörmokare</t>
  </si>
  <si>
    <r>
      <rPr>
        <sz val="11"/>
        <rFont val="Arial"/>
        <family val="2"/>
      </rPr>
      <t>https://www.mestmotor.se/automotorsport/artiklar/annons/20240910/jackpotspel-med-racingtema-blir-allt-vanligare/</t>
    </r>
  </si>
  <si>
    <r>
      <rPr>
        <u/>
        <sz val="11"/>
        <color rgb="FF2E2E2E"/>
        <rFont val="&quot;Work Sans&quot;, sans-serif"/>
      </rPr>
      <t>jac</t>
    </r>
    <r>
      <rPr>
        <u/>
        <sz val="11"/>
        <color rgb="FF2E2E2E"/>
        <rFont val="&quot;Work Sans&quot;, sans-serif"/>
      </rPr>
      <t>k</t>
    </r>
    <r>
      <rPr>
        <u/>
        <sz val="11"/>
        <color rgb="FF2E2E2E"/>
        <rFont val="&quot;Work Sans&quot;, sans-serif"/>
      </rPr>
      <t>pot</t>
    </r>
  </si>
  <si>
    <r>
      <rPr>
        <sz val="11"/>
        <color rgb="FF000000"/>
        <rFont val="Arial"/>
        <family val="2"/>
      </rPr>
      <t>https://www.svenskgolf.se/artiklar/annons/20240910/gor-nasta-golfturnering-extra-rolig-att-folja-med-betting/</t>
    </r>
  </si>
  <si>
    <t>https://www.spelklubben.se/sv/betting/esports</t>
  </si>
  <si>
    <t>enligt oddsen</t>
  </si>
  <si>
    <t>https://rabattkodsidor.se/2024/10/01/sa-hittar-du-de-basta-priserna-pa-vitt-snus-en-guide-smartare-kop/</t>
  </si>
  <si>
    <t>https://www.snusnetto.se/velo/</t>
  </si>
  <si>
    <t>Velo vitt snus</t>
  </si>
  <si>
    <t>https://www.infrastrukturnyheter.se/20241001/30564/den-internationella-boomen-vitt-snus</t>
  </si>
  <si>
    <t>https://suomitanaan.com/epoksi-ja-silikoni-joka-kodin-monipuoliset-apurit/</t>
  </si>
  <si>
    <t>https://navx.store/fi/</t>
  </si>
  <si>
    <t>https://www.tarelugnt.se/</t>
  </si>
  <si>
    <t>https://www.skraphamtarna.se/</t>
  </si>
  <si>
    <t>hämta skräp</t>
  </si>
  <si>
    <t>https://www.bokensframtid.se/</t>
  </si>
  <si>
    <t>enklare att få tag på kontorsmaterial</t>
  </si>
  <si>
    <t>VVS</t>
  </si>
  <si>
    <t>https://www.imike.se/</t>
  </si>
  <si>
    <t>tandläkare östermalm</t>
  </si>
  <si>
    <t>https://www.a-cat.se/</t>
  </si>
  <si>
    <t>En flytbrygga är konstruerad för att följa med vattennivån</t>
  </si>
  <si>
    <t>bra takläggare som hjälper dig med att lägga om taket</t>
  </si>
  <si>
    <t>https://www.doilydays.co.uk/</t>
  </si>
  <si>
    <t>retro and vintage fashion</t>
  </si>
  <si>
    <t>https://www.julianh.se/</t>
  </si>
  <si>
    <t>att använda en engångsvape</t>
  </si>
  <si>
    <t>försäkring på dina solceller</t>
  </si>
  <si>
    <t>https://www.sonjaakesson.se/</t>
  </si>
  <si>
    <t>https://ekstromgaray.se/</t>
  </si>
  <si>
    <t>modernt bokförlag som Ekström &amp; Garay</t>
  </si>
  <si>
    <t>https://studiointeract.se/</t>
  </si>
  <si>
    <t>https://everynightstudios.com/collections/designa-egen-t-shirt</t>
  </si>
  <si>
    <t>Designa din egen tröja</t>
  </si>
  <si>
    <t>https://ironmanmagazine.se/</t>
  </si>
  <si>
    <t>https://americannewstimes.com/news/business/how-a-virtual-ciso-can-level-up-your-cybersecurity-game/</t>
  </si>
  <si>
    <t>https://www.cdg.io/</t>
  </si>
  <si>
    <t>https://goodthingsmagazine.com/technology-in-business-for-innovation-and-growth/</t>
  </si>
  <si>
    <t>https://goodthingsmagazine.com/business-presents/</t>
  </si>
  <si>
    <t>custom bottled water</t>
  </si>
  <si>
    <t>https://goodthingsmagazine.com/embrace-the-season-of-romance/</t>
  </si>
  <si>
    <t>https://www.kelleher-international.com/</t>
  </si>
  <si>
    <t>https://thecelebportal.com/discover-the-ultimate-destination-for-romance-this-winter/</t>
  </si>
  <si>
    <t>https://kelleher-international.com/professional-matchmaking-for-men/</t>
  </si>
  <si>
    <t>https://www.vaken.se/en-miniguide-till-hur-ekonomin-fungerar/</t>
  </si>
  <si>
    <t>https://fairinvestments.se/knowledgebank-post/vad-styr-aktiekursen/</t>
  </si>
  <si>
    <t>vad är det som styr aktiekursen</t>
  </si>
  <si>
    <t>https://www.vaken.se/fran-tandblekning-till-skalfasader-vad-ar-det-basta-valet-for-dig/</t>
  </si>
  <si>
    <t>Skalfasader</t>
  </si>
  <si>
    <t>https://alltomnorrtalje.se/gar-du-och-drommer-om-att-ge-ut-en-bok/</t>
  </si>
  <si>
    <t>https://ekstromgaray.se/skicka-in-manus/#process</t>
  </si>
  <si>
    <t>processen för att ge ut en bok</t>
  </si>
  <si>
    <t>https://www.konsthallenlokstallet.se/</t>
  </si>
  <si>
    <t>flytande vågbrytare</t>
  </si>
  <si>
    <t>https://www.sportfack.se/annons/20240920/digitalisering-i-sportbranschen-vad-vi-kan-lara-fran-natcasinon-och-spelindustrin/</t>
  </si>
  <si>
    <t>https://www.spelklubben.se/sv/casino/megaways</t>
  </si>
  <si>
    <t>megaways</t>
  </si>
  <si>
    <t>https://www.playpilot.com/se/blog/digitala-varldar-och-spel-i-filmer-och-serier/</t>
  </si>
  <si>
    <t>https://www.spelklubben.se/sv/live-casino/</t>
  </si>
  <si>
    <t>https://itsaboutfuture.com/virtual-ciso-enhancing-cybersecurity-without-breaking-the-bank/</t>
  </si>
  <si>
    <t>https://whatstrending.com/can-custom-water-bottles-boost-your-business/</t>
  </si>
  <si>
    <t>custom water bottles</t>
  </si>
  <si>
    <t>mynicco.com</t>
  </si>
  <si>
    <t>https://www.riotimesonline.com/emerging-tourism-trends-in-south-america/</t>
  </si>
  <si>
    <t>https://mynicco.com/</t>
  </si>
  <si>
    <t>nicotine pouches</t>
  </si>
  <si>
    <t>https://markmeets.com/posts/what-to-expect-from-gladiator-2/</t>
  </si>
  <si>
    <t>UK</t>
  </si>
  <si>
    <t>https://elleblonde.com/2024/09/19/5-top-places-to-visit-this-winter/</t>
  </si>
  <si>
    <t>https://presenttipsaren.nu/moderna-presenter-som-utmanar-gamla-tabun/</t>
  </si>
  <si>
    <t>https://hampabonden.se/hampaprodukter/cbd-buds</t>
  </si>
  <si>
    <t>cbd buds</t>
  </si>
  <si>
    <t>https://podradio.nu/att-anlagga-en-flytbrygga-en-praktisk-guide/</t>
  </si>
  <si>
    <t>https://rabattkodsidan.se/nytt/utforska-startpaket-for-vape-och-e-cigaretter-pa-e-ciggbolaget/</t>
  </si>
  <si>
    <t>https://e-ciggbolaget.se/e-cigaretter/startpaket</t>
  </si>
  <si>
    <t>startpaket för vape eller e cigg</t>
  </si>
  <si>
    <t>https://presenttipsaren.nu/presenter-till-vapefantasten-de-basta-smakerna-och-markena/</t>
  </si>
  <si>
    <t>https://podradio.nu/poddar-som-inspirerar-och-vagleder-inom-investeringar/</t>
  </si>
  <si>
    <t>kunskapsbank om investering</t>
  </si>
  <si>
    <t>https://preferensaktier.com/en-nyborjarguide-till-investeringar-sa-placerar-du-dina-pengar-pa-ett-smart-satt/</t>
  </si>
  <si>
    <t>https://fairinvestments.se/investeringsfilosofi/forvaltning-privatperson</t>
  </si>
  <si>
    <t>vad bör du investera i?</t>
  </si>
  <si>
    <t>https://suomitanaan.com/onko-suomalaisten-suhde-autoihin-muuttunut/</t>
  </si>
  <si>
    <t>https://fi.jugomobile.com/onko-auto-parempi-myyda-itse-yksityiselle-vai/</t>
  </si>
  <si>
    <t>https://clab.fi/autokaupan-abc-nain-onnistut-auton-hankinnassa/</t>
  </si>
  <si>
    <t>https://www.lifesciencesweden.se/lb-article/180837/trygga-investeringar-for-en-stabil-framtid-hur-du-kan-minska-riskerna-med-ratt-partner</t>
  </si>
  <si>
    <t>https://fairinvestments.se/investeringsfilosofi</t>
  </si>
  <si>
    <t>https://brocenter.nu/</t>
  </si>
  <si>
    <t>Startmotor.se</t>
  </si>
  <si>
    <r>
      <rPr>
        <u/>
        <sz val="11"/>
        <color rgb="FF000000"/>
        <rFont val="Arial"/>
        <family val="2"/>
      </rPr>
      <t>https://www.dubaihealthcareguide.com/fast-paced-lifestyle-demands-discreet-solutions/</t>
    </r>
  </si>
  <si>
    <t>http://mrnicco.com/</t>
  </si>
  <si>
    <t>https://www.auf-zur-ostsee.de/traumurlaub-an-der-ostsee-meer-strand-und-erholung-pur</t>
  </si>
  <si>
    <t>https://alltomnorrtalje.se/tandea-tandvardskliniken-som-satter-standarden-for-hela-familjen/</t>
  </si>
  <si>
    <t>https://alltomnorrtalje.se/sa-skapar-du-din-egen-kladstil-en-guide-till-att-uttrycka-din-personlighet-genom-mode/</t>
  </si>
  <si>
    <t>https://everynightstudios.com/collections/designa-egen-keps</t>
  </si>
  <si>
    <t>designa din egen keps</t>
  </si>
  <si>
    <t>https://www.bathav.se/vanliga-batproblem-och-effektiva-losningar/</t>
  </si>
  <si>
    <t>https://www.startmotor.se/kategori/startmotorer</t>
  </si>
  <si>
    <t>startmotor med båtelektriska produkter</t>
  </si>
  <si>
    <t>https://auralcrave.com/en/2024/09/25/green-sounds-sustainability-in-music-festivals-and-concerts/</t>
  </si>
  <si>
    <t>https://www.wijchensnieuws.nl/Nieuws/158283/maak-uw-woning-in-wijchen-winterklaar.html</t>
  </si>
  <si>
    <t>https://navx.store/nl/</t>
  </si>
  <si>
    <t>https://uutisankka.com/uncategorized/epoksi-ja-silikoni-kiinnittamisessa-ja-tiivistamisessa/</t>
  </si>
  <si>
    <t>https://dashfight.com/news/chiefs-aim-for-three-peat-as-nfl-2024-season-heats-up-6443</t>
  </si>
  <si>
    <t>https://www.nodepositbonus.cc/no-deposit-casinos/</t>
  </si>
  <si>
    <t>No Deposit Bonus casinos</t>
  </si>
  <si>
    <t>https://www.technology.org/2024/09/24/the-role-of-technology-in-modern-football/</t>
  </si>
  <si>
    <t>https://www.nodepositbonus.cc/free-spins-no-deposit-casino-bonuses/</t>
  </si>
  <si>
    <t>free spins casino bonuses</t>
  </si>
  <si>
    <t>https://kasinoguide.com/</t>
  </si>
  <si>
    <t>https://www.spelklubben.se/sv/blog/sa-spelar-du-baccarat-en-guide</t>
  </si>
  <si>
    <t>Spelguide på spelklubben</t>
  </si>
  <si>
    <t>https://kajsabergqvist.nu/hojdhopp-sverige/</t>
  </si>
  <si>
    <t>Betting på höjdhopp</t>
  </si>
  <si>
    <t>https://sven-ingvars.se/froken-fraken-historien-om-hur-sven-ingvars-hit-hamnade-i-ett-spel/</t>
  </si>
  <si>
    <t>https://www.cherry.com/sv/casino/jackpotspel?limit=1000</t>
  </si>
  <si>
    <t>Rekommenderar jackpots på det klassiska casinot Cherry</t>
  </si>
  <si>
    <t>https://geografi.nu/spel-i-sverige/</t>
  </si>
  <si>
    <t>cherry</t>
  </si>
  <si>
    <t>https://www.starkare.nu/</t>
  </si>
  <si>
    <t>Hampaprodukter hos hampabonden</t>
  </si>
  <si>
    <t>https://www.frejaaffryken.se/</t>
  </si>
  <si>
    <t>flytbrygga eller pontoner</t>
  </si>
  <si>
    <t>https://www.firstfridayhopping.se/</t>
  </si>
  <si>
    <t>Tandea, din tandläkare i Stockholm</t>
  </si>
  <si>
    <t>https://bruist.nu/fran-ide-till-framtradande-att-skapa-en-underhallande-stand-up-show/</t>
  </si>
  <si>
    <t>http://standupsverige.se/</t>
  </si>
  <si>
    <t>https://www.citypendeln.se/finansiering-lan-vad-du-behover-veta-nar-du-koper-bostad/</t>
  </si>
  <si>
    <t>https://www.abcdirekt.se/vad-ar-skillnaden-mellan-tandblekning-pa-klinik-hemma/</t>
  </si>
  <si>
    <t>https://komponenthus.com/2024/09/28/sa-forlanger-du-livslangden-pa-din-skrivare-med-ratt-kopieringspapper/</t>
  </si>
  <si>
    <t>https://nordinary.se/diy-vs-professionell-taklaggning-nar-ar-det-vart-att-anlita-en-expert/</t>
  </si>
  <si>
    <t>https://3dbostad.com/hur-maskinhallstak-kan-anpassas-for-solceller-ett-effektivt-satt-att-nyttja-outnyttjad-yta/</t>
  </si>
  <si>
    <t>https://www.ectool.nu/grundlaggande-bilunderhall-en-guide-for-alla-bilagare/</t>
  </si>
  <si>
    <t>https://komponenthus.com/2024/09/28/taksakerhet-en-omfattande-guide-for-sakra-hallbara-taklosningar/</t>
  </si>
  <si>
    <t>taksäkerhet</t>
  </si>
  <si>
    <t>https://dekorativt.se/taksakerhet-en-omfattande-guide-for-sakra-hallbara-taklosningar/</t>
  </si>
  <si>
    <t>https://kostgajden.se/allt-du-behover-veta-om-att-valja-ratt-hundfoder/</t>
  </si>
  <si>
    <t>https://castaluna.se/vanliga-vvs-problem-i-hemmet-hur-du-atgardar-dem/</t>
  </si>
  <si>
    <t>https://lexivision.se/forebygg-vanliga-vvs-skador-tips-for-underhall-sakerhet-i-hemmet/</t>
  </si>
  <si>
    <t xml:space="preserve">VVS sollentuna </t>
  </si>
  <si>
    <t>https://www.ectool.nu/fordelarna-med-att-anlita-professionell-hjalp-for-upplockning-av-skrap/</t>
  </si>
  <si>
    <t>https://www.skraphamtarna.se/priser-privat/</t>
  </si>
  <si>
    <t>bortforsling av skräp pris (generisk)</t>
  </si>
  <si>
    <t>https://www.swenico.se/sa-tillverkas-vitt-snus-en-titt-bakom-kulisserna/</t>
  </si>
  <si>
    <t>https://ptbyelin.se/vad-ar-e-cigaretter-en-guide-for-nyborjare/</t>
  </si>
  <si>
    <t>prisvärda e cigaretter</t>
  </si>
  <si>
    <t>https://www.summsystems.se/vad-ar-adblue-off-hur-fungerar-det/</t>
  </si>
  <si>
    <t>optione.se/</t>
  </si>
  <si>
    <t>Ad Blue</t>
  </si>
  <si>
    <t>https://harmonyhomeorganic.se/friskvardsbidrag-och-massage-vad-galler/</t>
  </si>
  <si>
    <t>Friskvård</t>
  </si>
  <si>
    <t>kleer.se</t>
  </si>
  <si>
    <t>https://thyroid.se/vad-ar-automatiserad-bokforing-fordelar-framtiden-for-smaforetag/</t>
  </si>
  <si>
    <t>https://www.peaccounting.se/var-tjanst/bokforingsprogram/</t>
  </si>
  <si>
    <t>bokföringsprogram</t>
  </si>
  <si>
    <t>https://3dbostad.com/nar-behover-du-en-jour-elektriker/</t>
  </si>
  <si>
    <t>https://byggx.se/nar-ska-du-ringa-en-rormokare-tecken-pa-att-du-behover-professionell-hjalp/</t>
  </si>
  <si>
    <t>https://www.angelicaglass.com/</t>
  </si>
  <si>
    <t>https://webbkrysset.se/blogg/bettingslang-vad-betyder-orden-egentligen/</t>
  </si>
  <si>
    <t>Online betting</t>
  </si>
  <si>
    <t>https://filmeye.se/recension-focus-med-will-smith-och-margot-robbie/</t>
  </si>
  <si>
    <t>https://www.investera-pengar.com/blogg/investera-i-kryptovalutor-vs-aktier-och-fonder-vad-ar-skillnaden/</t>
  </si>
  <si>
    <t>https://www.kvarnx.com/sv/hur-man-anvander</t>
  </si>
  <si>
    <t>investera i krypto</t>
  </si>
  <si>
    <t>https://banjar.nu/ekonomi/kryptoekonomins-utveckling-i-en-turbulent-varld/</t>
  </si>
  <si>
    <t>På kvarnx.com hittar du exakta grafer för 125 kryptovalutor</t>
  </si>
  <si>
    <t>https://www.investera-pengar.com/blogg/fair-investments-spetsfond-en-chans-for-erfarna-investerare/</t>
  </si>
  <si>
    <t>Fair Investments spetsfond bygger på en investeringsstrategi som vi varmt rekommenderar</t>
  </si>
  <si>
    <t>https://streaminfo.se/blogg/tre-satt-att-streama-som-du-sakert-har-missat/</t>
  </si>
  <si>
    <t>spänningen med game shows</t>
  </si>
  <si>
    <t>https://madforit.se/blogg/olika-typer-av-jackpots-var-man-hittar-varldens-storsta-vinstmojligheter/</t>
  </si>
  <si>
    <t>jackpotspel till slots</t>
  </si>
  <si>
    <t>https://torrfoder.se/blogg/tips-for-hundfoder/</t>
  </si>
  <si>
    <t>Primadog hundfoder</t>
  </si>
  <si>
    <t>https://www.sanghafte.se/artiklar/frukter-och-bar-i-musikens-varld/</t>
  </si>
  <si>
    <t>cherry casino</t>
  </si>
  <si>
    <t>https://www.larsmolinsallskapet.se/</t>
  </si>
  <si>
    <t>ge ut en bok</t>
  </si>
  <si>
    <t>bilservice i Tyresö</t>
  </si>
  <si>
    <t>https://ecommunity.se/for-dig-med-havstomt-upptack-fordelarna-och-utmaningarna/#google_vignette</t>
  </si>
  <si>
    <t>Pontonhamnar</t>
  </si>
  <si>
    <t>https://www.dagensnaringsliv.se/20241001/272971/hur-viktig-ar-spelbranschen-sveriges-ekonomi</t>
  </si>
  <si>
    <t>https://www.inredningsnyheter.se/20241001/19845/inred-ditt-hem-med-stil-pa-en-begransad-budget-utan-att-kompromissa-med-kvaliteten</t>
  </si>
  <si>
    <t>Rusta erbjuder ett utmärkt urval av mattor</t>
  </si>
  <si>
    <t>https://presenttipsaren.nu/prispressarens-guide-for-presenter-hitta-de-basta-erbjudandena/</t>
  </si>
  <si>
    <t>deals på vont</t>
  </si>
  <si>
    <t>https://presenttipsaren.nu/en-meningsfull-gava-for-den-blivande-forfattaren/</t>
  </si>
  <si>
    <t xml:space="preserve">så kan skrivcoachning första steget mot att ge ut en bok </t>
  </si>
  <si>
    <t>https://www.vaken.se/ar-sveriges-entreprenorer-fortfarande-konkurrenskraftiga/</t>
  </si>
  <si>
    <t>Cherry</t>
  </si>
  <si>
    <t>https://alltomnorrtalje.se/extrajobb-i-norrtalje-vilka-alternativ-finns-utover-sommarjobb/</t>
  </si>
  <si>
    <t>spela casino hos Cherry</t>
  </si>
  <si>
    <t>https://www.saleseffect.se/hur-transparens-hjalper-foretag-att-vinna-kundernas-fortroende/</t>
  </si>
  <si>
    <t>Zmarta.se</t>
  </si>
  <si>
    <t>https://www.executiveeffect.se/hur-ett-foretag-kan-bli-en-av-sveriges-storsta-lane-och-forsakringsformedlare-utan-att-vara-en-traditionell-bank/</t>
  </si>
  <si>
    <t>expert och förmedlare av privatlån</t>
  </si>
  <si>
    <t>https://www.saleseffect.se/kryptohandel-med-kvarnx-en-plattform-som-moter-framtidens-behov/</t>
  </si>
  <si>
    <t>https://www.kvarnx.com/sv/</t>
  </si>
  <si>
    <t>kryptohandelsplattformen Kvarnx</t>
  </si>
  <si>
    <t>https://eventeffect.se/nikotin-och-tobaksindustrins-utveckling-de-senaste-15-aren/</t>
  </si>
  <si>
    <t>https://eventeffect.se/vad-ar-vo2-max-varfor-ar-det-viktigt-for-din-halsa/</t>
  </si>
  <si>
    <t>https://www.executiveeffect.se/automatiserad-bokforing-framtidens-losning-for-foretag/</t>
  </si>
  <si>
    <t>bokföringsprogram med automatisk bokföring</t>
  </si>
  <si>
    <t>https://passioneffect.se/hur-konst-kan-forandra-ett-rum-designideer-for-att-skapa-unika-hem/</t>
  </si>
  <si>
    <t>https://soartzy.com/</t>
  </si>
  <si>
    <t>https://passioneffect.se/sa-starker-du-foretagets-identitet-med-every-night-studios/</t>
  </si>
  <si>
    <t>https://everynightstudios.com/pages/foretag</t>
  </si>
  <si>
    <t>profilkläder för företag</t>
  </si>
  <si>
    <t>https://win.gg/news/games-to-watch-this-autumn-winter/</t>
  </si>
  <si>
    <t>https://www.nodepositbonus.cc/bonuses/100-free-bets-juicy-stakes/</t>
  </si>
  <si>
    <t>get 100 free bets at Juicy Stakes</t>
  </si>
  <si>
    <t>https://digijuorut.fi/sekalaista/auton-myynti-ja-realisointi-myydako-liikkeeseen-vai-yksityiselle/</t>
  </si>
  <si>
    <t>https://www.vaken.se/rusta-ett-starkt-alternativ-till-ikea-for-kvalitetsmedvetna-konsumenter/</t>
  </si>
  <si>
    <t>https://www.forsakringen.se/</t>
  </si>
  <si>
    <t>kapitalförvaltningsföretag</t>
  </si>
  <si>
    <t>https://casinostars.se/5-filmstjarnor-som-alskar-casinospel</t>
  </si>
  <si>
    <t>https://bulletin.nu/spel-for-kvinnor-och-man</t>
  </si>
  <si>
    <t>de mest älskade klassikerna inom casino</t>
  </si>
  <si>
    <t>https://footballteams.org/sv/blogg-sv/odds-pa-laguppstallning-saknas-det-i-dagens-sport/</t>
  </si>
  <si>
    <t>https://webbkrysset.se/synonym/spel-synonymer-till-spel/</t>
  </si>
  <si>
    <t>Betting – ESL Pro League</t>
  </si>
  <si>
    <t>https://bulletin.nu/arbetskonflikt-i-casinobranschen-vacker-uppmarksamhet</t>
  </si>
  <si>
    <t>Livecasinoindustrin</t>
  </si>
  <si>
    <t>https://passioneffect.se/copy-with-pride-bor-ledaren-kopiera/</t>
  </si>
  <si>
    <t>https://www.spelklubben.se/sv/play/book-of-dead</t>
  </si>
  <si>
    <t>Book of dead</t>
  </si>
  <si>
    <t>https://blooket.cc/sv/blog-sv/faktorer-som-avgor-om-vi-fortsatter-med-spelandet/</t>
  </si>
  <si>
    <t>https://www.cherry.com/sv/welcome-bonus</t>
  </si>
  <si>
    <t>välkomstbonusen är enkel och smidig</t>
  </si>
  <si>
    <t>bbml.se</t>
  </si>
  <si>
    <t xml:space="preserve">https://jessicasmaleriostad.se/vikten-av-certifierade-hantverkare-vid-renoveringar/ </t>
  </si>
  <si>
    <t>https://www.jetnation.com/2024/09/23/nfl-2024-week-3-approaches-as-super-bowl-contenders-emerge/</t>
  </si>
  <si>
    <t>https://www.nodepositbonus.cc/bonuses/40-free-chip-at-betwhale/</t>
  </si>
  <si>
    <t>First offers at nodepositbonus.cc</t>
  </si>
  <si>
    <t xml:space="preserve">https://keynote.se/totalrenovering-sa-skapar-du-ditt-dromhem/ </t>
  </si>
  <si>
    <t>https://bbml.se/totalrenovering/</t>
  </si>
  <si>
    <t>totalrenovering</t>
  </si>
  <si>
    <t>https://spelguiden.net/betting/bethard-valkomstbonus-for-nya-spelare/</t>
  </si>
  <si>
    <t>https://www.bethard.com/sv/promotions</t>
  </si>
  <si>
    <t>Bethard välkomstbonusar</t>
  </si>
  <si>
    <t>https://www.procup.se/Ta-din-turnering-till-nasta-niva-med-ProCup.htm</t>
  </si>
  <si>
    <t>Bethard + statistik partial (i kontext att där finns den typen av statistik också tillgänglig. Länk till bethards sida där länken till statistiken finns, ligger ej på deras domän)</t>
  </si>
  <si>
    <t>https://ng.se/artiklar/dreamhack-stockholm-gar-snart-av-stapeln</t>
  </si>
  <si>
    <t>https://www.bethard.com/sv/sports/esports</t>
  </si>
  <si>
    <t>betting på esport (partial)</t>
  </si>
  <si>
    <t>https://www.sportochfritidsnyheter.se/20241029/4030/yalla-cup-gar-snart-av-stapeln</t>
  </si>
  <si>
    <t>odds på e-sport</t>
  </si>
  <si>
    <t>https://www.dagensnaringsliv.se/20241029/273917/vitt-snus-en-revolution-pa-den-svenska-snusmarknaden</t>
  </si>
  <si>
    <t>Velo snus</t>
  </si>
  <si>
    <t>https://www.sportochfritidsnyheter.se/20241029/4032/snusets-roll-inom-idrottsvarlden-fran-sveriges-omkladningsrum-till-internationell</t>
  </si>
  <si>
    <t>Snus / vitt snus</t>
  </si>
  <si>
    <t>https://www.kolla.tv/artikel/sport-pa-tv-och-betting-fran-tipsextra-till-livesandningar-pa-spelsajter</t>
  </si>
  <si>
    <t>odds och betting</t>
  </si>
  <si>
    <t>upplevelse.com</t>
  </si>
  <si>
    <t>https://alltomnorrtalje.se/upplevelser-som-presenter-vad-ska-man-ge-och-till-vem/</t>
  </si>
  <si>
    <t>http://www.upplevelse.com/</t>
  </si>
  <si>
    <t>Upplevelse.com</t>
  </si>
  <si>
    <t>https://www.dagensnaringsliv.se/20241029/273925/upplevelsebaserade-aktiviteter-nyckeln-till-framgangsrik-foretagskultur-och</t>
  </si>
  <si>
    <t>https://www.upplevelse.com/populara</t>
  </si>
  <si>
    <t>https://www.sportochfritidsnyheter.se/20241029/4035/klassiska-fars-dag-presenter-och-vad-du-kan-ge-istallet-slips-och-kalsonger</t>
  </si>
  <si>
    <t>https://www.upplevelse.com/presenttips/fars-dag</t>
  </si>
  <si>
    <t>Fars dag present</t>
  </si>
  <si>
    <t>https://familjenshemsida.se/stand-up-i-stockholm-familjeunderhallning-med-skratt/</t>
  </si>
  <si>
    <t>Stand up stockholm</t>
  </si>
  <si>
    <t>https://mittvitahus.se/maklare-i-nykoping-din-guide-till-bostadsmarknaden-i-nykoping/</t>
  </si>
  <si>
    <t>https://alltombeauty.se/tandlakare-sodermalm-skonhetens-hemlighet-for-ett-stralande-leende/</t>
  </si>
  <si>
    <t>https://idrottsklubben.se/vo2-max-nyckeln-till-battre-prestanda-inom-sporten/</t>
  </si>
  <si>
    <t>https://businessagent.se/kopieringspapper-en-guide-for-effektiv-dokumenthantering-pa-arbetsplatsen/</t>
  </si>
  <si>
    <t>https://byggbalans.se/taklaggare-nyckelroll-inom-byggeri/</t>
  </si>
  <si>
    <t>https://dinbyggnad.se/byta-tak-i-maskinhall-en-guide-for-smidig-renovering/</t>
  </si>
  <si>
    <t>https://bonuskillen.se/volkswagen-service-en-guide-for-man/</t>
  </si>
  <si>
    <t>https://egenvilla.se/matta-i-hemmet-en-guide-for-val-och-skotsel/</t>
  </si>
  <si>
    <t>https://alltombarnfamiljen.se/hundfoder-tips-for-att-halla-din-fyrbenta-familjemedlem-frisk/</t>
  </si>
  <si>
    <t>https://skaparum.se/vvs-sollentuna-en-guide-for-effektiva-vvs-losningar-i-byggsektorn/</t>
  </si>
  <si>
    <t>https://smartkonstruktion.se/bortforsling-av-skrap-priser-och-tjanster-for-effektiv-avfallshantering/</t>
  </si>
  <si>
    <t>https://businessacademy.se/bokforingsprogram-for-effektiv-hantering-av-ekonomi/</t>
  </si>
  <si>
    <t>https://smartkonstruktion.se/jour-elektriker-viktiga-tjanster-for-byggbranschen/</t>
  </si>
  <si>
    <t>https://byggmester.se/jour-rormokare-snabb-och-effektiv-hjalp-vid-akuta-vvs-problem/</t>
  </si>
  <si>
    <t>https://industrimagasinet.se/tvistlosning-i-naringslivet/</t>
  </si>
  <si>
    <t>Tvistlösning</t>
  </si>
  <si>
    <t>https://boendekatalogen.se/maklare-nykoping-din-guide-till-bostadsmarknaden/</t>
  </si>
  <si>
    <t>https://elektronikkungen.se/site-reliability-engineering-en-nyckelroll-inom-it/</t>
  </si>
  <si>
    <t>https://vackerhud.se/tandimplantat-i-stockholm-en-guide-till-skonhetsfull-munhalsa/</t>
  </si>
  <si>
    <t>https://beautyagenten.se/tandlakare-sodermalm-skonhetsvard-for-din-mun/</t>
  </si>
  <si>
    <t>https://aktivaunga.se/vo2-max-allt-du-behover-veta-om-maximal-syreupptagningsformaga/</t>
  </si>
  <si>
    <t>https://sportsbaren.se/knaskydd-for-sport-minska-skaderisken-och-maximera-prestation/</t>
  </si>
  <si>
    <t>https://medfamiljen.se/rabatterade-resor-for-pensionarer-familjens-formaner/</t>
  </si>
  <si>
    <t>pensionärsrabatt resor</t>
  </si>
  <si>
    <t>https://manligmodell.se/solenoider-en-maends-guide-till-en-ofta-forbisedd-teknologi/</t>
  </si>
  <si>
    <t>https://manligutveckling.se/generatorbil-framtidens-hallbara-transport/</t>
  </si>
  <si>
    <t>Generator bil</t>
  </si>
  <si>
    <t>https://businesshelper.se/kontorsmaterial-hur-du-effektiviserar-ditt-arbete-pa-kontoret/</t>
  </si>
  <si>
    <t>https://beautyforyou.se/tandlakare-ostermalm-din-vag-till-en-vackrare-mun/</t>
  </si>
  <si>
    <t>www.tandea.se/kliniker/tandlakare-ostermalm/</t>
  </si>
  <si>
    <t>https://veganbeauty.se/tandlakare-stockholm-skonhet-for-ditt-leende/</t>
  </si>
  <si>
    <t>www.tandea.se</t>
  </si>
  <si>
    <t>https://barabyggare.se/taklaggare-nyckelpersoner-inom-byggeri/</t>
  </si>
  <si>
    <t>https://byggavilla.se/byta-tak-pa-maskinhall-en-guide-inom-byggbranschen/</t>
  </si>
  <si>
    <t>https://bonusman.se/volkswagen-service-for-maend-underhall-av-din-volkswagen-med-stil/</t>
  </si>
  <si>
    <t>https://herrtidningar.se/bilverkstad-i-tyreso-en-guide-for-maend/</t>
  </si>
  <si>
    <t>https://gladjebubblan.se/minska-din-nikotinberoende-med-nikotinfri-vape/</t>
  </si>
  <si>
    <t>https://gladjeraketen.se/engangs-vape-och-dess-paverkan-pa-livsstil/</t>
  </si>
  <si>
    <t>https://vinterlyckan.se/vape-en-guide-till-en-modern-livsstil/</t>
  </si>
  <si>
    <t>https://livetsskola.se/vitt-snus-en-trendig-livsstilsprodukt/</t>
  </si>
  <si>
    <t>https://lifestylebloggen.se/vitt-snus-en-modern-twist-pa-en-klassisk-produkt/</t>
  </si>
  <si>
    <t>https://minlivsresa.se/prisvarda-e-cigaretter-en-guide-for-dig-som-vill-komma-igang/</t>
  </si>
  <si>
    <t>https://lyckasilivet.se/engangsvape-en-guide-till-enkel-och-bekvam-vaping/</t>
  </si>
  <si>
    <t>Engångsvape (generiskt)</t>
  </si>
  <si>
    <t>https://lyckligalotta.se/e-cigaretter-en-guide-till-en-halsosammare-livsstil/</t>
  </si>
  <si>
    <t>e-ciggaretter (generiskt)</t>
  </si>
  <si>
    <t>https://bonusfamilj.se/att-ge-ut-en-bok-en-familjekvall-i-bokhyllan/</t>
  </si>
  <si>
    <t>https://beautytube.se/tandblekning-i-stockholm-for-en-stralande-leende/</t>
  </si>
  <si>
    <t>tandblekning i stockholm</t>
  </si>
  <si>
    <t>https://husjournalen.se/ombildning-till-bostadsratt-en-guide-for-hyresgaster-som-vill-bli-bostadsrattsinnehavare/</t>
  </si>
  <si>
    <t>acnespecialisten.se</t>
  </si>
  <si>
    <t>https://alltombeauty.se/akne-en-guide-till-friskare-hud/</t>
  </si>
  <si>
    <t>https://www.acnespecialisten.se/acne.php</t>
  </si>
  <si>
    <t>Akne</t>
  </si>
  <si>
    <t>supernormal.health</t>
  </si>
  <si>
    <t>https://naturliglivsstil.se/digital-vard-framtiden-for-halsa-och-livsstil/</t>
  </si>
  <si>
    <t>https://supernormal.health/se/</t>
  </si>
  <si>
    <t>Digital vård</t>
  </si>
  <si>
    <t>https://www.kolla.tv/artikel/game-shows-fran-klassiska-favoriter-i-tv-rutan-till-spel-online</t>
  </si>
  <si>
    <t>Game shows på casino online</t>
  </si>
  <si>
    <t>https://dagenstv.com/artikel/jackpot-vinster-pa-film-och-tv-5-titlar-du-inte-far-missa</t>
  </si>
  <si>
    <t>Jackpots part</t>
  </si>
  <si>
    <t>ng.se</t>
  </si>
  <si>
    <r>
      <rPr>
        <u/>
        <sz val="9"/>
        <color rgb="FF1155CC"/>
        <rFont val="Roboto Mono"/>
      </rPr>
      <t>spelklubben.se</t>
    </r>
    <r>
      <rPr>
        <sz val="9"/>
        <rFont val="Roboto Mono"/>
      </rPr>
      <t xml:space="preserve"> </t>
    </r>
  </si>
  <si>
    <t xml:space="preserve">Spelklubben casino </t>
  </si>
  <si>
    <t>https://filmparadiset.se/2024/10/17/fran-cigg-till-vaping-en-ny-era-av-rok-i-filmens-varld/</t>
  </si>
  <si>
    <t>https://e-ciggbolaget.se</t>
  </si>
  <si>
    <t>e-ciggbolaget störst på vape</t>
  </si>
  <si>
    <t>hajper.com</t>
  </si>
  <si>
    <t>https://www.everysport.com/guest-posts/2024-10-15/shl-2024-2025-en-stark-inledning-foer-lulea-och-skelleftea-haer-aer-lagen</t>
  </si>
  <si>
    <t>https://www.hajper.com/sv/sportsbook/sports/8-ishockey/leagues/21-sverige-shl</t>
  </si>
  <si>
    <t>oddsen för SHL-matcher</t>
  </si>
  <si>
    <t xml:space="preserve">https://bygg-appen.se/bygga/steg-for-steg-guide-till-en-lyckad-badrumsrenovering </t>
  </si>
  <si>
    <t xml:space="preserve">https://brofastet.se/planera-och-genomfora-en-lyckad-renovering-tips-for-alla-projekt/ </t>
  </si>
  <si>
    <t>https://bbml.se/badrumsrenovering/</t>
  </si>
  <si>
    <t>badrumsrenovering i stockholm</t>
  </si>
  <si>
    <t>https://www.dagenshandel.se/lb-article/180908/smart-finansiering-for-smaforetagare-och-privatpersoner</t>
  </si>
  <si>
    <t>Privatlån &amp; Zmarta</t>
  </si>
  <si>
    <t>https://www.kolla.tv/artikel/fran-coolt-till-modernt-hur-e-cigaretter-forandrar-filmens-rokande-karaktarer</t>
  </si>
  <si>
    <t>https://e-ciggbolaget.se/e-cigaretter/startpaket/</t>
  </si>
  <si>
    <t>https://www.tidningenhalsa.se/artiklar/annons/20241018/spelinspektionens-senaste-undersokningar-kartlagger-svenskarnas-spelvanor/</t>
  </si>
  <si>
    <t>https://www.fri-kopenskap.se/lb-article/180897/hallbart-sparande-och-investeringar-for-sma-och-medelstora-detaljhandelsforetag</t>
  </si>
  <si>
    <t>vad som styr aktiekursen</t>
  </si>
  <si>
    <t>https://www.dagenshandel.se/lb-article/180898/kapitalforvaltning-for-framtidens-ehandel</t>
  </si>
  <si>
    <t>https://news.cision.com/se/fair-investments</t>
  </si>
  <si>
    <t>https://www.entreprenad.com/lb-article/180899/kapitalforvaltning-for-entreprenadsektorn-bygg-en-solid-grund</t>
  </si>
  <si>
    <t>https://www.avanza.se/fonder/om-fonden.html/1205492/spets-a</t>
  </si>
  <si>
    <t>https://www.lifesciencesweden.se/lb-article/180900/tandvard-som-erbjuder-mer-an-bara-en-rutinundersokning</t>
  </si>
  <si>
    <t>https://www.habit.se/lb-article/180901/skonhetsbehandlingar-som-trendar-skalfasader-som-ett-populart-val</t>
  </si>
  <si>
    <t>https://www.medtechmagazine.se/lb-article/180909/lakemedel-for-viktnedgang-vad-du-bor-veta-om-rybelsus</t>
  </si>
  <si>
    <t>https://supernormal.health/se/medicinsk-viktnedgang/Information-om-lakemedel/rybelsus/</t>
  </si>
  <si>
    <t>rybelsus viktnedgång</t>
  </si>
  <si>
    <t>https://www.motormagasinet.se/lb-article/180910/startmotor-din-kompletta-leverantor-av-fordonsdelar</t>
  </si>
  <si>
    <t>https://www.startmotor.se/</t>
  </si>
  <si>
    <t>https://www.lifesciencesweden.se/lb-article/180902/vad-ar-akne-och-hur-kan-det-behandlas</t>
  </si>
  <si>
    <r>
      <rPr>
        <u/>
        <sz val="9"/>
        <color rgb="FF1155CC"/>
        <rFont val="Roboto Mono"/>
      </rPr>
      <t>https://acnespecialisten.se/acne.php</t>
    </r>
    <r>
      <rPr>
        <sz val="9"/>
        <rFont val="Roboto Mono"/>
      </rPr>
      <t xml:space="preserve"> </t>
    </r>
  </si>
  <si>
    <t>https://ng.se/artiklar/vad-skiljer-casinon-med-och-utan-svensk-licens</t>
  </si>
  <si>
    <t>onlinecasino med svensk licens</t>
  </si>
  <si>
    <t>coface</t>
  </si>
  <si>
    <t>https://dragons.no/slik-kan-bedrifter-begrense-risiko-i-dagens-usikre-marked/</t>
  </si>
  <si>
    <t>https://www.coface.no/</t>
  </si>
  <si>
    <t>Begrens risiko</t>
  </si>
  <si>
    <t>https://thetechportal.com/cybersecurity-and-ai-the-good-the-bad-and-the-ugly/</t>
  </si>
  <si>
    <t>https://www.saleseffect.se/soartzy-skraddarsydda-produkter-for-unika-inredningslosningar/</t>
  </si>
  <si>
    <t>Soartzy</t>
  </si>
  <si>
    <t>https://eventeffect.se/foretagsevent-med-upplevelsefokus-skapa-oforglomliga-teamaktiviteter/</t>
  </si>
  <si>
    <t>upplevelse i present</t>
  </si>
  <si>
    <t>https://www.wrestlingattitude.com/2024/10/how-hydration-powers-wrestler-training-routines.html</t>
  </si>
  <si>
    <t>https://baseballegg.com/2024/10/22/quenching-the-thirst-for-victory-how-hydration-impacts-baseball-performance/</t>
  </si>
  <si>
    <t>https://hudsonweekly.com/the-importance-of-staying-hydrated-how-water-affects-your-health/</t>
  </si>
  <si>
    <t>https://www.classylife.nl/inspirerende-diy-ideeen-voor-de-herfst-en-winter/</t>
  </si>
  <si>
    <t>https://clab.fi/tietokoneen-kotelon-tuunaaminen-silikonin-ja-epoksin-avulla/</t>
  </si>
  <si>
    <t>https://www.thexboxhub.com/creating-your-ideal-gaming-environment-tips-for-comfort-and-focus/</t>
  </si>
  <si>
    <t>https://pley.gg/news/role-mental-toughness-cs2-how-stay-calm-under-pressure</t>
  </si>
  <si>
    <t>https://gaming-fans.com/2024/10/the-availability-gap-between-marvel-and-star-wars-slot-games/</t>
  </si>
  <si>
    <t>https://www.nodepositbonus.cc/free-chips-no-deposit-casino-bonuses/100-dollar-no-deposit-casino-chips/</t>
  </si>
  <si>
    <t>Nodepositbonus.cc</t>
  </si>
  <si>
    <t>https://hudsonweekly.com/modern-matchmaking-how-technology-is-transforming-relationships/</t>
  </si>
  <si>
    <t>https://dailyemerald.com/153244/promotedposts/campus-connections-boosting-mental-health-through-events/</t>
  </si>
  <si>
    <t>https://www.impraise.com/why-professional-matchmaking-services-are-for-everyone/</t>
  </si>
  <si>
    <t>https://autolaina.io/kuinka-loytaa-sopiva-autolaina-vinkkeja-autokauppaan-ja-rahoituksen-valintaan/</t>
  </si>
  <si>
    <t>https://helsinkipost.com/kuinka-loytaa-sopiva-autolaina/</t>
  </si>
  <si>
    <t>https://www.geekgirlauthority.com/top-cybersecurity-movies-that-you-can-stream-today/</t>
  </si>
  <si>
    <t>https://pley.gg/news/cybersecurity-cs-go-fight-fair-play</t>
  </si>
  <si>
    <t>kanalgratis.se</t>
  </si>
  <si>
    <t>https://www.bathav.se/fiskeutrustning-for-alla-typer-av-fiske/</t>
  </si>
  <si>
    <t>https://www.kanalgratis.se/sv/photofish-designa-ett-eget-drag</t>
  </si>
  <si>
    <t>designa ditt eget fiskedrag</t>
  </si>
  <si>
    <t>https://www.ekonomifokus.se/bostad/lan/bolan-privatlan-som-egenforetagare</t>
  </si>
  <si>
    <t>https://www.coface.se/kreditfoersaekring</t>
  </si>
  <si>
    <t>kreditförsäkring</t>
  </si>
  <si>
    <t>swedenlongstay.se</t>
  </si>
  <si>
    <t>https://havstomt.se/artiklar/flexibla-boendelosningar-ett-smart-alternativ-for-langtidsboende/</t>
  </si>
  <si>
    <t>https://swedenlongstay.se/sv</t>
  </si>
  <si>
    <t>företagsboende</t>
  </si>
  <si>
    <t>printler.com</t>
  </si>
  <si>
    <t>https://eventeffect.se/printler-vill-radda-din-vagg-fran-konformitetens-bojor/</t>
  </si>
  <si>
    <t>https://printler.com/sv/posters-art-prints/</t>
  </si>
  <si>
    <t>posters</t>
  </si>
  <si>
    <t>michaelofrisorerna.se</t>
  </si>
  <si>
    <t>https://eventeffect.se/michael-frisorerna-hur-en-frisorsalong-pa-sodermalm-konkurrerar-pa-en-tuff-marknad/</t>
  </si>
  <si>
    <t>https://www.michaelofrisorerna.se/</t>
  </si>
  <si>
    <t>Michael &amp; Frisörerna / Kända influencers</t>
  </si>
  <si>
    <t>https://passioneffect.se/heminredningens-kraft-sa-paverkar-ditt-hem-hur-du-mar/</t>
  </si>
  <si>
    <t>https://www.saleseffect.se/acnespecialisten-se-expertis-inom-hudvard-och-aknebehandlingar/</t>
  </si>
  <si>
    <t>https://acnespecialisten.se</t>
  </si>
  <si>
    <t>Acne</t>
  </si>
  <si>
    <t>www.kolla.tv</t>
  </si>
  <si>
    <t>sveriges bästa tv-tablå rekommenderar varmt våra vänner på Spelklubben.se som Sveriges bästa onlinecasino!</t>
  </si>
  <si>
    <t>https://eventeffect.se/sa-skapar-du-hallbara-och-kostnadseffektiva-event/</t>
  </si>
  <si>
    <t>https://www.zmarta.se/</t>
  </si>
  <si>
    <t>jämföra elpriser och andra finansiella lösningar</t>
  </si>
  <si>
    <t>https://eventeffect.se/spel-pa-stora-sportevenemang-sa-engagerar-du-publiken-med-livebetting/</t>
  </si>
  <si>
    <t>https://www.hajper.com/sv/sportsbook</t>
  </si>
  <si>
    <t>Hajper Sportsbook</t>
  </si>
  <si>
    <t>https://www.fri-kopenskap.se/lb-article/180929/every-night-studios-kreativa-losningar-for-profilklader-och-varumarkesprofilering</t>
  </si>
  <si>
    <t>Every night studios</t>
  </si>
  <si>
    <t>https://www.kingsizemag.se/okategoriserat/inredningstips-for-den-som-vill-undvika-generiska-klicheer/</t>
  </si>
  <si>
    <t>https://printler.com/sv/</t>
  </si>
  <si>
    <t>Printler</t>
  </si>
  <si>
    <t>https://www.habit.se/lb-article/180928/rustas-breda-utbud-ett-vinnarkoncept-for-alla</t>
  </si>
  <si>
    <t>https://www.forfest.se/skapa-minnesvarda-festligheter-med-ratt-festprylar/</t>
  </si>
  <si>
    <t>https://www.svenskbyggtidning.se/2024/10/28/sakra-ror-din-palitliga-partner-for-alla-dina-vvs-behov/</t>
  </si>
  <si>
    <t>https://www.svenskbyggtidning.se/2024/10/28/det-kritiska-behovet-av-jourelektriker/</t>
  </si>
  <si>
    <t>Jour Elektriker</t>
  </si>
  <si>
    <t>https://www.nyaprojekt.se/2024/10/28/skraddarsydd-kapitalforvaltning-for-tillvaxtforetag-inom-bygg-och-utveckling/</t>
  </si>
  <si>
    <t>investeringsfilosofi</t>
  </si>
  <si>
    <t>https://www.tidningen.se/annons/ska-torslanda-lyckas-behalla-platsen-i-division-1/</t>
  </si>
  <si>
    <t>odds</t>
  </si>
  <si>
    <t>https://www.tidningen.se/annons/allt-fler-soker-sig-utomlands-for-jobb/</t>
  </si>
  <si>
    <t>dealer på ett live casino</t>
  </si>
  <si>
    <t>https://www.dagensnaringsliv.se/20241029/273908/spelbolag-lanserades-med-framgang</t>
  </si>
  <si>
    <t>onlinecasinot Spelklubben</t>
  </si>
  <si>
    <t>https://www.sportochfritidsnyheter.se/20241029/4031/sport-och-spelbolag-tva-vanner-i-strid</t>
  </si>
  <si>
    <t>andra svenska spelbolag</t>
  </si>
  <si>
    <t>https://www.dagensnaringsliv.se/20241029/273911/strategisk-kapitalforvaltning-sa-kan-svenska-foretag-maximera-sin-langsiktiga</t>
  </si>
  <si>
    <t>För dig som värdesätter riktiga resultat</t>
  </si>
  <si>
    <t>https://www.dagensnaringsliv.se/20241029/273913/vitt-snus-en-snabbvaxande-kategori-inom-tobaksindustrin</t>
  </si>
  <si>
    <t>Vont</t>
  </si>
  <si>
    <t>https://www.dagensnaringsliv.se/20241029/273921/soartzy-stilren-unik-inredning-hotell-hem</t>
  </si>
  <si>
    <t>Soartzy,com</t>
  </si>
  <si>
    <t>https://www.dagensnaringsliv.se/20241029/273922/bokforlaggarbranschen-i-sverige</t>
  </si>
  <si>
    <t>Bokförlag</t>
  </si>
  <si>
    <t>https://www.sportochfritidsnyheter.se/20241029/4034/sportfiske-utrustningen-som-gor-skillnaden</t>
  </si>
  <si>
    <t>https://www.kanalgratis.se/sv/jiggar-med-riggar</t>
  </si>
  <si>
    <t>Fiskedrag / jiggar</t>
  </si>
  <si>
    <t>https://www.dagenshandel.se/lb-article/180930/framtidens-handel-smartare-investeringar-for-langsiktig-framgang</t>
  </si>
  <si>
    <t>https://fairinvestments.se/om-oss/vara-forvaltare/</t>
  </si>
  <si>
    <t>fair investments</t>
  </si>
  <si>
    <t>https://www.habit.se/lb-article/180931/sa-starker-foretag-sin-varumarkesidentitet-med-profilklader</t>
  </si>
  <si>
    <t>https://www.oddsonline.se/resultat/</t>
  </si>
  <si>
    <t>odds online</t>
  </si>
  <si>
    <t>chattanoogarehab.com</t>
  </si>
  <si>
    <t>https://hudsonweekly.com/the-technologies-reshaping-healthcare/</t>
  </si>
  <si>
    <t>https://www.chattanoogarehab.com/shock-wave-rpw</t>
  </si>
  <si>
    <t>shockwave therapy machine</t>
  </si>
  <si>
    <t>https://metapress.com/the-future-of-healing-a-closer-look-at-shock-wave-and-radial-pressure-wave-therapies/</t>
  </si>
  <si>
    <t>shockwave therapy device</t>
  </si>
  <si>
    <t xml:space="preserve">https://paracas.se/koksrenovering-trender-och-tips-for-2025/ </t>
  </si>
  <si>
    <t>https://onthisveryspot.com/latest/gaming-and-recovery-enhancing-muscle-rehabilitation-for-better-performance/</t>
  </si>
  <si>
    <t>https://www.chattanoogarehab.com/us/clinical-electrotherapy/electrical-stimulation</t>
  </si>
  <si>
    <t>electrical stimulation therapy</t>
  </si>
  <si>
    <t>https://redandwhitemagz.com/overcoming-barriers-understanding-the-challenges-in-adopting-electrical-stimulation-technology-in-healthcare/</t>
  </si>
  <si>
    <t>electrical stimulation</t>
  </si>
  <si>
    <t xml:space="preserve">https://www.dagensnaringsliv.se/20241029/273915/kvarnx-innovativ-kryptomaklare-som-forandrar-kryptohandeln </t>
  </si>
  <si>
    <t xml:space="preserve">https://www.kvarnx.com/sv/ </t>
  </si>
  <si>
    <t>Kryptohandel / Kvarnx</t>
  </si>
  <si>
    <t>https://www.sportochfritidsnyheter.se/20241029/4033/sa-forsakrar-du-din-bil-pa-smartast-satt-jamfor-bilforsakringar-och-spara-pengar</t>
  </si>
  <si>
    <t>Privatlån</t>
  </si>
  <si>
    <t>https://www.dagensnaringsliv.se/20241029/273920/sa-haller-din-forening-ordning-pa-ekonomin-tips-en-hallbar-ekonomi</t>
  </si>
  <si>
    <t>här hittar du värdefull information</t>
  </si>
  <si>
    <t>https://www.dagensinfrastruktur.se/2024/10/28/privatekonomi-och-infrastruktur-hur-ekonomiska-val-paverkar-vart-liv/</t>
  </si>
  <si>
    <t>https://www.zmarta.se/lana-pengar/privatlan/betalningsanmarkning</t>
  </si>
  <si>
    <t>privatlån med betalningsanmärkning</t>
  </si>
  <si>
    <t>https://www.allaannonser.se/samarb-hajper.html</t>
  </si>
  <si>
    <t>https://www.hajper.com/sv</t>
  </si>
  <si>
    <t>Hajpers</t>
  </si>
  <si>
    <t>https://eventeffect.se/kanalgratis-fran-passion-for-fiske-till-framgangsrik-e-handel/</t>
  </si>
  <si>
    <t>www.kanalgratis.se/sv</t>
  </si>
  <si>
    <t>https://bokforingsprogram24.se/automatiserad-bokforing-med-pe-accounting-insyn-och-kontroll-utan-krangel/</t>
  </si>
  <si>
    <t>https://forvaltarbrevet.com/kryptovalutor-en-ny-mojlighet-for-entreprenadforetag-att-diversifiera-sina-tillgangar/</t>
  </si>
  <si>
    <t>https://annasvahn.se/lar-dig-om-kryptohandel-mojligheter-for-detaljhandeln-att-expandera-i-den-digitala-eran/?swcfpc=1</t>
  </si>
  <si>
    <t>https://www.kvarnx.com/sv/kategorier/learning</t>
  </si>
  <si>
    <t>lär dig om kryptohandel</t>
  </si>
  <si>
    <t>https://www.executiveeffect.se/kryptoinvesteringar-och-diversifiering-sa-bygger-du-en-hallbar-portfolj/</t>
  </si>
  <si>
    <t>Kvarnx</t>
  </si>
  <si>
    <t>https://bulletin.nu/hostens-stormatcher-i-fotboll-detta-far-du-inte-missa</t>
  </si>
  <si>
    <t>Hajper</t>
  </si>
  <si>
    <t>svenskalasjouren.se</t>
  </si>
  <si>
    <t>https://www.svenskbyggtidning.se/2024/10/30/hur-sakerhetslosningar-spelar-en-avgorande-roll-inom-byggindustrin-i-sverige/</t>
  </si>
  <si>
    <t>https://svenskalasjouren.se/</t>
  </si>
  <si>
    <t>lås och säkerhet</t>
  </si>
  <si>
    <t>https://familjehogtider.se/stark-familjebanden-med-upplevelser-under-familjehogtider/</t>
  </si>
  <si>
    <t>https://www.upplevelse.com/presentkort</t>
  </si>
  <si>
    <t>Presentkort på en upplevelse</t>
  </si>
  <si>
    <t>https://sosugary.com/celebrity-beauty-trends-in-2025-a-glimpse-into-the-future/</t>
  </si>
  <si>
    <t>http://www.chattanoogarehab.com/blog/revised-2023-apta-clinical-practice-guidelines-for-heel-pain-plantar-fasciitis-upgrades-therapeutic-laser-recommendation/</t>
  </si>
  <si>
    <t>https://qrius.com/the-rise-of-telerehabilitation-in-modern-healthcare/</t>
  </si>
  <si>
    <t>https://www.chattanoogarehab.com</t>
  </si>
  <si>
    <t>chattanoogarehab</t>
  </si>
  <si>
    <t>https://breakingac.com/news/2024/oct/29/the-food-scene-in-atlantic-city-exploring-local-flavors/</t>
  </si>
  <si>
    <t>https://ocnjdaily.com/news/2024/oct/30/navigating-alternatives-understanding-nicotine-pouches/</t>
  </si>
  <si>
    <t>https://euroweeklynews.com/2024/10/27/from-meditation-to-superstition-common-pre-match-rituals-for-football-players/</t>
  </si>
  <si>
    <t>https://breakingac.com/news/2024/oct/30/a-guide-to-no-deposit-bonuses-in-online-casinos/</t>
  </si>
  <si>
    <t>https://ocnjdaily.com/news/2024/oct/30/no-deposit-bonuses-a-consumers-guide-to-understanding-online-offers/</t>
  </si>
  <si>
    <t>https://www.nodepositbonus.cc/canada-no-deposit-casino-bonuses/</t>
  </si>
  <si>
    <t>Canadian no deposit casino bonuses</t>
  </si>
  <si>
    <t>https://euroweeklynews.com/2024/10/27/fashion-with-a-conscience-embracing-vintage-in-a-sustainable-world/</t>
  </si>
  <si>
    <t>Vintage from aretrotale.com</t>
  </si>
  <si>
    <t>https://clab.fi/eri-rahoitusvaihtoehdot-kodinelektroniikalle-seka-niiden-edut-ja-haitat/</t>
  </si>
  <si>
    <t>https://www.coface.fi/</t>
  </si>
  <si>
    <t>Tarkista</t>
  </si>
  <si>
    <t>https://www.sn.dk/art6168795/danmark/sponsoreret/her-er-de-stoerste-trends-inden-for-kreditforsikring</t>
  </si>
  <si>
    <t>http://coface.dk/</t>
  </si>
  <si>
    <t>Tjek kunden</t>
  </si>
  <si>
    <t>https://www.procup.se/Lotterier-och-jackpottar-pa-turneringar.htm</t>
  </si>
  <si>
    <t>välkomstbonus hos Cherry</t>
  </si>
  <si>
    <t>https://www.procup.se/Hitta-sponsor-till-din-turnering---tips.htm</t>
  </si>
  <si>
    <t>spela på Svenska Cupen hos Spelklubben</t>
  </si>
  <si>
    <t>https://hedgehog.se/3-saker-du-inte-visste-om-solceller</t>
  </si>
  <si>
    <t>försäkring för dina solceller</t>
  </si>
  <si>
    <t>https://www.sallsyntadiagnoser.nu/</t>
  </si>
  <si>
    <t>https://kvinnamedsmak.se/</t>
  </si>
  <si>
    <t>https://www.solardays.se/</t>
  </si>
  <si>
    <t>https://www.icanrestwhenimdead.com/att-sluta-roka-for-gott</t>
  </si>
  <si>
    <t>e cigg</t>
  </si>
  <si>
    <t>https://www.progress-report.org/embracing-vintage-and-retro-fashion-a-timeless-art</t>
  </si>
  <si>
    <t>https://www.thomashuette.com/</t>
  </si>
  <si>
    <t>http://arctic.se/nibe-warmepumpe-versicherung/</t>
  </si>
  <si>
    <t>https://heysugarmagazine.se/</t>
  </si>
  <si>
    <t>designa egen tröja</t>
  </si>
  <si>
    <t>https://worldwidesciencestories.com/powering-recovery-the-latest-innovations-in-electrical-stimulation/</t>
  </si>
  <si>
    <t>estim machine</t>
  </si>
  <si>
    <t>https://digitaledge.org/the-role-of-wearable-tech-in-preventing-workplace-injuries/</t>
  </si>
  <si>
    <t>https://www.chattanoogarehab.com/us/hot-cold/hot-cold-packs</t>
  </si>
  <si>
    <t>Hot packs</t>
  </si>
  <si>
    <t>https://eyexcon.com/reimagining-office-breaks-practical-tips-for-boosting-wellness-and-productivity/</t>
  </si>
  <si>
    <t>Cold packs</t>
  </si>
  <si>
    <t>https://usalifesstyle.com/innovative-rehab-getting-you-back-on-your-feet/</t>
  </si>
  <si>
    <t>https://xn--vlkomstbonusen-5hb.se/cherry-casino-recension/</t>
  </si>
  <si>
    <t>Välkkomstbonus hos Cherry</t>
  </si>
  <si>
    <t>https://sakraror.se/vara-tjanster/allman-service-vvs/rormokare/</t>
  </si>
  <si>
    <t>https://sakraror.se/vara-tjanster/allman-service-vvs/rormokare/.</t>
  </si>
  <si>
    <r>
      <rPr>
        <u/>
        <sz val="11"/>
        <color rgb="FF1155CC"/>
        <rFont val="&quot;Calibri&quot;, sans-serif"/>
      </rPr>
      <t>https://www.fotboll.com/betting/odds</t>
    </r>
  </si>
  <si>
    <t>https://www.spelklubben.se/sv/betting/fotboll</t>
  </si>
  <si>
    <t>bästa oddsen för spel</t>
  </si>
  <si>
    <t>https://svenskacasinosajterna.se/inlagg/spelklubben-se-recension-en-palitlig-och-anvandarvanlig-casinoplattform/</t>
  </si>
  <si>
    <r>
      <rPr>
        <u/>
        <sz val="10"/>
        <color rgb="FF1155CC"/>
        <rFont val="Arial"/>
        <family val="2"/>
      </rPr>
      <t>Spelklubben.se casino spel</t>
    </r>
  </si>
  <si>
    <t>https://no.moyens.net/</t>
  </si>
  <si>
    <t>https://www.coface.no/inkasso</t>
  </si>
  <si>
    <t>inkasso</t>
  </si>
  <si>
    <t>https://www.oslo.com/blog/2024/11/14/looking-home-oslo-heres-why-your-credit-score-matters/</t>
  </si>
  <si>
    <t>https://www.coface.no/ordliste-for-kredittforsikring-og-kreditthaandtering/kredittvurdering</t>
  </si>
  <si>
    <t>dinkorskola.se</t>
  </si>
  <si>
    <t>https://www.motormagasinet.se/lb-article/180978/framtidens-bilar-och-utbildning-hur-tekniska-framsteg-paverkar-korutbildningen</t>
  </si>
  <si>
    <t>https://dinkorskola.se/intensivkurs-korkort/</t>
  </si>
  <si>
    <t>intensivkurs till körkort i Stockholm</t>
  </si>
  <si>
    <t>https://www.fri-kopenskap.se/lb-article/180980/inspirerande-litteratur-for-foretagare-bocker-om-ledarskap-och-entreprenorskap</t>
  </si>
  <si>
    <t>skicka in ditt manus</t>
  </si>
  <si>
    <t>https://www.entreprenad.com/lb-article/180981/karriarmojligheter-for-entreprenorer-att-bygga-en-framtid-inom-finans-och-investeringar</t>
  </si>
  <si>
    <t>https://www.su.se/polopoly_fs/1.103854.1349877868!/menu/standard/file/S%C3%A4ljare%20mot%20%C3%A5terf%C3%B6rs%C3%A4ljarled%20-%20Fair%20Investments.pdf</t>
  </si>
  <si>
    <t>https://www.motormagasinet.se/lb-article/180982/sa-valjer-du-ratt-motorolja-for-din-bil-en-guide-for-entusiaster-och-proffs</t>
  </si>
  <si>
    <t>https://oljedroppen.se/produkt-kategori/bilprodukter/motorolja/</t>
  </si>
  <si>
    <t>motorolja</t>
  </si>
  <si>
    <t>https://www.lifesciencesweden.se/lb-article/180983/estetisk-tandvard-en-kombinerad-vetenskap-och-konst-for-valmaende-och-sjalvfortroende</t>
  </si>
  <si>
    <t>https://www.purakliniken.se</t>
  </si>
  <si>
    <t>https://www.dagensinfrastruktur.se/2024/11/18/sa-paverkar-sveriges-infrastruktur-mojligheterna-till-korkort-fran-vagutformning-till-trafiksakerhet/</t>
  </si>
  <si>
    <t>https://dinkorskola.se/</t>
  </si>
  <si>
    <t>trafikskola i Stockholm</t>
  </si>
  <si>
    <t>https://familjeupplevelser.se/standup-komedi-i-sverige-en-upplevelse-for-alla/</t>
  </si>
  <si>
    <t>https://mittlillahus.se/maklarens-guide-till-bostadsformedling-i-trosa/</t>
  </si>
  <si>
    <t>Mäklare i nyköping</t>
  </si>
  <si>
    <t>https://veganbeauty.se/tandvard-och-skonhet-hur-ett-vackert-leende-forandrar-ditt-utseende/</t>
  </si>
  <si>
    <t>https://alltombeauty.se/tandvardens-roll-i-skonhetsvard/</t>
  </si>
  <si>
    <t>https://bolagshistorik.se/effektivt-och-miljovanligt-kontorsarbete-en-guide-till-val-av-kopieringspapper/</t>
  </si>
  <si>
    <t>https://industribanken.se/kopa-kontorsmaterial-sa-far-du-basta-priserna-och-tjansterna/</t>
  </si>
  <si>
    <t>https://skaparum.se/taklaggning-och-renovering-en-guide-till-hallbara-tak/</t>
  </si>
  <si>
    <t>https://byggmester.se/takbyte-pa-maskinhallar-vikt-och-processer/</t>
  </si>
  <si>
    <t>byta tak till maskinhall</t>
  </si>
  <si>
    <t>https://manligmagi.se/volkswagen-service-for-man-varfor-det-ar-viktigt-att-ta-hand-om-din-bil/</t>
  </si>
  <si>
    <t>https://herrexperten.se/trygg-bil-en-trygg-partner-for-man-med-bilbehov/</t>
  </si>
  <si>
    <t>https://herrrummet.se/man-och-deras-volkswagen-en-guide-till-service-och-underhall/</t>
  </si>
  <si>
    <t>https://hemforalla.se/mattor-for-hemmet-en-guide-till-perfekta-val/</t>
  </si>
  <si>
    <t>https://hemmabygge.se/vvs-tjanster-for-effektivt-byggeri-i-sollentuna/</t>
  </si>
  <si>
    <t>https://businessagent.se/automatiserad-bokforing-for-foretag/</t>
  </si>
  <si>
    <t>https://hemmabygge.se/akut-vvs-tjanster-hur-jour-eliten-raddar-ditt-byggprojekt/</t>
  </si>
  <si>
    <t>https://industrilinjen.se/tvistlosning-inom-naringslivet-en-guide-till-framgang/</t>
  </si>
  <si>
    <t>https://egenvilla.se/fastighetsformedling-i-trosa-en-guide-till-bostadskop/</t>
  </si>
  <si>
    <t>https://beautyforyou.se/skonhet-och-halsa-optimera-din-biologiska-alder/</t>
  </si>
  <si>
    <t>Biologiskt yngre</t>
  </si>
  <si>
    <t>https://vackerhud.se/vo2-max-och-skonhet-hur-kardiovaskular-halsa-paverkar-ditt-utseende/</t>
  </si>
  <si>
    <t>https://halsaochidrott.se/knaskydd-for-sportutovare-en-guide-till-basta-valen/</t>
  </si>
  <si>
    <t>https://hemresa.se/resor-for-den-aldre-generationen-upptack-varlden-efter-55/</t>
  </si>
  <si>
    <t>https://gentlemanexperten.se/solenoider-for-startmotorer-en-guide-for-den-moderne-mannen/</t>
  </si>
  <si>
    <t>https://farmanualen.se/generatorer-och-startmotorer-en-guide-for-man/</t>
  </si>
  <si>
    <t>https://beautyagenten.se/skonhetstips-for-en-stralande-hy/</t>
  </si>
  <si>
    <t>https://nybyggande.se/taklaggning-i-fokus-hallbara-losningar-for-lantbruket/</t>
  </si>
  <si>
    <t>https://hemmabygge.se/byta-tak-pa-maskinhallar-en-guide-till-takunderhall-och-installation/</t>
  </si>
  <si>
    <t>https://digitalfritid.se/vaping-som-fritidsaktivitet-utforska-vonts-varld/</t>
  </si>
  <si>
    <t>https://fritidsfavoriter.se/tobaksfritt-snus-alternativ-for-en-halsosammare-fritid/</t>
  </si>
  <si>
    <t>https://bolagsekonomen.se/bli-publicerad-en-guide-till-forlagsprocessen/</t>
  </si>
  <si>
    <t>https://alltombeauty.se/estetiska-tandbehandlingar-en-guide-till-skalfasader/</t>
  </si>
  <si>
    <t>https://gratisguide.se/tips-for-att-forbattra-din-halsa-med-supernormal/</t>
  </si>
  <si>
    <t>https://resamedmening.se/hotellrekommendationer-for-din-nasta-resa/</t>
  </si>
  <si>
    <t>Sweden Longstay</t>
  </si>
  <si>
    <t>https://bolagshistorik.se/en-guide-for-foretagsboende/</t>
  </si>
  <si>
    <t>https://swedenlongstay.se/sv/for-foretag</t>
  </si>
  <si>
    <t>Företagsboende</t>
  </si>
  <si>
    <t>cateringfabriken.se</t>
  </si>
  <si>
    <t>https://matkalaset.se/catering-i-stockholm-skraddarsydda-menyer-for-alla-tillfallen/</t>
  </si>
  <si>
    <t>https://cateringfabriken.se/</t>
  </si>
  <si>
    <t>catering stockholm</t>
  </si>
  <si>
    <t>https://lyckligtliv.se/hur-en-ny-bilforarutbildning-kan-forandra-ditt-liv/</t>
  </si>
  <si>
    <t>Trafikskola Stockholm</t>
  </si>
  <si>
    <t>https://fritidsintressen.se/skapa-ditt-eget-fiskedrag-en-hobby-for-fiskentusiaster/</t>
  </si>
  <si>
    <t>https://businesshelper.se/hallbara-klader-for-foretag/</t>
  </si>
  <si>
    <t>Profilkläder</t>
  </si>
  <si>
    <t>https://trendysaker.se/hallbara-klader-for-en-bra-natt/</t>
  </si>
  <si>
    <t>hund.se</t>
  </si>
  <si>
    <t>https://familjfakta.se/familjens-basta-van-hundens-roll-i-familjelivet/</t>
  </si>
  <si>
    <t>https://www.hund.se/</t>
  </si>
  <si>
    <t>Besök hund.se</t>
  </si>
  <si>
    <t>skidvalla.se</t>
  </si>
  <si>
    <t>https://utflyktsguide.se/skidakning-for-alla-optimera-din-uteresa-med-ratt-skidvalla/</t>
  </si>
  <si>
    <t>Skidvalla.se</t>
  </si>
  <si>
    <t>diamantbryne</t>
  </si>
  <si>
    <t>https://budgetresa.se/skidresor-sa-forbereder-du-dig-for-sasongen/</t>
  </si>
  <si>
    <t>glidvalla längdskidor</t>
  </si>
  <si>
    <t>https://presenttipsaren.nu/presenttips-for-hundalskaren-hundfoder/</t>
  </si>
  <si>
    <t>https://filmeye.se/vilken-loop-ar-det-perfekta-sallskapet-for-en-filmkvall/</t>
  </si>
  <si>
    <t xml:space="preserve">https://www.snusnetto.se/loop/ </t>
  </si>
  <si>
    <t>https://www.aktiekunskap.nu/kryptovaluta/investera-i-kryptovalutor-guide/</t>
  </si>
  <si>
    <t>investera i kryptovalutor</t>
  </si>
  <si>
    <t>https://aktiewiki.se/guide-till-kryptovalutor-och-kryptoinvesteringar-hur-du-kommer-igang/</t>
  </si>
  <si>
    <t>köper kryptovalutor</t>
  </si>
  <si>
    <t>https://www.spanienforum.se/pages/bilforsakring/</t>
  </si>
  <si>
    <t>https://www.zmarta.se/tips-rad/bilforsakring/varldens-snabbaste-bil</t>
  </si>
  <si>
    <t>försäkring som täcker specialbehov</t>
  </si>
  <si>
    <t>https://brollopspresenten.se/upplevelsepresenter-som-starker-relationer-och-skapar-minnen/</t>
  </si>
  <si>
    <t>https://www.upplevelse.com/presenttips/present-till-pojkvan</t>
  </si>
  <si>
    <t>Present till pojkvän</t>
  </si>
  <si>
    <t>https://www.fastighetsmaklarnamnden.se/sakerhet-och-inbrottsskydd-for-fastighetsagare-en-guide-till-tryggare-fastigheter/</t>
  </si>
  <si>
    <t>svenska lås jouren</t>
  </si>
  <si>
    <t>https://xn--bostadsrttsgaren-2nbd.se/akut-hjalp-med-vvs-varfor-bostadsrattsinnehavare-i-stockholm-bor-ha-en-palitlig-rormokare/</t>
  </si>
  <si>
    <t>rörmokare stockholm (generisk)</t>
  </si>
  <si>
    <t>https://kopa-hus.se/viktiga-vvs-aspekter-att-tanka-pa-vid-kop-av-hus/</t>
  </si>
  <si>
    <t>https://rorjour247.se</t>
  </si>
  <si>
    <t>Rörjour 24/7 - för akuta behov av vvs-tjänster</t>
  </si>
  <si>
    <t>https://www.washingtontimes.com/sponsored/empowering-independence-smart-tech-supporting-elderly-home-rehab/</t>
  </si>
  <si>
    <t>https://www.transportnet.se/lb-article/181003/sa-valjer-du-ratt-motorolja-for-din-bil-en-guide-for-entusiaster-och-proffs</t>
  </si>
  <si>
    <t>https://www.entreprenad.com/lb-article/181004/hallbarhet-och-innovation-inom-marin-entreprenad-svenska-pontonhamnar-i-fokus</t>
  </si>
  <si>
    <t>https://ourculturemag.com/2024/11/22/printler-bringing-art-to-the-people/</t>
  </si>
  <si>
    <t>https://printler.com/uk/</t>
  </si>
  <si>
    <t>https://geekvibesnation.com/the-cyberspace-battlefield-what-video-games-can-teach-us-about-protecting-our-data/</t>
  </si>
  <si>
    <t>https://www.joyfreak.com/threads/your-gaming-setup-isnt-as-safe-as-you-think-5-must-know-security-tips.15527/</t>
  </si>
  <si>
    <t>cyber defense</t>
  </si>
  <si>
    <t>https://boxthislap.org/the-impact-of-the-hidden-formula-of-racing-success-how-f1-drivers-prepare-physically-and-mentally-for-the-track/</t>
  </si>
  <si>
    <t>https://usawire.com/what-to-keep-in-mind-when-considering-private-label-bottled-water/</t>
  </si>
  <si>
    <t>https://usawire.com/micro-breaks-for-macro-results-how-5-minute-breaks-can-boost-your-productivity/</t>
  </si>
  <si>
    <t>https://ourculturemag.com/2024/11/19/creative-breakthroughs-how-taking-a-mental-pause-could-enhance-your-artistic-vision/</t>
  </si>
  <si>
    <t>https://ourculturemag.com/2024/11/19/cultural-changes-in-relationships-what-singles-want-today-vs-10-years-ago/</t>
  </si>
  <si>
    <t>Kelleher International</t>
  </si>
  <si>
    <t>https://pasoroblesdailynews.com/wine-dine-and-date-unforgettable-romantic-date-ideas-in-paso-robles/205628/</t>
  </si>
  <si>
    <t>https://topicsolutions.net/the-hidden-link-between-gaming-ergonomics-and-recovery-how-tech-can-help-your-body-perform-better/</t>
  </si>
  <si>
    <t>https://tesso.fi/luottovakuutus-ja-riskienhallinta-vahva-yhdistelma-menestyksen-saavuttamiseen/</t>
  </si>
  <si>
    <t>https://www.coface.fi/luottovakuutus</t>
  </si>
  <si>
    <t>luottovakuutus</t>
  </si>
  <si>
    <t>https://mariagerfjordposten.dk/5-gode-tips-til-at-forbedre-din-kreditvurdering/</t>
  </si>
  <si>
    <t>https://www.coface.dk/ordliste-for-kreditforsikring-og-kreditstyring/kreditvurdering</t>
  </si>
  <si>
    <t>https://helsinkipost.com/mita-jokaisen-velallisen-tulee-tietaa-perinnasta/</t>
  </si>
  <si>
    <t>https://www.coface.fi/perintaepalvelut</t>
  </si>
  <si>
    <t>perintäpalvelut</t>
  </si>
  <si>
    <t>https://tech-archive.net/fi/kaytettyjen-autojen-markkinat-ostajan-ehdoilla/</t>
  </si>
  <si>
    <t>https://www.kamux.fi/</t>
  </si>
  <si>
    <t>https://eestinen.fi/2025/01/sahkoautoon-vaihtamisen-hyodyt/</t>
  </si>
  <si>
    <t>racha-organics</t>
  </si>
  <si>
    <t>https://seaislenews.com/news/2024/nov/14/game-day-heat-philly-and-jersey-shore-tailgate-recipes-that-bring-the-flavor/</t>
  </si>
  <si>
    <t>https://www.amazon.com/Racha-Organics-Sriracha-Sauce-Certified/dp/B0CYLCC464</t>
  </si>
  <si>
    <t>Sriracha Sauce</t>
  </si>
  <si>
    <t>https://megapersonal.pro/the-science-of-spice-how-heat-in-food-affects-your-brain-mood-and-health/</t>
  </si>
  <si>
    <t>https://www.amazon.com/stores/page/A25C2F67-D612-4EBD-9B59-6A7A7830240F</t>
  </si>
  <si>
    <t>https://mightygadget.co.uk/smart-homes-and-wellness-the-role-of-electrical-stimulation-devices-in-everyday-health/</t>
  </si>
  <si>
    <t>https://usawire.com/soothe-restore-repeat-how-heat-therapy-can-elevate-your-fitness-routine/</t>
  </si>
  <si>
    <t>https://www.borskollen.se/nyheter/27/nar-ar-det-en-bra-ide-att-lana-till-investeringar-och-nar-bor-man-undvika-det</t>
  </si>
  <si>
    <t>Zmarta</t>
  </si>
  <si>
    <t xml:space="preserve">https://www.dagensinfrastruktur.se/2024/11/27/sakerhet-i-offentlig-infrastruktur-varfor-palitliga-lassmeder-ar-avgorande/ </t>
  </si>
  <si>
    <t>låssmed (generiskt)</t>
  </si>
  <si>
    <t>https://www.madad2.com/2024/11/nicotine-pouches-safer-alternative-for.html</t>
  </si>
  <si>
    <t>SA</t>
  </si>
  <si>
    <t>https://borsbolag.se/kreditbedomningars-paverkan-pa-borsnoterade-foretags-aktiekurser/</t>
  </si>
  <si>
    <t>www.coface.se/kreditfoersaekring-och-inkasso-ordlista/kreditbedoemning</t>
  </si>
  <si>
    <t>kreditbedömning</t>
  </si>
  <si>
    <t>https://pengar.in/att-valja-ratt-investeringspartner-for-ekonomisk-trygghet/</t>
  </si>
  <si>
    <t>https://valutor.nu/valutamarknadens-inverkan-pa-globala-investeringar/</t>
  </si>
  <si>
    <t>https://parkleken.se/det-perfekta-hundkopplet/</t>
  </si>
  <si>
    <t>https://www.hund.se/koppel-selar-och-halsband</t>
  </si>
  <si>
    <t>hundkoppel</t>
  </si>
  <si>
    <t>https://kilander-racing.se/optimera-din-racingprestanda/</t>
  </si>
  <si>
    <t>oljedroppen.se</t>
  </si>
  <si>
    <t>https://inredningsmagasinet.se/sa-inreder-du-med-mattor-for-att-skapa-stil-och-komfort-i-hemmet/</t>
  </si>
  <si>
    <t>https://www.rusta.com/sv-se/hem-och-inredning/mattor</t>
  </si>
  <si>
    <t>Rusta</t>
  </si>
  <si>
    <t>aerius.se</t>
  </si>
  <si>
    <t>https://www.nordiskaprojekt.se/2024/11/27/ventilationssystemens-betydelse-for-industrin/</t>
  </si>
  <si>
    <t>https://aerius.se/</t>
  </si>
  <si>
    <t>Ventilation</t>
  </si>
  <si>
    <t>nätcasinoguide.se</t>
  </si>
  <si>
    <t>https://www.dagensinfrastruktur.se/2024/11/27/den-digitala-infrastrukturens-betydelse/</t>
  </si>
  <si>
    <t>https://www.xn--ntcasinoguide-bfb.se/</t>
  </si>
  <si>
    <t>nätcasino</t>
  </si>
  <si>
    <t>IP i Sverige</t>
  </si>
  <si>
    <t>https://www.dagensinfrastruktur.se/2024/11/27/sakerhet-i-offentlig-infrastruktur-varfor-palitliga-lassmeder-ar-avgorande/</t>
  </si>
  <si>
    <t>Svenska Låsjouren</t>
  </si>
  <si>
    <t>https://www.nordiskaprojekt.se/2024/11/27/akut-elservice-en-nodvandighet-for-industriprojekt/</t>
  </si>
  <si>
    <t>petster.se</t>
  </si>
  <si>
    <t>https://www.dagensinfrastruktur.se/2024/11/27/hur-hallbar-infrastruktur-och-ratt-utrustning-starker-hastnaringen/</t>
  </si>
  <si>
    <t>hästproduktersom du behöver</t>
  </si>
  <si>
    <t>https://www.dagensinfrastruktur.se/2024/11/27/privatlan-for-personer-med-betalningsanmarkning-finansieringslosningar-for-framtida-infrastrukturprojekt/</t>
  </si>
  <si>
    <t>Hur fungerar det om du vill ta lån men har betalningsanmärkningar?</t>
  </si>
  <si>
    <t>https://kilander-racing.se/tillforlitlighet-i-racingbilkomponenter/</t>
  </si>
  <si>
    <t>startmotor</t>
  </si>
  <si>
    <t>https://foraldraguiden.se/vanliga-tandolyckor-hos-barn-och-hur-du-kan-forebygga-dem/</t>
  </si>
  <si>
    <t>akut tandvård i stockholm</t>
  </si>
  <si>
    <t>https://topplistigt.se/livsstil/topp-10-popularaste-snussorterna-2024/</t>
  </si>
  <si>
    <t>https://valutor.nu/hur-valutakurser-paverkar-dina-lan/</t>
  </si>
  <si>
    <t>Jämföra &amp; ansöka om ett privatlån</t>
  </si>
  <si>
    <t>https://ekonomistart.se/en-guide-till-bilforsakringar/</t>
  </si>
  <si>
    <t>enligt zmarta</t>
  </si>
  <si>
    <t>https://nya-spelbolag.se/spel-som-ar-ett-maste-hos-nya-svenska-spelbolag/</t>
  </si>
  <si>
    <t>https://stryktips.nu/utlandska-motsvarigheter-till-stryktipset/</t>
  </si>
  <si>
    <t>https://www.sportochfritidsnyheter.se/20241129/4078/hallbara-profilklader-sportevenemang-lyft-ditt-varumarke-med-miljovanliga-val</t>
  </si>
  <si>
    <t>casinogringos.se</t>
  </si>
  <si>
    <t>https://www.sportochfritidsnyheter.se/20241129/4079/onlinecasinons-sponsring-av-sport-mojligheter-och-utmaningar</t>
  </si>
  <si>
    <t>https://casinogringos.se</t>
  </si>
  <si>
    <t>jämförelser av de bästa online casino</t>
  </si>
  <si>
    <t>https://www.dagensnaringsliv.se/20241129/274997/hantering-av-akuta-vvs-problem-en-viktig-fraga-foretag</t>
  </si>
  <si>
    <t>vid akuta problem inom VVS och rörmokeri</t>
  </si>
  <si>
    <t>https://www.sportochfritidsnyheter.se/20241129/4080/motion-med-hund-viktiga-tips-aktivt-och-halsosamt-hundliv</t>
  </si>
  <si>
    <t>https://eventeffect.se/samarbete-mellan-eventplanerare-och-cateringforetag/</t>
  </si>
  <si>
    <t>Catering i Stockholm</t>
  </si>
  <si>
    <t>https://www.executiveeffect.se/effektiv-personalhantering-och-utbildning-nyckeln-till-hog-kundnojdhet-inom-onlinecasinon/</t>
  </si>
  <si>
    <t xml:space="preserve">onlinecasinon med snabba uttag </t>
  </si>
  <si>
    <t>https://www.executiveeffect.se/michael-frisorerna-en-forebild-inom-skonhetsbranschen-och-affarsutveckling/</t>
  </si>
  <si>
    <t>Michael &amp; Frisörerna</t>
  </si>
  <si>
    <t>https://eventeffect.se/sverige-som-ledande-aktor-inom-affiliate-marketing-en-guide-till-branschens-framgangsfaktorer/</t>
  </si>
  <si>
    <t>https://casinogringos.se/casino-bonus</t>
  </si>
  <si>
    <t>sajter som recenserar och listar bonuserbjudanden från casinosajter</t>
  </si>
  <si>
    <t>https://www.executiveeffect.se/genomskinliga-tandskenor-en-diskret-och-effektiv-losning-for-rakare-tander/</t>
  </si>
  <si>
    <t>https://www.purakliniken.se/estetisk-tandvard/tandreglering-invisalign/</t>
  </si>
  <si>
    <t>mest populära och erkända metoderna för osynlig tandreglering är Invisalign</t>
  </si>
  <si>
    <t>https://www.executiveeffect.se/effektiv-arbetsmiljo-genom-optimal-ventilation/</t>
  </si>
  <si>
    <t>https://aerius.se/tjanster/sjalvdrag/</t>
  </si>
  <si>
    <t>Självdrag</t>
  </si>
  <si>
    <t>https://www.executiveeffect.se/professionella-inkassotjanster-en-nyckel-till-effektivitet-och-strategisk-utveckling/</t>
  </si>
  <si>
    <t>https://www.coface.se/inkasso</t>
  </si>
  <si>
    <t>inkasso för företag</t>
  </si>
  <si>
    <t>https://www.executiveeffect.se/sakerhet-pa-arbetsplatsen-varfor-foretag-bor-investera-i-en-palitlig-lasjour/</t>
  </si>
  <si>
    <t>https://svenskalasjouren.se/lasjour</t>
  </si>
  <si>
    <t>låsjour</t>
  </si>
  <si>
    <t>https://www.executiveeffect.se/halsa-i-ledarskapet-losningar-for-att-leva-en-halsosam-livsstil/</t>
  </si>
  <si>
    <t>Rybelsus</t>
  </si>
  <si>
    <t>https://passioneffect.se/kombinera-ett-aktivt-arbetsliv-med-hundansvar/</t>
  </si>
  <si>
    <t>hundsaker hos hund.se</t>
  </si>
  <si>
    <t>https://passioneffect.se/det-vaxande-intresset-for-fiske-i-sverige/</t>
  </si>
  <si>
    <t>tigerofsweden.com</t>
  </si>
  <si>
    <t>https://passioneffect.se/hur-kladsel-paverkar-sjalvfortroende-prestation-och-valmaende-pa-arbetsplatsen/</t>
  </si>
  <si>
    <t>https://www.tigerofsweden.com/se/sv/herr/kostymer/</t>
  </si>
  <si>
    <t>herr kostymer</t>
  </si>
  <si>
    <t>https://www.saleseffect.se/strategisk-marknadsforing-stark-varumarket-med-profilklader/</t>
  </si>
  <si>
    <t>https://www.saleseffect.se/sa-okar-du-din-forsaljning-genom-strategiska-investeringar/</t>
  </si>
  <si>
    <t>Fair Investments maximerar avkastningen</t>
  </si>
  <si>
    <t>https://www.saleseffect.se/hur-ratt-investeringsfonder-kan-forbattra-foretagens-forsaljningsresultat/</t>
  </si>
  <si>
    <t>https://www.saleseffect.se/nyckeln-till-battre-kundupplevelse-och-okad-kundnojdhet/</t>
  </si>
  <si>
    <t>https://pasoroblesdailynews.com/three-scenic-hikes-near-paso-robles-and-what-you-need-to-know-before-you-go/206158/</t>
  </si>
  <si>
    <t>https://www.myownwater.com/aluminum-water-bottles</t>
  </si>
  <si>
    <t>Aluminum bottled water is safe to drink even if the bottle has been reused many times</t>
  </si>
  <si>
    <t>https://www.washingtontimes.com/sponsored/max-verstappen-historic-fourth-title-formula-1/</t>
  </si>
  <si>
    <t xml:space="preserve">https://www.nodepositbonus.cc/ </t>
  </si>
  <si>
    <t>https://fintechszoom.com/data-security-in-gaming-vs-finance/</t>
  </si>
  <si>
    <t>no deposit bonus offers in Canada</t>
  </si>
  <si>
    <t>https://bronx.com/fun-places-in-the-bronx-where-you-can-play-games-and-connect-with-friends/</t>
  </si>
  <si>
    <t>https://topicsolutions.net/no-deposit-bonuses-vs-game-demos-separating-fact-from-fiction/</t>
  </si>
  <si>
    <t>https://euroweeklynews.com/2024/11/28/best-tips-for-shopping-the-right-vintage-look/</t>
  </si>
  <si>
    <t xml:space="preserve">Vintage from aretrotale.com </t>
  </si>
  <si>
    <t>https://jammerbugtposten.dk/hvad-sker-der-naar-regningen-ryger-i-inkasso/</t>
  </si>
  <si>
    <t>https://www.coface.dk/inkasso</t>
  </si>
  <si>
    <t>clearfuze.com</t>
  </si>
  <si>
    <t>https://revolvertech.com/2024/11/23/how-to-secure-your-home-network-like-a-pro-a-step-by-step-guide/</t>
  </si>
  <si>
    <t>https://clearfuze.com/</t>
  </si>
  <si>
    <t>IT and Cybersecurity Solutions from clearfuze</t>
  </si>
  <si>
    <t>https://redandwhitemagz.com/building-a-sustainable-and-scalable-business-model-with-smart-it-solutions/</t>
  </si>
  <si>
    <t>https://clearfuze.com/solutions/it-consulting/</t>
  </si>
  <si>
    <t>it consulting services</t>
  </si>
  <si>
    <t>https://applemagazine.com/public-wi-fi-protect-your-apple-devices/90884</t>
  </si>
  <si>
    <t>https://clearfuze.com/solutions/cybersecurity/</t>
  </si>
  <si>
    <t>cyber security consulting services</t>
  </si>
  <si>
    <t>cwinz.com</t>
  </si>
  <si>
    <t>https://funkeelife.com/luck-vs-skill-finding-the-right-balance-games-life/</t>
  </si>
  <si>
    <t>https://www.cwinz.com/</t>
  </si>
  <si>
    <t>IN</t>
  </si>
  <si>
    <t>Cwinz</t>
  </si>
  <si>
    <t>https://c-incognito.com/the-transformation-of-virtual-economies-what-esports-players-can-learn-from-casino-gamers/</t>
  </si>
  <si>
    <t>Cwinz.com</t>
  </si>
  <si>
    <t>https://www.oekotopp.de/</t>
  </si>
  <si>
    <t>https://www.elbranschen.nu/</t>
  </si>
  <si>
    <t>https://www.tefcar.se/</t>
  </si>
  <si>
    <t>service till din Volkswagen</t>
  </si>
  <si>
    <t>https://www.icanrestwhenimdead.com/ett-guilty-pleasure-mitt-i-all-action</t>
  </si>
  <si>
    <t>https://itsmeyourdani.se/en-frisk-flakt-i-en-fargglad-varld-vapes-utan-nikotin</t>
  </si>
  <si>
    <t>vapes utan nikotin</t>
  </si>
  <si>
    <t>https://www.executiveeffect.se/strikt-reglerade-branscher-strategier-for-effektiv-efterlevnad/</t>
  </si>
  <si>
    <t>https://www.totallyorebro.se/uncategorized/framtidens-casinospel-hur-teknologi-och-marknadstrender-formar-branschen/</t>
  </si>
  <si>
    <t>bethard och betbuilder</t>
  </si>
  <si>
    <t>https://www.dagensnaringsliv.se/20241203/274991/vad-ar-gamification-spelifiering-och-hur-forandrar-det-foretagsvarlden</t>
  </si>
  <si>
    <t>https://eventeffect.se/utbildning-och-natverkande-viktiga-ingredienser-for-framgangsrik-investering/</t>
  </si>
  <si>
    <t>grunderna och nyckelbegreppen inom kryptovärlden</t>
  </si>
  <si>
    <t>https://www.executiveeffect.se/upplevelsepresenter-en-effektiv-strategi-for-att-starka-foretagskulturen/</t>
  </si>
  <si>
    <t>https://www.dagensnaringsliv.se/20241129/274999/hur-koper-man-biljettpaket-till-wimbledon</t>
  </si>
  <si>
    <t>https://www.saleseffect.se/basta-konferenserna-for-att-bli-battre-pa-digital-forsaljning/</t>
  </si>
  <si>
    <t xml:space="preserve">https://www.executiveeffect.se/sakerhet-pa-arbetsplatsen-varfor-foretag-bor-investera-i-en-palitlig-lasjour/ </t>
  </si>
  <si>
    <t xml:space="preserve">https://www.dagensnaringsliv.se/20241129/274997/hantering-av-akuta-vvs-problem-en-viktig-fraga-foretag </t>
  </si>
  <si>
    <t xml:space="preserve">https://www.sportochfritidsnyheter.se/20241129/4079/onlinecasinons-sponsring-av-sport-mojligheter-och-utmaningar </t>
  </si>
  <si>
    <t xml:space="preserve">https://casinogringos.se </t>
  </si>
  <si>
    <t xml:space="preserve">https://www.executiveeffect.se/effektiv-personalhantering-och-utbildning-nyckeln-till-hog-kundnojdhet-inom-onlinecasinon/ </t>
  </si>
  <si>
    <t xml:space="preserve">https://eventeffect.se/sverige-som-ledande-aktor-inom-affiliate-marketing-en-guide-till-branschens-framgangsfaktorer/ </t>
  </si>
  <si>
    <t xml:space="preserve">https://casinogringos.se/casino-bonus </t>
  </si>
  <si>
    <t>https://rabattkodsidan.se/nytt/hur-fungerar-egentligen-valkomstbonusar-pa-casinon/</t>
  </si>
  <si>
    <t>Välkomstrelaterat (eller relaterat)</t>
  </si>
  <si>
    <t>https://podradio.nu/4-podcasts-om-tandvard-och-estetiska-behandlingar/</t>
  </si>
  <si>
    <t>https://www.purakliniken.se/estetisk-tandvard/</t>
  </si>
  <si>
    <t>en djupare förståelse för tandvård och estetiska behandlingar</t>
  </si>
  <si>
    <t>https://ng.se/artiklar/kandisfiske-nar-stjarnorna-tar-till-spoet</t>
  </si>
  <si>
    <t>Kanalgratis.se</t>
  </si>
  <si>
    <t>https://www.kingsizemag.se/okategoriserat/hip-hop-modet-och-skraddarsydda-kostymer-fran-gatan-till-galan/</t>
  </si>
  <si>
    <t>kostymer</t>
  </si>
  <si>
    <t>https://www.lfc.se/nyheter/58042/en-sasongsinledning-som-far-en-att-dromma</t>
  </si>
  <si>
    <t>https://www.spelklubben.se/sv/betting/fotboll/england/premier-league-epl?</t>
  </si>
  <si>
    <t>liverpools säsong såhär långt</t>
  </si>
  <si>
    <t>https://www.everysport.com/guest-posts/2024-11-21/de-hetaste-matcherna-i-naesta-champions-league-omgang</t>
  </si>
  <si>
    <t>skriv om kommande matcher i champions league</t>
  </si>
  <si>
    <t>https://tv24.se/tips/klassiska-jackpot-ogonblick-i-tv-de-vann-storvinsterna</t>
  </si>
  <si>
    <t>jackpotspel</t>
  </si>
  <si>
    <t>https://www.allaannonser.se/samarb-betalonlinec.html</t>
  </si>
  <si>
    <t xml:space="preserve">https://www.nätcasinoguide.se/casino-med-swish </t>
  </si>
  <si>
    <t>casinon som erbjuder Swish</t>
  </si>
  <si>
    <t>https://filmparadiset.se/2024/11/20/klassiska-filmer-gambling-och-vad-som-utmarker-dem/</t>
  </si>
  <si>
    <t>Betting partial</t>
  </si>
  <si>
    <t>https://tv24.se/tips/stor-premiar-for-helikopterranet-pa-netflix</t>
  </si>
  <si>
    <t>Present</t>
  </si>
  <si>
    <t>https://sportpaket.se/ett-starkt-ar-for-trav-och-ridsport/</t>
  </si>
  <si>
    <t>Presentkort</t>
  </si>
  <si>
    <t>https://www.sportfack.se/annons/20241201/sma-sportbutiker-och-den-vaxande-konkurrensen-fran-e-handel-och-internationella-aktorer/</t>
  </si>
  <si>
    <t xml:space="preserve">https://www.hajper.com/sv/responsible-gaming </t>
  </si>
  <si>
    <t>Hajper och ansvarsfullt spelande</t>
  </si>
  <si>
    <t>https://sportpaket.se/sa-hittar-du-spelbolag-som-uppmanar-till-ansvarsfullt-spelande/</t>
  </si>
  <si>
    <t>https://www.hajper.com/sv/</t>
  </si>
  <si>
    <t xml:space="preserve">https://www.allaannonser.se/samarb-betalonlinec.html </t>
  </si>
  <si>
    <t xml:space="preserve">https://www.nätcasinoguide.se/casino-med-swish    </t>
  </si>
  <si>
    <t>https://casino-nytt.se/nya-livespel-dags-att-testa-annat-an-blackjack-och-roulette/</t>
  </si>
  <si>
    <t>Spelklubben livecasino</t>
  </si>
  <si>
    <t>https://slotspojken.se/basta-spel-med-bar-pa-hjulen/</t>
  </si>
  <si>
    <t>Freespins</t>
  </si>
  <si>
    <t>https://slotspojken.se/vad-ar-free-spins-utan-omsattningskrav/</t>
  </si>
  <si>
    <t>svenska casino på nätet</t>
  </si>
  <si>
    <t>https://torrfoder.se/blogg/om-hund-inte-ater/</t>
  </si>
  <si>
    <t>https://www.petster.se/</t>
  </si>
  <si>
    <t>Petster</t>
  </si>
  <si>
    <t xml:space="preserve">https://slotspojken.se/vad-ar-free-spins-utan-omsattningskrav/ </t>
  </si>
  <si>
    <t xml:space="preserve">https://www.xn--ntcasinoguide-bfb.se/ </t>
  </si>
  <si>
    <t>https://branschaktuellt.se/diverse/224026-underhallningsbranschen-och-dess-olika-sidor/</t>
  </si>
  <si>
    <t>spelshower</t>
  </si>
  <si>
    <t>https://www.hittalanet.se/privatlan</t>
  </si>
  <si>
    <t>https://www.zmarta.se/lana-penga</t>
  </si>
  <si>
    <t>låna pengar</t>
  </si>
  <si>
    <t>https://www.executiveeffect.se/dygnetrunt-service-en-livlina-for-akuta-behov/</t>
  </si>
  <si>
    <t>https://www.totallystockholm.se/den-digitala-infrastrukturens-betydelse/</t>
  </si>
  <si>
    <t>https://annasvahn.se/olika-satt-att-investera-pengar-pa/</t>
  </si>
  <si>
    <t>profesionell kapitalförvaltare</t>
  </si>
  <si>
    <t>https://forvaltarbrevet.com/datum-investor-utdelning/</t>
  </si>
  <si>
    <t>https://ledarsidorna.se/ledarskap-och-investeringar-att-fatta-hallbara-ekonomiska-beslut/</t>
  </si>
  <si>
    <t>https://ledarsidorna.se/att-leda-sin-hund/</t>
  </si>
  <si>
    <t>https://www.hund.se/hundgodis</t>
  </si>
  <si>
    <t>hundgodis</t>
  </si>
  <si>
    <t>https://ledarsidorna.se/trender-inom-inredning-hur-heminredning-speglar-samhallsforandringar/</t>
  </si>
  <si>
    <t>https://www.sportfack.se/artiklar/20241205/framtidens-sporthandel-ai-hallbarhet-och-personalisering-i-fokus/</t>
  </si>
  <si>
    <t>https://casinogringos.se/guider/vad-innebar-den-svenska-licensen</t>
  </si>
  <si>
    <t>bonuserbjudanden för betting</t>
  </si>
  <si>
    <t>https://ledarsidorna.se/donald-trumps-seger-och-bettingens-betydelse-hur-politisk-betting-speglade-och-paverkade-valet/</t>
  </si>
  <si>
    <t>betting eller odds partial</t>
  </si>
  <si>
    <t>https://ledarsidorna.se/velo-en-del-av-den-nya-generationens-nikotinprodukter-vad-innebar-det-for-folkhalsan/</t>
  </si>
  <si>
    <t>https://ecommunity.se/det-vita-snusets-historia/</t>
  </si>
  <si>
    <t>https://ledarsidorna.se/donald-trump-som-kryptopresident-politikens-inverkan-pa-kryptovalutans-framtid/</t>
  </si>
  <si>
    <t>invester i krypto</t>
  </si>
  <si>
    <t xml:space="preserve">https://www.sportfack.se/artiklar/20241205/framtidens-sporthandel-ai-hallbarhet-och-personalisering-i-fokus/ </t>
  </si>
  <si>
    <t xml:space="preserve">https://casinogringos.se/guider/vad-innebar-den-svenska-licensen </t>
  </si>
  <si>
    <t>https://fragbite.se/all/news/56490/fran-kasinot-till-twitch-blackjack-som-en-vaxande-esportkategori</t>
  </si>
  <si>
    <t>https://www.cherry.com/sv/live-casino/blackjack</t>
  </si>
  <si>
    <t>klassiska kortspel som blackjack</t>
  </si>
  <si>
    <t>https://www.nojesnytthelsingborg.se/2024/12/10/hur-fungerar-egentligen-casinobonusar-och-vad-ska-du-tanka-pa/</t>
  </si>
  <si>
    <t>jämföra olika erbjudanden via jämförelsesajter som Casinogringos</t>
  </si>
  <si>
    <t>podcasts.nu</t>
  </si>
  <si>
    <t>https://familjfakta.se/familj-och-skratt-hur-standup-komedi-kan-forena-oss/</t>
  </si>
  <si>
    <t>https://husmedia.se/lansforsakringar-fastighetsformedling-din-guide-till-bostadsaffarer-i-trosa/</t>
  </si>
  <si>
    <t>https://beautytube.se/skonhet-borjar-med-ett-leende-tjanster-pa-mariatorgets-tandlakarmottagning/</t>
  </si>
  <si>
    <t>https://beautyforyou.se/tandvard-och-skonhet-hur-en-frisk-mun-bidrar-till-ett-vackert-leende/</t>
  </si>
  <si>
    <t>https://bolagsekonomen.se/effektiv-pappersforsaljning-for-foretag/</t>
  </si>
  <si>
    <t>https://vackerthem.se/mattor-for-hemmet-skapa-en-varm-och-valkomnande-atmosfar/</t>
  </si>
  <si>
    <t>https://hemmaprofilen.se/hitta-det-perfekta-hundfodret-for-din-fyrbente-van/</t>
  </si>
  <si>
    <t>https://byggbalans.se/vvs-tjanster-for-byggprojekt-en-guide-till-sakra-ror-bygg/</t>
  </si>
  <si>
    <t>https://industrimagasinet.se/effektivisera-ditt-foretags-ekonomi-med-kleers-bokforingsprogram/</t>
  </si>
  <si>
    <t>https://skaparum.se/akut-rormokartjanster-i-stockholm-en-livlina-for-byggprojekt/</t>
  </si>
  <si>
    <t>https://industribanken.se/effektiv-tvistlosning-for-foretag-en-guide-for-affarsman/</t>
  </si>
  <si>
    <t>https://fritidshusen.se/att-kopa-salja-och-vardera-bostader-i-trosa-en-guide-till-lansforsakringar-fastighetsformedling/</t>
  </si>
  <si>
    <t>https://minlivsresa.se/vo2-max-nyckeln-till-langre-liv-och-battre-halsa/</t>
  </si>
  <si>
    <t>https://lyckligaidioter.se/skraddarsydd-halsoplan-optimera-din-livsstil-for-battre-halsa/</t>
  </si>
  <si>
    <t>https://evigliv.se/livsstil-for-seniorer-formaner-och-rabatter-for-ett-aktivt-liv/</t>
  </si>
  <si>
    <t>https://brapojke.se/solenoider-for-startmotorer-en-komplett-guide-for-man/</t>
  </si>
  <si>
    <t>https://pappahajen.se/hall-din-bil-i-trim-en-guide-till-generatorer-och-reservdelar/</t>
  </si>
  <si>
    <t>https://industrilinjen.se/effektiv-arbetsmiljo-sa-valjer-du-ratt-kontorsmaterial/</t>
  </si>
  <si>
    <t>https://faktafreak.se/vaping-for-nyborjare-tips-for-en-battre-upplevelse/</t>
  </si>
  <si>
    <t>https://vardagstipset.se/tobaksfritt-snus-och-nikotinpasar-tips-for-ett-medvetet-val/</t>
  </si>
  <si>
    <t>https://businesshelper.se/publicering-av-manus-en-guide-till-att-arbeta-med-ekstrom-garay/</t>
  </si>
  <si>
    <t>https://beautyforyou.se/skalfasader-en-guide-till-skonhet-och-behandling/</t>
  </si>
  <si>
    <t>https://livetsskola.se/halsosam-livsstil-med-supernormal-en-guide-till-battre-valmaende/</t>
  </si>
  <si>
    <t>https://businesshelper.se/foretagsboende-en-nyckel-till-framgang-inom-affarsvarlden/</t>
  </si>
  <si>
    <t>https://swedenlongstay.se/sv/foretagsbostader</t>
  </si>
  <si>
    <t>https://guideagenten.se/sa-har-tar-du-korkort-snabbt-och-prisvart-i-stockholm/</t>
  </si>
  <si>
    <t>https://fashionsidan.se/hallbara-klader-varfor-det-ar-viktigt-att-valja-ratt/</t>
  </si>
  <si>
    <t>https://designkanalen.se/hallbara-klader-en-guide-till-miljovanligt-mode/</t>
  </si>
  <si>
    <t>https://gratisaktivitet.se/skidvalla-sa-haller-du-dina-skidor-och-snowboard-i-toppskick/</t>
  </si>
  <si>
    <t>skidvalla</t>
  </si>
  <si>
    <t>https://aktivakvinnor.se/skidvalla-nyckeln-till-en-perfekt-skidupplevelse/</t>
  </si>
  <si>
    <t>https://guideboken.se/hundleksaker-och-tillbehor-tips-for-hundagare/</t>
  </si>
  <si>
    <t>https://livsguide.se/hundens-basta-van-tips-for-att-valja-ratt-hundkoppel-och-sparlina/</t>
  </si>
  <si>
    <t>https://byggbalans.se/ftx-ventilation-en-nyckel-till-battre-inomhusklimat-i-byggnader/</t>
  </si>
  <si>
    <t>https://aerius.se/tjanster/ftx-system/</t>
  </si>
  <si>
    <t>FTX system</t>
  </si>
  <si>
    <t>https://stilrenahem.se/trygghet-for-ditt-hem-forsakringslosningar-for-solcellsanlaggningar/</t>
  </si>
  <si>
    <t>https://alltomhem.se/trygghet-for-ditt-hem-forsakringslosningar-for-solceller/</t>
  </si>
  <si>
    <t>https://husresan.se/volkswagen-service-i-tyreso-din-kompletta-guid-till-underhall/</t>
  </si>
  <si>
    <t>vardagsfrid.se</t>
  </si>
  <si>
    <t>https://mittlillahus.se/hemstadning-i-stockholm-och-uppsala-fordelarna-med-att-anlita-vardagsfrid/</t>
  </si>
  <si>
    <t>https://vardagsfrid.se/hemstadning/stockholm</t>
  </si>
  <si>
    <t>Hemstädning stockholm</t>
  </si>
  <si>
    <t>https://hemmabyggt.se/akut-elektrikerservice-sa-har-raddar-du-situationen-vid-elproblem/</t>
  </si>
  <si>
    <t>https://direktbygg.se/jour-eliten-din-fortrodda-partner-for-jour-el-och-vvs-i-stockholm/</t>
  </si>
  <si>
    <t>https://beautyagenten.se/skonhet-och-sjalvfortroende-sa-har-kan-tandimplantat-forandra-ditt-leende/</t>
  </si>
  <si>
    <t>https://www.purakliniken.se/estetisk-tandvard/tandimplantat/</t>
  </si>
  <si>
    <t>Tandinplentat</t>
  </si>
  <si>
    <t>https://beautyforyou.se/perioral-dermatit-vad-du-behover-veta-for-att-fa-en-stralande-hy/</t>
  </si>
  <si>
    <t>https://www.acnespecialisten.se/perioral-dermatit.php</t>
  </si>
  <si>
    <t>perioral dermatit</t>
  </si>
  <si>
    <t>https://aktiewiki.se/fonder-for-nyborjare/</t>
  </si>
  <si>
    <t>Spets A – globalfond från Fairinvestments</t>
  </si>
  <si>
    <t>https://www.aktiekunskap.nu/fonder/aktiefond/</t>
  </si>
  <si>
    <t>https://www.avanza.se/fonder/om-fonden.html/1205492/spets-a?trackID=173270149&amp;utm_source=wordon&amp;utm_medium=affiliate&amp;utm_campaign=33427</t>
  </si>
  <si>
    <t>Spets A från Fairinvestements</t>
  </si>
  <si>
    <t>https://kreditochfinans.se/vanliga-fragor/traditionella-vs-moderna-metoder-sparmetoder/</t>
  </si>
  <si>
    <t>https://www.kvarnx.com/sv/staking</t>
  </si>
  <si>
    <t>KvarnX skriver i sin stakingtjänst</t>
  </si>
  <si>
    <t>https://www.aktiekunskap.nu/aktiehandel/investeringssparkonto/</t>
  </si>
  <si>
    <t>https://www.zmarta.se/tips-rad/nyheter/isk-vs-sparkonto</t>
  </si>
  <si>
    <t xml:space="preserve">Zmarta skriver i sin artikel om ISK vs sparkonto </t>
  </si>
  <si>
    <t>https://annasvahn.se/lana-till-passiva-ranteinvesteringar</t>
  </si>
  <si>
    <t>https://www.zmarta.se/tips-rad/privatekonomi/kreditvardighet</t>
  </si>
  <si>
    <t>kreditvärdighet</t>
  </si>
  <si>
    <t>https://aktiewiki.se/investeringar-i-lan-och-krediter-ar-ett-bra-komplement-till-borsen/</t>
  </si>
  <si>
    <t>privatlån</t>
  </si>
  <si>
    <t>https://vdtidningen.se/partnermedia/verktyg-for-medarbetarmotivation-och-foretagskultur/</t>
  </si>
  <si>
    <t>https://www.racestuff.se/hitta-ratt-bilverkstad-i-tyreso-for-din-bils-basta-prestanda</t>
  </si>
  <si>
    <t>pålitlig bilverkstad i Tyresö</t>
  </si>
  <si>
    <t>https://passioneffect.se/framtidens-affarsmodeller-sa-skapar-interaktiva-affarsmodeller-varde/</t>
  </si>
  <si>
    <t>Onlinecasinon</t>
  </si>
  <si>
    <t>https://www.husohem.se/artiklar/20241217/ge-bort-personliga-julklappar-6-harliga-tips/</t>
  </si>
  <si>
    <t>presentkort</t>
  </si>
  <si>
    <t>https://www.borskollen.se/nyheter/27/5-dyra-misstag-foretag-gor-vid-rekrytering-och-hur-du-undviker-dem</t>
  </si>
  <si>
    <t>svenskafonster.se</t>
  </si>
  <si>
    <t>https://passioneffect.se/hallbarhetsarbete-och-varumarkesstrategi-svenska-fonster-som-redovisande-exempel/</t>
  </si>
  <si>
    <t>svenskafonster.se/altandorr</t>
  </si>
  <si>
    <t>Svenska Fönster</t>
  </si>
  <si>
    <t>https://eventeffect.se/optimal-ventilation-for-eventlokaler-skapa-en-halsosam-behaglig-miljo-for-besokare/</t>
  </si>
  <si>
    <t>Ventilation västerås</t>
  </si>
  <si>
    <t>https://www.executiveeffect.se/kostymer-och-makt-sa-bar-du-kostymen-som-en-ledare/</t>
  </si>
  <si>
    <t>Tiger of Sweden</t>
  </si>
  <si>
    <t>https://passioneffect.se/vagar-till-framgang-hur-intensivkurs-for-korkort-kan-lyfta-din-karriar/</t>
  </si>
  <si>
    <t>intensivkurs körkort i stockholm</t>
  </si>
  <si>
    <t>https://passioneffect.se/kan-vitt-snus-hjalpa-dig-sluta-roka-och-forbattra-halsan-pa-arbetsplatsen/</t>
  </si>
  <si>
    <t>https://passioneffect.se/hur-ett-forbattrat-leende-kan-paverka-ditt-sjalvfortroende-och-din-personliga-utveckling/</t>
  </si>
  <si>
    <t>Invisalign / Invisalign Stockholm</t>
  </si>
  <si>
    <t>https://www.saleseffect.se/sa-frigor-en-effektiv-inkassostrategi-resurser-i-saljteamet/</t>
  </si>
  <si>
    <t>https://www.saleseffect.se/forfattardrommar-overvag-forlag/</t>
  </si>
  <si>
    <t>https://www.saleseffect.se/hallbara-profilklader-for-sportevenemang-lyft-ditt-varumarke-med-miljovanliga-val/</t>
  </si>
  <si>
    <t>https://www.saleseffect.se/belona-din-basta-van-hundgodiset-som-starker-bandet-mellan-dig-och-din-hund/</t>
  </si>
  <si>
    <t>https://www.saleseffect.se/19-smadetaljer-med-stor-effekt-pa-kontoret-och-trivseln/</t>
  </si>
  <si>
    <t>svenskafonster.se/aluminiumfonster</t>
  </si>
  <si>
    <t>aluminiumfönster</t>
  </si>
  <si>
    <t>https://fragbite.se/all/news/56606/darfor-ar-bettingsponsorer-sa-vanliga-inom-esporten</t>
  </si>
  <si>
    <t>betting på esport</t>
  </si>
  <si>
    <t>https://stryktips.nu/research-infor-stryktipset-sa-forbattrar-du-dina-chanser/</t>
  </si>
  <si>
    <t>https://www.damfotboll.com/nyheter/bloggar/hur-bra-ar-egentligen-det-svenska-damlandslaget-jamfort-med-herrarna</t>
  </si>
  <si>
    <t>svenskiptv.com</t>
  </si>
  <si>
    <t>https://www.teknikforaldre.se/</t>
  </si>
  <si>
    <t>https://svenskiptv.com/</t>
  </si>
  <si>
    <t>skaffa iptv</t>
  </si>
  <si>
    <t>https://stryktips.nu/julens-hemliga-fotbollsfest-tre-stryktipsomgangar-pa-nio-dagar/</t>
  </si>
  <si>
    <t>bra odds</t>
  </si>
  <si>
    <t>https://www.saleseffect.se/att-salja-och-kopa-i-en-digital-era/</t>
  </si>
  <si>
    <t>sportsbetting</t>
  </si>
  <si>
    <t>https://ekonomistart.se/forbattra-din-ekonomiska-planering/</t>
  </si>
  <si>
    <t>köpa och handla med krypto</t>
  </si>
  <si>
    <t>https://passioneffect.se/etikett-for-julklappar-till-anstallda-en-guide-for-arbetsgivare/</t>
  </si>
  <si>
    <t>https://www.executiveeffect.se/sedan-2019-sa-har-svensk-spellicens-forandrat-marknaden-och-spelarna/</t>
  </si>
  <si>
    <t>https://hustillsalu.se/sakerhetstips-for-husagare/</t>
  </si>
  <si>
    <t xml:space="preserve">professionell låssmed </t>
  </si>
  <si>
    <t>https://passioneffect.se/att-satsa-pa-makten-betting-pa-ledarskap-okar-kraftigt/</t>
  </si>
  <si>
    <t xml:space="preserve">https://casinogringos.se/casino-med-swish </t>
  </si>
  <si>
    <t>casino med swish</t>
  </si>
  <si>
    <t xml:space="preserve">https://podcasts.nu/blogg/utforska-podcasts-om-casino-betting-och-onlinespel-2024 </t>
  </si>
  <si>
    <t>nätcasino med svensk licens</t>
  </si>
  <si>
    <t>https://eventeffect.se/sa-fungerar-affiliate-marketing-inom-igaming-industrin/</t>
  </si>
  <si>
    <t>jämförelsesajt som listar bästa casinon på nätet</t>
  </si>
  <si>
    <t>https://www.saleseffect.se/sa-spelar-svensken-2024/</t>
  </si>
  <si>
    <t>guider och tips om onlinecasino</t>
  </si>
  <si>
    <t>https://www.recyclingnet.se/lb-article/181078/fran-avfall-till-resurs-sa-skapar-svenska-foretag-varde-genom-atervinning-och-cirkular-ekonomi</t>
  </si>
  <si>
    <t>Kanalgratis.se och deras initiativ ”Recycle Jig Bar”.</t>
  </si>
  <si>
    <t>cdbilvardsprodukter.se</t>
  </si>
  <si>
    <t>https://www.verkstaderna.se/lb-article/181079/de-basta-bilvardsprodukterna-for-verkstader-tips-for-effektiv-rengoring-underhall</t>
  </si>
  <si>
    <t>https://cdbilvardsprodukter.se/</t>
  </si>
  <si>
    <t>https://www.verkstaderna.se/lb-article/181080/ge-entreprenadmaskinen-den-omtanke-den-fortjanar</t>
  </si>
  <si>
    <t>https://www.startmotor.se</t>
  </si>
  <si>
    <t>https://www.cleannet.se/lb-article/181081/hallbar-stadning-och-arbetsgladje-nyckeln-till-en-modern-stadbransch</t>
  </si>
  <si>
    <t>Vardagsfrid</t>
  </si>
  <si>
    <t>https://www.lifesciencesweden.se/lb-article/181082/rent-kontor-och-ren-luft-a-och-o-for-arbetsmiljon</t>
  </si>
  <si>
    <t>https://vardagsfrid.se/stadning/kontorsstadning</t>
  </si>
  <si>
    <t>Kontorsstädning stockholm</t>
  </si>
  <si>
    <t>https://fotbolltransfers.com/nyheter/premier-leaguematcher-under-boxing-day--hojdpunkter-och-speltips/195304</t>
  </si>
  <si>
    <t>https://www.fejmtv.se/iptv-framtidens-flexibla-tv-losning</t>
  </si>
  <si>
    <t>iptv</t>
  </si>
  <si>
    <t>https://vdtidningen.se/partnermedia/afterwork-och-julfest-arbetskultur-formas-ocksa-utanfor-jobbet/</t>
  </si>
  <si>
    <t>https://www.bohuslaningen.se/native/praktiska-tips-for-svenskar-som-reser-utomlands.f89fa0b3-611b-481d-8801-019645e5556e</t>
  </si>
  <si>
    <t>https://www.gp.se/native/hajpermiljonen-din-chans-att-vinna-stort-pa-hajper.80860044-4847-4b73-8189-276fe1764a6a</t>
  </si>
  <si>
    <t xml:space="preserve">https://www.hajper.com/sv/casino/submenu/jackpots </t>
  </si>
  <si>
    <t>jackpottar i onlinecasinon</t>
  </si>
  <si>
    <t>https://tvprogram.nu/blogg/5-filmscener-och-stunts-du-kan-uppleva-sjalv</t>
  </si>
  <si>
    <t>https://www.damfotboll.com/nyheter/bloggar/fran-kvaldrama-till-medaljdrommar-sveriges-resa-mot-em-2025-och-en-blick-framat</t>
  </si>
  <si>
    <t>https://www.filmtopp.se/annat/fem-sevarda-filmer-om-game-shows</t>
  </si>
  <si>
    <t>populära casino game shows på nätet</t>
  </si>
  <si>
    <t>https://www.nojeninorr.se/</t>
  </si>
  <si>
    <t>svensk ip tv</t>
  </si>
  <si>
    <t>godies.fi</t>
  </si>
  <si>
    <t>https://starbuzz.fi/parhaat-vinkit-ihonhoitoon-suomen-saaolosuhteissa/</t>
  </si>
  <si>
    <t>www.godies.fi</t>
  </si>
  <si>
    <t>Nobe</t>
  </si>
  <si>
    <t>https://digijuorut.fi/luonnonkosmetiikka-ja-sen-hyodyt-miksi-siirtya-ekologisiin-tuotteisiin/</t>
  </si>
  <si>
    <t>https://www.godies.fi/collections/meikki</t>
  </si>
  <si>
    <t>Meikki</t>
  </si>
  <si>
    <t>nordicknots.com</t>
  </si>
  <si>
    <t>https://hudsonweekly.com/interior-design-5-trends-you-cant-miss-in-2025/</t>
  </si>
  <si>
    <t>nordicknots.com/us</t>
  </si>
  <si>
    <t>nordicknots</t>
  </si>
  <si>
    <t>https://www.washingtontimes.com/sponsored/tradition-meets-modernity-scandinavian-design-american-values/</t>
  </si>
  <si>
    <t>https://nordicknots.com/us/rugs</t>
  </si>
  <si>
    <t>rugs</t>
  </si>
  <si>
    <t>Freespins (eller välkomstbonusrelaterat)</t>
  </si>
  <si>
    <t>https://www.folkbladet.nu/2024-12-23/vardet-pa-den-globala-spelmarknaden-forvantas-oka-med-46-procent-om-aret-cab28</t>
  </si>
  <si>
    <t>bästa casinon 2025</t>
  </si>
  <si>
    <t>https://www.damfotboll.com/nyheter/bloggar/favoriter-och-skrallar-vad-sager-oddsen-om-damfotbollens-masterskap</t>
  </si>
  <si>
    <t>casinogringos</t>
  </si>
  <si>
    <t>https://ljungbynu.se/native/cherry-casino-aatervander-till-sverige-med-spannande-nyheter/2751</t>
  </si>
  <si>
    <t>https://pengar.in/fyra-digitala-verktyg-for-din-ekonomi/</t>
  </si>
  <si>
    <t>https://www.zmarta.se/lana-pengar/lanekalkyl</t>
  </si>
  <si>
    <t>lånekalkylator</t>
  </si>
  <si>
    <t>https://www.saleseffect.se/hogkvalitativa-thc-fria-cbd-oljor-och-deras-viktiga-roll-i-halsa-och-valbefinnande/</t>
  </si>
  <si>
    <t>https://www.lfc.se/nyheter/58349/stora-boxing-day-matcher-att-betta-pa</t>
  </si>
  <si>
    <t>en spelsida som erbjuder betting online</t>
  </si>
  <si>
    <t xml:space="preserve">https://www.nyaprojekt.se/2024/12/21/bygga-om-sjalv-eller-hyra-in/ </t>
  </si>
  <si>
    <t xml:space="preserve">https://www.upplevelse.com/presenttips/present-till-pojkvan </t>
  </si>
  <si>
    <t>present till pojkvän</t>
  </si>
  <si>
    <t>https://www.totallystockholm.se/perioral-dermatit-vad-det-ar-och-vad-du-kan-gora</t>
  </si>
  <si>
    <t>https://www.totallystockholm.se/den-svarkorda-huvudstaden-ar-det-vart-att-ta-korkort-har/</t>
  </si>
  <si>
    <t>trafikskola stockholm</t>
  </si>
  <si>
    <t>https://ng.se/artiklar/trender-inom-mat-och-dryck-for-foretagsevent-i-stockholm</t>
  </si>
  <si>
    <t>catering i stockholm</t>
  </si>
  <si>
    <t>https://www.totallystockholm.se/unika-kladtryck-som-speglar-din-personlighet-popkulturintressen/</t>
  </si>
  <si>
    <t>everynightstudios</t>
  </si>
  <si>
    <t>https://www.djungeltrumman.se/mode-som-sjalvuttryck-nagra-exempel/</t>
  </si>
  <si>
    <t>https://www.djungeltrumman.se/din-guide-till-en-perfekt-festfrisyr/</t>
  </si>
  <si>
    <t>https://www.totallystockholm.se/de-basta-hundvanliga-promenadstraken-i-stockholm-vilket-koppel-som-passar-bast/</t>
  </si>
  <si>
    <t>hundkoppel (partial match)</t>
  </si>
  <si>
    <t>https://www.totallystockholm.se/hur-estetisk-tandvard-paverkar-sjalvfortroendet/</t>
  </si>
  <si>
    <t>Estetisk tandvård</t>
  </si>
  <si>
    <t>https://www.totallystockholm.se/hitta-den-basta-tandlakaren-i-stockholm-for-halsomassiga-estetiska-behandlingar/</t>
  </si>
  <si>
    <t>https://www.tandea.se/tandvard/</t>
  </si>
  <si>
    <t>Tandblekning hos tandläkare</t>
  </si>
  <si>
    <t>kingsizemag.se/okategoriserat/trender-inom-estetisk-tandvard-stockholm-som-ledande-kraft/</t>
  </si>
  <si>
    <t>Tandimplantat i stockholm</t>
  </si>
  <si>
    <t>https://ng.se/artiklar/kostymens-markliga-resa-fran-1800-talet-till-idag</t>
  </si>
  <si>
    <t>tidlösa kostymmodeller</t>
  </si>
  <si>
    <t>https://ng.se/artiklar/detaljerna-att-tanka-pa-till-ditt-sommarhem</t>
  </si>
  <si>
    <t>svenskafonster.se/trafonster</t>
  </si>
  <si>
    <t>träfönster</t>
  </si>
  <si>
    <t>https://ng.se/artiklar/material-inom-noje-vad-kostar-ditt-intresse</t>
  </si>
  <si>
    <t>jiggar</t>
  </si>
  <si>
    <t>https://www.totallystockholm.se/gourmethunden-fran-torrfoder-till-kobekott/</t>
  </si>
  <si>
    <t>https://www.rusta.com/sv-se/fritid/husdjur/hundfoder</t>
  </si>
  <si>
    <t>https://mooska.se/sma-forandringar-for-ett-gladare-hundliv/</t>
  </si>
  <si>
    <t>https://www.svenskbyggtidning.se/2024/12/21/sa-valjer-du-ratt-motorolja-for-entreprenadmaskiner-byggfordon/</t>
  </si>
  <si>
    <t>Huvuduppgiften för motorolja är att förse motorn med smörjning</t>
  </si>
  <si>
    <t>https://www.dagensinfrastruktur.se/2024/12/21/flytande-infrastruktur-framtidens-losning-for-stader-och-kustsamhallen/</t>
  </si>
  <si>
    <t>Pontech</t>
  </si>
  <si>
    <t>https://www.nyaprojekt.se/2024/12/21/hallbara-flytbryggor-flytande-konstruktioner-innovativa-losningar-for-framtidens-kustnara-byggprojekt/</t>
  </si>
  <si>
    <t>https://www.nyaprojekt.se/2024/12/21/varfor-professionella-rormokare-ar-avgorande-for-nya-byggprojekt/</t>
  </si>
  <si>
    <t>rörmokare sollentuna</t>
  </si>
  <si>
    <t>https://www.nyaprojekt.se/2024/12/21/effektiv-administration-i-byggprojekt-verktygen-och-strategierna-som-gor-skillnad/</t>
  </si>
  <si>
    <t>swedoffice.se</t>
  </si>
  <si>
    <t>https://www.nyaprojekt.se/2024/12/21/flexibla-foretagsbostader-nyckeln-till-smidigare-byggprojekt/</t>
  </si>
  <si>
    <t>https://swedenlongstay.se/</t>
  </si>
  <si>
    <t>https://www.grontsamhallsbyggande.se/2024/12/21/fem-saker-att-ha-koll-pa-nar-du-investerar-i-en-solcellsanlaggning/</t>
  </si>
  <si>
    <t>arctic.se/se/forsakringslosningar/svensksolenergi/</t>
  </si>
  <si>
    <t>specialiserad försäkring för solceller</t>
  </si>
  <si>
    <t>tkw.se</t>
  </si>
  <si>
    <t>https://www.svenskbyggtidning.se/2024/12/21/skillnaden-mellan-ljudisolering-och-ljudabsorption/</t>
  </si>
  <si>
    <t>akustik</t>
  </si>
  <si>
    <t>https://www.nyaprojekt.se/2024/12/21/kulturarv-i-glas-och-tra-fonster-i-historiska-byggnader/</t>
  </si>
  <si>
    <t>https://svenskafonster.se/</t>
  </si>
  <si>
    <t>mockfjards.se</t>
  </si>
  <si>
    <t>https://www.nordiskaprojekt.se/2024/12/21/fonsterproblem-sa-vet-du-om-det-ar-dags-att-byta-och-om-du-kan-fixa-det-sjalv/</t>
  </si>
  <si>
    <t>mockfjards.se/att-byta-fonster</t>
  </si>
  <si>
    <t>byta fönster</t>
  </si>
  <si>
    <t>https://www.dagensinfrastruktur.se/2024/12/21/en-avhandling-pa-fonster-och-ljus/</t>
  </si>
  <si>
    <t>rådgöra med en specialist</t>
  </si>
  <si>
    <t>https://www.grontsamhallsbyggande.se/2024/12/21/glasstaden-som-alltid-tittar-uppat-new-yorks-arkitektur-och-infrastruktur-som-miljoforedome/</t>
  </si>
  <si>
    <t>https://www.nyaprojekt.se/2024/12/21/nar-behover-du-bygglov/</t>
  </si>
  <si>
    <t>Mockfjärds</t>
  </si>
  <si>
    <t>https://ekonomistart.se/kreditforsakringar-ar-det-en-investering-eller-en-kostnad-for-ditt-foretag/</t>
  </si>
  <si>
    <t>kreditförsäkring partial</t>
  </si>
  <si>
    <t>https://ekonomistart.se/sa-effektiviserar-du-din-smaforetagaradministration-for-att-spara-tid-och-pengar/</t>
  </si>
  <si>
    <t>ekonomisystem</t>
  </si>
  <si>
    <t>https://havstomt.se/artiklar/ett-hus-vid-havet-lagarna-som-galler-knepen-att-kunna/</t>
  </si>
  <si>
    <t>Mjuka mattor</t>
  </si>
  <si>
    <t>https://prokrastinera.se/ozempic-fran-diabetesbehandling-till-hjalp-vid-viktnedgang/</t>
  </si>
  <si>
    <t>ozempic viktnedgång</t>
  </si>
  <si>
    <t>https://www.djungeltrumman.se/10-galet-starka-snusklassiker/</t>
  </si>
  <si>
    <t>www.snusnetto.se/siberia/</t>
  </si>
  <si>
    <t>starka snus som Siberia</t>
  </si>
  <si>
    <t>https://www.swenico.se/snussorterna-vi-minns-med-gladje-sorg-och-skrack/</t>
  </si>
  <si>
    <t>https://www.totallystockholm.se/varfor-bristen-pa-rormokare-i-stockholm-ar-ett-vaxande-problem/</t>
  </si>
  <si>
    <t>rörmokare i stockholm</t>
  </si>
  <si>
    <t>https://ng.se/artiklar/sa-fixar-du-sma-vvs-problem-sjalv-fem-enkla-losningar-som-sparar-tid-och-pengar</t>
  </si>
  <si>
    <t>rörmokare</t>
  </si>
  <si>
    <t>https://modulhus.se/hallbara-tak-for-lantbruk-ladugardar/</t>
  </si>
  <si>
    <t>https://modulhus.se/vaga-tank-om-kan-ett-modulhus-vara-ratt-for-dig/</t>
  </si>
  <si>
    <t>https://svenskafonster.se/skjutdorr</t>
  </si>
  <si>
    <t>skjutdörr i glas</t>
  </si>
  <si>
    <t>https://thechannelrace.org/why-recovery-is-key-to-athletic-success/</t>
  </si>
  <si>
    <t>Visitchattanoogarehab</t>
  </si>
  <si>
    <t>https://nothing2hide.net/latest/kickstart-2025-five-simple-steps-to-a-healthier-you/</t>
  </si>
  <si>
    <t>https://sportsfanfare.com/2024/12/19/effective-strategies-for-healing-sports-injuries/</t>
  </si>
  <si>
    <t>https://www.chattanoogarehab.com/blog/introducing-the-chattanooga-variable-muscle-stimulation-vms-white-paper/</t>
  </si>
  <si>
    <t>https://dailyemerald.com/157482/promotedposts/from-injuries-to-recovery-discover-the-benefits-of-shockwave-therapy/</t>
  </si>
  <si>
    <t>https://www.washingtontimes.com/sponsored/hydration-hacks-drink-water-every-day/</t>
  </si>
  <si>
    <t>https://igjerstad.no/hva-du-bor-vite-om-inkasso/</t>
  </si>
  <si>
    <t>https://sosialnytt.com/hva-du-bor-vite-om-kredittvurdering-og-kredittgjeld/</t>
  </si>
  <si>
    <t>https://www.salkunrakentaja.fi/2024/12/miksi-yritysten-kannattaisi-ulkoistaa-perintapalvelunsa/</t>
  </si>
  <si>
    <t>https://vestas-aktie.dk/index.php/2024/12/12/euroinvestor/</t>
  </si>
  <si>
    <t>https://xn--rsted-aktie-fgb.dk/nordnet/</t>
  </si>
  <si>
    <t>https://www.soup.io/key-trends-shaping-the-future-of-healthcare</t>
  </si>
  <si>
    <t>https://pcwelts.de/waermepumpen-einbauen/</t>
  </si>
  <si>
    <t>wärmepumpenversicherung</t>
  </si>
  <si>
    <t>https://sosugary.com/it-made-easier-technology-and-cybersecurity-solutions-for-your-small-business/</t>
  </si>
  <si>
    <t>https://hudsonweekly.com/empowering-businesses-through-expert-it-consulting/</t>
  </si>
  <si>
    <t>https://hudsonweekly.com/health-food-trends-for-2025/</t>
  </si>
  <si>
    <t>https://sosugary.com/a-flavorful-journey-how-asian-cuisine-captivates-american-palates/</t>
  </si>
  <si>
    <t>https://metapress.com/the-virtual-ciso-a-game-changer-for-small-to-medium-sized-businesses/</t>
  </si>
  <si>
    <t>https://thinkofgames.com/hidden-dangers-of-the-internet-protecting-yourself-online/</t>
  </si>
  <si>
    <t>https://thinkofgames.com/level-up-your-focus-how-gaming-helps-you-master-mental-skills/</t>
  </si>
  <si>
    <t>https://metapress.com/consumer-trends-and-innovations-how-smoke-free-alternatives-are-reshaping-the-market/</t>
  </si>
  <si>
    <t>https://www.dailywaffle.co.uk/2024/12/unlocking-your-brains-potential-natural-ways-to-boost-dopamine/</t>
  </si>
  <si>
    <t>https://programminginsider.com/content-personalization-how-data-is-changing-the-viewer-experience/</t>
  </si>
  <si>
    <t>https://dailyemerald.com/157479/promotedposts/how-to-plan-the-perfect-date-based-on-your-personality-match/</t>
  </si>
  <si>
    <t>https://nothing2hide.net/latest/the-algorithms-of-attraction-can-tech-ever-perfect-the-art-of-matchmaking/</t>
  </si>
  <si>
    <t>https://www.varsity.co.uk/sponsored/the-art-of-thrifting-finding-hidden-gems-online</t>
  </si>
  <si>
    <t>https://thinkofgames.com/the-power-of-planning-a-blueprint-for-success/</t>
  </si>
  <si>
    <t>ai assistant</t>
  </si>
  <si>
    <t>https://metapress.com/new-year-new-goals-how-to-plan-for-success-in-2025/</t>
  </si>
  <si>
    <t>ai agent</t>
  </si>
  <si>
    <t>https://www.borskollen.se/</t>
  </si>
  <si>
    <t>https://www.spelklubben.se/sv/responsible-gaming</t>
  </si>
  <si>
    <t>vår sida om ansvarsfullt spelande</t>
  </si>
  <si>
    <t>https://avstarnews.com/the-vital-role-of-physical-activity-in-health-and-well-being/</t>
  </si>
  <si>
    <t>https://thestripesblog.com/popular-holiday-gifts-for-sports-enthusiasts/</t>
  </si>
  <si>
    <t>https://www.polteknik.se/svensk-iptv-framtidens-tv-tittande</t>
  </si>
  <si>
    <t>köpa iptv</t>
  </si>
  <si>
    <t>https://www.hajper.com/sv/responsible-gaming</t>
  </si>
  <si>
    <t>https://ng.se/artiklar/ridandet-tar-aldrig-slut-gor-din-hastdrom-verklig-oavsett-alder</t>
  </si>
  <si>
    <t>https://www.petster.se/hast/</t>
  </si>
  <si>
    <t>hästtäcken</t>
  </si>
  <si>
    <t>https://www.totallystockholm.se/ga-i-terapi-hos-en-hast/</t>
  </si>
  <si>
    <t>Hästutrustning hos petster.se</t>
  </si>
  <si>
    <t>https://www.sportfack.se/annons/20250103/trenderna-som-driver-spelindustrin-framat-nar-vi-kliver-in-i-2025/</t>
  </si>
  <si>
    <t>https://www.finansnyheterna.se/blogs/riskhantering-vid-lan-vad-du-bor-tanka-pa-innan-du-investerar-lanade-medel</t>
  </si>
  <si>
    <t>https://www.saleseffect.se/hur-kan-nagonting-som-inte-finns-vara-vart-biljoner/</t>
  </si>
  <si>
    <t>Kryptomäklare</t>
  </si>
  <si>
    <t>https://tv-tabla.nu/blogg/film-ar-bast-pa-bio-eller</t>
  </si>
  <si>
    <t>https://www.dagenshandel.se/lb-article/181168/10-sakerhetsatgarder-for-butiker-och-kontor</t>
  </si>
  <si>
    <t>Låsjour</t>
  </si>
  <si>
    <t>https://www.entreprenad.com/lb-article/181169/hemsakerhetens-abc-minska-risken-for-inbrott</t>
  </si>
  <si>
    <t>Svenska låsjouren</t>
  </si>
  <si>
    <t>https://www.sportochfritidsnyheter.se/20250108/4112/aktiviteter-dig-och-din-hund-och-utrustningen-ni-behover</t>
  </si>
  <si>
    <t>https://www.sportochfritidsnyheter.se/20250108/4113/borsta-tanderna-och-spring-snabbare-kopplingen-mellan-ett-friskt-leende-och</t>
  </si>
  <si>
    <t>hollywood smile</t>
  </si>
  <si>
    <t>https://www.dagensnaringsliv.se/20250108/275866/5-vanliga-fonsterproblem-och-hur-du-loser-dem</t>
  </si>
  <si>
    <t>svenskafönster</t>
  </si>
  <si>
    <t>https://www.nykommun.se/2025/01/08/sakerhet-for-hemmet-skapa-en-tryggare-vardag/</t>
  </si>
  <si>
    <t>svenska Låsjouren</t>
  </si>
  <si>
    <t xml:space="preserve">https://vapaamieli.fi/miksi-luottovakuutus-on-viisas-valinta/ </t>
  </si>
  <si>
    <r>
      <rPr>
        <u/>
        <sz val="10"/>
        <color rgb="FF1155CC"/>
        <rFont val="Arial"/>
        <family val="2"/>
      </rPr>
      <t>luottovakuutus</t>
    </r>
  </si>
  <si>
    <t>https://www.dagensnaringsliv.se/20250108/275862/skiftnyckelns-historia-och-betydelse-inom-vvs-branschen</t>
  </si>
  <si>
    <t>vvs</t>
  </si>
  <si>
    <t>https://www.dagenshandel.se/lb-article/181112/har-du-koll-pa-reservdelarna</t>
  </si>
  <si>
    <t>startmotorer</t>
  </si>
  <si>
    <t>https://inyheter.se/de-svenska-lanen-dar-spelandet-ar-som-storst/</t>
  </si>
  <si>
    <t>casinobonusar</t>
  </si>
  <si>
    <t>https://www.mellanbygden.nu/2025-01-31/sporthojdpunkter-man-inte-vill-missa-i-februari-2025-71103</t>
  </si>
  <si>
    <t>https://casinogringos.se/</t>
  </si>
  <si>
    <t>Nya svenska casinon 2025</t>
  </si>
  <si>
    <t>https://www.aarep.se/hitta-ratt-bilverkstad-en-investering-i-sakerhet-och-prestanda</t>
  </si>
  <si>
    <t xml:space="preserve">Bilverkstad tyresö </t>
  </si>
  <si>
    <t>https://adventureexperten.se/standup-upplevelser-i-sverige-en-guide-till-kvallar-fyllda-med-skratt/</t>
  </si>
  <si>
    <t>https://husresan.se/maklartjanster-i-trosa-en-guide-for-kopare-och-saljare/</t>
  </si>
  <si>
    <t>https://bonusfamilj.se/tandvard-for-hela-familjen-en-guide-till-mariatorgets-tandlakarmottagning/</t>
  </si>
  <si>
    <t>https://familjeradgivaren.se/familjetandvard-pa-mariatorget-trygg-och-professionell-tandvard-for-hela-familjen/</t>
  </si>
  <si>
    <t>https://kundkarma.se/kopieringspapper-for-foretag-sa-valjer-du-ratt-alternativ/</t>
  </si>
  <si>
    <t>https://byggupp.se/professionell-taklaggning-och-renovering-med-tiotak-ab/</t>
  </si>
  <si>
    <t>https://bygginformation.se/byta-tak-pa-maskinhallar-en-komplett-guide/</t>
  </si>
  <si>
    <t>https://stilrenahem.se/mattor-for-hemmet-en-guide-till-rustas-utbud/</t>
  </si>
  <si>
    <t>https://digitalfamilj.se/hundar-som-en-del-av-familjen-varfor-hundfoder-ar-viktigt-for-din-fyrbenta-van/</t>
  </si>
  <si>
    <t>https://hemmabyggt.se/vvs-tjanster-for-ditt-byggprojekt/</t>
  </si>
  <si>
    <t>https://industribanken.se/automatiserad-bokforing-med-kleer-effektivisera-din-ekonomihantering/</t>
  </si>
  <si>
    <t>https://bygginformation.se/jour-eliten-akut-rormokartjanster-for-byggprojekt/</t>
  </si>
  <si>
    <t>https://bolagshistorik.se/affarsjuridik-sa-hanterar-du-juridiska-tvister/</t>
  </si>
  <si>
    <t>https://stilrenahem.se/fastighetsformedling-i-trosa-en-guide-till-bostadsmarknaden/</t>
  </si>
  <si>
    <t>https://beautyagenten.se/traning-for-skonhet-sa-forbattrar-vo2-max-din-halsa-och-livslangd/</t>
  </si>
  <si>
    <t>https://beautymama.se/skonhet-genom-halsa-hur-precisionsmedicin-kan-forvandla-ditt-utseende/</t>
  </si>
  <si>
    <t>https://familjenguider.se/familjeliv-och-seniorrabatter-utforska-mojligheterna/</t>
  </si>
  <si>
    <t>https://dagensfar.se/solenoider-for-startmotorer-vad-man-bor-veta/</t>
  </si>
  <si>
    <t>https://bonuskillen.se/bilbatterier-for-man-en-guide-till-ratt-val/</t>
  </si>
  <si>
    <t>https://www.startmotor.se/kategori/bilbatteri</t>
  </si>
  <si>
    <t>bilbatteri</t>
  </si>
  <si>
    <t>https://butiksutrustning.se/kontorsmaterial-for-foretag-smarta-val-for-varje-arbetsplats/</t>
  </si>
  <si>
    <t>https://businessacademy.se/forlagets-roll-i-det-moderna-affarslivet/</t>
  </si>
  <si>
    <t>https://beautymama.se/estetisk-tandvard-for-ett-vackert-leende/</t>
  </si>
  <si>
    <t>https://beautytube.se/skonhet-och-halsa-hur-supernormal-kan-forbattra-ditt-valmaende/</t>
  </si>
  <si>
    <t>https://industribanken.se/foretagsboende-en-ny-losning-for-affarsresandet/</t>
  </si>
  <si>
    <t>https://adventureguide.se/skidupplevelser-maximera-din-skidakning-med-ratt-skidvalla/</t>
  </si>
  <si>
    <t>https://allaifamiljen.se/familjeliv-med-hund-att-skapa-en-harmonisk-tillvaro/</t>
  </si>
  <si>
    <t>https://familjensmart.se/hundar-som-en-del-av-familjen-sa-hittar-du-ratt-koppel-och-tillbehor/</t>
  </si>
  <si>
    <t>https://butikslista.se/ftx-ventilation-en-losning-for-effektivt-inomhusklimat/</t>
  </si>
  <si>
    <t>https://nutidshuset.se/forsakringslosningar-for-solcellsanlaggningar-skydda-din-investering/</t>
  </si>
  <si>
    <t>https://mittlillahus.se/sakerhet-for-ditt-hem-forsakringslosningar-for-solcellsanlaggningar/</t>
  </si>
  <si>
    <t>https://gentlemanexperten.se/volkswagen-service-for-man-vad-du-behover-veta/</t>
  </si>
  <si>
    <t>https://nutidshuset.se/hemstadningstjanster-i-stockholm-och-uppsala-en-guide-till-kvalitetsstadning/</t>
  </si>
  <si>
    <t>https://dinbyggnad.se/jour-eliten-din-palitliga-partner-for-akuta-elarbeten/</t>
  </si>
  <si>
    <t>https://nybyggande.se/eljour-i-byggbranschen-vikten-av-dygnet-runt-service/</t>
  </si>
  <si>
    <t>https://vackerhud.se/tandimplantat-och-skonhet-en-guide-till-stralande-leende/</t>
  </si>
  <si>
    <t xml:space="preserve">Tandinplentat </t>
  </si>
  <si>
    <t>https://vackerhud.se/perioral-dermatit-forsta-och-hantera-hudproblem/</t>
  </si>
  <si>
    <t>https://coolkille.se/bilvard-for-man-sa-tar-du-hand-om-din-bil-pa-basta-satt/</t>
  </si>
  <si>
    <t>https://mofeeed.com/from-sweden-to-saudi-arabia-nicotine-pouches-journey-acrossthe-globe/</t>
  </si>
  <si>
    <t>https://www.northgrid.se/ip-tv-en-revolution-for-hur-vi-upplever-underhallning</t>
  </si>
  <si>
    <t>ip tv</t>
  </si>
  <si>
    <t>https://www.svenskbyggtidning.se/2025/01/14/fonster-lingo-allt-du-behover-kunna-2/</t>
  </si>
  <si>
    <t>https://mockfjards.se/</t>
  </si>
  <si>
    <t>mockfjärds</t>
  </si>
  <si>
    <t>https://www.favorreklambyra.se/vad-ar-ip-tv-och-varfor-blir-det-allt-mer-populart</t>
  </si>
  <si>
    <t>köpa ip tv</t>
  </si>
  <si>
    <t>https://www.alingsastidning.se/native/10-saker-som-faktiskt-ar-helt-skattefria.7c527794-ec97-4773-8cd7-532c49067c5d</t>
  </si>
  <si>
    <t xml:space="preserve">https://nouveaumodels.se/herrkostymen-en-resa-fran-tradition-till-personlig-stil/ </t>
  </si>
  <si>
    <t>Herrkostymer</t>
  </si>
  <si>
    <t>https://www.dagensnaringsliv.se/20250120/276268/vad-betyder-business-casual-2025-har-kostymen-en-plats-i-business-casual</t>
  </si>
  <si>
    <t>https://www.saleseffect.se/varfor-klar-vi-inte-upp-oss-langre/</t>
  </si>
  <si>
    <t>https://www.nykommun.se/2025/01/20/sa-fungerar-tandvardsstod-och-hogkostnadsskydd-i-sverige/</t>
  </si>
  <si>
    <t>Akuttandvård i Stockholm</t>
  </si>
  <si>
    <t>https://www.webwill.se/allt-du-behover-veta-om-iptv</t>
  </si>
  <si>
    <t>https://www.starleaf.com/blog/key-tech-trends-for-small-and-medium-businesses/</t>
  </si>
  <si>
    <t>https://sosugary.com/why-foam-rolling-is-the-key-to-a-healthier-stronger-you/</t>
  </si>
  <si>
    <t>Mobot</t>
  </si>
  <si>
    <t>https://blinklist.com/tech/how-technology-changing-healthcare/</t>
  </si>
  <si>
    <t>https://ourculturemag.com/2025/01/21/fitness-on-the-road-how-to-stay-healthy-and-active-while-traveling/</t>
  </si>
  <si>
    <t>https://metapress.com/prioritizing-better-physical-and-mental-health/</t>
  </si>
  <si>
    <t>https://ourculturemag.com/2025/01/21/the-art-of-interior-design/</t>
  </si>
  <si>
    <t>Nordic Knots</t>
  </si>
  <si>
    <t>https://fragbite.se/all/news/56952/4-league-of-legends-tavlingar-du-kan-betta-pa-i-var</t>
  </si>
  <si>
    <t>https://fragbite.se/all/news/56955/fran-forelasning-till-servern-sa-lyckas-du-som-studerande-gamers</t>
  </si>
  <si>
    <t>https://www.zmarta.se/tips-rad/hemforsakring/hemforsakring-student</t>
  </si>
  <si>
    <t>försäkring för student</t>
  </si>
  <si>
    <t>https://fragbite.se/all/news/56954/lista-5-presentideer-till-cs-spelare</t>
  </si>
  <si>
    <t>https://fragbite.se/all/news/56953/oddsguide-for-e-sportbetting-sa-fungerar-det</t>
  </si>
  <si>
    <t>https://www.dagensnaringsliv.se/20250122/276359/trott-pa-sena-betalningar-sa-sakrar-du-din-likviditet</t>
  </si>
  <si>
    <t>Inkasso för företag</t>
  </si>
  <si>
    <t>https://www.dagensnaringsliv.se/20250130/276362/hundtraning-med-gladje</t>
  </si>
  <si>
    <t>https://www.dagensnaringsliv.se/20250122/276364/7-satt-att-effektivisera-all-admin</t>
  </si>
  <si>
    <t>Automatiserat löne- &amp; ekonomisystem</t>
  </si>
  <si>
    <t>https://www.sportochfritidsnyheter.se/20250122/4128/fa-utomhuskansla-aven-nar-du-springer-pa-lopband-5-ideer</t>
  </si>
  <si>
    <t>Träfönster</t>
  </si>
  <si>
    <t>https://www.dagensnaringsliv.se/20250122/276370/akustik-och-halsa-tysta-arbetsplatsen</t>
  </si>
  <si>
    <t>https://www.dagensinfrastruktur.se/2025/01/22/osynlig-infrastruktur-luftfloden-folkhalsa/</t>
  </si>
  <si>
    <t>https://aerius.se/ventilation-vasteras/</t>
  </si>
  <si>
    <t>https://www.nordiskaprojekt.se/2025/01/22/2025-karnkraftets-ar/</t>
  </si>
  <si>
    <t>https://www.facebook.com/login/?next=https%3A%2F%2Fwww.facebook.com%2FfairinvestmentsswedenAB%2F</t>
  </si>
  <si>
    <t>https://www.nyaprojekt.se/2025/01/22/de-stora-fastighetsprojekten-2025-plus-borssiffror/</t>
  </si>
  <si>
    <t>https://www.dagensinfrastruktur.se/2025/01/22/investera-i-infrastruktur-en-hemlig-tungviktare-pa-borsen/</t>
  </si>
  <si>
    <t>https://se.linkedin.com/company/fair-investments-sweden-ab</t>
  </si>
  <si>
    <t>https://www.nyaprojekt.se/2025/01/22/heltackningsmattan-en-brittisk-tankevurpa-eller-nyckeln-till-en-standig-mysfaktor/</t>
  </si>
  <si>
    <t>http://www.rusta.com/sv-se/hem-och-inredning/mattor</t>
  </si>
  <si>
    <t>https://www.grontsamhallsbyggande.se/2025/01/22/viktiga-miljocertifieringar-att-kanna-till-vid-val-av-hallbart-kontorsmaterial/</t>
  </si>
  <si>
    <t>https://www.entreprenad.com/lb-article/181165/byggbranschens-konkursvag-orsakerna-bakom-foretagens-fall</t>
  </si>
  <si>
    <t>Kreditförsäkring</t>
  </si>
  <si>
    <t>https://www.dagenshandel.se/lb-article/181166/kapital-som-forandrar-handeln-varfor-smarta-investeringar-ar-nyckeln-till-detaljhandelns-framtid</t>
  </si>
  <si>
    <t>https://www.fri-kopenskap.se/lb-article/181167/borde-du-investera-i-grossistindustrin</t>
  </si>
  <si>
    <t>https://www.entreprenad.com/lb-article/181170/hitta-ratt-motorolja-for-ratt-entreprenadmaskiner</t>
  </si>
  <si>
    <t>https://oljedroppen.se/</t>
  </si>
  <si>
    <t>https://www.entreprenad.com/lb-article/181171/varfor-ska-foretag-automatisera-sin-produkt</t>
  </si>
  <si>
    <t>https://www.kleer.se/</t>
  </si>
  <si>
    <t>Kleer</t>
  </si>
  <si>
    <t>https://www.entreprenad.com/lb-article/181172/bygg-dromhemmet-i-skargarden</t>
  </si>
  <si>
    <t>Brand</t>
  </si>
  <si>
    <t>https://www.uochd.se/lb-article/181173/guide-startmotorer-allt-du-behover-veta-for-att-halla-fordonet-i-toppskick</t>
  </si>
  <si>
    <t>https://www.uochd.se/lb-article/181174/rot-rut-hur-fungerar-det-hur-kan-det-gynna-fastighetsunderhall</t>
  </si>
  <si>
    <t>https://sakraror.se/</t>
  </si>
  <si>
    <t>VVS-tjänster</t>
  </si>
  <si>
    <t>https://www.verkstaderna.se/lb-article/181175/koksrenoveringens-abc-och-defgh</t>
  </si>
  <si>
    <t>Aluminiumfönster</t>
  </si>
  <si>
    <t>ataraxiavardcentral.se</t>
  </si>
  <si>
    <t>https://www.medtechmagazine.se/lb-article/181176/digital-vard-och-patientfokus-sa-driver-ny-teknik-en-modern-vardcentral-framat</t>
  </si>
  <si>
    <t>https://www.ataraxiavardcentral.se/</t>
  </si>
  <si>
    <t>Vårdcentral spånga - tensta</t>
  </si>
  <si>
    <t>https://www.nykommun.se/2025/01/22/vara-hem-blir-allt-sakrare-sa-hakar-du-pa-sakerhetstrenderna-for-att-minska-inbrottsrisken/</t>
  </si>
  <si>
    <t>dryft.se</t>
  </si>
  <si>
    <t>https://www.svenskbyggtidning.se/2025/01/22/bor-du-anlita-en-totalentreprenad-absolut-och-har-ar-varfor/</t>
  </si>
  <si>
    <t>Dryft</t>
  </si>
  <si>
    <t>https://forvaltarbrevet.com/att-lana-pengar-nar-varfor-hur/</t>
  </si>
  <si>
    <t>https://www.nordiskaprojekt.se/2025/01/22/vad-har-vvs-for-roll-i-sveriges-industri/</t>
  </si>
  <si>
    <t>Rörjour</t>
  </si>
  <si>
    <t>https://www.grontsamhallsbyggande.se/2025/01/22/sa-bidrar-hallbara-vvs-losningar-till-ett-gronare-samhallsbyggande/</t>
  </si>
  <si>
    <t>Rörjour247</t>
  </si>
  <si>
    <t>https://www.dagensnaringsliv.se/20250122/276360/misstagen-som-gor-att-lonen-inte-racker</t>
  </si>
  <si>
    <t>https://www.techhubben.se/blogs/ny-teknik-som-formar-framtidens-spelupplevelser</t>
  </si>
  <si>
    <t>https://www.cherry.com/</t>
  </si>
  <si>
    <t>https://www.bastacasinoguide.se/casinospel/vilken-jackpot-personlighet-ar-du/</t>
  </si>
  <si>
    <t>jackpots</t>
  </si>
  <si>
    <t>https://www.lerumstidning.se/native/de-aldre-klagar-ar-kritiken-mot-ungas-fritid-rattvis-eller-overdriven.b279b379-9202-484c-988b-0b9826c98fbb</t>
  </si>
  <si>
    <t>onlinecasinon och sportsbetting</t>
  </si>
  <si>
    <t>https://casino-nytt.se/en-lattsmalt-guide-till-smidiga-casinobetalningar-med-for-och-nackdelar/</t>
  </si>
  <si>
    <t>https://casinogringos.se/casino-betalningsmetoder</t>
  </si>
  <si>
    <t>Betalningsmetoder på casinon</t>
  </si>
  <si>
    <t>https://www.entreprenad.com/lb-article/181178/nyckeln-till-langsiktig-framgang-for-entreprenadforetag</t>
  </si>
  <si>
    <t>https://hunch.se/allt-du-behover-veta-om-ip-tv</t>
  </si>
  <si>
    <t>https://bulletin.nu/fagel-fisk-eller-mittemellan-var-gar-gransen-mellan-risk-noje-och-ren-chansning</t>
  </si>
  <si>
    <t>casino på nätet</t>
  </si>
  <si>
    <t>https://vitamagazine.com/?p=74725&amp;preview=1&amp;_ppp=534b253c9e</t>
  </si>
  <si>
    <t>shockwave machine</t>
  </si>
  <si>
    <t>https://www.starleaf.com/blog/kicking-old-habits-in-the-modern-day/</t>
  </si>
  <si>
    <t>https://ourculturemag.com/2025/01/17/a-guide-to-nicotine-consumption-how-to-choose-the-best-nicotine-only-product-for-yourself/</t>
  </si>
  <si>
    <t>https://fintechasia.net/2025/01/20/how-to-quit-smoking-while-enjoying-how-it-tastes/</t>
  </si>
  <si>
    <t>https://tsf7.com/%D8%A7%D9%84%D8%AD%D9%8A%D8%A7%D8%A9-%D8%A7%D9%84%D8%AE%D8%A7%D9%84%D9%8A%D8%A9-%D9%85%D9%86-%D8%A7%D9%84%D8%AA%D9%88%D8%AA%D8%B1-%D9%83%D9%8A%D9%81%D9%8A%D8%A9-%D8%A8%D9%86%D8%A7%D8%A1-%D8%B1%D9%88/</t>
  </si>
  <si>
    <t>https://www.starleaf.com/blog/modern-dating-from-apps-to-professional-matchmakers/</t>
  </si>
  <si>
    <t>https://ourculturemag.com/2025/01/21/passionate-pairings-how-creative-couples-shaped-art-literature-and-culture/</t>
  </si>
  <si>
    <t>https://www.starleaf.com/blog/dressed-for-success-how-your-work-wardrobe-can-boost-remote-work-productivity/</t>
  </si>
  <si>
    <t>https://blinklist.com/tech/role-of-technology-in-medicine/</t>
  </si>
  <si>
    <t>https://nestebank.no/artikkel/hvordan-ta-kontroll-over-okonomien/</t>
  </si>
  <si>
    <t>https://inssinosingot.fi/2025/01/digitaalisen-markkinoinnin-roi-ja-myyntisaatavien-tehokas-kotiuttaminen/</t>
  </si>
  <si>
    <t>https://www.kalajokilaakso.fi/artikkeli/luottovakuutuksen-hyodyt-alueellisille-kasvuyrityksille</t>
  </si>
  <si>
    <t>https://ourculturemag.com/2025/01/21/how-to-incorporate-sriracha-sauce-in-your-meals-benefits-and-recipe-tips/</t>
  </si>
  <si>
    <t>https://resident.com/resource-guide/2025/01/24/top-7-condiments-that-can-enhance-your-meals</t>
  </si>
  <si>
    <t>https://tomtechblog.com/planning-tools-for-efficient-day-to-day-living/</t>
  </si>
  <si>
    <t>https://www.starleaf.com/blog/how-ai-can-reshape-business-management/</t>
  </si>
  <si>
    <t>https://thechannelrace.org/beyond-the-swim-reducing-carbon-footprint-with-eco-conscious-gear/</t>
  </si>
  <si>
    <t>Aluminum bottled water</t>
  </si>
  <si>
    <t>https://www.allaannonser.se/samarb-renovera-fonster.html</t>
  </si>
  <si>
    <t>https://mockfjards.se/att-byta-fonster</t>
  </si>
  <si>
    <t>https://eventeffect.se/hur-stadar-man-efter-ett-stort-event/</t>
  </si>
  <si>
    <t>Städfirma Stockholm</t>
  </si>
  <si>
    <t>https://www.executiveeffect.se/ett-professionellt-leende-tandblekning-som-en-vag-till-okat-sjalvfortroende-och-valmaende/</t>
  </si>
  <si>
    <t>https://www.tandea.se/tandvard/tandblekning/</t>
  </si>
  <si>
    <t>En professionell tandblekning</t>
  </si>
  <si>
    <t>https://www.executiveeffect.se/post-covid-kontoren-medarbetarna-vill-inte-langre-ha-kontor-som-kanns-som-kontor/</t>
  </si>
  <si>
    <t>svenskafonster.se/skjutdorr</t>
  </si>
  <si>
    <t>Skjutdörr</t>
  </si>
  <si>
    <t>https://www.executiveeffect.se/som-att-foda-tvillingar-eller-traffas-av-blixten-sa-stora-ar-dina-chanser-att-vinna-pa-casino/</t>
  </si>
  <si>
    <t>https://www.executiveeffect.se/6-vanliga-orsaker-till-stromavbrott-hur-du-kan-forbereda-dig/</t>
  </si>
  <si>
    <t>https://www.joureliten.se/</t>
  </si>
  <si>
    <t>https://influencereffect.se/wp-admin/post.php?post=11941&amp;action=edit</t>
  </si>
  <si>
    <t>tandimplantat</t>
  </si>
  <si>
    <t>https://www.saleseffect.se/locka-tillbaka-kunderna-med-optimal-butiksdesign/</t>
  </si>
  <si>
    <t>Kvalitetsfönster</t>
  </si>
  <si>
    <t>technobark.com</t>
  </si>
  <si>
    <t>https://www.starleaf.com/blog/how-to-best-track-your-dog-methods-and-safety-measures/</t>
  </si>
  <si>
    <t>https://technobark.com/best-gps-dog-fences/</t>
  </si>
  <si>
    <t>gps dog fence</t>
  </si>
  <si>
    <t>https://www.washingtontimes.com/sponsored/pet-safety-gps-technology-changing-dog-parenting/</t>
  </si>
  <si>
    <t>technobark</t>
  </si>
  <si>
    <t>https://thehometrotters.com/creating-a-relaxing-diy-spa-at-home-simple-steps-to-transform-your-space/</t>
  </si>
  <si>
    <t>cold packs</t>
  </si>
  <si>
    <t>https://kreditochfinans.se/vanliga-fragor/fran-matlada-till-miljonlan-hur-spartiktok-styr-oss-mot-finansiella-risker/</t>
  </si>
  <si>
    <t>http://spelapoker.se/casino-online/</t>
  </si>
  <si>
    <t>https://www.spelklubben.se/sv/casino/jackpotspel</t>
  </si>
  <si>
    <t>Incert</t>
  </si>
  <si>
    <t>Brett utbud av både fasta och progressiva jackpotspel</t>
  </si>
  <si>
    <t>https://webbkrysset.se/blogg/nar-engelska-termer-far-svenska-namn/</t>
  </si>
  <si>
    <t>cherry.com/sv</t>
  </si>
  <si>
    <t>https://www.kingsizemag.se/konst/aspirerande-forfattare-har-ar-en-checklista-for-dig/</t>
  </si>
  <si>
    <t>Skicka in ditt manus</t>
  </si>
  <si>
    <t>https://www.totallystockholm.se/cateringbranschen-blomstrar-ater-efter-covid-en-ljus-framtid-for-stockholms-evenemang/</t>
  </si>
  <si>
    <t>http://cateringfabriken.se/</t>
  </si>
  <si>
    <t>catering till stora evenemang i tex Stockholm</t>
  </si>
  <si>
    <t>https://www.totallystockholm.se/en-utvardering-av-stockholmsborsen-2024/</t>
  </si>
  <si>
    <t>https://www.kingsizemag.se/okategoriserat/fa-looken-uppna-influencer-frisyren-som-dominerar-sociala-medier/</t>
  </si>
  <si>
    <t>https://www.michaelofrisorerna.se</t>
  </si>
  <si>
    <t>frisör södermalm</t>
  </si>
  <si>
    <t>https://www.totallystockholm.se/arets-forsta-dopp-nar-var-hur/</t>
  </si>
  <si>
    <t>Pontech Marina</t>
  </si>
  <si>
    <t>https://www.kingsizemag.se/okategoriserat/hiphop-stjarnornas-hemlighet-bakom-deras-perfekta-leenden/</t>
  </si>
  <si>
    <t>estetisk tandvård</t>
  </si>
  <si>
    <t>https://www.totallyorebro.se/guider/aktiviteter/upplev-orebros-hundliv-pa-basta-satt/</t>
  </si>
  <si>
    <t>rätt hundfoder</t>
  </si>
  <si>
    <t>https://www.totallystockholm.se/skenande-elpriser-i-stockholm-enkel-vagledning-fran-budgetknep-till-langsiktiga-investeringar/</t>
  </si>
  <si>
    <t>Svenskafönster</t>
  </si>
  <si>
    <t>https://www.totallystockholm.se/visa-mig-ditt-hem-sa-ska-jag-visa-dig-vem-du-ar-konsten-att-trivas-i-sitt-hem/</t>
  </si>
  <si>
    <t>Byta fönster</t>
  </si>
  <si>
    <t>https://www.totallyorebro.se/uncategorized/behover-du-tillstand-for-ditt-husdjur/</t>
  </si>
  <si>
    <t>petster.se/hast</t>
  </si>
  <si>
    <t>hästprodukter</t>
  </si>
  <si>
    <t>https://ng.se/artiklar/klubbkvallar-akne-hur-nattliv-och-smink-kan-paverka-din-hud</t>
  </si>
  <si>
    <t>hudspecialist</t>
  </si>
  <si>
    <t>https://www.meravsverige.nu/den-moderna-tv-upplevelsen-med-iptv</t>
  </si>
  <si>
    <t>iptv smarts</t>
  </si>
  <si>
    <t>https://www.folkbladet.nu/2025-01-27/varens-stora-fotbollsfester-2025-stormatcherna-du-inte-vill-missa-169bf</t>
  </si>
  <si>
    <t>spelklubben.se/sv/betting/fotboll</t>
  </si>
  <si>
    <t>https://www.nykommun.se/2025/01/27/har-bygger-stockholmarna-sina-landstallen-2025/</t>
  </si>
  <si>
    <t>Altandörr</t>
  </si>
  <si>
    <t>https://www.lokaltidningen.nu/2025-01-27/travlopp-att-se-fram-emot-i-februari-2025-7af22</t>
  </si>
  <si>
    <t>tips och odds</t>
  </si>
  <si>
    <t>https://www.totallystockholm.se/upptack-fintech-pulsen-sa-anvander-du-kryptovalutor-i-vardagen/</t>
  </si>
  <si>
    <t>hur du med hjälp av KvarnX</t>
  </si>
  <si>
    <t>https://www.mellanbygden.nu/2025-01-27/arets-fattigaste-manad-ar-har-det-kan-du-gora-nar-det-ar-knapert-f2c06</t>
  </si>
  <si>
    <t>privatlån partial</t>
  </si>
  <si>
    <t>https://yatzyregler.se/sa-vinner-du-oftare-pa-vandtia/</t>
  </si>
  <si>
    <t>onlinecasino</t>
  </si>
  <si>
    <t>https://patiens.io/klassiska-patienser/</t>
  </si>
  <si>
    <t>https://www.kingsizemag.se/okategoriserat/natten-nar-allt-gick-fel-de-vanligaste-problemen-med-vatten-avlopp-ror/</t>
  </si>
  <si>
    <t>https://rorjour247.se/rormokare</t>
  </si>
  <si>
    <t>https://www.blogstrove.com/categories/health/how-electrotherapy-is-changing-pain-management-in-everyday-life/</t>
  </si>
  <si>
    <t>Visit chattanoogarehab</t>
  </si>
  <si>
    <t>https://www.techloy.com/the-new-and-innovative-technologies-in-treating-chronic-pain/</t>
  </si>
  <si>
    <t>https://podcasts.nu/blogg/finanskrisen-2008-en-podcastresa-genom-den-ekonomiska-hardsmaltan</t>
  </si>
  <si>
    <t>https://fairinvestments.se/kunskapsbank/</t>
  </si>
  <si>
    <t>https://www.techloy.com/common-misconceptions-in-cybersecurity-what-to-learn-from-them/</t>
  </si>
  <si>
    <t>https://www.techloy.com/cybersecurity-a-critical-priority-for-modern-businesses/</t>
  </si>
  <si>
    <t>https://www.mellanbygden.nu/2025-01-28/spannande-travlopp-att-se-fram-emot-varen-2025-7e0c4</t>
  </si>
  <si>
    <t>https://www.totallyorebro.se/uncategorized/hur-ser-det-ut-med-snusandet-i-orebro/</t>
  </si>
  <si>
    <t>https://www.nettotobak.com</t>
  </si>
  <si>
    <t>https://www.ykkoslohja.fi/pohjoismaista-kauneutta-ja-luonnon-voimaa-nobe-nordic-beauty-tuotteet-tarkastelussa/</t>
  </si>
  <si>
    <t>https://www.godies.fi/</t>
  </si>
  <si>
    <t>https://www.ykkoslohja.fi/talvirenkaiden-valinta-nastat-vai-kitkat-uudenmaan-teille/</t>
  </si>
  <si>
    <t>https://uutisankka.com/uncategorized/talviajamisen-abc-vinkit-turvalliseen-autoiluun-aariolosuhteissa/</t>
  </si>
  <si>
    <t>https://vitamagazine.com/2025/01/21/sustainable-interior-design-creating-an-eco-friendly-living-space/</t>
  </si>
  <si>
    <t>https://www.nsab.se/iptv-den-nya-normen-for-tv-tittande-i-svenska-hem</t>
  </si>
  <si>
    <t>https://www.nykommun.se/2025/01/29/rena-ytor-leder-till-klara-tankar/</t>
  </si>
  <si>
    <t>kontorsstädning stockholm</t>
  </si>
  <si>
    <t>https://metapress.com/bringing-your-event-to-life-creative-ways-to-make-your-corporate-gathering-unforgettable/</t>
  </si>
  <si>
    <t>https://www.myownwater.com</t>
  </si>
  <si>
    <t>https://passioneffect.se/varfor-ar-det-sa-svart-att-halla-vikten-trots-att-det-aldrig-varit-enklare-att-ga-ner/</t>
  </si>
  <si>
    <t>https://supernormal.health/pages/medicinsk-viktnedgang</t>
  </si>
  <si>
    <t>medicinsk viktnedgång</t>
  </si>
  <si>
    <t>https://passioneffect.se/varfor-skiljer-vi-pa-tander-och-resten-av-kroppen-debatten-om-tandvardens-subventioner/</t>
  </si>
  <si>
    <t>tandvård</t>
  </si>
  <si>
    <t>https://pengar.in/hur-fungerar-borsen-egentligen/</t>
  </si>
  <si>
    <t>https://ekonomistart.se/fair-investments-forsok-att-demokratisera-investeringsmarknaden/</t>
  </si>
  <si>
    <t>https://havstomt.se/artiklar/segelbat-eller-motorbat-vad-passar-dig-bast/</t>
  </si>
  <si>
    <t>https://www.startmotor.se/kategori/batmotordelar</t>
  </si>
  <si>
    <t>https://byggtipsen.se/ai-hotar-manga-jobb-men-inte-hantverksyrkena/</t>
  </si>
  <si>
    <t>https://passioneffect.se/vitt-snus-pa-vag-mot-dominans-en-fjardedel-av-den-svenska-nikotinmarknaden-ar-vit/</t>
  </si>
  <si>
    <t>https://www.nettotobak.com/zyn/</t>
  </si>
  <si>
    <t>snus online</t>
  </si>
  <si>
    <t>https://valutor.nu/fran-fiat-till-krypto/</t>
  </si>
  <si>
    <t>https://pengar.in/ekonomiska-trender-som-paverkar-hushallens-investeringsval/</t>
  </si>
  <si>
    <t>seriös och reglerad kryptomäklare</t>
  </si>
  <si>
    <t>https://passioneffect.se/hjarnans-superlage-darfor-presterar-du-bast-nar-tiden-star-stilla/</t>
  </si>
  <si>
    <t>https://passioneffect.se/skydda-ditt-hem-mekaniska-eller-digitala-las/</t>
  </si>
  <si>
    <t>Säkerheten i ditt hem</t>
  </si>
  <si>
    <t>https://www.saleseffect.se/e-handeln-och-underhallningens-svar-pa-pandemin-vad-du-som-foretagare-kan-lara-dig/</t>
  </si>
  <si>
    <t>https://casinogringos.se/casino-med-snabba-uttag</t>
  </si>
  <si>
    <t>svenska casinon med snabba uttag</t>
  </si>
  <si>
    <t>https://www.nordsverige.se/2025-01-31/upplev-sport-pa-hog-niva-under-februari-med-betting-7bcaf</t>
  </si>
  <si>
    <t>spela och betta online</t>
  </si>
  <si>
    <t>https://www.lokaltidningen.nu/2025-01-31/stora-sporthandelser-som-lockar-i-februari-1cdda</t>
  </si>
  <si>
    <t>https://regio-aktuell24.de/umstieg-auf-waermepumpen-so-gelingt-es/188549</t>
  </si>
  <si>
    <t>https://www.starleaf.com/blog/how-small-tech-habits-can-keep-your-hands-and-wrists-pain-free/</t>
  </si>
  <si>
    <t>https://www.kolding-netavis.dk/hvorfor-din-oekonomiske-historie-betyder-noget-dine-laan/</t>
  </si>
  <si>
    <t>https://www.technology.org/2025/02/03/how-smart-technology-is-making-pet-care-easier/</t>
  </si>
  <si>
    <t>https://technomeow.com/best-self-cleaning-litter-boxes-this-year/</t>
  </si>
  <si>
    <t>kung fu pet litter box</t>
  </si>
  <si>
    <t>https://www.totallyorebro.se/uncategorized/6-satt-att-trotsa-vintermorkret-i-orebro/</t>
  </si>
  <si>
    <t>betta på sport</t>
  </si>
  <si>
    <t>https://www.besoccer.com/new/muscle-recovery-and-maintenance-how-soccer-players-stay-in-shape-1346532</t>
  </si>
  <si>
    <t>https://torrfoder.se/blogg/myterna-om-hundfoder/</t>
  </si>
  <si>
    <t>https://casinodjungel.se/casinon/cherry-casino/</t>
  </si>
  <si>
    <t>Knapp</t>
  </si>
  <si>
    <t>https://www.nykommun.se/2025/02/04/hastnaringen-i-sveriges-kommuner-ar-mycket-storre-an-vad-folk-tror</t>
  </si>
  <si>
    <t>https://eventeffect.se/bor-du-anlita-en-totalentreprenad-har-ar-nagra-skal-att-overvaga-det/</t>
  </si>
  <si>
    <t>https://dryft.se/</t>
  </si>
  <si>
    <t>https://eventeffect.se/tander-tonlage-och-taltempo-hur-manniskor-domer-dig-och-vad-du-kan-tanka-pa/</t>
  </si>
  <si>
    <t>tandlakare.se</t>
  </si>
  <si>
    <t>tandläkare nära dig</t>
  </si>
  <si>
    <t>https://www.upscalelivingmag.com/news/bringing-the-outdoors-in-the-role-of-textiles-in-creating-a-cozy-scandinavian-inspired-home/</t>
  </si>
  <si>
    <t>https://www.dailywaffle.co.uk/2025/02/luxury-for-less-smart-ways-to-score-premium-products-without-the-price-tag/</t>
  </si>
  <si>
    <t>https://ourculturemag.com/2025/02/05/loyalty-programs-how-creative-industries-are-rewarding-fans-in-new-ways/</t>
  </si>
  <si>
    <t>https://resident.com/resource-guide/2025/02/05/what-to-keep-in-mind-before-starting-to-play-in-online-casinos</t>
  </si>
  <si>
    <t>https://mimshacks.com/blog/what-are-no-deposit-bonuses/</t>
  </si>
  <si>
    <t>https://www.sonderborgnyt.dk/saadan-faar-du-styr-paa-virksomhedens-udestaaende-fakturaer/</t>
  </si>
  <si>
    <t>https://resident.com/resource-guide/2025/02/07/the-nordic-blueprint-how-scandinavian-design-transforms-your-home-into-a-sanctuary</t>
  </si>
  <si>
    <t>https://nordicknots.com/us/custom-sized-rugs</t>
  </si>
  <si>
    <t>Nordic Knots creates custom sized rugs</t>
  </si>
  <si>
    <t>https://tvprogram.nu/blogg/snuset-som-en-del-av-svensk-kultur</t>
  </si>
  <si>
    <t>zyn</t>
  </si>
  <si>
    <t>https://filmeye.se/svenska-filmkaraktarer-som-snusar-mangder</t>
  </si>
  <si>
    <t>https://www.reseledaren.nu/finansiera-dromresan-5-strategier/</t>
  </si>
  <si>
    <t>https://www.zmarta.se/lana-pengar/samla-lan</t>
  </si>
  <si>
    <t>Samla lån</t>
  </si>
  <si>
    <t>https://www.nykommun.se/2025/02/07/kanda-inspelningsplatser-du-kan-besoka-i-europa/</t>
  </si>
  <si>
    <t>https://www.vk.se/2025-02-07/de-basta-slotspelen-som-lanserades-2024-6d7a8</t>
  </si>
  <si>
    <t>https://casinogringos.se/nyheter/arskronika-2024-hojdpunkter-fran-casinovarlden</t>
  </si>
  <si>
    <t>casinogringos casinoårskrönika</t>
  </si>
  <si>
    <t>https://www.nykommun.se/2025/02/11/vad-ar-skillnaden-pa-en-tandhygienist-och-en-tandlakare/</t>
  </si>
  <si>
    <t>flera duktiga tandläkare i Stockholm</t>
  </si>
  <si>
    <t>https://www.nordsverige.se/2025-02-11/presenttips-till-pojkvannen-infor-alla-hjartans-dag-6812a</t>
  </si>
  <si>
    <t>upplevelse.com/presenttips/present-till-pojkvan</t>
  </si>
  <si>
    <t>https://www.nykommun.se/2025/02/12/utforska-kreativiteten-i-yrket-som-inredare-skapa-unika-losningar-med-mattor/</t>
  </si>
  <si>
    <t>http://rusta.com/sv-se/hem-och-inredning/mattor</t>
  </si>
  <si>
    <t>https://matchbook.nu/framtidens-tv-tittande-flexibilitet-och-valfrihet-med-ip-tv</t>
  </si>
  <si>
    <t>https://svenskiptv.com/hur-fungerar-iptv-kom-igang/</t>
  </si>
  <si>
    <t>https://www.vk.se/2025-02-13/overraska-din-partner-med-en-upplevelse-pa-alla-hjartans-dag-4536f</t>
  </si>
  <si>
    <t>https://www.folkbladet.nu/2025-02-13/spannande-upplevelser-att-gora-pa-sportlovet-2025-c5743</t>
  </si>
  <si>
    <t>http://upplevelse.com/</t>
  </si>
  <si>
    <t>https://beautymama.se/hantera-perioral-dermatit-for-en-stralande-hy/</t>
  </si>
  <si>
    <t>https://direktbygg.se/framtiden-for-byggindustrin-hur-ftx-systemet-kan-revolutionera-projektledning/</t>
  </si>
  <si>
    <t>https://skaparum.se/forsakringslosningar-for-solcellsanlaggningar-inom-byggsektorn/</t>
  </si>
  <si>
    <t>https://byggavilla.se/forsakringslosningar-for-solceller-i-byggbranschen/</t>
  </si>
  <si>
    <t>https://villaprojekt.se/bilvard-for-ditt-hem-sa-rengor-du-bilen-som-en-proffs/</t>
  </si>
  <si>
    <t>https://hemforalla.se/sa-forbattrar-du-din-bilvard-i-ditt-hem/</t>
  </si>
  <si>
    <t>https://skaparum.se/hantverkarens-roll-i-modern-byggnation/</t>
  </si>
  <si>
    <t>https://dryft.se</t>
  </si>
  <si>
    <t>Dryfts hantverkare</t>
  </si>
  <si>
    <t>https://fritidsaktivitet.se/sa-skickar-du-in-ditt-manus-for-publicering-av-din-bok-inom-hobbyer/</t>
  </si>
  <si>
    <t>https://hemforalla.se/hur-man-varderar-sin-bostad-infor-forsaljning/</t>
  </si>
  <si>
    <t>https://villaprojekt.se/sa-har-koper-och-saljer-du-fastigheter-pa-ratt-satt/</t>
  </si>
  <si>
    <t>https://dinfamilj.se/hundar-som-en-del-av-familjen-sa-valjer-du-ratt-produkter-for-ditt-fyrbenta-barn/</t>
  </si>
  <si>
    <t>https://bonusfamiljer.se/viktigheten-av-ratt-utrustning-for-hundar-i-familjen/</t>
  </si>
  <si>
    <t>https://veganbeauty.se/forbattra-ditt-leende-med-skalfasader/</t>
  </si>
  <si>
    <t>https://nordisklivsstil.se/inred-ditt-hem-med-unika-mattor-for-en-personlig-livsstil/</t>
  </si>
  <si>
    <t>https://evigliv.se/bra-hundfoder-for-en-halsosam-livsstil-for-din-fyrbenta-van/</t>
  </si>
  <si>
    <t>https://adventuregurun.se/upplev-skrattens-magi-en-guide-till-standup-komedi-i-sverige/</t>
  </si>
  <si>
    <t>https://fritidsaktivitet.se/hitta-ratt-batmotordelar-for-dina-hobbyprojekt/</t>
  </si>
  <si>
    <t>båtmotordelar</t>
  </si>
  <si>
    <t>https://hobbybyggare.se/valj-ratt-batmotordelar-for-en-lyckad-hobby-pa-vattnet/</t>
  </si>
  <si>
    <t>båtbatteri</t>
  </si>
  <si>
    <t>https://veganbeauty.se/optimera-din-skonhetsupplevelse-med-en-skraddarsydd-e-handelsplattform/</t>
  </si>
  <si>
    <t>https://miljonhuset.se/foretagsboende-en-smart-losning-for-proffs-pa-resande-fot/</t>
  </si>
  <si>
    <t>https://satsanu.se/spara-pengar-med-ratt-val-av-kopieringspapper-for-kontoret-och-hemmet/</t>
  </si>
  <si>
    <t>https://kapitalguide.se/kontorsmaterial-och-kostnadseffektivitet-for-foretag-och-privatpersoner/</t>
  </si>
  <si>
    <t>https://byggavilla.se/viktiga-faktorer-att-tanka-pa-vid-installation-av-vvs-system-i-byggprojekt/</t>
  </si>
  <si>
    <t>https://direktbygg.se/professionell-taklaggning-och-renovering-av-lantbrukstak-for-hallbara-losningar/</t>
  </si>
  <si>
    <t>https://hemforalla.se/vikten-av-att-byta-tak-pa-maskinhallar-for-hallbarhet-i-bostader/</t>
  </si>
  <si>
    <t>https://industrilinjen.se/forbattra-ljudmiljon-i-din-verksamhet-med-effektiva-akustiklosningar/</t>
  </si>
  <si>
    <t>Akustik</t>
  </si>
  <si>
    <t>https://bolagshistorik.se/effektiva-akustiklosningar-for-att-forbattra-ljudmiljon-pa-arbetsplatsen/</t>
  </si>
  <si>
    <t>https://herrprylar.se/professionell-service-for-volkswagen-bilar-en-guide-for-man-i-tyreso/</t>
  </si>
  <si>
    <t>https://villaprojekt.se/fordelarna-med-professionell-hemstadning-i-stockholm/</t>
  </si>
  <si>
    <t>https://semesterdags.se/optimala-skidresor-valj-ratt-skidvalla-for-basta-upplevelsen/</t>
  </si>
  <si>
    <t>https://alltombeauty.se/sa-valjer-du-ratt-tandlakare-i-stockholm-for-en-vackrare-leende/</t>
  </si>
  <si>
    <t>https://beautyagenten.se/vikten-av-en-vacker-leende-tandlakare-i-goteborg-hjalper-dig-att-strala/</t>
  </si>
  <si>
    <t>https://www.tandlakare.se/stad/goteborg/</t>
  </si>
  <si>
    <t>Tandläkare göteborg</t>
  </si>
  <si>
    <t>https://veganbeauty.se/vardcentralens-paverkan-pa-skonhet-och-halsa-i-spanga-tensta/</t>
  </si>
  <si>
    <t>vårdcentral spånga - tensta</t>
  </si>
  <si>
    <t>https://alltombeauty.se/vardcentralens-engagemang-for-skonhet-och-halsa-i-spanga-tensta/</t>
  </si>
  <si>
    <t>sesec.se</t>
  </si>
  <si>
    <t>https://bolagsekonomen.se/sakerhetslosningar-for-foretag-hur-bevakning-och-teknik-kan-skapa-trygghet/</t>
  </si>
  <si>
    <t>Ordningsvakt</t>
  </si>
  <si>
    <t>https://beautytube.se/frisorsalongen-i-stockholm-som-forvandlar-ditt-har-till-en-skonhetsdrom/</t>
  </si>
  <si>
    <t>Frisör i Stockholm</t>
  </si>
  <si>
    <t>https://www.thecricket.nu/upptack-nya-satt-att-njuta-av-kultur-och-noje-med-iptv</t>
  </si>
  <si>
    <t>iptv smarters</t>
  </si>
  <si>
    <t>https://allwomenstalk.com/everyday-habits-ruining-skin/</t>
  </si>
  <si>
    <t>https://www.artikelparadis.se/svensk-iptv-framtidens-tv-tittande</t>
  </si>
  <si>
    <t>https://allwomenstalk.com/shockwave-therapy-beauty-health-benefits/</t>
  </si>
  <si>
    <t>https://allwomenstalk.com/sriracha-sauce-best-dishes/</t>
  </si>
  <si>
    <t>https://www.klamm.de/news/waermepumpen-nachhaltigkeit-toppt-unsicherheiten-52Ne6218.html</t>
  </si>
  <si>
    <t>https://allwomenstalk.com/eco-friendly-fitness-sustainable-gear/</t>
  </si>
  <si>
    <t>https://www.energy-supply.se/lb-article/181237/ljusets-intelligens-sa-omvandlar-framtidens-belysning-var-energiforbrukning</t>
  </si>
  <si>
    <t>https://www.rusta.com/sv-se/hem-och-inredning/belysning</t>
  </si>
  <si>
    <t>belysning (partial)</t>
  </si>
  <si>
    <t>https://www.lifesciencesweden.se/lb-article/181236/gemene-man-maste-bli-mer-insatt-i-forskningen-med-detsamma</t>
  </si>
  <si>
    <t>Rybelsus/ozempic</t>
  </si>
  <si>
    <t>flygbussarna.se</t>
  </si>
  <si>
    <t>https://www.transportnet.se/lb-article/181235/moderniseringen-av-fordonstrafiken-till-arlanda-effektivare-och-gronare-resor</t>
  </si>
  <si>
    <t>Transfer arlanda</t>
  </si>
  <si>
    <t>https://fragbite.se/all/news/57238/cs-skins-vs-nfts--ar-det-samma-sak</t>
  </si>
  <si>
    <t>kvarnx.com/sv</t>
  </si>
  <si>
    <t>https://www.dagensinfrastruktur.se/2025/02/20/fran-e-krona-till-sjalvkorande-fordon-sa-bygger-vi-smarta-stader/</t>
  </si>
  <si>
    <t>KvarnX.com/sv</t>
  </si>
  <si>
    <t>Köp, handla och stake(a) krypto</t>
  </si>
  <si>
    <t>https://www.lokaltidningen.nu/2025-02-19/oka-valmaendet-under-vintermanaderna-med-upplevelser-3b482</t>
  </si>
  <si>
    <t>presentkort på upplevelser</t>
  </si>
  <si>
    <t>https://www.vasterbottningen.se/2025-02-19/smidiga-losningar-i-centrum-nar-svenskarna-valjer-spelbolag-pa-natet-e49eb</t>
  </si>
  <si>
    <t>hajper.com/sv</t>
  </si>
  <si>
    <t>Registrering och insättning med Bankid och Swish (i stil med)</t>
  </si>
  <si>
    <t>https://www.entreprenad.com/lb-article/181238/digitala-eller-fysiska-las-till-kontoret-sa-valjer-du-ratt-losning-i-dagens-bygg-foretagsklimat</t>
  </si>
  <si>
    <t>svenskalasjouren.se/lasjour</t>
  </si>
  <si>
    <t>Låsjour (partial)</t>
  </si>
  <si>
    <t>https://www.uochd.se/lb-article/181240/varldens-storsta-och-viktigaste-ror</t>
  </si>
  <si>
    <t>rorjour247.se/rormokare</t>
  </si>
  <si>
    <t>Rörmokare (partial)</t>
  </si>
  <si>
    <t>https://www.gulavaggen.nu/nyhet/revanschsuget-landslag-kliver-upp-mot-nordirland-pa-hemmaplan/</t>
  </si>
  <si>
    <t>Casinogringos.se (index)</t>
  </si>
  <si>
    <t>https://www.allaannonser.se/samarb-lagaroregler2025.html?preview_token=1741000472.409725339a1f329ee7afae9c811fd16d3e300236665bae4cb11127cae26de978&amp;preview_identifier=39</t>
  </si>
  <si>
    <t>https://casinogringos.se/nya-casinon och https://casinogringos.se/nyheter/arskronika-2024-hojdpunkter-fran-casinovarlden</t>
  </si>
  <si>
    <t>nya casinon och "lanserades inte mindre än tio nya svenska casinon"</t>
  </si>
  <si>
    <t>https://www.ttela.se/native/casinoaret-2024-i-siffror-och-trender-for-2025.263f8fca-74d3-4229-89a4-0cb6c8d70c17</t>
  </si>
  <si>
    <t>https://casinogringos.se/casino-med-swish</t>
  </si>
  <si>
    <t>onlinecasinon med swish som betalningsmetod</t>
  </si>
  <si>
    <t>eventeffect.se (länk till länk)</t>
  </si>
  <si>
    <t>https://www.dagensps.se/weekend/noje-underhallning/den-ekonomiska-tillvaxten-inom-igamingbranschen-fortsatter/</t>
  </si>
  <si>
    <t>tillväxten inom onlinecasinobranschen fortsätter öka</t>
  </si>
  <si>
    <t>https://finest.se/casinon-med-snabba-uttag-sa-fungerar-det/</t>
  </si>
  <si>
    <t>casinon med snabba uttag</t>
  </si>
  <si>
    <t>https://www.dagensinfrastruktur.se/2025/02/20/nar-det-brinner-och-rasar-har-forsakringar-nagonsin-varit-viktigare/</t>
  </si>
  <si>
    <t>coface.se/kreditfoersaekring</t>
  </si>
  <si>
    <t>https://www.dagensinfrastruktur.se/2025/02/20/de-basta-samsta-aren-for-stockholmsborsen-nagonsin/</t>
  </si>
  <si>
    <t>https://www.grontsamhallsbyggande.se/2025/02/20/ventilationens-roll-i-gront-samhallsbyggande/</t>
  </si>
  <si>
    <t>https://aerius.se/har-finns-vi/</t>
  </si>
  <si>
    <t>ventilation partisk (Försök gärna få med något från målsidan)</t>
  </si>
  <si>
    <t>https://www.grontsamhallsbyggande.se/2025/02/20/flytande-stader-ska-radda-oss-fran-stigande-hav/</t>
  </si>
  <si>
    <t>pontechmarina.com/se</t>
  </si>
  <si>
    <t>https://www.grontsamhallsbyggande.se/2025/02/20/ar-det-miljovanligt-att-bo-pa-vattnet/</t>
  </si>
  <si>
    <t>startmotor.se/kategori/batmotordelar</t>
  </si>
  <si>
    <t>https://www.grontsamhallsbyggande.se/2025/02/20/gront-byggande-en-helhetssyn-pa-hallbarhet/</t>
  </si>
  <si>
    <t>https://sakraror.se/vara-tjanster/allman-service-vvs/vvs-i-taby/</t>
  </si>
  <si>
    <t>VVS Täby (partisk)</t>
  </si>
  <si>
    <t>https://www.grontsamhallsbyggande.se/2025/02/20/det-ar-faktiskt-inte-sa-svart-att-bygga-gront/</t>
  </si>
  <si>
    <t>glassfactory.fi</t>
  </si>
  <si>
    <t>https://www.grontsamhallsbyggande.se/2025/02/20/spegelinstallationer-i-offentliga-rum/</t>
  </si>
  <si>
    <t>https://glassfactory.fi/sv/collections/extra-large</t>
  </si>
  <si>
    <t>extra stor spegel</t>
  </si>
  <si>
    <t>https://filmeye.se/filmkaraktarerna-som-har-orimlig-tur/</t>
  </si>
  <si>
    <t>live casino partial</t>
  </si>
  <si>
    <t>https://podcasts.nu/blogg/podcasts-for-varje-humor-2025</t>
  </si>
  <si>
    <t>https://filmeye.se/de-basta-vegas-filmerna-en-filmguide-till-stadens-magi/</t>
  </si>
  <si>
    <t>sätt in 500 kr spela för 2000 kr med Hajpers casinobonus</t>
  </si>
  <si>
    <t>https://alltomnorrtalje.se/utrusta-ditt-landstalle-i-norrtalje-med-en-flytbrygga/</t>
  </si>
  <si>
    <t>https://www.motorshop.nu/vikten-av-att-ha-en-bilverkstad-man-kan-lita-pa</t>
  </si>
  <si>
    <t>Bilverkstad i tyresö</t>
  </si>
  <si>
    <t>https://www.editionreimers.se/svensk-iptv-en-ny-era-av-tv-tittande</t>
  </si>
  <si>
    <t>vad innebär IPTV</t>
  </si>
  <si>
    <t>https://www.jfkra.dk/se-tv-film-og-serier-pa-en-helt-ny-made</t>
  </si>
  <si>
    <t>https://iptvdansk.com/</t>
  </si>
  <si>
    <t>https://allwomenstalk.com/essential-dog-gadgets-2025/</t>
  </si>
  <si>
    <t>https://technobark.com/best-dog-gps-trackers/</t>
  </si>
  <si>
    <t>GPS dog collar</t>
  </si>
  <si>
    <t>https://www.blogstrove.com/categories/lifestyle/how-to-best-care-for-your-pet/</t>
  </si>
  <si>
    <t>Self cleaning litter box</t>
  </si>
  <si>
    <t>https://podcasts.nu/blogg/upplev-true-crime-i-verkligheten-2025</t>
  </si>
  <si>
    <t>Presentkort på upplevelser</t>
  </si>
  <si>
    <t>https://alltomnorrtalje.se/vandra-med-hund-i-norrtalje-tips-for-en-trygg-harlig-naturupplevelse/</t>
  </si>
  <si>
    <t>hund.se/koppel-selar-och-halsband</t>
  </si>
  <si>
    <t>Hundkoppel</t>
  </si>
  <si>
    <t>https://www.lidingonyheter.se/varldens-vanligaste-komplimang-och-vad-den-betyder/</t>
  </si>
  <si>
    <t>tandea.se/tandvard/tandblekning/</t>
  </si>
  <si>
    <t>https://allwomenstalk.com/aluminium-bottled-water/</t>
  </si>
  <si>
    <t>https://www.nordiskaprojekt.se/2025/02/24/hur-investerare-kan-dra-nytta-av-nordens-grona-projekt/</t>
  </si>
  <si>
    <t>https://www.nyaprojekt.se/2025/02/24/framtidens-energi-investeringar-sa-klarar-sverige-energikrisen/</t>
  </si>
  <si>
    <t>https://www.nyaprojekt.se/2025/02/24/effektiva-byggmaskiner-teknik-underhall-framtidens-utmaningar/</t>
  </si>
  <si>
    <t>Startmotor</t>
  </si>
  <si>
    <t>https://www.nyaprojekt.se/2025/02/24/5-ovantade-inredningstips-som-far-ditt-nya-hem-att-kannas-dubbelt-sa-stort/</t>
  </si>
  <si>
    <t>https://www.svenskbyggtidning.se/2025/02/24/det-moderna-byggtanket-fonster-fonster-fonster/</t>
  </si>
  <si>
    <t>https://svenskafonster.se/fonster</t>
  </si>
  <si>
    <t>https://www.svenskbyggtidning.se/2025/02/24/bor-du-nara-en-vag-eller-har-skrikiga-grannar-har-ar-losningarna/</t>
  </si>
  <si>
    <t>https://www.xn--lneguiden-52a.se/samla-lan</t>
  </si>
  <si>
    <t>Samla lån - Zmarta.se (INSERT)</t>
  </si>
  <si>
    <t>https://www.fastighetsmaklarnamnden.se/budgivningsstrategier-vid-bostadskop/</t>
  </si>
  <si>
    <t>fönster partial</t>
  </si>
  <si>
    <t>https://kopa-hus.se/har-du-koll-pa-undersokningsplikten-vad-du-som-kopare-maste-ha-koll-pa-nar-du-koper-hus-eller-bostadsratt/</t>
  </si>
  <si>
    <t>https://xn--bostadsrttsgaren-2nbd.se/faktorerna-som-paverkar-priset-pa-bostaden/</t>
  </si>
  <si>
    <t>https://alltomnorrtalje.se/har-kan-din-hund-springa-fritt-i-norrtalje/</t>
  </si>
  <si>
    <t>rusta.com/sv-se/fritid/husdjur/hundfoder</t>
  </si>
  <si>
    <t>Hundfoder (partial)</t>
  </si>
  <si>
    <t>https://varmlandsbygden.se/partner/maste-vi-aka-till-huvudstaden-for-att-fixa-vara-tander/</t>
  </si>
  <si>
    <t>purakliniken.se/estetisk-tandvard/tandimplantat/</t>
  </si>
  <si>
    <t>Tandimplantat</t>
  </si>
  <si>
    <t>https://www.borskollen.se/nyheter/27/guld-eller-digitalt-guld-vilken-ar-den-basta-vardebevararen-i-en-osaker-varldsekonomi</t>
  </si>
  <si>
    <t>investera och handla krypto med tillförlit</t>
  </si>
  <si>
    <t>https://www.dagensps.se/weekend/noje-underhallning/nar-frestelsen-lockar-darfor-ar-spel-utan-svensk-licens-olagligt/</t>
  </si>
  <si>
    <t>https://alltomnorrtalje.se/norrtaljes-narhet-till-sveriges-tandmecka-en-bussresa-bort-till-ett-battre-leende/</t>
  </si>
  <si>
    <t>Purakliniken</t>
  </si>
  <si>
    <t>https://varmlandsbygden.se/partner/din-hunds-koppellosa-dromresa-i-varmland-7-platser-din-hund-kommer-alska/</t>
  </si>
  <si>
    <t>https://varmlandsbygden.se/partner/materialval-pa-golv-vaggar-och-tak/</t>
  </si>
  <si>
    <t>https://rusta.com/sv-se/hem-och-inredning/mattor</t>
  </si>
  <si>
    <t>Mattor (partial)</t>
  </si>
  <si>
    <t>https://podcasts.nu/blogg/5-poddar-som-hjalper-dig-forverkliga-dina-husprojekt-och-de-basta-avsnitten-2025</t>
  </si>
  <si>
    <t>https://hazard.se/blogg/livecasinospelen-du-inte-visste-fanns-7-overraskande-favoriter/</t>
  </si>
  <si>
    <t>https://allyourbasearebelongtous.se/svensk-iptv-ett-modernt-satt-att-konsumera-tv</t>
  </si>
  <si>
    <t>iptv-box</t>
  </si>
  <si>
    <t>https://www.safesurf.dk/derfor-skal-du-prove-iptv</t>
  </si>
  <si>
    <t>https://erothotsd.com/how-your-brain-reacts-to-relaxation-beauty-rituals-and-everyday-indulgences/</t>
  </si>
  <si>
    <t>https://www.blogstrove.com/categories/lifestyle/tips-to-help-men-succeed-in-the-dating-scene/</t>
  </si>
  <si>
    <t>https://erothotsd.com/the-role-of-shockwave-therapy-in-modern-beauty-treatments/</t>
  </si>
  <si>
    <t>https://erothotsd.com/hot-trends-in-beauty-how-heat-is-the-new-secret-ingredient-for-radiant-skin/</t>
  </si>
  <si>
    <t>https://erothotsd.com/hydration-stress-relief-and-flexibility-a-holistic-approach-to-self-care/</t>
  </si>
  <si>
    <t>https://www.otsnews.co.uk/how-seniors-can-enjoy-life-to-the-fullest/</t>
  </si>
  <si>
    <t>https://varmlandsbygden.se/partner/affarsideerna-som-kraver-storst-kapital/</t>
  </si>
  <si>
    <t>bethard.com/sv/sports</t>
  </si>
  <si>
    <t>https://www.totallystockholm.se/spelets-sista-utpost-sa-slinker-du-in-pa-sveriges-enda-casino/</t>
  </si>
  <si>
    <t>https://www.låneguiden.se/samla-lan</t>
  </si>
  <si>
    <t>Samla lån – Zmarta.se</t>
  </si>
  <si>
    <t>https://varmlandsbygden.se/partner/inbrottsstatistik-i-varmland-kan-avancerade-las-sakerhet-skramma-bort-tjuven/</t>
  </si>
  <si>
    <t>Svenskalåsjouren</t>
  </si>
  <si>
    <t>https://www.nykommun.se/2025/02/26/fran-fjallstuga-till-skargardsvilla-inredningsstilar-i-sveriges-olika-horn/</t>
  </si>
  <si>
    <t>https://glassfactory.fi/sv/collections/led-mirrors-1</t>
  </si>
  <si>
    <t>spegel med belysning</t>
  </si>
  <si>
    <t>https://www.interbasket.net/news/the-nbas-10-biggest-complainers-complaining-psychology/33989/</t>
  </si>
  <si>
    <t>https://pedrovazpaulo.com/maximizing-efficiency-in-rehabilitation-clinics/</t>
  </si>
  <si>
    <t>https://pedrovazpaulo.com/ai-agents-changing-the-game/</t>
  </si>
  <si>
    <t>https://pedrovazpaulo.com/what-executives-can-learn-from-gps-dog-fences/</t>
  </si>
  <si>
    <t>https://guldkorn.nu/utforska-livets-sma-guldkorn/</t>
  </si>
  <si>
    <t>nettotobak.com/velo/</t>
  </si>
  <si>
    <t>Velo</t>
  </si>
  <si>
    <t>https://gastronomen.se/nar-matkonsten-flyttar-ut-pa-natet/</t>
  </si>
  <si>
    <t>https://bulletin.nu/inomhuspooler-och-regnskogar-varldens-9-storsta-och-mest-imponerande-kasinon</t>
  </si>
  <si>
    <t>Hajper är ett av Sveriges snabbaste och fräschaste onlinecasinon</t>
  </si>
  <si>
    <t>https://www.dagensnaringsliv.se/20250228/277696/svanenmarkt-vad-betyder-det-egentligen</t>
  </si>
  <si>
    <t>https://mockfjards.se/att-byta-fonster/fonster-miljomarkta-med-svanen</t>
  </si>
  <si>
    <t>https://alltomnorrtalje.se/hudvardsrapport-fran-norrtalje-forskning-belyser-hur-klimatet-paverkar-akne/</t>
  </si>
  <si>
    <t>https://casinorus.se/blogg/vad-ar-gameshows-och-varfor-vaxer-intresset/</t>
  </si>
  <si>
    <t>cherry.com/sv/live-casino/game-shows</t>
  </si>
  <si>
    <t xml:space="preserve">Casino gameshows </t>
  </si>
  <si>
    <t>https://onlinespel.nu/snyggaste-slotsen-2025-med-hogst-rtp.html</t>
  </si>
  <si>
    <t>välja rätt onlinecasino</t>
  </si>
  <si>
    <t>https://www.forfest.se/belysning-till-fest-inomhus-och-utomhus/</t>
  </si>
  <si>
    <t>https://xn--trdgrdsstart-hcbq.se/sa-tar-du-hand-om-dina-vaxter-aret-runt/</t>
  </si>
  <si>
    <t>mockfjards.se/</t>
  </si>
  <si>
    <t>https://eventeffect.se/teknik-team-och-timing-nycklarna-till-ett-lyckat-evenemang/</t>
  </si>
  <si>
    <t>https://eventeffect.se/detaljerna-du-inte-far-glomma-nar-du-planerar-ett-event/</t>
  </si>
  <si>
    <t>http://sesec.se/</t>
  </si>
  <si>
    <t>https://eventeffect.se/sma-detaljer-som-lyfter-helhetsupplevelsen/</t>
  </si>
  <si>
    <t>https://eventeffect.se/fyndiga-tips-och-trix-for-hur-du-drar-folk-till-ditt-evenemang/</t>
  </si>
  <si>
    <t>https://tvprogram.nu/blogg/casinoreklamer-da-och-nu-en-resa-genom-tidens-spel</t>
  </si>
  <si>
    <t xml:space="preserve">casinoreklam nu och då </t>
  </si>
  <si>
    <t>bergetsro.se</t>
  </si>
  <si>
    <t>https://eventeffect.se/att-flytta-foretaget-till-stockholm-en-guide-till-en-smidig-omstart/</t>
  </si>
  <si>
    <t>https://www.bergetsro.se/</t>
  </si>
  <si>
    <t>Mäklare i Stockholm</t>
  </si>
  <si>
    <t>https://passioneffect.se/konsten-att-anti-stada-sa-slipper-du-det-alla-hatar/</t>
  </si>
  <si>
    <t>https://passioneffect.se/smutsiga-kontor-okar-stressen-dags-att-stada-upp-i-stockholm/</t>
  </si>
  <si>
    <t>https://www.saleseffect.se/stadning-mjukvarusystem-och-mat-salj-mer-med-dolda-knep/</t>
  </si>
  <si>
    <t>catering i Stockholm</t>
  </si>
  <si>
    <t>https://www.executiveeffect.se/poker-schack-och-datorspel-var-gar-gransen-for-sport/</t>
  </si>
  <si>
    <t>https://www.spelapoker.se/casino-online/</t>
  </si>
  <si>
    <t>casino online</t>
  </si>
  <si>
    <t>bus4you.se</t>
  </si>
  <si>
    <t>https://eventeffect.se/ar-sverige-bast-i-varlden-pa-buss/</t>
  </si>
  <si>
    <t>Buss mellan Göteborg och Oslo</t>
  </si>
  <si>
    <t>https://www.saleseffect.se/wp-admin/post.php?post=20962&amp;action=edit</t>
  </si>
  <si>
    <t>Investeringsalternativ</t>
  </si>
  <si>
    <t>https://www.dagensinfrastruktur.se/2025/02/28/blir-det-verkligen-bra-nar-olika-aktorer-ska-bygga-vara-stader/</t>
  </si>
  <si>
    <t>https://dagenstv.com/artikel/da-sands-skidskytte-vm-2025-favoriterna-att-halla-koll-pa</t>
  </si>
  <si>
    <t>odds (partial)</t>
  </si>
  <si>
    <t>https://www.vk.se/2025-02-13/vanligaste-tandproblemen-da-ska-du-soka-akut-tandvard-35cc2</t>
  </si>
  <si>
    <t>tandea.se/tandvard/akut-tandvard-stockholm/</t>
  </si>
  <si>
    <t>https://www.folkbladet.nu/2025-02-28/sa-sakerstalls-valmaendet-for-travhastar-genom-hastutrustning-c2987</t>
  </si>
  <si>
    <t>Hästutrustning</t>
  </si>
  <si>
    <t>https://www.lokaltidningen.nu/2025-02-28/travets-historia-sa-har-hastutrustning-forandrats-genom-tiderna-7eae2</t>
  </si>
  <si>
    <t>https://www.lanskulturen.se/iptv-smarters</t>
  </si>
  <si>
    <t>https://www.easyfilm.dk/se-film-pa-en-moderne-made</t>
  </si>
  <si>
    <t>ip-tv</t>
  </si>
  <si>
    <t>https://pedrovazpaulo.com/trading-willpower-decision-fatigue/</t>
  </si>
  <si>
    <t>https://pedrovazpaulo.com/investing-in-relationships-what-business-leaders-can-learn-from-professional-matchmaking/</t>
  </si>
  <si>
    <t>https://www.thecanary.co/discovery/lifestyle/2025/02/28/the-environmental-cost-of-fast-fashion-a-call-for-conscious-consumerism/</t>
  </si>
  <si>
    <t>https://growthscribe.com/how-to-make-the-most-of-your-wellness-tech-practical-tips-for-your-daily-routine/</t>
  </si>
  <si>
    <t>https://hudsonweekly.com/ai-personal-assistants-changing-our-daily-lives/</t>
  </si>
  <si>
    <t>https://allwomenstalk.com/cozy-home-textiles-transformation/</t>
  </si>
  <si>
    <t>https://pedrovazpaulo.com/sustainability-practices/</t>
  </si>
  <si>
    <t>https://www.klamm.de/news/fruehlingsmode-2025-die-neuesten-trends-52N1884e.html</t>
  </si>
  <si>
    <t>https://www.filippa-k.com/de/de/damen/bekleidung/hemden</t>
  </si>
  <si>
    <t>Damenhemden</t>
  </si>
  <si>
    <t>https://tvohjelmat.com/tulevat-tapahtumat-moottoriurheilun-ystaville/</t>
  </si>
  <si>
    <t>https://pt-media.org/2025/02/27/auton-ostamisen-ja-myymisen-edut-autokaupassa/</t>
  </si>
  <si>
    <t>https://www.radionordkapp.no/nyheter/29378/turistnaeringen-i-nordkapp-og-behovet-for-okonomisk-stabilitet/</t>
  </si>
  <si>
    <t>https://pt-media.org/2025/02/24/pienten-yritysten-haasteet-ja-tyokalut-talouden-turvaamiseksi/</t>
  </si>
  <si>
    <t>https://tvohjelmat.com/suurten-tv-urheilutuotantojen-korkeat-yleiskustannukset/</t>
  </si>
  <si>
    <t>https://pt-media.org/2025/03/01/miten-ihonhoitotrendit-ovat-muuttuneet-viime-vuosina/</t>
  </si>
  <si>
    <t>https://luurituki.fi/sosiaalisen-median-trendit-miten-ne-vaikuttavat-meihin/</t>
  </si>
  <si>
    <t>https://pedrovazpaulo.com/the-hidden-cost-of-data-breaches/</t>
  </si>
  <si>
    <t>https://passioneffect.se/otur-i-karlek-och-tur-i-spel-kan-det-verkligen-stamma/</t>
  </si>
  <si>
    <t>Brand exakt</t>
  </si>
  <si>
    <t>https://www.sportochfritidsnyheter.se/20250228/4180/snus-arbetskultur-en-inblick-i-svenska-stader</t>
  </si>
  <si>
    <t>billigt snus</t>
  </si>
  <si>
    <t>https://www.sportochfritidsnyheter.se/20250228/4178/bitcoin-rusar-och-bostadsmarknaden-dippar-hanger-det-ihop</t>
  </si>
  <si>
    <t>köp och sälj Bitcoin och 160 andra kryptovalutor</t>
  </si>
  <si>
    <t>https://www.saleseffect.se/bankernas-hemliga-listor/</t>
  </si>
  <si>
    <t>https://xn--belnafastighet-nib.se/</t>
  </si>
  <si>
    <t>Belåna fastighet</t>
  </si>
  <si>
    <t>https://eventeffect.se/ingen-mer-idetorka-9-kreativa-presenter-du-aldrig-fatt-eller-gett/</t>
  </si>
  <si>
    <t>https://www.svd.se/a/g63OmB/annorlunda-kansla-att-flyga</t>
  </si>
  <si>
    <t>Flyga i vindtunnel</t>
  </si>
  <si>
    <t>https://www.executiveeffect.se/historiska-rekordvinster-i-europa-fran-lotterier-till-onlinecasinon/</t>
  </si>
  <si>
    <t>logga in direkt med Bankid</t>
  </si>
  <si>
    <t>https://influencereffect.se/twitch-och-influencers-under-press-svt-granskning-tvingar-streamers-att-byta-spelreklam/</t>
  </si>
  <si>
    <t>Hajper.com ett stort utbud av casinospel, livecasino och betting</t>
  </si>
  <si>
    <t>https://eventeffect.se/dags-att-uppgradera-kontoret-det-har-ska-du-tanka-pa/</t>
  </si>
  <si>
    <t>pålitlig låsjour</t>
  </si>
  <si>
    <t>https://passioneffect.se/nar-vattnet-rinner-over-ledarskap-i-praktiska-krissituationer/</t>
  </si>
  <si>
    <t>https://www.saleseffect.se/problem-som-du-latt-kan-losa-sjalv-i-hemmet/</t>
  </si>
  <si>
    <t>vanliga vvs problem</t>
  </si>
  <si>
    <t>https://www.cafe.se/partner/tva-annalkande-masterskap-for-alla-som-alskar-vintersport/</t>
  </si>
  <si>
    <t>https://luxuryinteriors.org/the-growing-trend-of-luxury-minimalism-and-how-you-can-bring-it-to-your-home/</t>
  </si>
  <si>
    <t>custom rugs</t>
  </si>
  <si>
    <t>https://pushyourdesign.com/find-your-style-minimalist-and-maximalist-design-and-the-nuances-in-between/</t>
  </si>
  <si>
    <t>https://nordicknots.com/us</t>
  </si>
  <si>
    <t>https://myinteriorpalace.com/feng-shui-fundamentals-for-your-home-what-it-is-and-how-you-do-it/</t>
  </si>
  <si>
    <t>Area rugs</t>
  </si>
  <si>
    <t>https://xn--lnen-qoa.nu/rantelaget-och-vagen-fran-lan-till-inkasso-och-ett-samhalle-i-skuld/</t>
  </si>
  <si>
    <t>coface.se/inkasso</t>
  </si>
  <si>
    <t>Tandea Haninge</t>
  </si>
  <si>
    <t>https://www.nykommun.se/kommun/haninge/</t>
  </si>
  <si>
    <t>https://www.tandea.se/kliniker/haninge/</t>
  </si>
  <si>
    <t>Tandläkare i haninge (Insert)</t>
  </si>
  <si>
    <t>https://ng.se/artiklar/kan-du-leva-pa-att-skriva-sanningens-siffror</t>
  </si>
  <si>
    <t>ekstromgaray.se/</t>
  </si>
  <si>
    <t>https://www.totallystockholm.se/stockholms-hr-teknik-under-lupp-framtidens-lonesystem-ai/</t>
  </si>
  <si>
    <t>Ekonomisystem</t>
  </si>
  <si>
    <t>https://ng.se/artiklar/att-landa-i-en-storvinst-eufori-eller-forvirring</t>
  </si>
  <si>
    <t>odds partial</t>
  </si>
  <si>
    <t>https://valkomnahem.se/sa-snusar-du-med-stil/</t>
  </si>
  <si>
    <t>https://banklanet.se/hur-kan-foretag-tjana-pengar-pa-att-lana-ut-pengar/</t>
  </si>
  <si>
    <t>samla lån och krediter</t>
  </si>
  <si>
    <t>https://www.laneblocket.se/behover-du-lana-pengar-har-ar-en-checklista/</t>
  </si>
  <si>
    <t>https://www.zmarta.se/lana-pengar</t>
  </si>
  <si>
    <t>tips för att samla lån</t>
  </si>
  <si>
    <t>https://www.nykommun.se/2024/09/09/basta-ekonomi-appar-for-att-halla-koll-pa-din-budget-i-host/</t>
  </si>
  <si>
    <t>jämför lån och räntor hos Zmarta (Insert)</t>
  </si>
  <si>
    <t>https://www.totallystockholm.se/strukturera-organisera-ditt-arbete-dina-personliga-papper/</t>
  </si>
  <si>
    <t>https://www.totallystockholm.se/medarbetare-ska-inte-behova-stada-toaletter-panta/</t>
  </si>
  <si>
    <t>vardagsfrid.se/stadning/kontorsstadning</t>
  </si>
  <si>
    <t>https://www.nykommun.se/2025/03/05/det-har-med-kommunmark-hur-fungerar-det/</t>
  </si>
  <si>
    <t>Dryft.se</t>
  </si>
  <si>
    <t>https://www.idrottsplats.se/a/de-100-basta-fotbollsspelarna-genom-tiderna</t>
  </si>
  <si>
    <t>https://finest.se/varfor-du-bor-valja-ett-svenskt-natcasino/</t>
  </si>
  <si>
    <t>spela på ett svenskt casino</t>
  </si>
  <si>
    <t>https://www.lottoguiden.se/</t>
  </si>
  <si>
    <t>inom onlinecasino</t>
  </si>
  <si>
    <t>https://shellkonto.nu/iptv-framtidens-tv-tittande-eller-bara-ett-digitalt-sidospar</t>
  </si>
  <si>
    <t>https://www.sarasotamagazine.com/advantagepoint/2025/03/beyond-the-bottle-unexpected-ways-to-use-sriracha-in-your-sarasota-kitchen</t>
  </si>
  <si>
    <t>https://www.partilletidning.se/native/7-anledningar-att-bo-i-partille-eller-en-guide-for-dig-som-ar-nyinflyttad.91a1b547-ff4b-4aa5-bd5e-29771328b531</t>
  </si>
  <si>
    <t>https://beautyagenten.se/forsta-perioral-dermatit-symptom-orsaker-och-effektiva-behandlingar-for-en-vackrare-hy/</t>
  </si>
  <si>
    <t>https://byggavilla.se/fordelarna-med-ftx-ventilation-vid-nybyggnationer/</t>
  </si>
  <si>
    <t>https://skaparum.se/forsakringar-for-solcellsanlaggningar-inom-byggbranschen/</t>
  </si>
  <si>
    <t>https://direktbygg.se/forsakringar-for-solcellsanlaggningar-vid-byggnation-av-hallbara-hem/</t>
  </si>
  <si>
    <t>https://farkamraten.se/sa-har-valjer-du-ratt-bilvardsprodukter-for-din-bil/</t>
  </si>
  <si>
    <t>https://herrprylar.se/sa-hittar-du-de-basta-bilvardsprodukter-for-man/</t>
  </si>
  <si>
    <t>https://industrilinjen.se/sa-har-skickar-du-in-ditt-manus-for-att-fa-en-bok-utgiven-inom-affarsvarlden/</t>
  </si>
  <si>
    <t>https://finansassistans.se/sa-valjer-du-ratt-kapitalforvaltning-for-att-maximera-din-avkastning/</t>
  </si>
  <si>
    <t>https://investeringer.se/skraddarsydda-investeringstjanster-for-maximal-avkastning-och-trygghet/</t>
  </si>
  <si>
    <t>https://fritidsfinans.se/optimera-din-kapitalforvaltning-for-hogre-avkastning/</t>
  </si>
  <si>
    <t>https://smartareekonomi.se/investera-langsiktigt-for-hog-avkastning-och-trygghet/</t>
  </si>
  <si>
    <t>https://skaparum.se/sa-har-varderar-du-din-bostad-infor-forsaljning-i-trosa/</t>
  </si>
  <si>
    <t>https://byggavilla.se/sa-valjer-du-ratt-fastighetsmaklare-for-ditt-bygge-i-trosa/</t>
  </si>
  <si>
    <t>https://alltombarnfamiljen.se/kvalitetsprodukter-for-hundar-som-hela-familjen-kan-njuta-av/</t>
  </si>
  <si>
    <t>https://bolagsekonomen.se/effektiv-lonehantering-med-ett-molnbaserat-lonesystem-for-ditt-foretag/</t>
  </si>
  <si>
    <t>https://www.kleer.se/lonesystem/</t>
  </si>
  <si>
    <t>lönesystem</t>
  </si>
  <si>
    <t>https://ladycare.se/skalfasader-och-estetisk-tandvard-for-kvinnor-forbattra-ditt-leende/</t>
  </si>
  <si>
    <t>https://retrohus.se/sa-valjer-du-ratt-matta-for-ditt-hem-tips-och-ideer/</t>
  </si>
  <si>
    <t>https://nutidshuset.se/hundfoder-och-tillbehor-som-gor-ditt-hem-mer-trivseligt-for-din-fyrbenta-van/</t>
  </si>
  <si>
    <t>https://nybyggdahus.se/sa-valjer-du-ratt-belysning-for-ditt-hem/</t>
  </si>
  <si>
    <t>https://manligmagi.se/hur-man-kan-bli-battre-pa-att-kommunicera-pa-svenska/</t>
  </si>
  <si>
    <t>https://www.startmotor.se/kategori/b%C3%A5tbatteri</t>
  </si>
  <si>
    <t>https://herrprylar.se/sa-valjer-du-ratt-reservdelar-till-din-volvo-penta-batmotor/</t>
  </si>
  <si>
    <t>https://www.startmotor.se/fordon/reservdelar-bat/volvo-penta</t>
  </si>
  <si>
    <t>volvo penta reservdelar</t>
  </si>
  <si>
    <t>https://beautymama.se/sa-kan-en-halsosam-livsstil-forbattra-din-skonhet/</t>
  </si>
  <si>
    <t>https://bolagsekonomen.se/effektiva-bostadslosningar-for-foretagets-anstallda/</t>
  </si>
  <si>
    <t>Företagsbostäder</t>
  </si>
  <si>
    <t>https://fritidsaktivitet.se/att-valja-ratt-kopieringspapper-for-dina-hobbyprojekt/</t>
  </si>
  <si>
    <t>https://swedenlongstay.se/sv/foretagsbostader/stockholm/</t>
  </si>
  <si>
    <t>Företagsbostäder stockholm</t>
  </si>
  <si>
    <t>https://hobbybyggare.se/kreativa-hobbys-sa-kan-kontorsmaterial-forbattra-ditt-projekt/</t>
  </si>
  <si>
    <t>https://hemforalla.se/viktigheten-av-professionella-vvs-tjanster-for-ditt-hem-i-taby/</t>
  </si>
  <si>
    <t>VVS Täby</t>
  </si>
  <si>
    <t>https://miljonhuset.se/professionella-taklaggningstjanster-for-ditt-hem-i-sodra-sverige/</t>
  </si>
  <si>
    <t>https://villaprojekt.se/vikten-av-takbyte-pa-maskinhallar-for-battre-skydd-och-funktionalitet/</t>
  </si>
  <si>
    <t>https://byggavilla.se/sa-forbattrar-akustiska-produkter-byggkvaliteten-i-stockholm/</t>
  </si>
  <si>
    <t>undertak</t>
  </si>
  <si>
    <t>https://direktbygg.se/forbattra-akustiken-i-byggnader-med-ratt-akustikprodukter/</t>
  </si>
  <si>
    <t>https://skaparum.se/professionell-bilservice-och-reparation-for-volkswagen-i-tyreso/</t>
  </si>
  <si>
    <t>https://adventuregurun.se/upplev-skidsasongen-med-ratt-skidvalla-och-utrustning/</t>
  </si>
  <si>
    <t>https://beautymama.se/forbattra-ditt-leende-sa-hittar-du-ratt-tandlakare-i-stockholm/</t>
  </si>
  <si>
    <t>https://vackerhud.se/sa-hittar-du-ratt-tandlakare-for-ett-vackert-leende-i-goteborg/</t>
  </si>
  <si>
    <t>https://industrilinjen.se/sakerhetslosningar-for-foretag-hur-du-skapar-en-tryggare-arbetsmiljo/</t>
  </si>
  <si>
    <t>https://veganbeauty.se/frisyrtrender-for-varje-tillfalle-hos-din-frisorsalong-i-stockholm/</t>
  </si>
  <si>
    <t>rbentreprenad.se</t>
  </si>
  <si>
    <t>https://bolagshistorik.se/effektiva-markarbeten-for-entreprenorer-i-stockholm/</t>
  </si>
  <si>
    <t>markarbete stockholm</t>
  </si>
  <si>
    <t>swefleet.se</t>
  </si>
  <si>
    <t>https://villaprojekt.se/trygga-och-palitliga-flyttlosningar-for-ditt-nasta-bostadsbyte-i-vastsverige/</t>
  </si>
  <si>
    <t>www.swefleet.se/</t>
  </si>
  <si>
    <t>Swefleet flyttfirma</t>
  </si>
  <si>
    <t>lilla-varlden.se</t>
  </si>
  <si>
    <t>https://minakids.se/sakra-och-prisvarda-barnprodukter-for-en-trygg-start-i-livet/</t>
  </si>
  <si>
    <t>https://www.lilla-varlden.se/</t>
  </si>
  <si>
    <t>barnbutik</t>
  </si>
  <si>
    <t>https://beautymama.se/akut-tandvard-i-stockholm-sa-far-du-ett-vackert-leende-snabbt/</t>
  </si>
  <si>
    <t>Akut tandvård i Stockholm</t>
  </si>
  <si>
    <t>https://www.sarasotamagazine.com/advantagepoint/2025/03/how-ai-is-reshaping-online-gaming-smarter-play-safer-spaces</t>
  </si>
  <si>
    <t>https://www.hallandsposten.se/native/vad-kan-man-gora-i-sommarstaden-halmstad-nar-det-inte-ar-sommar.c598fc66-c2b8-4ee6-9f2f-bde69c366b4c</t>
  </si>
  <si>
    <t>Hajper tripplar första insättningen upp till 1500 kr för nya casino kunder</t>
  </si>
  <si>
    <t>https://hedgehog.se/iptv-teknisk-frihet-eller-ett-nytt-digitalt-beroende</t>
  </si>
  <si>
    <t>https://cityprivathospital.dk/hold-humoret-hojt-med-underholdning-nar-du-restituerer</t>
  </si>
  <si>
    <t>Leaptodigital</t>
  </si>
  <si>
    <t>https://www.sarasotamagazine.com/advantagepoint/2025/03/coastal-chic-roofing-top-trends-for-sarasota-homes</t>
  </si>
  <si>
    <t>https://leaptodigital.com/</t>
  </si>
  <si>
    <t>Leaptodigital.com</t>
  </si>
  <si>
    <t>https://www.sarasotamagazine.com/advantagepoint/2025/03/wave-goodbye-to-pain-how-shock-wave-therapy-can-transform-your-life</t>
  </si>
  <si>
    <t>https://www.artefacta.fi/historian-havinaa-eri-medialahteista</t>
  </si>
  <si>
    <t>https://iptv-suomi.com/</t>
  </si>
  <si>
    <t>axofinans.se</t>
  </si>
  <si>
    <t>https://eventeffect.se/losningen-fran-axo-finans-jamfor-lan-fran-flera-banker-med-en-enda-ansokan/</t>
  </si>
  <si>
    <t>https://www.axofinans.se/</t>
  </si>
  <si>
    <t>https://www.memoryhou.se/iptv-ar-det-framtidens-tv-eller-bara-annu-ett-teknikkrangel</t>
  </si>
  <si>
    <t>https://svenskiptv.com/smart-tv-instruktioner/</t>
  </si>
  <si>
    <t>smart iptv</t>
  </si>
  <si>
    <t>willabgarden.de</t>
  </si>
  <si>
    <t>https://www.klamm.de/news/so-gelingt-der-perfekte-start-ins-gartenjahr-52N39033.html</t>
  </si>
  <si>
    <t>https://willabgarden.de/</t>
  </si>
  <si>
    <t>Willabgarden</t>
  </si>
  <si>
    <t>https://www.mueritzportal.de/news/gewaechshaus-tipps-zum-saisonstart.html</t>
  </si>
  <si>
    <t>https://www.willabgarden.de/gewachshauser/</t>
  </si>
  <si>
    <t>gewächshaus</t>
  </si>
  <si>
    <t>https://bulletin.nu/vi-ar-inte-alla-lika-i-bankens-ogon</t>
  </si>
  <si>
    <t>https://www.axofinans.se/privatlan/billiga-lan</t>
  </si>
  <si>
    <t>Hitta billiga lån</t>
  </si>
  <si>
    <t>https://www.sarasotamagazine.com/advantagepoint/2025/03/coastal-chic-rugs-and-curtains-to-elevate-your-sarasota-home</t>
  </si>
  <si>
    <t>https://www.wergeland2008.no/litteratur-gjennom-nye-medier</t>
  </si>
  <si>
    <t>https://iptvnorge.is/</t>
  </si>
  <si>
    <t>https://www.metsomedia.fi/palveluiden-vertailu-verkossa-yha-helpompaa</t>
  </si>
  <si>
    <t>https://www.tv4.se/artikel/3mOXyfBg5B7VZ31WoAb2Zb/fotbollssaesongen-2025-oeverraskar-positivt</t>
  </si>
  <si>
    <t>https://www.allaannonser.se/samarb-vanligapresenter.html</t>
  </si>
  <si>
    <t>tandläkare stockholm</t>
  </si>
  <si>
    <t>https://www.poikola.fi/koripallon-suosio-nousussa</t>
  </si>
  <si>
    <t>https://moveitmama.se/nar-tvn-hittar-sin-plats-i-vardagskaoset</t>
  </si>
  <si>
    <t>https://www.fri-kopenskap.se/lb-article/181362/branscher-vi-raknade-bort-men-som-gar-som-taget</t>
  </si>
  <si>
    <t>https://www.lifesciencesweden.se/lb-article/181363/vetenskapens-underverk-fran-partikelacceleratorer-till-rymdteleskop</t>
  </si>
  <si>
    <t>lampor</t>
  </si>
  <si>
    <t>https://www.medtechmagazine.se/lb-article/181364/framtidens-halsoinnovationer-ny-teknik-med-fokus-pa-patienten</t>
  </si>
  <si>
    <t>tandläkare stockholm (partisk)</t>
  </si>
  <si>
    <t>https://www.transportnet.se/lb-article/181365/regelverket-kring-kor-och-vilotider-pa-svenska-vagar</t>
  </si>
  <si>
    <t>göteborg till oslo</t>
  </si>
  <si>
    <t>https://www.kingmagazine.se/partner/10-vagar-till-lan/</t>
  </si>
  <si>
    <t>https://www.axofinans.se/lana-pengar/jamfor-lan</t>
  </si>
  <si>
    <t>Jämföra lån</t>
  </si>
  <si>
    <t>https://www.etrender.se/fyra-hr-trender-som-maxar-effektiviteten-pa-framgangsrika-foretag/</t>
  </si>
  <si>
    <t>kleer.se/</t>
  </si>
  <si>
    <t>https://www.yohan.no/norsk-film-pa-dine-premisser</t>
  </si>
  <si>
    <t>https://www.halifax.nu/en-ip-tv-dinner-med-takeaway-burger</t>
  </si>
  <si>
    <t>https://rabattkodsidor.se/2025/03/26/prisvariationer-pa-en-vardagsvana-hur-man-tanker-till-kring-snus/</t>
  </si>
  <si>
    <t>https://bankir.se/fordelarna-med-att-samla-lan-pa-ett-stalle/</t>
  </si>
  <si>
    <t>samla lån med Zmarta</t>
  </si>
  <si>
    <t>https://www.laneservice.se/hur-mycket-lanar-svenskar-jamfort-med-andra-lander/</t>
  </si>
  <si>
    <t>https://xn--bstafrskringen-5hbg71a.nu/forsakringar-kan-vara-svart-har-gor-vi-det-enkelt/</t>
  </si>
  <si>
    <t>https://www.zmarta.se/forsakring</t>
  </si>
  <si>
    <t>hitta billigaste försäkringarna</t>
  </si>
  <si>
    <t>https://lanapengarnu.se/sa-mycket-skiljer-det-sig-pa-lan-och-lan/</t>
  </si>
  <si>
    <t>Privatlån (partial)</t>
  </si>
  <si>
    <t>https://xn--24ln-soa.se/samtidens-skuldlandskap-nar-flera-smakrediter-blir-en-bromskloss/</t>
  </si>
  <si>
    <t>klokt att samla lånen</t>
  </si>
  <si>
    <t>https://spaweekendhotell.se/blogg/sa-har-ser-det-perfekta-spat-ut/</t>
  </si>
  <si>
    <t>upplevelse.com/presentkort</t>
  </si>
  <si>
    <t>https://finest.se/sahar-spelar-du-live-blackjack-online/</t>
  </si>
  <si>
    <t xml:space="preserve">Blackjack på Hajpers livecasino </t>
  </si>
  <si>
    <t>https://www.sttidningen.se/native/lagar-skola-casino-och-trygghet-vad-gor-egentligen-kommuner.06104b6a-8cc8-49ee-b245-9ae635fceb4f</t>
  </si>
  <si>
    <t>onlinecasinot Hajper.com</t>
  </si>
  <si>
    <t>https://hemsidor24.se/artiklar/trygghet-pa-alla-fronter-skydd-pa-natet-och-i-hemmet/</t>
  </si>
  <si>
    <t>svenskalasjouren.se/</t>
  </si>
  <si>
    <t>https://ecommunity.se/boendesakerhet-och-ovantade-lasproblem-en-guide-for-lokalsamhallet/#google_vignette</t>
  </si>
  <si>
    <t>https://casinoexpo.se/casino/spelklubben/</t>
  </si>
  <si>
    <t>https://ecommunity.se/vikten-av-att-vaxa-pa-natet/</t>
  </si>
  <si>
    <t>https://ecommunity.se/sa-mycket-kostar-en-hund-genom-livet/</t>
  </si>
  <si>
    <t>hund.se/</t>
  </si>
  <si>
    <t>https://www.etrender.se/navigera-ratt-i-foretags-tjansteutbudet-online-som-investerare/</t>
  </si>
  <si>
    <t>executiveeffect.se/vad-ar-fair-investments/</t>
  </si>
  <si>
    <t>https://allapengar.se/darfor-ska-du-alltid-ha-ett-investeringskapital-redo/</t>
  </si>
  <si>
    <t>di.se/brandstudio/fair-investments/fair-investments-vi-tar-bara-betalt-for-verkliga-resultat-det-tjanar-alla-pa/</t>
  </si>
  <si>
    <t>https://baileylineroad.com/7-steps-to-choose-the-right-roofing-contractor/</t>
  </si>
  <si>
    <t>https://leaptodigital.com/roofing-crm</t>
  </si>
  <si>
    <t>roofing crm</t>
  </si>
  <si>
    <t>https://pezcyclingnews.com/newswire/non-invasive-therapies-to-treat-chronic-pain-from-cycling-injuries/</t>
  </si>
  <si>
    <t>https://www.vanl.fi/virtaa-ja-vinkkeja-maailmantahdilta</t>
  </si>
  <si>
    <t>https://www.gearfuse.com/innovative-technologies-that-can-help-roofers-succeed/</t>
  </si>
  <si>
    <t>https://www.transportochlogistik.se/20250327/20950/varldens-viktigaste-handelsleder-och-vad-som-hander-om-de-blockeras</t>
  </si>
  <si>
    <t>startmotor.se/kategori/startmotorer</t>
  </si>
  <si>
    <t>https://www.stockholmsbyggnyheter.se/20250327/6433/9-lyxiga-detaljer-att-spana-efter-nar-du-ska-kopa-bostad</t>
  </si>
  <si>
    <t>svenskafonster.se/</t>
  </si>
  <si>
    <t>Svenska fönster</t>
  </si>
  <si>
    <t>https://www.dagensfastigheter.se/20250327/12752/5-inredningsstilar-vi-alltid-alskat-utan-att-veta-vad-de-heter</t>
  </si>
  <si>
    <t>https://www.sportochfritidsnyheter.se/20250327/4212/5-vaxande-idrotter-i-sverige-som-annu-inte-natt-de-stora-rubrikerna</t>
  </si>
  <si>
    <t>https://www.petster.se/hast/hasttacken/</t>
  </si>
  <si>
    <t>hästtäcke</t>
  </si>
  <si>
    <t>https://www.infrastrukturnyheter.se/20250327/31412/renoveringsvagen-som-hojer-fastighetsvardena-efter-rantesankningen</t>
  </si>
  <si>
    <t>https://dryft.se/badrum-stockholm/</t>
  </si>
  <si>
    <t>Badrumsrenovering i Stockholm</t>
  </si>
  <si>
    <t>https://www.industrinyheter.se/20250327/43650/nar-digitala-visioner-och-svensk-industrikultur-smalter-samman</t>
  </si>
  <si>
    <t>https://www.sportochfritidsnyheter.se/20250327/4213/guiden-till-det-ultimata-hemmagymmet</t>
  </si>
  <si>
    <t>https://www.sportochfritidsnyheter.se/20250327/4214/flytta-till-sundbyberg-och-ta-del-av-nojes-friluftslivet-anlita-en-maklare-som-ser</t>
  </si>
  <si>
    <t>https://www.bergetsro.se/salja/maklare-sundbyberg/</t>
  </si>
  <si>
    <t>Mäklare i sundbyberg</t>
  </si>
  <si>
    <t>https://vitamagazine.com/2025/03/21/how-technology-is-helping-us-better-understand-dogs/</t>
  </si>
  <si>
    <t>gps dog collar</t>
  </si>
  <si>
    <t>https://www.cgmagonline.com/articles/smart-pet-tech-automated-litter-boxes/</t>
  </si>
  <si>
    <t>self cleaning cat litter box</t>
  </si>
  <si>
    <t>https://trendlandmagazine.com/affordable-lifestyle-tips-for-pensioners-to-enjoy-a-fulfilling-life/</t>
  </si>
  <si>
    <t>https://www.cyberteddy-online.com/iptv-framtidens-tv-eller-bara-annu-ett-buzzword</t>
  </si>
  <si>
    <t>https://www.damfotboll.com/nyheter/damallsvenskan/en-sportexpose-for-betting-och-fotbollsfantasten-damlandslaget-basta-och-samsta-stunder</t>
  </si>
  <si>
    <t>liveodds på fotboll</t>
  </si>
  <si>
    <t>https://www.executiveeffect.se/foretagsledare-maste-tanka-som-psykologer-nar-de-inreder-och-renoverar-kontoret/</t>
  </si>
  <si>
    <t>Köksrenovering i Stockholm</t>
  </si>
  <si>
    <t>wellio.se</t>
  </si>
  <si>
    <t>https://passioneffect.se/behover-vi-kosttillskott-eller-tror-vi-bara-det/</t>
  </si>
  <si>
    <t>https://wellio.se/produktkategori/vassleprotein/</t>
  </si>
  <si>
    <t>Vassleprotein</t>
  </si>
  <si>
    <t>https://husera.nu/spara-med-smart-belysning-hemma/</t>
  </si>
  <si>
    <t>https://hustillsalu.se/manipulera-solen-och-fa-en-langre-sommar/</t>
  </si>
  <si>
    <t>https://tv-tabla.nu/blogg/ekonomiprogram-som-underhallning-nar-tv-tittare-vill-ha-insyn-i-finansvarlden</t>
  </si>
  <si>
    <t>Fair investments beskriver en strategi där rådgivaren främst tjänar pengar när kundens investering faktiskt ökar i värde.</t>
  </si>
  <si>
    <t>https://tvprogram.nu/blogg/8-basta-programmen-for-dig-som-alskar-design</t>
  </si>
  <si>
    <t>matta</t>
  </si>
  <si>
    <t>https://filmeye.se/hur-mjuka-textilier-lyfter-filmupplevelsen-i-hemmet/</t>
  </si>
  <si>
    <t>https://filmeye.se/att-njuta-av-filmkvallar-utan-att-fastna-i-stillasittande/</t>
  </si>
  <si>
    <t>supernormal.health/pages/medicinsk-viktnedgang</t>
  </si>
  <si>
    <t>https://www.reseledaren.nu/femstjarnigt-hotell-en-varld-av-lyx-och-precision/</t>
  </si>
  <si>
    <t>sakraror.se/</t>
  </si>
  <si>
    <t>Rörmokare i stockholm</t>
  </si>
  <si>
    <t>https://www.executiveeffect.se/kontorsverktyg-for-ordning-och-reda/</t>
  </si>
  <si>
    <t>https://influencereffect.se/varfor-ar-sa-manga-influencers-i-sa-bra-form/</t>
  </si>
  <si>
    <t>Kosttillskott</t>
  </si>
  <si>
    <t>https://www.djungeltrumman.se/nojesliv-i-stockholm-en-balans-mellan-upplevelser-och-kostnader/</t>
  </si>
  <si>
    <t>Catering i stockholm</t>
  </si>
  <si>
    <t>https://www.djungeltrumman.se/varstadningsknep-life-hack-edition/</t>
  </si>
  <si>
    <t>fairinvestments.se/</t>
  </si>
  <si>
    <t>https://www.totallyorebro.se/uncategorized/orebros-kandislista-vad-har-vi-producerat-for-talanger-genom-aren/</t>
  </si>
  <si>
    <t>https://www.klarkclassiccars.se/nar-nagot-skaver-under-huven-vikten-av-en-verkstad-man-kan-lita-pa</t>
  </si>
  <si>
    <t>https://www.vargveumfilm.no/varg-veum-norsk-krim-pa-film</t>
  </si>
  <si>
    <t>https://www.swenico.se/miljontals-amerikanska-grabbar-snusar-svenskt/</t>
  </si>
  <si>
    <t>ZYN</t>
  </si>
  <si>
    <t>https://www.executiveeffect.se/vad-galler-for-giveaways-pa-arbetsplatsen/</t>
  </si>
  <si>
    <t>velo</t>
  </si>
  <si>
    <t>https://quizy.se/quiz-fast-for-smaklokarna/</t>
  </si>
  <si>
    <t>nettotobak.com/zyn/</t>
  </si>
  <si>
    <t>https://resebloggaren.se/sa-reser-du-utan-miljobelastning/</t>
  </si>
  <si>
    <t>https://quizy.se/quiz-gissa-vad-de-flesta-man-valjer/</t>
  </si>
  <si>
    <t>https://hustillsalu.se/innan-kontraktet-8-bra-punkter/</t>
  </si>
  <si>
    <t>Rörmokare direkt och utan väntan</t>
  </si>
  <si>
    <t>https://tvprogram.nu/blogg/kul-katastrofer-i-livesandning</t>
  </si>
  <si>
    <t>rorjour247.se/</t>
  </si>
  <si>
    <t>https://tv-tabla.nu/blogg/vardagsproblem-och-vattenlackor-varfor-en-bra-vvs-kontakt-raddar-kvallen</t>
  </si>
  <si>
    <t>Rörmokare</t>
  </si>
  <si>
    <t>https://www.boxingdaily.com/editorials/boxing-post-training-recovery-guide/</t>
  </si>
  <si>
    <t>https://www.hippson.se/gastrum/storsta-svenska-travvinsterna-genom-tiderna</t>
  </si>
  <si>
    <t>spelklubben.se/sv/live-casino/game-shows</t>
  </si>
  <si>
    <t>casino game shows</t>
  </si>
  <si>
    <t>https://www.nordsverige.se/2025-03-24/rastar-du-hunden-utan-koppel-darfor-bor-du-tanka-om-5daee</t>
  </si>
  <si>
    <t>https://www.nordsverige.se/2025-03-28/viktiga-tecken-pa-att-det-ar-dags-att-byta-fonster-73399</t>
  </si>
  <si>
    <t>https://fintechzoom.com/business/tech/cybersecurity/essential-cybersecurity-measures/</t>
  </si>
  <si>
    <t>https://www.technology.org/2025/03/28/cost-effective-strategies-for-optimizing-server-lifespan/</t>
  </si>
  <si>
    <t>it consultant los angeles</t>
  </si>
  <si>
    <t>https://www.talkandroid.com/503632-building-a-thriving-remote-team-with-the-right-technology-systems/</t>
  </si>
  <si>
    <t>https://www.washingtontimes.com/sponsored/sustainable-roofing-options-eco-friendly-materials-practices-home/</t>
  </si>
  <si>
    <t>Leap are trusted by industry leaders</t>
  </si>
  <si>
    <t>https://www.mueritzportal.de/news/fruehjahrsmode-2025.html</t>
  </si>
  <si>
    <t>https://www.thelondoneconomic.com/lifestyle/fashion/the-growth-of-sustainable-fashion-trends-391048/</t>
  </si>
  <si>
    <t>https://www.sarasotamagazine.com/advantagepoint/2025/03/eco-friendly-hosting-tips-for-your-next-sarasota-get-together</t>
  </si>
  <si>
    <t>https://pezcyclingnews.com/newswire/items-to-pack-for-a-biking-trip/</t>
  </si>
  <si>
    <t>https://www.sarasotamagazine.com/advantagepoint/2025/03/essentials-for-your-sarasota-beach-trip</t>
  </si>
  <si>
    <t>https://vitamagazine.com/?p=78702&amp;preview=1&amp;_ppp=1ff686e088</t>
  </si>
  <si>
    <t>https://www.sarasotamagazine.com/advantagepoint/2025/03/how-to-keep-sarasota-beaches-clean-this-upcoming-summer</t>
  </si>
  <si>
    <t>https://hudsonweekly.com/nicotine-pouches-a-guide-to-choosing-your-first-pouch/</t>
  </si>
  <si>
    <t>https://mynicco.com/product-category/zyn/</t>
  </si>
  <si>
    <t>Zyn flavors</t>
  </si>
  <si>
    <t>https://www.sarasotamagazine.com/advantagepoint/2025/03/ideas-for-a-romantic-getaway-with-your-partner-in-sarasota</t>
  </si>
  <si>
    <t>https://www.topcup-east.dk/slap-af-med-tv-efter-en-lang-dag-med-hestene</t>
  </si>
  <si>
    <t>https://www.sekventiellt.se/fran-rut-tv-till-berattande-pa-egna-villkor</t>
  </si>
  <si>
    <t>https://www.hippson.se/gastrum/hur-fungerar-betting-pa-ridsport-en-guide-for-nyborjaren</t>
  </si>
  <si>
    <t>Betta på sport</t>
  </si>
  <si>
    <t>https://barnbidrag.info/vad-ska-barnbidraget-egentligen-ga-till/</t>
  </si>
  <si>
    <t>https://www.lilla-varlden.se/collections/barnvagnar</t>
  </si>
  <si>
    <t>barnvagn</t>
  </si>
  <si>
    <t>kruunukaluste.fi</t>
  </si>
  <si>
    <t>https://outletsuomi.com/puutarhatrendit-sosiaalisessa-mediassa-tana-paivana/</t>
  </si>
  <si>
    <t>https://kruunukaluste.fi/kauppa/puutarhakalusteet-ulkokalusteet-ja-terassikalusteet/</t>
  </si>
  <si>
    <t>puutarhakalusteet</t>
  </si>
  <si>
    <t>https://www.digitaljournal.com/business/understanding-what-ai-agents-mean-for-the-future-of-work/article</t>
  </si>
  <si>
    <t>AI agent</t>
  </si>
  <si>
    <t>https://ekonomikunskap.se/privatekonomi/borde-ekonomistudenter-lasa-mer-hr/</t>
  </si>
  <si>
    <t>https://tvohjelmat.com/elokuvia-joissa-on-upeita-puutarhoja-taydellista-inspiraatiota-kevaaseen/</t>
  </si>
  <si>
    <t>terassikalusteet</t>
  </si>
  <si>
    <t>https://varmlandsbygden.se/partner/upptack-tandvardsvarlden-vilket-tandvardsyrke-passar-dig-bast/</t>
  </si>
  <si>
    <t>http://tandea.se/tandvard/</t>
  </si>
  <si>
    <t>https://varmlandsbygden.se/partner/folk-fortsatter-att-flytta-fran-varmland-det-ar-dags-att-borja-bygga-djarvt/</t>
  </si>
  <si>
    <t>https://www.nyaprojekt.se/2025/03/31/hur-kan-vi-skapa-renare-och-mer-hallbara-stader/</t>
  </si>
  <si>
    <t>aerius.se/ventilation-vasteras/</t>
  </si>
  <si>
    <t>https://www.svenskbyggtidning.se/2025/03/31/vikten-av-ventilationsrengoring-i-den-grona-omstallningen/</t>
  </si>
  <si>
    <t>aerius.se/ventilationsrengoring-vasteras/</t>
  </si>
  <si>
    <t>Ventilationsrengöring västerås</t>
  </si>
  <si>
    <t>https://www.svenskbyggtidning.se/2025/03/31/tank-pa-detta-innan-du-bygger-vid-vatten/</t>
  </si>
  <si>
    <t>båtbatteri även kallat marinbatteri (endast båtbatteri som ankare)</t>
  </si>
  <si>
    <t>https://www.svenskbyggtidning.se/2025/03/31/badrummets-uppgradering-en-spegel-som-kombinerar-form-och-funktion/</t>
  </si>
  <si>
    <t>https://www.dagensinfrastruktur.se/2025/03/31/kreativ-arkitektur-fran-vision-till-verklighet/</t>
  </si>
  <si>
    <t>https://www.dagensinfrastruktur.se/2025/03/31/stockholms-snabbast-vaxande-forort-2050-och-infrastrukturen-bakom/</t>
  </si>
  <si>
    <t>Tandläkare haninge</t>
  </si>
  <si>
    <t>https://alltomnorrtalje.se/bkv-norrtalje-kommer-laget-nagonsin-ta-sig-till-de-hogre-divisionerna/</t>
  </si>
  <si>
    <t>betting på fotboll</t>
  </si>
  <si>
    <t>https://www.djungeltrumman.se/varstadningsknep-life-hack-edition-2/</t>
  </si>
  <si>
    <t>https://www.totallyorebro.se/leva-bo/har-ar-det-dyrast-att-bo-i-orebro/</t>
  </si>
  <si>
    <t>https://eventeffect.se/smart-logistik-for-gaster-hur-en-genomtankt-transfer-kan-lyfta-hela-eventet/</t>
  </si>
  <si>
    <t>transfer arlanda</t>
  </si>
  <si>
    <t>https://www.gigwise.com/sonic-sensory-hacks-how-to-stay-energized-for-festivals-late-night-gigs/</t>
  </si>
  <si>
    <t>https://www.gigwise.com/how-to-build-a-celebrity-worthy-wellness-routine/</t>
  </si>
  <si>
    <t>https://www.gigwise.com/how-to-create-the-perfect-cozy-listening-room/</t>
  </si>
  <si>
    <t>https://livepositively.com/tips-to-choose-the-best-rug-for-your-living-room/</t>
  </si>
  <si>
    <t>area rugs</t>
  </si>
  <si>
    <t>https://www.gigwise.com/music-festivals-should-you-bring-your-pup-to-a-gig/</t>
  </si>
  <si>
    <t>https://outletsuomi.com/yha-useammat-ostavat-ja-myyvat-autoja-verkossa/</t>
  </si>
  <si>
    <t>https://outletsuomi.com/uuden-ihonhoidon-aika-tutustu-naihin-edullisiin-vaihtoehtoihin/</t>
  </si>
  <si>
    <t>https://www.ykkoslohja.fi/miksi-seuraamme-sosiaalisen-median-trendeja/</t>
  </si>
  <si>
    <t>https://whatstrending.com/healthier-alternatives-quick-swaps-for-a-better-lifestyle/</t>
  </si>
  <si>
    <t>nicotine pouches (partial match)</t>
  </si>
  <si>
    <t>https://whatstrending.com/lifestyle-changes-to-help-men-maintain-a-happy-romantic-relationship/</t>
  </si>
  <si>
    <t>https://whatstrending.com/6-tips-to-organize-your-kitchen-cabinets/</t>
  </si>
  <si>
    <t>https://whatstrending.com/how-ai-assistants-are-changing-the-workplace/</t>
  </si>
  <si>
    <t>https://whatstrending.com/trending-interior-design-styles-for-minimalism-lovers/</t>
  </si>
  <si>
    <t>nordicknots.com/us/rugs</t>
  </si>
  <si>
    <t>https://ng.se/artiklar/billiga-investeringar-med-stora-resultat-for-sjalvkanslan</t>
  </si>
  <si>
    <t>https://ng.se/artiklar/varfor-finns-det-inte-en-enda-gatuhund-i-sverige</t>
  </si>
  <si>
    <t>hundmat</t>
  </si>
  <si>
    <t>https://ng.se/artiklar/det-har-med-soderlage</t>
  </si>
  <si>
    <t>https://www.kingsizemag.se/okategoriserat/har-ar-platserna-du-inte-ska-bo-pa-om-du-vill-undvika-kandisar/</t>
  </si>
  <si>
    <t>https://ng.se/artiklar/vad-ar-attraktivitet</t>
  </si>
  <si>
    <t>dbet.com</t>
  </si>
  <si>
    <t>https://ng.se/artiklar/allsvenskan-2025-vi-rankar-matchtrojorna-fran-fulast-till-snyggast</t>
  </si>
  <si>
    <t>https://www.dbet.com/sports/#/overview/</t>
  </si>
  <si>
    <t>betta på vinnaren av Allsvenskan 2025</t>
  </si>
  <si>
    <t>kulturbloggen.com</t>
  </si>
  <si>
    <t>https://www.hippson.se/gastrum/ishockeyspelare-som-ager-topphastar-betta-smart</t>
  </si>
  <si>
    <t>odds på bettingsajten Hajper</t>
  </si>
  <si>
    <t>https://www.nykommun.se/2025/04/15/7-hantverksyrken-med-god-framtidsutsikt-som-inte-kraver-hogskoleutbildning/</t>
  </si>
  <si>
    <t>https://fragbite.se/all/news/57718/strategisk-risktagning--vad-investerare-kan-lara-sig-av-eko-rundor</t>
  </si>
  <si>
    <t>https://fragbite.se/all/news/57719/5-ekonomiska-missar-dar-foretag-kan-lara-sig-av-cs</t>
  </si>
  <si>
    <t>https://veganbeauty.se/perioral-dermatit-och-dess-paverkan-pa-din-skonhet/</t>
  </si>
  <si>
    <t>https://dinbyggnad.se/effektiv-ventilation-med-ftx-system-forbattrar-inomhusklimatet-i-svenska-hem/</t>
  </si>
  <si>
    <t>https://dinbyggnad.se/forsakringar-for-solcellsanlaggningar-en-trygghet-for-byggbranschen/</t>
  </si>
  <si>
    <t>https://mittvitahus.se/trygghetsforsakring-for-solceller-en-viktig-del-av-ditt-boende/</t>
  </si>
  <si>
    <t>https://direktbygg.se/bilvard-som-en-del-av-byggprocessen-for-att-sakerstalla-kvalitet-och-hallbarhet/</t>
  </si>
  <si>
    <t>https://dinbyggnad.se/fokus-pa-bilvard-for-att-forlanga-livslangden-pa-arbetsfordon-i-byggbranschen/</t>
  </si>
  <si>
    <t>https://hobbyshoppen.se/att-fa-sin-bok-utgiven-som-en-del-av-sin-hobby/</t>
  </si>
  <si>
    <t>https://dinfinans.se/maximera-din-avkastning-med-en-langsiktig-investeringsstrategi/</t>
  </si>
  <si>
    <t>https://industrilinjen.se/maximera-avkastningen-med-skraddarsydda-investeringslosningar/</t>
  </si>
  <si>
    <t>https://satsanu.se/skraddarsydda-investeringslosningar-for-maximalt-avkastning/</t>
  </si>
  <si>
    <t>https://finansonline.se/effektiv-kapitalforvaltning-for-langsiktig-avkastning/</t>
  </si>
  <si>
    <t>https://retrohus.se/trygga-bostadsaffarer-i-trosa-och-dess-omgivningar/</t>
  </si>
  <si>
    <t>https://nutidshuset.se/bostadsmarknaden-i-trosa-och-dess-mojligheter/</t>
  </si>
  <si>
    <t>https://gladafamiljer.se/en-hunds-plats-i-familjen-varfor-ratt-val-av-produkter-ar-viktigt/</t>
  </si>
  <si>
    <t>https://industrilinjen.se/effektivisera-foretagets-lonehantering-med-molnbaserade-losningar/</t>
  </si>
  <si>
    <t>https://dambloggen.se/skalfasader-som-ett-estetiskt-val-for-kvinnors-tandvard-i-stockholm/</t>
  </si>
  <si>
    <t>https://miljonhuset.se/mattor-som-forvandlar-ditt-hem-med-stil-och-prisvardhet/</t>
  </si>
  <si>
    <t>https://familjfakta.se/att-valja-ratt-hundfoder-for-din-familjemedlem/</t>
  </si>
  <si>
    <t>https://villahagen.se/belysningens-roll-i-att-forvandla-ditt-hem-till-en-inbjudande-plats/</t>
  </si>
  <si>
    <t>https://byggavilla.se/effektivitet-och-sakerhet-i-byggprocessen/</t>
  </si>
  <si>
    <t>https://dinbyggnad.se/vikten-av-att-valja-ratt-elektriska-komponenter-for-din-volvo-penta-batmotor/</t>
  </si>
  <si>
    <t>https://beautyagenten.se/att-na-din-skonhetsideal-genom-medicinsk-viktnedgang-och-hallbara-halsoval/</t>
  </si>
  <si>
    <t>https://semesterdags.se/foretagsbostader-som-gor-resor-enklare-for-anstallda/</t>
  </si>
  <si>
    <t>https://industrilinjen.se/stockholms-foretagsklimat-och-dess-mojligheter-for-entreprenorer/</t>
  </si>
  <si>
    <t>https://hobbyrummet.se/papper-av-hog-kvalitet-for-kreativa-hobbyer/</t>
  </si>
  <si>
    <t>https://industrimagasinet.se/effektivt-kontorsmaterial-for-att-driva-ditt-foretag-framat/</t>
  </si>
  <si>
    <t>https://direktbygg.se/vvs-tjanster-i-taby-som-forbattrar-ditt-byggprojekt/</t>
  </si>
  <si>
    <t>https://dinbyggnad.se/vikten-av-professionella-rormokartjanster-inom-byggsektorn-i-stockholm/</t>
  </si>
  <si>
    <t>https://husresan.se/professionell-taklaggning-for-bostader-med-fokus-pa-lantbruksbyggnader-och-solenergi/</t>
  </si>
  <si>
    <t>https://hemmaprofilen.se/vikten-av-att-byta-tak-pa-maskinhallar-for-ett-tryggare-boende/</t>
  </si>
  <si>
    <t>https://mittvitahus.se/akustiska-losningar-for-ett-behagligare-boende/</t>
  </si>
  <si>
    <t>https://nybyggdahus.se/forbattra-ljudmiljon-i-ditt-hem-med-akustikprodukter/</t>
  </si>
  <si>
    <t>https://retrohus.se/vikten-av-att-halla-bilen-i-gott-skick-nar-du-ager-ett-hus/</t>
  </si>
  <si>
    <t>https://adventureexperten.se/skridskoaka-med-ratt-skidvalla-for-en-minnesvard-upplevelse/</t>
  </si>
  <si>
    <t>https://veganbeauty.se/finn-bra-tandlakare-i-stockholm-for-en-vacker-leende/</t>
  </si>
  <si>
    <t>https://beautyforyou.se/vikten-av-ett-vackert-leende-och-ratt-tandlakare-i-goteborg/</t>
  </si>
  <si>
    <t>https://industribanken.se/sakerhetslosningar-som-starker-foretagets-trygghet-och-produktivitet/</t>
  </si>
  <si>
    <t>https://alltombeauty.se/personlig-service-och-kvalitet-i-hjartat-av-stockholm/</t>
  </si>
  <si>
    <t>https://byggbalans.se/byggbranschen-och-vikten-av-tydlig-kommunikation-pa-svenska/</t>
  </si>
  <si>
    <t>https://babytalk.se/saker-och-enkel-shopping-for-barnprodukter-online/</t>
  </si>
  <si>
    <t>https://beautytube.se/akut-tandvard-i-stockholm-for-ett-vackert-leende/</t>
  </si>
  <si>
    <t>https://beautymama.se/professionell-hudvard-i-stockholm-behandlingar-som-forandrar-huden/</t>
  </si>
  <si>
    <t>sahlstenskincare.se/</t>
  </si>
  <si>
    <t>Sahlstenskincare</t>
  </si>
  <si>
    <t>https://www.nordsverige.se/2025-04-09/dressyr-och-hoppning-hojdpunkter-och-tavlingar-2025-83403</t>
  </si>
  <si>
    <t>https://www.saleseffect.se/fran-siffra-till-story-sa-saljer-du-med-hjalp-av-sannolikhetslara-och-storytelling/</t>
  </si>
  <si>
    <t>spelbolag erbjuder höga odds</t>
  </si>
  <si>
    <t>https://eventeffect.se/sveriges-storsta-arenor/</t>
  </si>
  <si>
    <t>https://www.dbet.com/</t>
  </si>
  <si>
    <t>D-bet</t>
  </si>
  <si>
    <t>Invozio</t>
  </si>
  <si>
    <t>https://eventeffect.se/trumps-tullpolitik-pressar-sveriges-eventbransch-och-gig-ekonomi/</t>
  </si>
  <si>
    <t>https://invozio.com</t>
  </si>
  <si>
    <t>Fakturering</t>
  </si>
  <si>
    <t>https://www.executiveeffect.se/hur-ar-man-chef-over-frilansare/</t>
  </si>
  <si>
    <t>https://ng.se/artiklar/19-smarta-frilandsideer-for-extra-cash</t>
  </si>
  <si>
    <t>https://www.kingsizemag.se/okategoriserat/nar-blev-konsertbiljetter-till-en-lyxvara/</t>
  </si>
  <si>
    <t>fakturera utan företag</t>
  </si>
  <si>
    <t>https://www.kingmagazine.se/partner/sveriges-sista-kasino-stanger-ner/</t>
  </si>
  <si>
    <t>https://www.dbet.com/casino/</t>
  </si>
  <si>
    <t>spela på casino online</t>
  </si>
  <si>
    <t>https://bovision.se/inspiration/varfoer-behoevs-ens-en-maeklare</t>
  </si>
  <si>
    <t>invozio.com</t>
  </si>
  <si>
    <t>https://www.nykommun.se/2025/04/13/de-vanligaste-hudbesvaren-i-sverige/</t>
  </si>
  <si>
    <t>https://www.pokerbutiken.se/roulette/</t>
  </si>
  <si>
    <t>roulette</t>
  </si>
  <si>
    <t>https://www.pokersidan.se/pokerartiklar/starthandsstrategi-for-texas-holdem-poker/#:~:text=Det%20%C3%A4r%20ocks%C3%A5,ner%20vid%20bordet.</t>
  </si>
  <si>
    <t>https://www.fotbollsem.net/slutspelet/</t>
  </si>
  <si>
    <t>betta ansvarsfullt</t>
  </si>
  <si>
    <t>https://www.allsvenskantabell.se/tabell/</t>
  </si>
  <si>
    <t>https://www.spelklubben.se/sv/betting/fotboll/sverige/allsvenskan?tab=liveAndUpcoming</t>
  </si>
  <si>
    <t>https://finest.se/sa-valjer-du-ratt-casino-7-faktorer/</t>
  </si>
  <si>
    <t>DBET</t>
  </si>
  <si>
    <t>https://tv24.se/tips/kanalerna-vi-vaxte-upp-med-men-glomde-bort</t>
  </si>
  <si>
    <t>Zyn</t>
  </si>
  <si>
    <t>https://www.gulavaggen.nu/nyhet/sa-maximerar-du-din-betting-infor-champions-league-finalen/</t>
  </si>
  <si>
    <t>https://dreamfilm.se/blogg/gameshows-en-ny-fas-for-direktsand-underhallning/</t>
  </si>
  <si>
    <t>https://100krcasino.se/spela-med-stil-designen-som-raknas/</t>
  </si>
  <si>
    <t>https://panncentralen.se/nyheter/barn-och-hund-sa-introducerar-du-en-ny-familjemedlem/</t>
  </si>
  <si>
    <t>Hundmat</t>
  </si>
  <si>
    <t>https://finest.se/betta-pa-e-sport-sa-hinner-du-med-oddsen-i-cs2/</t>
  </si>
  <si>
    <t>sportsbetting och esportbetting</t>
  </si>
  <si>
    <t>https://pt-media.org/2025/04/24/miten-kestavat-puutarhakalusteet-lisaavat-hyvinvointia/</t>
  </si>
  <si>
    <t>puutarhakalusteista</t>
  </si>
  <si>
    <t>https://luurituki.fi/nain-sosiaalinen-media-vaikuttaa-siihen-mita-trendeja-seuraamme/</t>
  </si>
  <si>
    <t>https://www.ekonomifokus.se/bostad/kopa-bostad-guide/annuitetslan</t>
  </si>
  <si>
    <t>https://www.lsb.se/</t>
  </si>
  <si>
    <t>Lån &amp; Spar Bank</t>
  </si>
  <si>
    <t>https://www.stockholmsbyggnyheter.se/20250425/6459/stockholm-vs-mindre-stader-hur-forandras-hantverkarens-status-med-stadens-storlek</t>
  </si>
  <si>
    <t>https://www.dagensfastigheter.se/20250425/12815/det-forsta-du-vill-gora-nar-du-flyttar-i-din-nya-bostad</t>
  </si>
  <si>
    <t>https://aerius.se/vad-kostar-det-att-installera-en-badrumsflakt/</t>
  </si>
  <si>
    <t>installera badrumsfläkt</t>
  </si>
  <si>
    <t>https://www.papperochmassa.se/20250425/5681/miljovanliga-tryckerier-en-gron-revolution-inom-bokutgivning</t>
  </si>
  <si>
    <t>https://www.transportochlogistik.se/20250425/21117/transporter-du-inte-visste-fanns-en-resa-genom-det-ovantade</t>
  </si>
  <si>
    <t>pontechmarina.com/</t>
  </si>
  <si>
    <t>https://www.byggnyheter.se/20250425/31963/sa-mycket-byggs-under-vattenytan-en-okand-varld-av-ingenjorskonst</t>
  </si>
  <si>
    <t>https://www.inredningsnyheter.se/20250425/20060/dyra-uttryck-billiga-losningar-inredningsdetaljerna-som-ser-ut-att-kosta-1-miljon</t>
  </si>
  <si>
    <t>https://www.papperochmassa.se/20250425/5682/sa-haller-du-koll-pa-dina-papper-7-enkla-knep-battre-ordning</t>
  </si>
  <si>
    <t>https://www.industrinyheter.se/20250425/43814/dolda-industrier-osynliga-aktorer-bakom-miljarder-och-ett-fungerande-samhalle</t>
  </si>
  <si>
    <t>https://www.infrastrukturnyheter.se/20250425/31551/bakom-kulisserna-de-dolda-hjaltarna-som-raddar-var-infrastruktur</t>
  </si>
  <si>
    <t>https://www.dagensfastigheter.se/20250425/12816/det-fruktade-stambytet-hur-ofta-varfor-och-vad-du-ska-tanka-pa</t>
  </si>
  <si>
    <t>https://eventeffect.se/event-dar-du-faktiskt-far-ta-med-din-hund/</t>
  </si>
  <si>
    <t>hund.se/hundgodis</t>
  </si>
  <si>
    <t>Hundgodis</t>
  </si>
  <si>
    <t>https://www.executiveeffect.se/sa-du-halla-koll-pa-vikten-med-ett-hektiskt-jobbschema/</t>
  </si>
  <si>
    <t>ekonomico.se</t>
  </si>
  <si>
    <t>https://www.executiveeffect.se/behover-din-verksamhet-hjalp-av-en-trafikansvarig-konsult/</t>
  </si>
  <si>
    <t>https://ekonomico.se/juridiska-tjanster/trafikansvarig-konsult/</t>
  </si>
  <si>
    <t>trafikansvarig konsult</t>
  </si>
  <si>
    <t>https://passioneffect.se/att-bli-med-barn-ar-dyrt-sa-har-kan-du-spara-in-tusenlappar/</t>
  </si>
  <si>
    <t>barnvagnar</t>
  </si>
  <si>
    <t>https://www.saleseffect.se/vissa-produkter-saljer-sig-sjalva-vad-har-de-gemensamt/</t>
  </si>
  <si>
    <t>https://sahlstenskincare.se/sahlsten_shop/produkt-tag/hypoklorsyra/</t>
  </si>
  <si>
    <t>hypoklorsyra</t>
  </si>
  <si>
    <t>https://www.saleseffect.se/belysning-och-reflektion-knepen-som-far-dig-att-handla-nar-du-inte-tankt-det/</t>
  </si>
  <si>
    <t>https://www.saleseffect.se/lana-till-storre-inkop-bil-renovering-elektronik-nar-ar-det-vart/</t>
  </si>
  <si>
    <t>Minifinder.se</t>
  </si>
  <si>
    <t>https://www.saleseffect.se/internet-of-things-hur-smarta-apparater-revolutionerar-handeln/</t>
  </si>
  <si>
    <t>https://minifinder.se/</t>
  </si>
  <si>
    <t>gps tracker</t>
  </si>
  <si>
    <t>https://fragbite.se/all/news/57897/5-ovantade-gadgets-som-gamers-alskar</t>
  </si>
  <si>
    <t>MiniFinder</t>
  </si>
  <si>
    <t>https://lindenytt.com/extra/har-ar-det-billigast-och-dyrast-att-bo-i-lindesberg/</t>
  </si>
  <si>
    <t>Lån</t>
  </si>
  <si>
    <t>https://mariefredstidning.se/2025/04/28/hur-kreditvardig-ar-du-rakna-ut-din-belaningsgrad-och-skuldkvot/</t>
  </si>
  <si>
    <t>https://lindenytt.com/extra/for-dig-som-ar-batagare-i-lindesberg-sa-far-du-ut-det-mesta-av-batsasongen/</t>
  </si>
  <si>
    <t>https://www.startmotor.se/batterier/b%C3%A5tbatteri</t>
  </si>
  <si>
    <t>https://lindenytt.com/extra/sport-och-fritidsutbudet-i-lindesberg-plus-adresser-och-oppettider/</t>
  </si>
  <si>
    <t>https://mariefredstidning.se/2025/04/25/vad-ar-ett-tandimplantat-behover-du-ett/</t>
  </si>
  <si>
    <t>Tandimplantat (partisk)</t>
  </si>
  <si>
    <t>https://mariefredstidning.se/2025/04/28/lamplexikon-begreppen-du-behover-for-att-fa-hemmet-att-skina/</t>
  </si>
  <si>
    <t>https://www.disy-magazin.de/unsere-magazine/disy-gesundheit/familie/familie/moderne-waermepumpen-definieren-den-wohnkomfort-neu/#c52531</t>
  </si>
  <si>
    <t>https://www.disy-magazin.de/unsere-magazine/disy-gesundheit/familie/familie/wenn-gaerten-zu-persoenlichen-oasen-werden/#c52530</t>
  </si>
  <si>
    <t>https://mimshacks.com/blog/essential-tips-for-surviving-long-gaming-sessions/</t>
  </si>
  <si>
    <t>https://avstarnews.com/5-tips-for-stress-free-summer-travel/</t>
  </si>
  <si>
    <t>https://formotorbikes.com/riding-the-california-pacific-coast-highway-enjoying-the-scenic-views-safely/</t>
  </si>
  <si>
    <t>https://etherions.com/the-importance-of-concentration-and-focus-for-thriving-under-pressure-in-trading/</t>
  </si>
  <si>
    <t>https://eventeffect.se/stora-evenemang-och-de-osynliga-kostnaderna/</t>
  </si>
  <si>
    <t>https://www.saleseffect.se/jobbtabbarna-som-kostar-onodigt-mycket-en-kostnadsanalys-av-vardagens-misstag/</t>
  </si>
  <si>
    <t>https://www.transportochlogistik.se/20250428/21125/en-narmare-titt-pa-sveriges-mest-trafikerade-transportleder</t>
  </si>
  <si>
    <t>https://www.flygbussarna.se/arlanda</t>
  </si>
  <si>
    <t>https://www.sportochfritidsnyheter.se/20250428/4242/en-vandrares-guide-till-varldens-vackraste-grannland-norge</t>
  </si>
  <si>
    <t>https://www.bus4you.se/populara-relationer/res-mellan-goteborg-och-oslo/#!/</t>
  </si>
  <si>
    <t>https://www.inredningsnyheter.se/20250428/20061/grand-millennial-inred-med-overdrif</t>
  </si>
  <si>
    <t>https://www.inredningsnyheter.se/20250428/20062/salja-bostaden-sa-gor-du-det-ratt-steg-steg</t>
  </si>
  <si>
    <t>https://www.forfest.se/sa-undviker-du-forfestdodarna/</t>
  </si>
  <si>
    <t>https://pressofatlanticcity.com/life-entertainment/article_68c0e9fc-8738-5f1f-bcd2-02de978c5b3d.html</t>
  </si>
  <si>
    <t>https://www.chattanoogarehab.com/</t>
  </si>
  <si>
    <t>Rehabilitation equipment from Chattanooga rehab</t>
  </si>
  <si>
    <t>https://www.entreprenad.com/lb-article/181518/renoveringsviljan-okar-med-forhojt-rotavdrag</t>
  </si>
  <si>
    <t>Renovering med dryft.se</t>
  </si>
  <si>
    <t>https://bovision.se/inspiration/koepa-bostad-med-traedgaard-det-haer-kan-du-fixa-sjaelv</t>
  </si>
  <si>
    <t>https://svenskafonster.se/altandorr</t>
  </si>
  <si>
    <t>altandörr</t>
  </si>
  <si>
    <t>https://ng.se/artiklar/sa-bygger-du-en-semesterkassa-med-borsen-som-medspelare</t>
  </si>
  <si>
    <t>https://www.kingsizemag.se/okategoriserat/lyxlivet-bakom-kulisserna-tjansterna-som-kandisarna-inte-kan-leva-utan/</t>
  </si>
  <si>
    <t>https://ng.se/artiklar/de-popularaste-husdjuren-2025-vilken-passar-din-livsstil</t>
  </si>
  <si>
    <t>hund.se/leksaker</t>
  </si>
  <si>
    <t>Hundleksaker</t>
  </si>
  <si>
    <t>https://www.kingsizemag.se/okategoriserat/sa-blir-du-av-med-akne-2025-med-moderna-metoder-langsiktiga-resultat/</t>
  </si>
  <si>
    <t>https://ng.se/artiklar/gps-mer-an-bara-att-hitta-ratt</t>
  </si>
  <si>
    <t>https://www.stltoday.com/exclusive/article_91cf99b9-0ca7-57c2-a6c3-a68a889fc5b7.html</t>
  </si>
  <si>
    <t>roofing CRM</t>
  </si>
  <si>
    <t>https://journaltimes.com/life-entertainment/article_c522b2cc-a24e-53b8-b602-659cb1b9257f.html</t>
  </si>
  <si>
    <t>best roofing CRM</t>
  </si>
  <si>
    <t>https://www.entreprenad.com/lb-article/181515/hojningen-av-rotavdraget-vad-innebar-det-egentligen</t>
  </si>
  <si>
    <t>https://modulhus.se/prefabricerade-modulhus-i-sverige-och-varlden/</t>
  </si>
  <si>
    <t>https://mockfjards.se/fonster</t>
  </si>
  <si>
    <t>fönster</t>
  </si>
  <si>
    <t>gonorthshop.com</t>
  </si>
  <si>
    <t>https://thestripesblog.com/hotter-summers-ahead-simple-ways-to-get-ready-for-rising-temperatures/</t>
  </si>
  <si>
    <t>https://gonorthshop.com/products/dog-water-bottle-with-bowl-12oz</t>
  </si>
  <si>
    <t>Dog water bottle</t>
  </si>
  <si>
    <t>https://usawire.com/10-minute-habits-quick-home-efficiency-hacks-for-busy-schedules/</t>
  </si>
  <si>
    <t>Go North</t>
  </si>
  <si>
    <t>https://nothing2hide.net/gaming/level-up-your-game-high-tips-to-boost-focus/</t>
  </si>
  <si>
    <t>https://avstarnews.com/uncuffing-season-why-singles-are-embracing-summer-for-new-connections/</t>
  </si>
  <si>
    <t>https://disquantified.org/offline-romance-the-secret-ingredient-were-missing-online/</t>
  </si>
  <si>
    <t>https://www.theolivepress.es/spain-news/2025/04/29/why-we-need-to-talk-about-overconsumption-and-what-you-can-do-about-it/</t>
  </si>
  <si>
    <t>https://www.leipziginfo.de/ratgeber/technik/der-waermepumpen-boom-so-schuetzen-sie-ihre-umweltfreundliche-heizungsanlage/</t>
  </si>
  <si>
    <t>https://thestripesblog.com/sustainable-travel-trends-for-summer-2025/</t>
  </si>
  <si>
    <t>https://betterthisworld.com/latest-news/aluminum-water-bottles-a-sustainable-and-practical-alternative/</t>
  </si>
  <si>
    <t>Aluminum water bottles</t>
  </si>
  <si>
    <t>https://thestripesblog.com/smart-tech-for-happier-healthier-pets/</t>
  </si>
  <si>
    <t>https://usawire.com/5-effortless-ways-to-simplify-your-household-routine/</t>
  </si>
  <si>
    <t>self cleaning litter box</t>
  </si>
  <si>
    <t>https://www.leipziginfo.de/ratgeber/mode/eco-chic-nachhaltige-stoffe-und-styles-fuer-frauen-diesen-sommer/</t>
  </si>
  <si>
    <t>Blusen damen</t>
  </si>
  <si>
    <t>https://www.leipziginfo.de/ratgeber/garten/so-machst-du-deinen-aussenbereich-ganz-einfach-sommertauglich/</t>
  </si>
  <si>
    <t>https://www.niederlausitz-aktuell.de/niederlausitz-aktuell/orte/brandenburg/294731/nachhaltig-leben-5-einfache-veraenderungen-fuer-heute.html</t>
  </si>
  <si>
    <t>https://thestripesblog.com/working-remotely-this-summer-here-s-how-it-keeps-you-connected/</t>
  </si>
  <si>
    <t>managed it services santa monica</t>
  </si>
  <si>
    <t>https://lindenytt.com/extra/tandvard-i-olika-samhallsmiljoer-en-jamforelse-mellan-stad-forort-landsbygd/</t>
  </si>
  <si>
    <t>Tandläkare Haninge (Partisk)</t>
  </si>
  <si>
    <t>https://podradio.nu/poddar-for-livsnjutaren/</t>
  </si>
  <si>
    <t>https://www.roligajulklappar.com/12-julklappar-som-far-plats-i-fickan-som-folk-faktiskt-vill-ha-for-under-100-spann</t>
  </si>
  <si>
    <t>(i kontext hajpers casinobonus) sätt in 500 kr spela för 2000 kr med Hajpers casinobonus</t>
  </si>
  <si>
    <t>https://www.nyaprojekt.se/2025/04/29/bostadsbristen-driver-nya-projekt-skapar-langsiktiga-investeringsmojligheter/</t>
  </si>
  <si>
    <t>https://www.nordiskaprojekt.se/2025/04/29/nordens-storsta-energi-industri-byggprojekt-fram-till-2030-en-framtid-formad-av-langsiktiga-investeringar/</t>
  </si>
  <si>
    <t>https://www.linkedin.com/company/fair-investments-sweden-ab/</t>
  </si>
  <si>
    <t>https://www.nordiskaprojekt.se/2025/04/28/vad-behover-rengoras-i-hemmet-och-hur-ofta/</t>
  </si>
  <si>
    <t>https://www.grontsamhallsbyggande.se/2025/04/29/atta-klimatsmarta-initiativ-for-ett-hallbart-samhallsbyggande/</t>
  </si>
  <si>
    <t>https://www.nordiskaprojekt.se/2025/04/28/nybyggnationer-innanfor-tullarna/</t>
  </si>
  <si>
    <t>stor spegel</t>
  </si>
  <si>
    <t>https://www.mercurynews.com/2025/05/01/scandinavian-rugs-are-redefining-modern-interiors/</t>
  </si>
  <si>
    <t>https://billingsgazette.com/life-entertainment/article_2a38e9df-3d31-598c-ae38-166850f286bf.html</t>
  </si>
  <si>
    <r>
      <rPr>
        <u/>
        <sz val="9"/>
        <color rgb="FF1155CC"/>
        <rFont val="Roboto Mono"/>
      </rPr>
      <t>https://himala.ai/</t>
    </r>
    <r>
      <rPr>
        <sz val="9"/>
        <color rgb="FF000000"/>
        <rFont val="Roboto Mono"/>
      </rPr>
      <t xml:space="preserve"> / </t>
    </r>
    <r>
      <rPr>
        <u/>
        <sz val="9"/>
        <color rgb="FF1155CC"/>
        <rFont val="Roboto Mono"/>
      </rPr>
      <t>https://himala.ai/blog/exploring-the-pros-and-cons-of-artificial-intelligence-in-daily-life</t>
    </r>
  </si>
  <si>
    <t>ai assistant / AI assistants can handle the grunt work</t>
  </si>
  <si>
    <t>https://www.djungeltrumman.se/wp-login.php?loggedout=true&amp;wp_lang=sv_SE</t>
  </si>
  <si>
    <t>https://lindenytt.com/extra/lindesberg-och-ekonomin-i-siffror/</t>
  </si>
  <si>
    <t>https://ekonomikunskap.se/ekonomiterminologi-for-den-nya-egenforetagaren</t>
  </si>
  <si>
    <t>https://www.invozio.com/</t>
  </si>
  <si>
    <t>invozio</t>
  </si>
  <si>
    <t>https://www.ykkoslohja.fi/miksi-lainavertailu-on-tarkeaa-3-vinkkia-parempiin-ehtoihin/</t>
  </si>
  <si>
    <t>https://www.zmarta.fi/</t>
  </si>
  <si>
    <t>lainan kilpailuttaminen</t>
  </si>
  <si>
    <t>https://luotto.io/parhaan-lainan-loytaminen-lainavertailun-merkitys/</t>
  </si>
  <si>
    <t>https://www.zmarta.fi/lainaa-rahaa</t>
  </si>
  <si>
    <t>lainavertailu + Zmarta</t>
  </si>
  <si>
    <t>https://www.alennuskoodi.fm/alykkaita-vinkkeja-taloutesi-maksimoimiseksi/</t>
  </si>
  <si>
    <t>lainavertailu</t>
  </si>
  <si>
    <t>https://tvohjelmat.com/ihonhoito-julkkisten-suosiossa-trendit-vuonna-2025/</t>
  </si>
  <si>
    <t>https://www.outdooractive.fi/fi/joint-trip/seuraavaa-luontokokemusta-ajatellen/315159721/</t>
  </si>
  <si>
    <t>https://nyweekly.com/business/how-the-roofing-industry-impacts-modern-homes-and-businesses/</t>
  </si>
  <si>
    <t>Roofing CRM</t>
  </si>
  <si>
    <t>https://www.digitaljournal.com/business/how-the-best-roofing-crm-software-could-help-roofers-boost-business/article</t>
  </si>
  <si>
    <t>https://www.expressen.se/brandstudio/hajper-casino/hajper-casino-sa-far-du-chansen-att-bli-nasta-vinnare/</t>
  </si>
  <si>
    <t>Hajper Casino</t>
  </si>
  <si>
    <t>https://www.expressen.se/brandstudio/zmarta/okat-intresse-for-lan-nar-rotavdrag-hojs-och-amorteringskrav-sanks/</t>
  </si>
  <si>
    <r>
      <rPr>
        <u/>
        <sz val="9"/>
        <color rgb="FF1155CC"/>
        <rFont val="Roboto Mono"/>
      </rPr>
      <t>https://www.zmarta.se/tips-rad/nyheter/snittrantor-bolan-mars-2025</t>
    </r>
    <r>
      <rPr>
        <sz val="9"/>
        <rFont val="Roboto Mono"/>
      </rPr>
      <t xml:space="preserve"> / </t>
    </r>
    <r>
      <rPr>
        <u/>
        <sz val="9"/>
        <color rgb="FF1155CC"/>
        <rFont val="Roboto Mono"/>
      </rPr>
      <t>https://www.zmarta.se/</t>
    </r>
  </si>
  <si>
    <t xml:space="preserve">Zmarta – jämför och ansök om lån hos flera långivare samtidigt / Läs mer om sänkta snitträntor på bolån </t>
  </si>
  <si>
    <t>https://www.expressen.se/brandstudio/upplevelse-com/fran-angestprov-till-folkfest-sa-har-studenten-forandrats-genom-tiderna/</t>
  </si>
  <si>
    <r>
      <rPr>
        <u/>
        <sz val="9"/>
        <color rgb="FF1155CC"/>
        <rFont val="Roboto Mono"/>
      </rPr>
      <t>https://www.upplevelse.com/</t>
    </r>
    <r>
      <rPr>
        <sz val="9"/>
        <color rgb="FF000000"/>
        <rFont val="Roboto Mono"/>
      </rPr>
      <t xml:space="preserve"> </t>
    </r>
  </si>
  <si>
    <t>Oförglömliga händelser hos Upplevelse.com</t>
  </si>
  <si>
    <t>https://www.expressen.se/brandstudio/invozio-1/fran-botten-till-uppgang-svenskt-foretagande-pa-vag-tillbaka/</t>
  </si>
  <si>
    <t>https://invozio.com/</t>
  </si>
  <si>
    <t>Invozio gör det enkelt och säkert att fakturera utan att äga ett företag</t>
  </si>
  <si>
    <t>https://www.expressen.se/brandstudio/spelklubben/spelklubben-firar-ett-ar-med-nya-satsningar/</t>
  </si>
  <si>
    <t>Nya satsningar och firande med Spelklubben</t>
  </si>
  <si>
    <t>https://www.expressen.se/brandstudio/mockfjards/sveriges-kanske-mest-underskattade-investering-vi-upplevde-direkt-en-enorm-skillnad/</t>
  </si>
  <si>
    <t>https://www.mockfjards.se/</t>
  </si>
  <si>
    <t>Komplett och ansvarsfullt fönsterbyte med Mockfjärds – Sveriges ledande fönsterbytare</t>
  </si>
  <si>
    <t>https://www.expressen.se/brandstudio/cherry-casino/historien-bakom-nordens-aldsta-casinobolag/</t>
  </si>
  <si>
    <t>https://www.cherry.com/sv/about-us/history</t>
  </si>
  <si>
    <t>Från restaurang till onlineäventyr – hitorien om Cherry</t>
  </si>
  <si>
    <t>https://www.hemtrevligt.se/hemmetsjournal/partner/grounda-dig-i-hemmet-12-tips/</t>
  </si>
  <si>
    <t>skjutdörr</t>
  </si>
  <si>
    <t>https://bovision.se/inspiration/att-laana-foer-att-renovera-en-loensam-affaer-i-laengden</t>
  </si>
  <si>
    <t>https://www.lsb.se/privatlan</t>
  </si>
  <si>
    <t>https://dailyemerald.com/165291/promotedposts/the-environmental-and-practical-benefits-of-choosing-aluminum-bottled-water/</t>
  </si>
  <si>
    <t>https://dailyemerald.com/165300/promotedposts/why-more-people-are-exercising-outdoors-this-spring-and-summer/</t>
  </si>
  <si>
    <t>https://dailyemerald.com/165297/promotedposts/a-peaceful-mind-for-better-exam-performance/</t>
  </si>
  <si>
    <t>https://dailyemerald.com/165294/promotedposts/the-growing-impact-of-ai-in-universities-and-academia/</t>
  </si>
  <si>
    <t>https://dailyemerald.com/165303/promotedposts/first-apartment-must-haves-room-by-room-guide-for-new-renters/</t>
  </si>
  <si>
    <t>https://gonorthshop.com/products/pots-and-pans-cooking-kitchen-set</t>
  </si>
  <si>
    <t>pots and pans set</t>
  </si>
  <si>
    <t>https://lindenytt.com/extra/lindlovens-if-tar-sikte-mot-framtiden-med-hockeyettan-play/</t>
  </si>
  <si>
    <t>bethard sportsbook</t>
  </si>
  <si>
    <t>https://lindenytt.com/extra/far-jag-ta-med-hunden-en-hundguide-for-lindesberg/</t>
  </si>
  <si>
    <t>https://www.allaannonser.se/samarb-rormokare-diy.html</t>
  </si>
  <si>
    <t>https://mariefredstidning.se/2025/05/06/7-sporter-som-ar-sa-mycket-svarare-an-de-ser-ut/</t>
  </si>
  <si>
    <t>https://alxmedia.se/film/skrackfilm/</t>
  </si>
  <si>
    <t>https://www.stockholmsbyggnyheter.se/20250509/6477/fran-budget-till-lyx-sa-mycket-kostar-renoveringsmaterialen</t>
  </si>
  <si>
    <t>dryft.se/byggforetag-stockholm/</t>
  </si>
  <si>
    <t>Bygg företag</t>
  </si>
  <si>
    <t>https://www.sportochfritidsnyheter.se/20250509/4251/behover-din-verksamhet-en-ordningsvakt</t>
  </si>
  <si>
    <t>https://www.sesec.se</t>
  </si>
  <si>
    <t>ordningsvakt</t>
  </si>
  <si>
    <t>https://www.orderhero.se/hur-mycket-ater-fotbollsspelare/</t>
  </si>
  <si>
    <t>https://filmeye.se/filmfrisyrer-vi-aldrig-glommer-ikoniska-harstilar-pa-vita-duken/</t>
  </si>
  <si>
    <t>https://filmeye.se/optimera-hemmabion-ratt-belysning-skapar-den-ultimata-filmstamningen/</t>
  </si>
  <si>
    <t>oddsmatcher.se</t>
  </si>
  <si>
    <t>Barnskötare</t>
  </si>
  <si>
    <t>borskollen.se/basta-banken</t>
  </si>
  <si>
    <t>https://www.finehomesandliving.com/home_design/how-crm-systems-are-easing-the-workload-on-roofing-contractors-and-companies/article_02e7b811-cb88-443d-b02c-ae0e2727277f.html</t>
  </si>
  <si>
    <t>Roofing CRM platforms</t>
  </si>
  <si>
    <t>https://bovision.se/inspiration/5-viktiga-saker-att-kaenna-till-om-bostadsraettsfoereningen</t>
  </si>
  <si>
    <t>https://www.saleseffect.se/for-egenforetagande-hantverkare-sa-sticker-du-ut-ur-mangden/</t>
  </si>
  <si>
    <t>https://www.scienceworldreport.com/articles/62147/20250514/the-new-workforce-ai-agents.htm</t>
  </si>
  <si>
    <t>https://thesiliconreview.com/2025/05/ai-tools-rapidly-emerge-as-the-preferred-choice-for-modern-businesses</t>
  </si>
  <si>
    <t>stockholms-rorvvs.se</t>
  </si>
  <si>
    <t>https://www.svenskbyggtidning.se/2025/05/16/forebygga-vattenskador-kraver-bade-teknik-och-rutin/</t>
  </si>
  <si>
    <t>https://stockholms-rorvvs.se/</t>
  </si>
  <si>
    <t>VVS Lidingö</t>
  </si>
  <si>
    <t>https://news55.se/livsstil/kultur-noje/teknik-socialt-spelande-och-nya-format-sa-utvecklas-live-casinon-2025/</t>
  </si>
  <si>
    <t>https://www.sfexaminer.com/marketplace/electrical-stimulation-a-key-to-pain-relief-strength-recovery/article_204eca54-eeff-4afe-8cfc-3f911698bae3.html</t>
  </si>
  <si>
    <r>
      <rPr>
        <u/>
        <sz val="9"/>
        <color rgb="FF1155CC"/>
        <rFont val="Roboto Mono"/>
      </rPr>
      <t>https://www.chattanoogarehab.com/blog/meet-the-next-generation-of-electrotherapy-chattanooga-intelect-transport-2/</t>
    </r>
    <r>
      <rPr>
        <sz val="9"/>
        <color rgb="FF000000"/>
        <rFont val="Roboto Mono"/>
      </rPr>
      <t xml:space="preserve"> / </t>
    </r>
    <r>
      <rPr>
        <u/>
        <sz val="9"/>
        <color rgb="FF1155CC"/>
        <rFont val="Roboto Mono"/>
      </rPr>
      <t>https://www.chattanoogarehab.com/us/clinical-electrotherapy/electrical-stimulation</t>
    </r>
  </si>
  <si>
    <t>electrical stimulation / Variable Muscle Stimulation (VMS)</t>
  </si>
  <si>
    <t>https://www.gilbertsunnews.com/affiliate_content/the-implementation-of-crm-systems-is-changing-business-for-the-better/article_1ea220fc-5edb-4a69-9f25-16ae6ef8d98b.html</t>
  </si>
  <si>
    <t>https://presenttipsaren.nu/ge-bort-sant-som-faktiskt-anvands-11-praktiska-presenter/</t>
  </si>
  <si>
    <t>https://thehappypassport.com/respectful-tourism-how-to-blend-in-and-avoid-offending-locals/</t>
  </si>
  <si>
    <t>yourgild.com</t>
  </si>
  <si>
    <t>https://calbizjournal.com/why-solo-workers-face-a-hidden-bureaucracy-when-seeking-basic-protections/</t>
  </si>
  <si>
    <t>https://yourgild.com/insurance</t>
  </si>
  <si>
    <t>small business insurance</t>
  </si>
  <si>
    <t>https://bundesliga.se/betting-odds/</t>
  </si>
  <si>
    <t>https://www.ciobulletin.com/compliance-and-governance/insuring-the-uninsurable-the-crisis-facing-americas-independent-workforce</t>
  </si>
  <si>
    <t>http://yourgild.com/</t>
  </si>
  <si>
    <t>Yourgild.com</t>
  </si>
  <si>
    <t>https://greenheal.net/mindful-stress-management-exploring-natural-and-everyday-approaches/</t>
  </si>
  <si>
    <t>https://katescreativespace.com/exploring-the-latest-trends-in-wellness-work-and-leisure/</t>
  </si>
  <si>
    <t>https://plugboxlinux.org/2025/05/21/beyond-the-keyboard-unconventional-trends-in-developer-lifestyles/</t>
  </si>
  <si>
    <t>https://undergrowthgames.com/how-gamers-balance-focus-habits-and-play/</t>
  </si>
  <si>
    <t>https://greenheal.net/finding-balance-in-holistic-health-and-sustainable-living/</t>
  </si>
  <si>
    <t>https://katescreativespace.com/the-surprising-ways-technology-shapes-modern-relationships/</t>
  </si>
  <si>
    <t>https://www.feast-magazine.co.uk/fashion-2/why-timeless-styles-keep-returning-to-the-spotlight-57389</t>
  </si>
  <si>
    <t>https://greenheal.net/how-businesses-can-support-environmental-responsibility/</t>
  </si>
  <si>
    <t>https://katescreativespace.com/simple-changes-for-a-greener-home/</t>
  </si>
  <si>
    <t>https://nothing2hide.net/latest/what-to-know-about-eco-friendly-water-container-options/</t>
  </si>
  <si>
    <t>https://www.bombfell.com/celebrity-fitness-secrets/</t>
  </si>
  <si>
    <t>https://Mobot.com</t>
  </si>
  <si>
    <t>https://www.feast-magazine.co.uk/lifestyle-2/from-groceries-to-getaways-benefits-that-come-with-experience-57386</t>
  </si>
  <si>
    <t>https://nothing2hide.net/latest/comparing-traditional-and-high-tech-approaches-to-pet-containment/</t>
  </si>
  <si>
    <t>https://greenheal.net/practical-solutions-for-outdoor-pet-safety/</t>
  </si>
  <si>
    <t>https://katescreativespace.com/family-life-hacks-i-wish-id-known-sooner/</t>
  </si>
  <si>
    <t>https://esnachricht.de/klimafreundliche-methoden-fur-den-eigenen-anbau/</t>
  </si>
  <si>
    <t>https://greenheal.net/making-healthy-meals-with-less-waste/</t>
  </si>
  <si>
    <t>https://katescreativespace.com/go-to-items-for-weekend-walks/</t>
  </si>
  <si>
    <t>https://downtonabbeycooks.com/simple-ways-to-add-local-flair-to-traditional-dishes/</t>
  </si>
  <si>
    <t>https://gonorthshop.com</t>
  </si>
  <si>
    <t>https://beautytube.se/perioral-dermatit-och-dess-paverkan-pa-din-skonhetsrutin/</t>
  </si>
  <si>
    <t>https://skaparum.se/ftx-ventilation-och-dess-fordelar-i-nordiska-byggprojekt/</t>
  </si>
  <si>
    <t>https://villahagen.se/forsakringar-for-solcellsanlaggningar-ger-trygghet-i-ditt-boende/</t>
  </si>
  <si>
    <t>https://smartkonstruktion.se/forsakringar-som-skyddar-din-solcellsanlaggning-vid-byggnationer/</t>
  </si>
  <si>
    <t>https://manligmodell.se/varda-din-bil-som-en-riktig-man-med-kvalitetsprodukter/</t>
  </si>
  <si>
    <t>https://herrexperten.se/basta-tipsen-for-bilvard-som-varar-lange/</t>
  </si>
  <si>
    <t>https://bolagshistorik.se/att-navigera-i-offentliggorandeprocessen-for-att-lyckas-som-forfattare-i-affarsvarlden/</t>
  </si>
  <si>
    <t>https://finansfeber.se/investeringar-med-fokus-pa-trygghet-och-langsiktig-avkastning/</t>
  </si>
  <si>
    <t>https://livsekonomi.se/skraddarsydda-investeringslosningar-for-langsiktig-avkastning-och-trygghet/</t>
  </si>
  <si>
    <t>https://ekonomiagenten.se/skraddarsydda-investeringslosningar-for-maximalt-avkastning-och-ekonomisk-trygghet/</t>
  </si>
  <si>
    <t>https://nordicinvestor.se/langsiktiga-investeringar-och-skraddarsydda-losningar-for-hogre-avkastning/</t>
  </si>
  <si>
    <t>https://nybyggdahus.se/marknaden-for-bostader-i-trosa-mojligheter-och-utmaningar/</t>
  </si>
  <si>
    <t>https://miljonhuset.se/att-salja-bostad-i-trosa-vad-du-bor-tanka-pa/</t>
  </si>
  <si>
    <t>https://digitalfamilj.se/hundens-plats-i-familjen-och-viktiga-tillbehor-for-ett-lyckligt-liv-tillsammans/</t>
  </si>
  <si>
    <t>https://businesshelper.se/en-smartare-losning-for-lonehantering-i-foretag/</t>
  </si>
  <si>
    <t>https://likealady.se/skalfasader-kan-ge-kvinnor-ett-vackrare-leende/</t>
  </si>
  <si>
    <t>https://villaprojekt.se/mattor-for-varje-rum-i-ditt-hem-sa-valjer-du-ratt-material-och-farg/</t>
  </si>
  <si>
    <t>https://gladafamiljer.se/ett-lyckligt-familjeliv-med-den-ratta-hunden-och-hundfodret/</t>
  </si>
  <si>
    <t>https://mittvitahus.se/belysningens-betydelse-for-ett-trivsamt-hem/</t>
  </si>
  <si>
    <t>https://farkamraten.se/man-och-spraket-vikten-av-att-kommunicera-pa-svenska/</t>
  </si>
  <si>
    <t>https://herrexperten.se/viktigheten-av-att-valja-ratt-reservdelar-till-din-volvo-penta-motor/</t>
  </si>
  <si>
    <t>https://ladytalk.se/effektiva-metoder-for-viktnedgang-och-halsa-for-kvinnor/</t>
  </si>
  <si>
    <t>https://retrohus.se/flexibla-foretagsbostader-for-langtidsboende-i-sverige/</t>
  </si>
  <si>
    <t>https://nutidshuset.se/flexibla-boendelosningar-for-foretag-i-stockholm/</t>
  </si>
  <si>
    <t>https://businessmanualen.se/kopieringspapper-som-forbattrar-ditt-foretags-effektivitet/</t>
  </si>
  <si>
    <t>https://hittafritidsintressen.se/lat-kreativiteten-floda-med-budgetvanliga-kontorsmaterial-for-dina-hobbys/</t>
  </si>
  <si>
    <t>https://smartkonstruktion.se/vvs-tjanster-i-taby-for-kvalitetsmedvetna-byggprojekt/</t>
  </si>
  <si>
    <t>https://retrohus.se/vvs-tjanster-som-forbattrar-ditt-hem-i-stockholm/</t>
  </si>
  <si>
    <t>Rörmokare i Sollentuna</t>
  </si>
  <si>
    <t>https://villahagen.se/professionell-taklaggning-for-ladugardar-och-lantbruk-i-sodra-sverige/</t>
  </si>
  <si>
    <t>https://mittvitahus.se/vikten-av-att-byta-tak-pa-maskinhallar-for-en-tryggare-bostadsmiljo/</t>
  </si>
  <si>
    <t>https://businesshelper.se/effektivare-ljudmiljoer-med-skraddarsydda-akustiklosningar-for-foretag/</t>
  </si>
  <si>
    <t>https://bolagsekonomen.se/forbattra-ljudmiljon-i-byggnader-med-effektiva-akustiklosningar/</t>
  </si>
  <si>
    <t>https://farkamraten.se/vikten-av-att-valja-ratt-bilservice-for-din-volkswagen-i-tyreso/</t>
  </si>
  <si>
    <t>https://semestergurun.se/sakra-din-skidsemester-med-ratt-skidvalla-och-tillbehor/</t>
  </si>
  <si>
    <t>https://familjfakta.se/familjens-vag-till-ratt-tandlakare-i-stockholm/</t>
  </si>
  <si>
    <t>https://beautytube.se/tandvardens-betydelse-for-din-skonhet-och-valbefinnande-i-goteborg/</t>
  </si>
  <si>
    <t>https://businesshelper.se/sakerhetslosningar-for-en-tryggare-affarsmiljo/</t>
  </si>
  <si>
    <t>https://beautymama.se/en-frisorsalong-i-stockholm-med-fokus-pa-skraddarsydd-skonhet-for-alla/</t>
  </si>
  <si>
    <t>https://skaparum.se/effektiv-markskotsel-for-byggprojekt-i-stockholm/</t>
  </si>
  <si>
    <t>https://roligabarn.se/viktiga-faktorer-att-tanka-pa-vid-val-av-barnvagn/</t>
  </si>
  <si>
    <t>https://vackerhud.se/akut-tandvard-i-stockholm-for-ett-vackert-leende/</t>
  </si>
  <si>
    <t>Sahlsten Skincare</t>
  </si>
  <si>
    <t>https://beautytube.se/forbattra-din-hudhalsa-med-professionella-behandlingar-i-stockholm/</t>
  </si>
  <si>
    <t>https://alxmedia.se/tips/sa-ar-det-att-jobba-som-frilansare-frihet-ansvar-och-allt-daremellan/</t>
  </si>
  <si>
    <t>https://invozio.com/att-jobba-som-frilansare-och-fakturera-utan-fskatt</t>
  </si>
  <si>
    <t>frilansare</t>
  </si>
  <si>
    <t>https://hockeynews.se/nyheter/intresset-for-hockey-vm-ar-stort-har-ar-en-tillbakablick-pa-tidigare-vm</t>
  </si>
  <si>
    <t>betting är extra populärt</t>
  </si>
  <si>
    <t>https://www.maklarringen.se/upptack-maklarringen/byggtips-fakta-inspiration/underhallstipsen-for-sommarhuset-sa-klarar-det-sig-aret-runt</t>
  </si>
  <si>
    <t>https://snickare.online/snickare</t>
  </si>
  <si>
    <t>boka snickare</t>
  </si>
  <si>
    <t>https://www.maklarringen.se/upptack-maklarringen/byggtips-fakta-inspiration/de-sma-knepen-for-att-fa-din-bostad-att-bli-vard-mer</t>
  </si>
  <si>
    <t>https://bokahandyman.se/handyman</t>
  </si>
  <si>
    <t>boka en handyman</t>
  </si>
  <si>
    <t>https://www.maklarringen.se/upptack-maklarringen/byggtips-fakta-inspiration/flyttipsen-som-sparar-mest-tid</t>
  </si>
  <si>
    <t>https://flyttgaranti.se/flytt</t>
  </si>
  <si>
    <t>boka flytt</t>
  </si>
  <si>
    <t>https://sparaochplacera.se/samla-lan-och-krediter/</t>
  </si>
  <si>
    <t>https://www.lsb.se/samla-lan-och-krediter</t>
  </si>
  <si>
    <t xml:space="preserve">Lån &amp; Spar Bank och ansöker om att samla dina lån </t>
  </si>
  <si>
    <t>https://italienskpizza.se/antipasti/</t>
  </si>
  <si>
    <t>Cateringfabriken som har catering i Stockholm</t>
  </si>
  <si>
    <t>https://hockeybladet.nu/artikel/stanley-cup-forutsattningarna-infor-slutet/</t>
  </si>
  <si>
    <t>Hos Hajper hittar du odds på Stanley Cup</t>
  </si>
  <si>
    <t>https://www.sportochfritidsnyheter.se/20250623/4290/du-har-stugan-grillen-och-kanoten-men-vem-bygger-bryggan</t>
  </si>
  <si>
    <t>https://www.sportochfritidsnyheter.se/20250623/4291/vind-i-seglen-segling-hobbyn-alla-vill-prova-2025</t>
  </si>
  <si>
    <t>finansiera sin egen båt genom privatlån (partial)</t>
  </si>
  <si>
    <t>https://www.inredningsnyheter.se/20250623/20105/den-svenska-renoveringsviljan-stark-var-tredje-planerar-att-renovera</t>
  </si>
  <si>
    <t>https://www.lsb.se/renoveringslan</t>
  </si>
  <si>
    <t>renoveringslån (partial) för att förverkliga sina drömmar</t>
  </si>
  <si>
    <t>https://www.svenskbyggtidning.se/2025/05/26/sa-satter-du-ljuset-i-hemmet/</t>
  </si>
  <si>
    <t>Lampor</t>
  </si>
  <si>
    <t>https://www.svenskbyggtidning.se/2025/05/26/hur-var-kroppsliga-fysik-paverkas-av-var-omgivning/</t>
  </si>
  <si>
    <t>https://supernormal.health/pages/viktnedgang</t>
  </si>
  <si>
    <t>Medicinsk viktnedgång</t>
  </si>
  <si>
    <t>https://www.svenskbyggtidning.se/2025/05/26/kontorsmaterial-bortom-kontoret-overraskande-anvandningsomraden-i-andra-branscher/</t>
  </si>
  <si>
    <t>https://www.svenskbyggtidning.se/2025/05/26/sa-skulle-svensk-byggindustri-bli-sakrare-7-forslag/</t>
  </si>
  <si>
    <t>https://www.dagensinfrastruktur.se/2025/05/26/sakerhetssektorn-gar-som-taget/</t>
  </si>
  <si>
    <t>minifinder</t>
  </si>
  <si>
    <t>https://betting-tips.nu/hur-vet-man-vad-som-ar-ett-bra-odds/</t>
  </si>
  <si>
    <t>livebetting</t>
  </si>
  <si>
    <t>https://casinoexpo.se/artiklar/20250527103757-tipsen-for-att-hitta-ditt-nya-favoritspel/</t>
  </si>
  <si>
    <t>https://www.smslåneguide.se/far-vem-som-helst-ta-ett-sms-lan/</t>
  </si>
  <si>
    <t>https://www.zmarta.se/tips-rad/om-lan/snabblan-guide</t>
  </si>
  <si>
    <t>snabblån, akutlån, lån när man behöver pengarna snabbt - kontexten är nästan viktigare här, men som ankare "lån" partial tillsammans med tex "snabb/t, sms, utan väntetid" osv.</t>
  </si>
  <si>
    <t>https://allaprivatlan.nu/2025/05/27/5-saker-att-jamfora-innan-du-tar-ett-privatlan/</t>
  </si>
  <si>
    <t>jämföra privatlån exact eller partial</t>
  </si>
  <si>
    <t>https://www.damfotboll.com/nyheter/bloggar/14-helknappa-saker-som-gar-att-tippa-pa</t>
  </si>
  <si>
    <t>D-Bet</t>
  </si>
  <si>
    <t>https://100krcasino.se/arkadspel-vs-slots-vad-ar-skillnaden/</t>
  </si>
  <si>
    <t>Ett casino som erbjuder arkadspel är D-Bet</t>
  </si>
  <si>
    <t>https://digitaliserad.nu/blogg/det-har-ar-varfor-slots-blir-mer-och-mer-lika-datorspel/</t>
  </si>
  <si>
    <t>https://www.videoslots.com/sv/mobile/</t>
  </si>
  <si>
    <t>Videoslots.com (casino och online är huvudorden för sidan så placera i sån kontext)</t>
  </si>
  <si>
    <t>kungaslottet.se</t>
  </si>
  <si>
    <t>https://accademos.se/blogg/sa-vet-du-vilka-hemsidor-som-ar-sakra/</t>
  </si>
  <si>
    <t>https://www.kungaslottet.se/mobile/welcome-bonus/</t>
  </si>
  <si>
    <t>välkomstbonus partial</t>
  </si>
  <si>
    <t>https://mikaelelias.se/blogg/pickers-market-nar-kunderna-har-makten/</t>
  </si>
  <si>
    <t>https://www.kungaslottet.se/sv/mobile/</t>
  </si>
  <si>
    <t>kungaslottet online casino (exact match)</t>
  </si>
  <si>
    <t>mrvegas.com</t>
  </si>
  <si>
    <t>https://www.fintechnews.org/online-casinos-taking-gaming-to-the-next-level/</t>
  </si>
  <si>
    <t>https://mrvegas.com/</t>
  </si>
  <si>
    <t>MrVegas</t>
  </si>
  <si>
    <t>megariches.com</t>
  </si>
  <si>
    <t>https://www.fintechnews.org/mega-slots-spin-your-way-to-massive-jackpots/</t>
  </si>
  <si>
    <t>https://www.megariches.com/mobile/</t>
  </si>
  <si>
    <t>Mega slots</t>
  </si>
  <si>
    <t>https://www.allsvenskantabell.se/vi-verkar-slippa-annu-ett-malmo-guld/</t>
  </si>
  <si>
    <t>odds på allsvenskan</t>
  </si>
  <si>
    <t>https://spaweekendhotell.se/artiklar/spabehandlingar-bra-for-huden-eller-bara-hokus-pokus/</t>
  </si>
  <si>
    <t>www.acnespecialisten.se/perioral-dermatit.php</t>
  </si>
  <si>
    <t>Perioral dermatit</t>
  </si>
  <si>
    <t>https://aktiewiki.se/frilansare-kan-faktiskt-ga-runt-ekonomiskt/</t>
  </si>
  <si>
    <t>https://www.invozio.com</t>
  </si>
  <si>
    <t>https://www.boupplysningen.se/nyheter/hur-mycket-borde-jag-spara-i-manaden</t>
  </si>
  <si>
    <t>https://www.aktiekunskap.nu/aktieblogg/allt-du-behover-veta-for-att-kopa-utlandska-aktier/</t>
  </si>
  <si>
    <t>https://www.lsb.se/lana-pengar</t>
  </si>
  <si>
    <t>https://www.adaptnetwork.com/lifestyle/the-gig-economys-insurance-gap-why-independent-workers-are-still-underprotected/</t>
  </si>
  <si>
    <t>https://yourgild.com/</t>
  </si>
  <si>
    <t>Gild Insurance</t>
  </si>
  <si>
    <t>https://andersnoren.se/partner-article/why-most-casino-websites-look-similar-understanding-the-idea-of-the-common-template/</t>
  </si>
  <si>
    <t>https://www.kaffeverket.se/nar-var-hur-kaffets-10-roller-i-vardagen/</t>
  </si>
  <si>
    <t>https://www.newst.se/barnbockerna-vi-minns-som-starkast/</t>
  </si>
  <si>
    <t>https://www.newst.se/hemmets-sju-masten/</t>
  </si>
  <si>
    <t>https://glassfactory.fi/sv/collections/extra-stora-speglar</t>
  </si>
  <si>
    <t>https://www.newst.se/behover-ditt-djur-en-varierad-kost/</t>
  </si>
  <si>
    <t>https://www.kaffeverket.se/ett-leende-starkt-som-en-dubbel-espresso/</t>
  </si>
  <si>
    <t>tandläkarna i haninge</t>
  </si>
  <si>
    <t>https://thatsup.co.uk/native/stay-play-6-must-visit-casino-hotels-in-the-uk/</t>
  </si>
  <si>
    <t>https://www.videoslots.com/sv/battleofslots-faq/</t>
  </si>
  <si>
    <t>Battle of Slots from Videoslots</t>
  </si>
  <si>
    <t>https://thatsup.co.uk/native/manchester-adventures-5-highlights-you-can-t-skip/</t>
  </si>
  <si>
    <t>Mega Riches</t>
  </si>
  <si>
    <t>https://thatsup.co.uk/native/48-hour-london-itinerary-for-those-packing-nothing/</t>
  </si>
  <si>
    <t>https://www.mrvegas.com/</t>
  </si>
  <si>
    <t>Mr Vegas</t>
  </si>
  <si>
    <t>https://www.newst.se/mygg-faglar-och-envis-sol-sa-sover-du-gott-pa-sommaren/</t>
  </si>
  <si>
    <t>newst.se/battre-villkor-och-ranterabatt-men-manga-vagar-inte-pruta-pa-lan/</t>
  </si>
  <si>
    <t>Lån &amp; Sparbank erbjuder räntegaranti</t>
  </si>
  <si>
    <t>https://balansekonomi.se/eu-politikerna-och-det-vita-snuset-darfor-kan-det-inte-forbjudas/</t>
  </si>
  <si>
    <t>https://www.wearebrighton.com/newsopinion/from-kick-off-to-click-off-the-digital-extension-of-football-fandom/</t>
  </si>
  <si>
    <t>https://www.megariches.com/</t>
  </si>
  <si>
    <t>Mega Riches Casino</t>
  </si>
  <si>
    <t>https://www.wearebrighton.com/newsopinion/an-away-supporters-guide-to-brighton/</t>
  </si>
  <si>
    <t>https://www.mrvegas.com/sv/the-wheel-of-vegas-info/</t>
  </si>
  <si>
    <t>Mr Vegas Wheel of Vegas</t>
  </si>
  <si>
    <t>https://bovision.se/inspiration/hitta-raett-tandlaekare-naer-du-flyttar-till-stockholm</t>
  </si>
  <si>
    <t>Hitta rätt tandläkare i Stockholm</t>
  </si>
  <si>
    <t>https://www.mellerudsnyheter.se/det-du-inte-visste-om-melleruds-historia.bb9713f7-5a43-445c-950a-b76a2defda88</t>
  </si>
  <si>
    <t>https://www.partilletidning.se/native/fran-bingo-och-lopning-till-fika-svenskar-i-alla-aldrar-gor-ofta-samma-saker.2e2bc6f0-33f1-40e2-8cf2-c501083b7dfd</t>
  </si>
  <si>
    <t>https://www.partilletidning.se/native/fran-bingo-och-lopning-till-fika-svenskar-i-alla-aldrar-gor-ofta-samma-saker.2e2bc6f0-33f1-40e2-8cf2-c501083b7dfd#:~:text=Hajper%20f%C3%B6r%20betting%20och%20casino%20online</t>
  </si>
  <si>
    <t>Hajper för betting och casino online</t>
  </si>
  <si>
    <t>https://billingsgazette.com/life-entertainment/article_429ed44a-cc2e-5fc0-bbcf-4d995b6c9352.html</t>
  </si>
  <si>
    <t>software like Roofing CRM</t>
  </si>
  <si>
    <t>https://filmeye.se/hollywoods-kandaste-leenden/</t>
  </si>
  <si>
    <t>https://www.reseledaren.nu/tips-for-tandvard-pa-resande-fot/</t>
  </si>
  <si>
    <t>https://www.reseledaren.nu/resa-med-snus-allt-du-behover-veta/</t>
  </si>
  <si>
    <t>https://filmeye.se/4-kanda-filmlocations-som-ar-varda-ett-besok/</t>
  </si>
  <si>
    <t>https://www.borskollen.se/nyheter/27/varfor-ar-man-mer-aktiva-pa-borsen</t>
  </si>
  <si>
    <t>https://www.borskollen.se/nyheter/27/5-satt-att-bygga-ett-battre-sjalvfortroende-som-genast-gor-dig-mer-sjalvsaker</t>
  </si>
  <si>
    <t>tandblekning i Stockholm</t>
  </si>
  <si>
    <t>https://www.borskollen.se/nyheter/27/darfor-hanger-lonerna-inte-med-i-inflationen</t>
  </si>
  <si>
    <t>smart lönesystem</t>
  </si>
  <si>
    <t>https://www.borskollen.se/nyheter/27/ny-rapport-avslojar-anstallda-blir-avbrutna-varannan-minut-sahar-behaller-du-ditt-fokus</t>
  </si>
  <si>
    <t>pedagogik</t>
  </si>
  <si>
    <t>https://www.borskollen.se/basta-spelbolag-aktier</t>
  </si>
  <si>
    <t>https://www.videoslots.com/sv/mobile/casino/</t>
  </si>
  <si>
    <t>videoslots online casino</t>
  </si>
  <si>
    <t>https://www.borskollen.se/tjana-pengar-snabbt</t>
  </si>
  <si>
    <t>https://invozio.com/fakturera-som-privatperson_egenanstalld</t>
  </si>
  <si>
    <t>fakturera som privatperson</t>
  </si>
  <si>
    <t>sportsbook odds</t>
  </si>
  <si>
    <t>https://nyweekly.com/lifestyle/how-a-custom-rug-can-affect-your-home/</t>
  </si>
  <si>
    <t>https://nordicknots.com/us/custom-rugs</t>
  </si>
  <si>
    <t>Custom rugs</t>
  </si>
  <si>
    <t>https://fotbollsthlm.se/uncategorized/stammer-bilden-av-stockholmsklubbarnas-supporters/</t>
  </si>
  <si>
    <t>Läs om ansvarsfullt spelande på cherry.com</t>
  </si>
  <si>
    <t>https://fotbollsthlm.se/uncategorized/allsvenskans-101a-upplaga-sa-tippar-experterna/</t>
  </si>
  <si>
    <t>livebetting på mötena</t>
  </si>
  <si>
    <t>https://www.lady-business.at/energieeffizients-moderner-haustechnik/</t>
  </si>
  <si>
    <t>https://www.lady-business.at/was-im-kleiderschrank-zaehlt/</t>
  </si>
  <si>
    <t>https://www.lady-business.at/loesungen-kleine-arbeitsraeume/</t>
  </si>
  <si>
    <t>https://www.niederlausitz-aktuell.de/niederlausitz-aktuell/orte/brandenburg/294770/nachhaltig-leben-5-einfache-veraenderungen-fuer-heute-2.html</t>
  </si>
  <si>
    <t>https://lindenytt.com/extra/sommarschemat-for-lindesberg-2025/</t>
  </si>
  <si>
    <t>Sport betting på Hajper (medvetet särskrivet)</t>
  </si>
  <si>
    <t>https://lindenytt.com/extra/den-stora-guiden-for-en-husbilssemester/</t>
  </si>
  <si>
    <t>Presentkort upplevelse</t>
  </si>
  <si>
    <t>https://lindenytt.com/extra/sveriges-maktigaste-idrottsfester-genom-tiderna</t>
  </si>
  <si>
    <t>D-Bet följer trenden och erbjuder odds</t>
  </si>
  <si>
    <t>https://lindenytt.com/extra/stockholmstrenderna-hade-vuxit-sig-anda-in-till-lindesberg/</t>
  </si>
  <si>
    <t>https://www.4him4her.com/sv-se</t>
  </si>
  <si>
    <t>4him4her</t>
  </si>
  <si>
    <t>https://www.newst.se/titta-ut-utan-nagon-ser-in-insynsknepen-som-funkar/</t>
  </si>
  <si>
    <t>https://www.kingmagazine.se/partner/inte-bara-roda-mattan-sa-fordriver-stjarnorna-tiden-nar-ingen-tittar/</t>
  </si>
  <si>
    <t>Hajper.com</t>
  </si>
  <si>
    <t>https://alltsomsker.nu/sveriges-internationella-dressyrframgangar/</t>
  </si>
  <si>
    <t>https://www.newst.se/hem-med-historia-vad-vi-verkligen-kan-lara-av-aldre-hus/</t>
  </si>
  <si>
    <t>https://www.newst.se/de-5-dyraste-sporterna/</t>
  </si>
  <si>
    <t>https://www.omkrets.se/sa-polerar-du-ett-slitet-golv-steg-for-steg-till-ett-snyggare-hem/</t>
  </si>
  <si>
    <t>maklarringen.se</t>
  </si>
  <si>
    <t>https://eventeffect.se/ska-du-halla-i-ett-event-testa-att-tanka-som-en-maklare/</t>
  </si>
  <si>
    <t>Mäklarringen</t>
  </si>
  <si>
    <t>https://eventeffect.se/de-vanligaste-festtemana-fast-garanterat-inte-som-du-upplevt-dem-forut/</t>
  </si>
  <si>
    <t>https://www.kungaslottet.se/jackpots/</t>
  </si>
  <si>
    <t>onlinecasino med jackpot</t>
  </si>
  <si>
    <t>indoorprofessional.se</t>
  </si>
  <si>
    <t>https://eventeffect.se/event-pa-offentlig-plats-tank-pa-detta/</t>
  </si>
  <si>
    <t>https://www.indoorprofessional.se/</t>
  </si>
  <si>
    <t>städfirma stockholm</t>
  </si>
  <si>
    <t>https://www.executiveeffect.se/fast-eller-rorlig-ranta/</t>
  </si>
  <si>
    <t>https://passioneffect.se/fordelar-med-att-betala-av-lanet-snabbare/</t>
  </si>
  <si>
    <t>samla lån + zmarta.se partial</t>
  </si>
  <si>
    <t>https://passioneffect.se/varfor-ar-maklaryrket-sa-populart/</t>
  </si>
  <si>
    <t>mäklare stockholm (partial)</t>
  </si>
  <si>
    <t>https://www.saleseffect.se/salj-luft-salj-ord-salj-design-i-comic-sans/</t>
  </si>
  <si>
    <t>https://invozio.com/fakturering-utan-foretag-2025?lang=sv-se</t>
  </si>
  <si>
    <t>fakturering utan företag</t>
  </si>
  <si>
    <t>https://www.saleseffect.se/konsten-att-salja-slumpen/</t>
  </si>
  <si>
    <t>online casino partial</t>
  </si>
  <si>
    <t>https://www.tidningen.se/annons/gransen-mellan-tidsfordriv-och-noje-finns-den/</t>
  </si>
  <si>
    <t>https://www.hajper.com/sv/casino/explore</t>
  </si>
  <si>
    <t>https://www.tidningen.se/annons/efter-casino-cosmopol-planerna-for-den-historiska-lokalen/</t>
  </si>
  <si>
    <t>ett ökat intresse för casino online</t>
  </si>
  <si>
    <t>https://ng.se/artiklar/de-mest-populara-prenumerationerna-2025-vad-sager-vara-val-om-oss</t>
  </si>
  <si>
    <t>https://www.djungeltrumman.se/roligare-nojen-med-hunden-som-basta-sallskap/</t>
  </si>
  <si>
    <t>https://ng.se/artiklar/nar-brod-kostar-som-guld-sa-sparar-du-pengar-i-matbutiken</t>
  </si>
  <si>
    <t>https://www.kingsizemag.se/okategoriserat/var-gar-gransen-mellan-hundlyx-och-mansklig-fafanga/</t>
  </si>
  <si>
    <t>https://www.djungeltrumman.se/utomlandskansla-i-sverige-5-platser-du-maste-besoka/</t>
  </si>
  <si>
    <t>upplevelser till oslagbara priser</t>
  </si>
  <si>
    <t>https://ng.se/artiklar/dags-for-ett-nytt-kapitel-karriarskiften-mitt-i-livet</t>
  </si>
  <si>
    <t>https://www.kingsizemag.se/okategoriserat/casino-lingo-har-ar-orden-du-behover-kunna/</t>
  </si>
  <si>
    <t>https://www.dbet.com/jackpots/ / https://www.dbet.com/live-casino/</t>
  </si>
  <si>
    <t>jackpottspel</t>
  </si>
  <si>
    <t>https://www.djungeltrumman.se/varldens-popularaste-mobilspel-och-antalet-nedladdningar/</t>
  </si>
  <si>
    <t>casino partial</t>
  </si>
  <si>
    <t>https://www.grontsamhallsbyggande.se/2025/05/26/sa-byggs-det-mer-klimatsmart-5-avgorande-nycklar-for-framtidens-samhallen/</t>
  </si>
  <si>
    <t>https://www.svenskbyggtidning.se/2025/05/27/de-vanligaste-hemmafix-fallorna/</t>
  </si>
  <si>
    <t>https://bokahandyman.se/handyman/</t>
  </si>
  <si>
    <t>handyman</t>
  </si>
  <si>
    <t>https://www.grontsamhallsbyggande.se/2025/05/26/klimatsmarta-losningar-i-hemmet/</t>
  </si>
  <si>
    <t>snickare</t>
  </si>
  <si>
    <t>https://www.dagensinfrastruktur.se/2025/05/27/sa-gor-du-bostadskarriar-2025/</t>
  </si>
  <si>
    <t>flytt</t>
  </si>
  <si>
    <t>https://www.campsite.se/camping/campingtillbehoren-som-ar-ett-maste-for-hundagaren/</t>
  </si>
  <si>
    <t>https://www.campsite.se/camping/den-moderna-camparens-packlista-9-prylar/</t>
  </si>
  <si>
    <t>https://uppsalabostad.se/uppsalas-basta-vyer/</t>
  </si>
  <si>
    <t>Fönster</t>
  </si>
  <si>
    <t>https://hustillsalu.se/innan-du-koper-hus-har-ar-5-underhallsbovar/</t>
  </si>
  <si>
    <t>https://valkomnahem.se/nej-du-far-inte-mala-ditt-hus-rosa-sa-styr-staten-fargen-pa-ditt-hem/</t>
  </si>
  <si>
    <t>https://foraldraguiden.se/tandvardsradsla-hos-barn-och-hur-du-som-foralder-hjalper-till/</t>
  </si>
  <si>
    <t>https://www.husohem.se/partner/jobba-hemifran-med-klass-en-guide-for-livsnjutaren/</t>
  </si>
  <si>
    <t>https://invozio.com/frilans-konsult-lon-fakturera-utan-foretag</t>
  </si>
  <si>
    <t>egenanställning</t>
  </si>
  <si>
    <t>https://eventeffect.se/trots-brons-hockey-vm-i-stockholm-blev-en-succe/</t>
  </si>
  <si>
    <t>https://www.mynewsdesk.com/se/spelklubben/news/tre-kronor-hetare-aen-champions-league-spelklubben-noterar-enorm-oekning-497646</t>
  </si>
  <si>
    <t>https://duochjobbet.se/smadetaljerna-pa-jobbet-som-star-for-den-stora-skillnaden/</t>
  </si>
  <si>
    <t>https://www.orienteringsmagasinet.se/smadetaljer-som-gor-skillnad-i-skogen/</t>
  </si>
  <si>
    <t>https://www.nettotobak.com/velo/</t>
  </si>
  <si>
    <t>https://www.varsity.co.uk/sponsored/how-online-casinos-like-mr-vegas-are-changing-digital-entertainment-for-students</t>
  </si>
  <si>
    <t>Mr. Vegas Online Casino</t>
  </si>
  <si>
    <t>https://www.husvagnochcamping.se/artiklar/annons/20250602/semesterlon-semesterlan-och-forsakringar-vad-du-behover-tanka-pa/</t>
  </si>
  <si>
    <t>Privatlån (Partial)</t>
  </si>
  <si>
    <t>https://www.kingmagazine.se/partner/kandisarna-som-gillar-att-spela/</t>
  </si>
  <si>
    <t>https://www.spelklubben.se/sv/casino/guides/progressiva-jackpottar-hur-de-vaxer-och-hur-du-kan-vinna-stort</t>
  </si>
  <si>
    <t>guide till progressiva jackpots</t>
  </si>
  <si>
    <t>https://www.industrinyheter.se/20250526/43981/hall-koll-pa-de-aktuella-arbetsmiljokraven-en-vag-till-sakrare-friskare</t>
  </si>
  <si>
    <t>https://aerius.se/ventilation-uppsala/</t>
  </si>
  <si>
    <t>ventalationsrengöring uppsala</t>
  </si>
  <si>
    <t>https://www.inredningsnyheter.se/20250526/20092/sa-far-du-din-personliga-stil-i-vardagen</t>
  </si>
  <si>
    <t>https://michaelofrisorerna.se/</t>
  </si>
  <si>
    <t>https://www.byggnyheter.se/20250526/32128/framtidens-badplatser-i-stockholm-5-nya-satsningar-som-forandrar-sommaren-2025</t>
  </si>
  <si>
    <t>https://www.industrinyheter.se/20250526/43982/framtidens-skargard-formas-nu-aktuella-projekt-som-forandrar-kusten</t>
  </si>
  <si>
    <t>https://www.vindkraftsnyheter.se/20250602/8692/flytande-vindkraftverk-framtidens-losning-energi-till-havs</t>
  </si>
  <si>
    <t>https://www.startmotor.se/batmotordelar</t>
  </si>
  <si>
    <t>Båtmotordelar</t>
  </si>
  <si>
    <t>https://www.transportochlogistik.se/20250602/21289/hur-gront-ar-det-att-frakta-pa-havet</t>
  </si>
  <si>
    <t>https://www.dagensfastigheter.se/20250602/12907/framtidens-fastigheter-steg-mot-ett-mer-hallbart-smart-boende</t>
  </si>
  <si>
    <t>https://www.byggnyheter.se/20250602/32149/stora-investeringar-i-grona-byggprojekt-2025</t>
  </si>
  <si>
    <t>https://www.byggnyheter.se/20250602/32150/svenska-byggfiaskon-genom-tiderna</t>
  </si>
  <si>
    <t>https://www.transportochlogistik.se/20250602/21290/last-mile-delivery-och-hur-amazon-pressar-en-hel-bransch</t>
  </si>
  <si>
    <t>https://www.sportochfritidsnyheter.se/20250602/4270/sa-undviker-du-att-bli-fotbollsfarsan-som-ingen-gillar</t>
  </si>
  <si>
    <t>https://www.byggnyheter.se/20250602/32151/den-moderna-arkitekturtanken-i-sverige-vi-vill-se-oss-sjalva-sa-mycket-vi-kan</t>
  </si>
  <si>
    <t>https://glassfactory.fi/sv/collections/speglar-med-belysning</t>
  </si>
  <si>
    <t>https://www.dagensfastigheter.se/20250602/12908/dig-som-vill-bo-utanfor-stockholmstullarna-men-behalla-storstadskanslan-da-ska-du-bo</t>
  </si>
  <si>
    <t>https://www.nykommun.se/2025/06/02/allt-fler-fritidshus-saljs-i-sverige/</t>
  </si>
  <si>
    <t>privatlån med förmånliga räntor</t>
  </si>
  <si>
    <t>https://www.transportochlogistik.se/20250623/21408/effektiv-flyttlogistik-sa-sparar-foretag-tid-och-pengar</t>
  </si>
  <si>
    <t>https://www.dagensfastigheter.se/20250623/12967/feng-shui-i-flyttlasset-sa-skapar-du-harmoni-i-nya-hemmet</t>
  </si>
  <si>
    <t>https://www.dagensfastigheter.se/20250623/12968/glom-inte-sakerheten-nar-du-ar-pa-sprang-med-din-hund</t>
  </si>
  <si>
    <t>https://gpser.se/produkter/gps-tracker/</t>
  </si>
  <si>
    <t>GPS tracker</t>
  </si>
  <si>
    <t>https://celebhub.co.uk/why-video-slots-are-a-growing-trend-at-online-casinos-in-the-uk/</t>
  </si>
  <si>
    <t>Videoslots Casino</t>
  </si>
  <si>
    <t>https://www.industritorget.se/nyheter/allt+annat+%c3%a4n+spel+/43279/</t>
  </si>
  <si>
    <t>https://www.dagensfastigheter.se/20250603/12912/smart-belysning-ett-maste-moderna-fastigheter</t>
  </si>
  <si>
    <t>https://www.sportochfritidsnyheter.se/20250603/4272/vad-ar-gps-tracking-inom-sport</t>
  </si>
  <si>
    <t>https://www.minifinder.se</t>
  </si>
  <si>
    <t>https://www.nykommun.se/2025/06/03/har-ar-foretagsviljan-storst-i-sverige/</t>
  </si>
  <si>
    <t>https://podcast24.co.uk/blog/10-podcasts-for-perfect-escapism-2025</t>
  </si>
  <si>
    <t>https://podcast24.co.uk/blog/10-podcasts-for-perfect-escapism-2025#:~:text=Mr%20Vegas%20wager%20free%20welcome%20offer</t>
  </si>
  <si>
    <t>Mr Vegas wager free welcome offer</t>
  </si>
  <si>
    <t>https://www.dagensfastigheter.se/20250701/12983/det-har-ska-du-tanka-pa-nar-du-koper-lagenhet-som-husdjursagare</t>
  </si>
  <si>
    <t>https://www.stockholmsbyggnyheter.se/20250701/6546/roren-som-haller-ihop-staden-stockholms-underjordiska-rorsystem</t>
  </si>
  <si>
    <t>4him4her.com</t>
  </si>
  <si>
    <t>https://www.sportochfritidsnyheter.se/20250701/4301/naturlig-energi-i-naturen-kombinera-fjallvandring-och-kosttillskott</t>
  </si>
  <si>
    <t>https://www.x/sv-se</t>
  </si>
  <si>
    <t>kosttillskott</t>
  </si>
  <si>
    <t>https://www.dagensfastigheter.se/20250701/12984/varfor-stockholms-bostadsmarknad-fortsatter-vara-ratt-investering</t>
  </si>
  <si>
    <t>https://www.maklarringen.se/maklare-regioner/region-stockholm</t>
  </si>
  <si>
    <t>mäklare i Stockholm</t>
  </si>
  <si>
    <t>https://mariefredstidning.se/2025/05/23/fran-bingolotto-till-blockchain-svensk-spelkultur-i-forandring/</t>
  </si>
  <si>
    <t>https://fragbite.se/all/news/58249/fran-clutch-till-kvitto--sa-far-gamers-betalt-pa-riktigt</t>
  </si>
  <si>
    <t>https://www.hometextilestoday.com/contributor-content/scandinavian-rugs-redefining-modern-interior-design/</t>
  </si>
  <si>
    <t>http://nordicknots.com/us</t>
  </si>
  <si>
    <t>https://www.happypancake.se/</t>
  </si>
  <si>
    <t>https://www.executiveeffect.se/en-oversikt-av-olika-speltyper-inom-casinovarlden/</t>
  </si>
  <si>
    <t>olika spelformer på nätcasinon som Kungaslottet</t>
  </si>
  <si>
    <t>https://hauteliving.com/2025/05/how-area-rugs-can-refine-a-space-with-sophistication/770686/</t>
  </si>
  <si>
    <t>https://www.hauteresidence.com/understanding-the-role-of-rugs-in-modern-scandinavian-design-principles/</t>
  </si>
  <si>
    <t>https://www.nordicknots.com/us</t>
  </si>
  <si>
    <t>Nordicknots</t>
  </si>
  <si>
    <t>https://www.washingtontimes.com/sponsored/counts-business-rethinking-risk-age-one-person-enterprises/</t>
  </si>
  <si>
    <t>https://euroweeklynews.com/2025/06/06/why-uk-players-are-flocking-to-online-casinos/</t>
  </si>
  <si>
    <t>MrVegas online casino</t>
  </si>
  <si>
    <t>https://sporttv.nu/</t>
  </si>
  <si>
    <t>spelklubben online casino</t>
  </si>
  <si>
    <t>https://www.sportingnews.com/us/culture/entertainment/news/evan-stewarts-injury-highlights-new-era-recovery-college-football/8fa28a6c85d36c22408c8709</t>
  </si>
  <si>
    <t>https://www.chattanoogarehab.com/us/</t>
  </si>
  <si>
    <t>Chattanooga Rehab</t>
  </si>
  <si>
    <t>https://www.energinyheter.se/20250701/33454/sa-energioptimerar-du-din-bat-smartare-somrar-pa-vattnet</t>
  </si>
  <si>
    <t>turner.fi</t>
  </si>
  <si>
    <t>https://pt-media.org/2025/06/11/alykodin-ratkaisut-jotka-nostavat-elintasoa/</t>
  </si>
  <si>
    <t>https://turner.fi/teollisuusovet/</t>
  </si>
  <si>
    <t>nosto-ovi</t>
  </si>
  <si>
    <t>https://luurituki.fi/sovellukset-jotka-saavat-elamasi-jarjestykseen-jotta-aikaa-jaa-muille-asioille/</t>
  </si>
  <si>
    <t>https://turner.fi/</t>
  </si>
  <si>
    <t>Turner</t>
  </si>
  <si>
    <t>https://www.byggnyheter.se/20250702/32309/renoveringsprojekt-allt-vanligare-i-sverige-anlita-ratt-hjalp-innan-du-saljer</t>
  </si>
  <si>
    <t>https://www.maklarringen.se/</t>
  </si>
  <si>
    <t>https://www.outdooractive.fi/fi/member/unelma-moekistae-luonnossa-kannattaa/318019812/</t>
  </si>
  <si>
    <t>joinstriveon.com</t>
  </si>
  <si>
    <t>https://www.gilbertsunnews.com/affiliate_content/how-digital-coaching-platforms-are-enabling-athletes-to-improve/article_8ab5e316-3d55-47a8-be0c-f89c300d47e7.html</t>
  </si>
  <si>
    <t>https://joinstriveon.com/</t>
  </si>
  <si>
    <t>athlete management software</t>
  </si>
  <si>
    <t>https://www.sfexaminer.com/marketplace/the-new-role-of-ai-assistants-in-work-life-and-understanding/article_8b82e9d9-453f-4c42-8630-49c27a30ad60.html</t>
  </si>
  <si>
    <t>https://villaprojekt.se/sakra-din-investering-med-forsakringar-for-solceller-i-bostader/</t>
  </si>
  <si>
    <t>https://hemforalla.se/forsakringar-for-solcellsanlaggningar-ger-trygghet-i-ditt-hem/</t>
  </si>
  <si>
    <t>https://hobbybyggare.se/att-skriva-sin-forsta-bok-som-en-hobby-och-fa-hjalp-med-publicering/</t>
  </si>
  <si>
    <t>https://villahagen.se/tjanster-for-fastighetsaffarer-i-trosa-och-viktiga-verktyg-att-kanna-till/</t>
  </si>
  <si>
    <t>https://retrohus.se/att-inreda-hemmet-for-hundens-valbefinnande-och-trivsel/</t>
  </si>
  <si>
    <t>https://bolagshistorik.se/forenkla-lonehanteringen-med-effektiva-systemlosningar-for-foretag/</t>
  </si>
  <si>
    <t>https://bonusfamiljer.se/ett-vackert-leende-for-hela-familjen-med-skalfasader/</t>
  </si>
  <si>
    <t>https://direktbygg.se/mattor-som-forvandlar-ditt-hem-vid-byggnation-och-renovering/</t>
  </si>
  <si>
    <t>https://bonusfamiljer.se/hundens-matval-for-hela-familjen/</t>
  </si>
  <si>
    <t>https://skaparum.se/belysningens-betydelse-i-byggprocessen-for-ett-funktionellt-hem/</t>
  </si>
  <si>
    <t>https://smartkonstruktion.se/batbatteriets-betydelse-for-sakerheten-pa-byggarbetsplatser/</t>
  </si>
  <si>
    <t>https://direktbygg.se/viktiga-reservdelar-for-att-halla-din-volvo-penta-batmotor-i-toppskick/</t>
  </si>
  <si>
    <t>https://ladycare.se/effektiv-viktnedgang-for-kvinnor-genom-vetenskapsbaserade-metoder/</t>
  </si>
  <si>
    <t>https://villaprojekt.se/flexibla-losningar-for-foretagsbostader-i-sverige/</t>
  </si>
  <si>
    <t>https://mittvitahus.se/moblerade-foretagsbostader-i-stockholm-som-flexibel-boendelosning/</t>
  </si>
  <si>
    <t>https://hemforalla.se/papper-som-kompletterar-ditt-hem-och-kontor/</t>
  </si>
  <si>
    <t>https://villahagen.se/laga-priser-pa-kontorsmaterial-for-ditt-hem-och-foretag/</t>
  </si>
  <si>
    <t>https://nybyggdahus.se/vikten-av-professionell-vvs-service-for-ditt-hem-i-taby/</t>
  </si>
  <si>
    <t>https://nutidshuset.se/viktigheten-av-professionell-rormokartjanst-for-ditt-hem-i-stockholm/</t>
  </si>
  <si>
    <t>https://smartkonstruktion.se/professionell-taklaggning-for-lantbruksbyggnader-i-sodra-sverige/</t>
  </si>
  <si>
    <t>https://bolagsekonomen.se/vikten-av-att-byta-tak-pa-maskinhallar-for-att-sakerstalla-langsiktig-verksamhet/</t>
  </si>
  <si>
    <t>https://direktbygg.se/kvalitetsservice-for-din-bil-sa-paverkar-det-byggindustrin-i-tyreso/</t>
  </si>
  <si>
    <t>https://smartkonstruktion.se/bilverkstadens-betydelse-for-byggbranschens-transportlosningar-i-tyreso/</t>
  </si>
  <si>
    <t>https://feriebloggen.se/skidvalla-for-din-nasta-vinterresa/</t>
  </si>
  <si>
    <t>https://familjochfritid.se/att-hitta-ratt-tandlakare-for-hela-familjen-i-stockholm/</t>
  </si>
  <si>
    <t>https://digitalfamilj.se/tio-basta-tandlakarna-i-goteborg-for-hela-familjen/</t>
  </si>
  <si>
    <t>https://smartkonstruktion.se/sakerhetslosningar-ar-avgorande-for-byggprojektets-framgang/</t>
  </si>
  <si>
    <t>https://mammatid.se/personlig-harvard-for-kvinnor-pa-sodermalm/</t>
  </si>
  <si>
    <t>https://gladafamiljer.se/smidiga-kop-av-barnprodukter-for-hela-familjen/</t>
  </si>
  <si>
    <t>https://alltombeauty.se/vikten-av-akut-tandvard-for-ditt-leende-och-skonhet/</t>
  </si>
  <si>
    <t>https://veganbeauty.se/forbattra-din-hudhalsa-med-professionella-behandlingar-inom-skonhet/</t>
  </si>
  <si>
    <t>https://digitalfritid.se/bilvard-som-en-passion-hall-din-bil-i-basta-skick-som-hobby/</t>
  </si>
  <si>
    <t>https://hobbybyggare.se/kvalitetsprodukter-for-bilvard-gor-hobbyn-annu-roligare/</t>
  </si>
  <si>
    <t>https://businessinsight.com/choosing-the-right-business-insurance-a-strategic-advantage-for-entrepreneurs/</t>
  </si>
  <si>
    <t>Small business insurance</t>
  </si>
  <si>
    <t>https://hockeynews.se/nyheter/kombinationen-av-hockey-och-spel-fran-betting-till-nostalgiskt-bordshockey</t>
  </si>
  <si>
    <t>https://www.dbet.com/sports/</t>
  </si>
  <si>
    <t>dbet odds och betting</t>
  </si>
  <si>
    <t>https://www.citybeat.com/contributor-news/electrical-stimulation-is-gaining-ground-19729186</t>
  </si>
  <si>
    <t>https://www.digitaljournal.com/business/making-the-digital-leap-how-crms-are-improving-roofing-operations/article</t>
  </si>
  <si>
    <t>https://leaptodigital.com</t>
  </si>
  <si>
    <t>https://usa.inquirer.net/173676/why-crm-technology-is-making-waves-in-the-roofing-industry</t>
  </si>
  <si>
    <t>https://www.citybeat.com/contributor-news/boosting-roofing-business-performance-through-specialized-crm-solutions-19729184</t>
  </si>
  <si>
    <t>https://financedigest.com/insurtech-spotlight-simplifying-coverage-for-small-businesses-cmbuy16ie000sa71il7i9op1j/</t>
  </si>
  <si>
    <t>Gild Insurance is here to assist</t>
  </si>
  <si>
    <t>https://www.food-supply.se/lb-article/181616/de-har-kraven-maste-livsmedel-uppfylla-for-att-fa-saljas-i-sverige</t>
  </si>
  <si>
    <t>http://hund.se/hundgodis</t>
  </si>
  <si>
    <t>https://tvohjelmat.com/mita-sina-katsot-tana-iltana-tassa-vinkkeja-parhaista-ohjelmista/</t>
  </si>
  <si>
    <t>https://turner.fi/autotallin-ovet-ja-oviremontti/</t>
  </si>
  <si>
    <t>autotallin nosto-ovi</t>
  </si>
  <si>
    <t>https://calbizjournal.com/how-unified-coaching-software-is-ending-the-spreadsheet-chaos/</t>
  </si>
  <si>
    <t>Striveon</t>
  </si>
  <si>
    <t>https://www.growthnavigate.com/digital-first-insurance-why-platforms-like-gild-insurance-are-gaining-traction</t>
  </si>
  <si>
    <t>https://marketrealist.com/insurance/business-insurance-shields-small-companies/</t>
  </si>
  <si>
    <t>https://www.metrotimes.com/contributor-news/how-coaching-platforms-are-changing-athlete-development-39720561</t>
  </si>
  <si>
    <t>https://joinstriveon.com/solutions/training-management</t>
  </si>
  <si>
    <t>training management software</t>
  </si>
  <si>
    <t>https://www.offthemrkt.com/lifestyle/going-big-in-smaller-spaces-how-area-rugs-can-beautify-and-expand-living</t>
  </si>
  <si>
    <t>https://www.nordicknots.com/us/rugs</t>
  </si>
  <si>
    <t>https://www.citybeat.com/contributor-news/why-rugs-are-becoming-the-focal-point-of-interior-design-in-2025-19775755</t>
  </si>
  <si>
    <t>https://www.nordicknots.com/us/custom-rugs</t>
  </si>
  <si>
    <t>https://radaronline.com/p/increased-popularity-of-nicotine-pouches/</t>
  </si>
  <si>
    <t>https://www.etlehti.fi/blogit/vinkkeja/kayta-autokauppiasta-hyodyksesi-ja-saasta-aikaa-muuhun-auton-myynnin-yhteydessa</t>
  </si>
  <si>
    <t>https://www.etlehti.fi/blogit/vinkkeja/suunnittele-fiksusti-ja-tee-kodista-viihtyisa-uusilla-puutarhakalusteilla</t>
  </si>
  <si>
    <t>https://www.etlehti.fi/blogit/vinkkeja/vinkkeja-unelmiesi-kodin-loytamiseen-lainoja-vertaamalla</t>
  </si>
  <si>
    <t>https://www.alennuskoodi.fm/kun-turvallisuus-tarkeampaa-kuin-alennus-turvallista-alykasta-ja-tyylikasta-turnerilla/</t>
  </si>
  <si>
    <t>realitytopp.se</t>
  </si>
  <si>
    <t>www.spelklubben.se/sv/casino</t>
  </si>
  <si>
    <t>bild</t>
  </si>
  <si>
    <t>https://www.ihus.nu/quick-fixes-sa-undviker-du-snusflackar-och-listdamm/</t>
  </si>
  <si>
    <t>https://www.omkrets.se/ljusets-roll-i-samtidens-arkitektur-mer-an-bara-funktion/</t>
  </si>
  <si>
    <t>https://www.foodnet.se/lb-article/181646/maten-som-ar-bra-for-leendet-sa-ater-du-dig-till-ett-friskare-vackrare-leende</t>
  </si>
  <si>
    <t>https://www.food-supply.se/lb-article/181647/maten-du-bor-undvika-efter-tandbehandlingar-en-guide-till-snabbare-lakning-battre-munhalsa</t>
  </si>
  <si>
    <t>https://www.transportnet.se/lb-article/181648/darfor-ar-sjovagen-popularast-for-frakt-sarskilt-nar-effektivitet-star-i-fokus</t>
  </si>
  <si>
    <t>https://www.cleannet.se/lb-article/181649/hur-ett-rent-stadat-samhalle-framjar-var-halsa</t>
  </si>
  <si>
    <t>städfirma i stockholm</t>
  </si>
  <si>
    <t>https://affarsstaden.se/aditorial/5-branscher-som-vuxit-med-stormsteg-i-sverige/</t>
  </si>
  <si>
    <t>progressiva jackpots</t>
  </si>
  <si>
    <t>https://www.formel1.se/upptack-varlden-av-f1-betting/</t>
  </si>
  <si>
    <t>betta på F1</t>
  </si>
  <si>
    <t>https://www.vegatus.se/att-ga-ner-i-vikt-med-lakemedel-kan-det-vara-sakert/</t>
  </si>
  <si>
    <t>https://www.newst.se/5-saker-att-fordriva-tiden-med-under-semestern/</t>
  </si>
  <si>
    <t>https://www.mrvegas.com/sv/</t>
  </si>
  <si>
    <t>MrVegas casino</t>
  </si>
  <si>
    <t>https://www.haapavesi-lehti.fi/artikkeli/nain-se-toimii-kun-autokauppias-ostaa-autosi-ja-sina-valtat-kaiken-vaivan</t>
  </si>
  <si>
    <t>https://intomoda.fi/ihmiset/luo-oma-kesaparatiisisi/</t>
  </si>
  <si>
    <t>https://www.haapavesi-lehti.fi/artikkeli/nain-loydat-parhaan-lainan-lainavertailu-palvelulla-zmarta</t>
  </si>
  <si>
    <t>https://diginyt.fi/lainaa-fiksummin-nain-loydat-juuri-sinulle-parhaan-lainan/</t>
  </si>
  <si>
    <t>https://www.ykkoslohja.fi/koti-keskiossa-nain-voit-parantaa-talosi-ulkonakoa-ja-lisata-mukavuutta/</t>
  </si>
  <si>
    <t>https://intomoda.fi/uncategorized/viisi-tapaa-luoda-rauhallisuutta-kotona-jo-eteisesta/</t>
  </si>
  <si>
    <t>https://www.digitalconnectmag.com/how-to-find-love-amidst-a-busy-career/</t>
  </si>
  <si>
    <t>https://www.thewrongwayhome.com/can-travel-help-men-improve-their-love-life/</t>
  </si>
  <si>
    <t>https://newsdipper.co.uk/top-vintage-trends-of-2025-and-how-to-incorporate-them-into-your-look</t>
  </si>
  <si>
    <t>https://esnachricht.de/umstieg-auf-warmepumpen-wie-macht-man-es-richtig/</t>
  </si>
  <si>
    <t>https://northfortynews.com/category/how-to/why-single-use-aluminum-bottled-water-is-becoming-the-go-to-choice-for-event-hydration/</t>
  </si>
  <si>
    <t>https://vitamagazine.com/?p=83959&amp;preview=1&amp;_ppp=0c9c017b06</t>
  </si>
  <si>
    <t>https://livepositively.com/why-aluminum-water-bottles-offer-a-practical-path-to-healthier-living-and-environmental-responsibility/</t>
  </si>
  <si>
    <t>https://northfortynews.com/category/how-to/top-tips-for-training-your-dog-to-stay-safe-outdoors/</t>
  </si>
  <si>
    <t>https://www.digitalconnectmag.com/the-ultimate-guide-to-keeping-your-dog-safe-with-smart-technology/</t>
  </si>
  <si>
    <t>https://www.technology.org/2025/06/16/the-growing-trend-of-automated-pet-care-from-feeding-to-waste-management/</t>
  </si>
  <si>
    <t>https://esnachricht.de/sommerblusen-2025-im-skandinavischen-stil-trends-fur-einen-minimalistischen-look/</t>
  </si>
  <si>
    <t>https://schwerin-lokal.de/gewaechshaus-kaufen-schwerin/</t>
  </si>
  <si>
    <t>https://www.goruma.de/service/reise-und-verbrauchertipps/tropische-fruechte-im-garten-anpflanzen</t>
  </si>
  <si>
    <t>https://www.otsnews.co.uk/how-technology-makes-online-casinos-better-than-ever/</t>
  </si>
  <si>
    <t>brand + casino (in a sentence)</t>
  </si>
  <si>
    <t>https://trendlandmagazine.com/how-online-casinos-fit-into-the-modern-leisure-scene-and-lifestyle/</t>
  </si>
  <si>
    <t>online casino (exact)</t>
  </si>
  <si>
    <t>https://londynek.net/czytelnia/Online%20Gambling%20in%20the%20UK%3A%20A%20Quick%20Guide%2Cczytelnia,/czytelnia/article?jdnews_id=4953382</t>
  </si>
  <si>
    <t>https://www.mrvegas.com/mobile/welcome-bonus/</t>
  </si>
  <si>
    <t>mr vegas welcome bonus</t>
  </si>
  <si>
    <t>https://www.ehandelslösningar.se/en-90-talist-minns-vagen-till-swish-och-hur-varlden-hamnade-bakom/</t>
  </si>
  <si>
    <t>https://lanbyte.se/byta-lan-under-bindningstid-gar-det/</t>
  </si>
  <si>
    <t>lån utan säkerhet</t>
  </si>
  <si>
    <t>https://eventeffect.se/vilka-forandringar-kan-eventbranschen-forvanta-sig-de-narmaste-aren/</t>
  </si>
  <si>
    <t>https://eventeffect.se/sveriges-dyraste-evenemang-sa-mycket-kostar-de-att-anordna/</t>
  </si>
  <si>
    <t>https://eventeffect.se/eurovision-logistiken-bakom-varldens-mest-komplicerade-show/</t>
  </si>
  <si>
    <t>minifinder (sätt i kontext runt gps tracker)</t>
  </si>
  <si>
    <t>https://www.saleseffect.se/hur-du-som-saljare-kan-sticka-ut-ur-mangden/</t>
  </si>
  <si>
    <t>Tandläkare i Göteborg</t>
  </si>
  <si>
    <t>https://www.executiveeffect.se/ledarskapets-spegelbild-vad-reflekterar-du-egentligen/</t>
  </si>
  <si>
    <t>https://www.executiveeffect.se/spelbranschens-strategiska-skifte-insikter-for-beslutsfattare/</t>
  </si>
  <si>
    <t>online casino (partial)</t>
  </si>
  <si>
    <t>https://www.damfotboll.com/nyheter/bloggar/darfor-ar-betting-extra-spannande-i-damfotboll</t>
  </si>
  <si>
    <t>bra betting odds</t>
  </si>
  <si>
    <t>https://www.di.se/brandstudio/zmarta/sa-kan-du-fa-lika-lag-ranta-som-banktopparna/</t>
  </si>
  <si>
    <r>
      <rPr>
        <u/>
        <sz val="9"/>
        <color rgb="FF1155CC"/>
        <rFont val="Roboto Mono"/>
      </rPr>
      <t>https://www.zmarta.se</t>
    </r>
    <r>
      <rPr>
        <sz val="9"/>
        <rFont val="Roboto Mono"/>
      </rPr>
      <t xml:space="preserve"> (och) </t>
    </r>
    <r>
      <rPr>
        <u/>
        <sz val="9"/>
        <color rgb="FF1155CC"/>
        <rFont val="Roboto Mono"/>
      </rPr>
      <t>https://www.zmarta.se/lana-pengar</t>
    </r>
  </si>
  <si>
    <t>Jämför lån och räntor hos Zmarta (och) Jämför erbjudanden från flera banker hos Zmarta innan du ska låna pengar</t>
  </si>
  <si>
    <t>https://www.di.se/brandstudio/upplevelse/sverige-vill-ga-om-danmark-i-turistkampen/</t>
  </si>
  <si>
    <t>https://www.upplevelse.com/</t>
  </si>
  <si>
    <t>Läs mer hos Upplevelse</t>
  </si>
  <si>
    <t>https://podcast24.co.uk/blog/exploring-wealth-understanding-the-fascination-about-finance-in-young-people-2025</t>
  </si>
  <si>
    <t>https://duochjobbet.se/de-har-forvantningarna-finns-pa-dig-som-nyanstalld/</t>
  </si>
  <si>
    <t>merchoteket.se</t>
  </si>
  <si>
    <t>https://www.newst.se/fran-tygpasar-till-t-shirts-varfor-vi-aldrig-trottnar-pa-klassisk-merch/</t>
  </si>
  <si>
    <t>https://merchoteket.se/collections/muggar</t>
  </si>
  <si>
    <t>merch</t>
  </si>
  <si>
    <t>https://igamingindustry.org/sv/blogg-sv/casinospelens-evolution-fran-enarmade-banditer-till-storytelling/</t>
  </si>
  <si>
    <t>https://igamingindustry.org/sv/blogg-sv/sa-hittar-du-spelupplevelser-som-passar-din-personlighet/</t>
  </si>
  <si>
    <t>https://www.megariches.com/sv/</t>
  </si>
  <si>
    <t>https://readwrite.com/electrical-stimulation/</t>
  </si>
  <si>
    <t>https://www.husohem.se/partner/casino-med-lyx-hemma-sa-inreder-du-for-att-skapa-las-vegas-kansla/</t>
  </si>
  <si>
    <t>spela casino på en av världens mest kända casinoanläggningar</t>
  </si>
  <si>
    <t>https://www.utemagasinet.se/partner/7-spannande-aventyr-pa-semestern-fran-fjallvandring-till-fotboll/</t>
  </si>
  <si>
    <t>experternas tips på betting på fotboll</t>
  </si>
  <si>
    <t>https://www.ihus.nu/vaxter-som-alskar-ditt-fonster-och-de-som-trivs-i-badrummet/</t>
  </si>
  <si>
    <t>https://www.vegatus.se/tandblekning-som-terapeut/</t>
  </si>
  <si>
    <t>tandblekning stockholm</t>
  </si>
  <si>
    <t>https://thecastle.nu/fran-ide-till-succe-vikten-av-malgruppsanpassning/</t>
  </si>
  <si>
    <t>comfydence.se</t>
  </si>
  <si>
    <t>https://www.vegatus.se/8-life-hacks-for-ett-halsosammare-liv/</t>
  </si>
  <si>
    <t>https://comfydence.se/collections/menstrosor</t>
  </si>
  <si>
    <t>menstrosor</t>
  </si>
  <si>
    <t>https://kulturkompis.nu/synen-pa-casinospel-runtom-i-varlden/</t>
  </si>
  <si>
    <t>Mr Vegas casino</t>
  </si>
  <si>
    <t>https://www.vegatus.se/7-satt-som-din-kropp-speglar-ditt-maende/</t>
  </si>
  <si>
    <t>frisör Södermalm</t>
  </si>
  <si>
    <t>https://www.rolighetsteorin.se/hur-overlever-man-trista-jobbmoten-anvand-humor-pa-arbetsplatsen/</t>
  </si>
  <si>
    <t>roliga muggar</t>
  </si>
  <si>
    <t>https://www.svenskbyggtidning.se/2025/06/29/vad-gor-en-bra-stadsdel-7-avgorande-faktorer-for-hallbar-utveckling/</t>
  </si>
  <si>
    <t>https://www.dagensinfrastruktur.se/2025/06/29/sa-vet-du-om-ditt-nybygge-ar-en-bra-investering/</t>
  </si>
  <si>
    <t>https://www.grontsamhallsbyggande.se/2025/06/29/satsa-pa-klimatsmarta-renoveringar-nar-du-fixar-i-hemmet/</t>
  </si>
  <si>
    <t>boka handyman</t>
  </si>
  <si>
    <t>https://www.nordiskaprojekt.se/2025/06/29/den-nordiska-skogsindustrin-rotter-i-naturen-kraft-i-vardagen/</t>
  </si>
  <si>
    <t>https://www.grontsamhallsbyggande.se/2025/06/29/hallbar-kultur-konst-framtidens-uttryck-i-ett-gront-samhalle/</t>
  </si>
  <si>
    <t>https://www.tidningen.se/annons/de-svaraste-sporterna-att-betta-pa/</t>
  </si>
  <si>
    <t>https://www.tidningen.se/annons/att-lana-ar-en-svensk-livsstil-men-har-vi-rad/</t>
  </si>
  <si>
    <t>https://www.tidningen.se/annons/slottet-som-ingen-talar-om-men-som-alla-spelar-i/</t>
  </si>
  <si>
    <t>https://www.kungaslottet.se/</t>
  </si>
  <si>
    <t>https://www.swesub.nu/filmkunskap/internationella-filmer-och-serier-som-bygger-pa-svenska-ideer/</t>
  </si>
  <si>
    <t>https://www.swesub.nu/filmkunskap/klassiska-fargpaletter-i-film-nar-farg-och-ljus-blir-till-budskap/</t>
  </si>
  <si>
    <t>https://www.ihus.nu/glom-inte-sakerheten-nar-du-ar-pa-sprang-med-din-hund/</t>
  </si>
  <si>
    <t>https://www.newst.se/sa-far-du-de-basta-stranddagarna-i-sommar/</t>
  </si>
  <si>
    <t>https://comfydence.se/collections/badtrosor</t>
  </si>
  <si>
    <t>menstrosor för bad</t>
  </si>
  <si>
    <t>https://bovision.se/inspiration/inredningstrender-2025-hem-med-stil-och-haallbarhet</t>
  </si>
  <si>
    <t>https://www.boupplysningen.se/flytta/saker-till-forsta-hemmet</t>
  </si>
  <si>
    <t>https://www.ekonomifokus.se/bostad/salja-bostad-guide/styla-bostaden-sjalv-infor-forsaljning-tips-och-rad</t>
  </si>
  <si>
    <t>https://thesource.com/2025/06/30/ai-assisstant-platforms/</t>
  </si>
  <si>
    <t>https://klockfeber.se/hur-du-gor-det-mesta-av-din-tid-efter-jobbet/</t>
  </si>
  <si>
    <t>Kungaslottet</t>
  </si>
  <si>
    <t>Violamilano.com</t>
  </si>
  <si>
    <t>https://www.washingtontimes.com/sponsored/italian-tailoring-refined-craftsmanship-endures/</t>
  </si>
  <si>
    <t>https://www.violamilano.com/</t>
  </si>
  <si>
    <t>Viola Milano</t>
  </si>
  <si>
    <t>https://myslandet.se/blogg/varldens-mysigaste-matta-ar-korad/</t>
  </si>
  <si>
    <t>https://ecommunity.se/redovisningsbranschen-i-forandring-automatisering-och-radgivning-i-fokus/</t>
  </si>
  <si>
    <t>https://www.kleer.se/ekonomisystem/bokforingsprogram/</t>
  </si>
  <si>
    <t>automatiserad bokföring</t>
  </si>
  <si>
    <t>https://www.byggnyheter.se/20250623/32266/underlatta-hemmabygget-med-experthjalp</t>
  </si>
  <si>
    <t>https://www.newst.se/psykologin-bakom-oforglomliga-maltider/</t>
  </si>
  <si>
    <t>spela online casino hos Hajper,</t>
  </si>
  <si>
    <t>https://www.praktisktbatagande.se/partner/sa-valjer-du-ratt-privatlan-for-att-kopa-bat-undvik-fallgroparna</t>
  </si>
  <si>
    <t>https://www.utemagasinet.se/partner/inget-planerat-i-sommar-har-ar-tips-pa-friluftsaktiviteter-med-en-twist/</t>
  </si>
  <si>
    <t>https://www.videoslots.com/sv/</t>
  </si>
  <si>
    <t>https://www.adaptnetwork.com/lifestyle/health-fitness/why-cold-packs-are-an-essential-tool-in-injury-management/</t>
  </si>
  <si>
    <t>cold pack</t>
  </si>
  <si>
    <t xml:space="preserve">cold pack </t>
  </si>
  <si>
    <t>https://www.orderhero.se/restauranger-och-fik-som-din-hund-far-hanga-med-och-ata-pa/</t>
  </si>
  <si>
    <t>https://www.orderhero.se/ratt-snus-till-ratt-vin-en-ny-varld-av-smakupplevelser/</t>
  </si>
  <si>
    <t>https://tvprogram.nu/blogg/tv-tittande-och-digitalisering-sa-har-underhallningen-forndrats-i-sverige</t>
  </si>
  <si>
    <t>https://www.megariches.com/sv/welcome-bonus/</t>
  </si>
  <si>
    <t>välkomstbonus</t>
  </si>
  <si>
    <t>https://www.orderhero.se/de-basta-restaurangalternativen-i-stockholm-och-hur-du-sparar-pa-hemleverans/</t>
  </si>
  <si>
    <t>https://www.maklarringen.se/upptack-maklarringen/bostadsjuridik-ekonomi/det-har-maste-du-tanka-bort-nar-du-ar-pa-lagenhetsvisning</t>
  </si>
  <si>
    <t>http://rusta.com/sv-se/hem-och-inredning/belysning</t>
  </si>
  <si>
    <t>https://www.maklarringen.se/upptack-maklarringen/bostadsjuridik-ekonomi/hur-betalar-man-egentligen-for-en-lagenhet</t>
  </si>
  <si>
    <t>https://www.maklarringen.se/upptack-maklarringen/bostadsjuridik-ekonomi/trygghet-i-boendemiljon</t>
  </si>
  <si>
    <t>https://sesec.se/</t>
  </si>
  <si>
    <t>https://thesource.com/2025/07/02/italian-menswear/</t>
  </si>
  <si>
    <t>Violamilano</t>
  </si>
  <si>
    <t>https://www.sfweekly.com/marketplace/why-small-business-insurance-is-an-essential-business-tool/article_4b263f36-8549-4edc-871c-495f956331f1.html</t>
  </si>
  <si>
    <t>https://londoninsider.co.uk/the-important-thing-is-that-the-environment-matches-the-purpose-of-the-meeting/</t>
  </si>
  <si>
    <t>https://www.ibtimes.co.uk/methods-companies-should-use-increase-creativity-1737497</t>
  </si>
  <si>
    <t>Videslots</t>
  </si>
  <si>
    <t>https://www.ibtimes.co.uk/who-has-better-leadership-style-introverts-extroverts-1737492</t>
  </si>
  <si>
    <t>Mega riches online casino</t>
  </si>
  <si>
    <t>https://www.ibtimes.co.uk/lessons-that-investors-can-learn-casino-industry-1737490</t>
  </si>
  <si>
    <t>the best online casino</t>
  </si>
  <si>
    <t>https://www.swaggermagazine.com/fashion-2/the-understated-relevance-of-mens-ties-in-the-modern-world/</t>
  </si>
  <si>
    <t>https://www.violamilano.com/product-category/ties</t>
  </si>
  <si>
    <t>men's tie</t>
  </si>
  <si>
    <t>https://hudsonweekly.com/the-power-of-crm-a-game-changer-for-the-roofing-industry/</t>
  </si>
  <si>
    <t>https://www.sfweekly.com/marketplace/how-roofing-crm-systems-streamline-project-management/article_4d19dd60-9104-4cf0-83b1-d0d4ecee00c3.html</t>
  </si>
  <si>
    <t>https://www.sfweekly.com/marketplace/revolutionizing-coaching-the-power-of-a-great-digital-platform/article_244ded29-babb-4db4-b7fc-7fde9d3e5e6a.html</t>
  </si>
  <si>
    <t>coaching platform</t>
  </si>
  <si>
    <t>https://thesource.com/2025/07/01/digital-solutions-simplify-coaching-success/</t>
  </si>
  <si>
    <t>https://www.sandiegoreader.com/contributor/readernews/how-electrical-stimulation-supports-recovery-and-pain-relief/</t>
  </si>
  <si>
    <t>https://www.argonautnews.com/affiliate_content/stop-drowning-in-admin-work-understanding-training-management-software/article_8f0b4daa-65a8-45df-944b-2c1ee2143203.html</t>
  </si>
  <si>
    <t>https://www.nykommun.se/2025/07/07/allt-fler-svenskar-bor-i-gated-communities/</t>
  </si>
  <si>
    <t>https://www.kingmagazine.se/partner/det-moderna-sallskapsspelet-risktagande-och-beloning/</t>
  </si>
  <si>
    <t>spela casino hos MrVegas</t>
  </si>
  <si>
    <t>https://nyweekly.com/health/how-using-cold-packs-is-essential-in-injury-management/</t>
  </si>
  <si>
    <t>https://www.dailypioneer.com/2025/impact/small-business-insurance-coverage-is-the-foundation-for-growth-and-success.html</t>
  </si>
  <si>
    <t>https://www.dailypioneer.com/2025/impact/digital-innovation-drives-contractors-toward-roofing-crm-software-for-company-growth.html</t>
  </si>
  <si>
    <t>https://www.allaannonser.se/samarb-kopplahund.html</t>
  </si>
  <si>
    <t>https://www.allaannonser.se/samarb-viktigaprodukterbarn.html</t>
  </si>
  <si>
    <t>https://www.allaannonser.se/samarb-mentalutmaning.html</t>
  </si>
  <si>
    <t>casino online som mega riches</t>
  </si>
  <si>
    <t>https://www.considerable.com/shockwave-therapy/</t>
  </si>
  <si>
    <t>Shockwave therapy machine</t>
  </si>
  <si>
    <t>https://marketsherald.com/small-business-big-questions-finding-the-right-insurance-policy/</t>
  </si>
  <si>
    <t>https://thesource.com/2025/07/08/rugs-interior-design-importance/</t>
  </si>
  <si>
    <t>https://www.argonautnews.com/affiliate_content/how-area-rugs-can-transform-a-room-without-major-renovation/article_0dfd6b6f-5b2a-4203-aa5e-b2efd3647a7e.html</t>
  </si>
  <si>
    <t>https://www.sciencetimes.com/articles/60498/20250711/how-businesses-use-ai-agents-streamline-daily-operations.htm</t>
  </si>
  <si>
    <t>https://himala.ai</t>
  </si>
  <si>
    <t>https://bettingsyndikatet.se/speltips/uncategorized/upptack-unika-satt-att-betta-pa-ditt-favoritfotbollslag/</t>
  </si>
  <si>
    <t>https://www.bethard.com/sv/sports/fotboll?tab=liveAndUpcoming</t>
  </si>
  <si>
    <t>betta på fotboll</t>
  </si>
  <si>
    <t>https://www.futuristarchitecture.com/128213-custom-rugs-designed-to-fit-every-space-and-style.html</t>
  </si>
  <si>
    <t>https://www.thehypemagazine.com/2025/07/15/the-role-of-rugs-in-modern-interior-design/</t>
  </si>
  <si>
    <t>https://www.digitaljournal.com/life/goodbye-sedentary-lifestyle-why-stretching-and-staying-active-matters/article</t>
  </si>
  <si>
    <t>shockwave therapy machines</t>
  </si>
  <si>
    <t>https://wwww.nykommun.se/2025/07/21/foretagande-moter-verklighet-en-rora-av-flyttkartonger-och-kaffeflackar/</t>
  </si>
  <si>
    <t>https://retrohus.se/forsakringar-for-solceller-skydd-och-trygghet-i-ditt-boende/</t>
  </si>
  <si>
    <t>https://familjenshemsida.se/vikten-av-att-valja-ratt-produkter-for-din-hunds-valmaende-i-familjen/</t>
  </si>
  <si>
    <t>https://businessagent.se/effektivisera-lonehantering-med-molnbaserade-system-for-foretag/</t>
  </si>
  <si>
    <t>Motoroptimering</t>
  </si>
  <si>
    <t>https://boendekatalogen.se/mattor-som-forvandlar-ditt-hem-till-en-oas-av-stil-och-komfort/</t>
  </si>
  <si>
    <t>https://husresan.se/ratt-belysning-for-ditt-hem-skapar-trivsel-och-atmosfar/</t>
  </si>
  <si>
    <t>https://fargruppen.se/batbatteri-for-mannen-pa-sjon/</t>
  </si>
  <si>
    <t>https://pappagruppen.se/marin-och-industrimotorer-for-man-i-alla-aldrar/</t>
  </si>
  <si>
    <t>https://alltombeauty.se/vikten-av-vetenskap-i-skonhet-och-halsa/</t>
  </si>
  <si>
    <t>https://kundkarma.se/viktigheten-av-ratt-kontorsmaterial-for-foretagets-framgang/</t>
  </si>
  <si>
    <t>https://byggupp.se/vvs-tjanster-som-hojer-kvaliteten-i-byggprojekt-i-stockholm/</t>
  </si>
  <si>
    <t>https://fargruppen.se/vikten-av-att-valja-ratt-bilverkstad-for-man-i-tyreso/</t>
  </si>
  <si>
    <t>https://dagensfar.se/bilreparationer-och-service-med-fokus-pa-mans-behov-i-tyreso/</t>
  </si>
  <si>
    <t>https://dambloggen.se/for-kvinnor-i-stockholm-hitta-ratt-tandlakare-med-omdomen-och-priser/</t>
  </si>
  <si>
    <t>https://powerkvinna.se/att-hitta-den-ratta-tandlakaren-i-goteborg-for-kvinnor/</t>
  </si>
  <si>
    <t>https://manligmagi.se/sakerhetslosningar-for-man-i-en-osaker-varld/</t>
  </si>
  <si>
    <t>https://herrexperten.se/frisyrtips-for-man-som-vill-ha-stiliga-harklippningar-pa-sodermalm/</t>
  </si>
  <si>
    <t>Frisör södermalm</t>
  </si>
  <si>
    <t>https://dinfamilj.se/familjens-betydelse-for-att-hitta-den-perfekta-harfargen-i-stockholm/</t>
  </si>
  <si>
    <t>https://www.michaelofrisorerna.se/ombre-balayage-farg-3/</t>
  </si>
  <si>
    <t>Baylage i Stockholm</t>
  </si>
  <si>
    <t>https://familjealbum.se/viktiga-produkter-for-familjelivet-med-bebisar-och-smabarn/</t>
  </si>
  <si>
    <t>https://ladytalk.se/akut-tandvard-for-kvinnor-i-stockholm-vid-plotsliga-besvar/</t>
  </si>
  <si>
    <t>https://kvinnan.se/vikten-av-professionell-hudvard-for-kvinnor-i-stockholm/</t>
  </si>
  <si>
    <t>https://businesshelper.se/stadbranschen-i-stockholm-fokuserar-pa-kvalitet-och-hallbarhet/</t>
  </si>
  <si>
    <t>https://industrilinjen.se/effektiv-stadning-for-foretag-och-vardinrattningar-i-stockholm/</t>
  </si>
  <si>
    <t>https://www.casinofaq.se/casino-ordlista/</t>
  </si>
  <si>
    <t>spela casino online</t>
  </si>
  <si>
    <t>www.svenskhistoria.se</t>
  </si>
  <si>
    <t>www.klingsbergsforlag.se</t>
  </si>
  <si>
    <t>https://fragbite.se/all/news/58724/skin-gambling-vs-licensierade-casinon--vad-ar-skillnaden</t>
  </si>
  <si>
    <t>https://www.kungaslottet.se/live-casino/</t>
  </si>
  <si>
    <t>livecasino</t>
  </si>
  <si>
    <t>https://www.nykommun.se/2025/07/23/livskvalitet-vid-havet-darfor-valjer-manga-lidingo/</t>
  </si>
  <si>
    <t>https://tipsmedoss.com/2025/ovrigt/nar-siffrorna-blir-din-basta-van-sa-analyseras-dagens-matcher/</t>
  </si>
  <si>
    <t>odds + betting (i en mening)</t>
  </si>
  <si>
    <t>https://tipsmedoss.com/2025/ovrigt/livebetting-sa-utnyttjar-du-realtidsinformation-for-ett-battre-spel/</t>
  </si>
  <si>
    <t>https://www.dagenshandel.se/lb-article/181802/ratt-belysning-for-ratt-plats-en-guide-till-marknadens-olika-alternativ</t>
  </si>
  <si>
    <t>https://www.fri-kopenskap.se/lb-article/181803/vilken-matta-ar-du-ute-efter-en-guide-till-ratt-val-for-ditt-hem</t>
  </si>
  <si>
    <t>https://www.recyclingnet.se/lb-article/181804/atervinn-dina-lampor-pa-ratt-satt-en-guide-for-hallbar-kallsortering</t>
  </si>
  <si>
    <t>https://www.dagenshandel.se/lb-article/181805/varfor-selfiespegeln-ar-arets-hetaste-affarsverktyg</t>
  </si>
  <si>
    <t>https://mikaelelias.se/blogg/hur-spelmekaniker-forvandlar-vara-favorittjanster/</t>
  </si>
  <si>
    <t>cherry online casino</t>
  </si>
  <si>
    <t>https://igamingindustry.org/sv/blogg-sv/vaxande-trender-pa-spelplattformarna-tekniken-bakom-framgangarna/</t>
  </si>
  <si>
    <t>dbet</t>
  </si>
  <si>
    <t>https://dreamfilm.se/blogg/varfor-gillar-vi-trios-i-barn-och-ungdomsfilm/</t>
  </si>
  <si>
    <t>https://igamingindustry.org/sv/blogg-sv/hur-gaming-och-casinobranschen-inspirerar-varandra/</t>
  </si>
  <si>
    <t>https://skanesport.se/2025/07/27/sa-gar-det-for-skanelagen-i-allsvenskan/</t>
  </si>
  <si>
    <t>https://www.dbet.com/sports/#/overview</t>
  </si>
  <si>
    <t>betting på allsvenskan</t>
  </si>
  <si>
    <t>https://skanesport.se/2025/07/28/generationsskiftet-pa-laktaren-hur-fotbollskulturen-forandras/</t>
  </si>
  <si>
    <t>https://www.bethard.com/sv/sports/fotboll</t>
  </si>
  <si>
    <t>betting och fotboll</t>
  </si>
  <si>
    <t>https://alltsomsker.nu/upptack-naturens-hemligheter-med-sakerheten-i-atanke/</t>
  </si>
  <si>
    <t>https://caboo.se/upplevelser-att-dela-med-din-pojkvan/</t>
  </si>
  <si>
    <t>https://upplevelse.com/presenttips/present-till-pojkvan</t>
  </si>
  <si>
    <t>https://duochjobbet.se/boende-som-passar-jobbet/</t>
  </si>
  <si>
    <t>https://www.swedenlongstay.se/sv</t>
  </si>
  <si>
    <t>https://www.smallarupproret.se/sa-tar-du-kommunikationen-mellan-dig-och-din-hund-till-nasta-niva/</t>
  </si>
  <si>
    <t>https://minifinder.se/tjanster/kategori/jakt</t>
  </si>
  <si>
    <t>hundpejl</t>
  </si>
  <si>
    <t>https://thecastle.nu/vad-hander-bakom-kulisserna-nar-foretaget-gar-som-taget/</t>
  </si>
  <si>
    <t>https://www.kleer.se/finance-as-a-service/bokforingsprogram/</t>
  </si>
  <si>
    <t>https://www.vegatus.se/sa-kan-en-forbattrad-tandhalsa-paverka-din-allmanna-halsa/</t>
  </si>
  <si>
    <t>https://www.oddsonline.se/innovationer-inom-sport-som-forandrat-spelreglerna/</t>
  </si>
  <si>
    <t>https://fragbite.se/all/news/58797/nar-gaming-inspirerar-andra-kreativa-branscher</t>
  </si>
  <si>
    <t>Video Slots online casino</t>
  </si>
  <si>
    <t>https://casinonyhet.nu/nyheter/darfor-blir-casinon-mer-och-mer-mobilanpassade/</t>
  </si>
  <si>
    <t>nästa kampanj eller välkomstbonus som ett casino har</t>
  </si>
  <si>
    <t>https://www.bastacasinoguide.se/casinoguide/vilket-casinospel-passar-din-personlighet/</t>
  </si>
  <si>
    <t>https://www.mrvegas.com/sv/welcome-bonus/</t>
  </si>
  <si>
    <t>MrVegas casino välkomstbonus</t>
  </si>
  <si>
    <t>https://alxmedia.se/aktuellt/em-fotboll-damer/</t>
  </si>
  <si>
    <t>betting hos Bethard</t>
  </si>
  <si>
    <t>https://alxmedia.se/aktuellt/inflation/</t>
  </si>
  <si>
    <t>lån med låg ränta</t>
  </si>
  <si>
    <t>https://agslo.se/kan-alla-skriva-bocker-en-vag-in-i-skrivandets-varld/</t>
  </si>
  <si>
    <t>https://www.diabit.se/saker-du-inte-visste-kan-forbattra-ditt-valmaende/</t>
  </si>
  <si>
    <t>https://www.ihus.nu/spegelns-roll-i-svenska-bostader/</t>
  </si>
  <si>
    <t>https://www.omkrets.se/var-i-solna-hor-du-hemma/</t>
  </si>
  <si>
    <t>https://www.bergetsro.se/salja/maklare-solna/</t>
  </si>
  <si>
    <t>Mäklare Solna</t>
  </si>
  <si>
    <t>https://www.satsdelar.se/ta-ditt-forsta-steg-mot-en-omsorgsfull-karriar/</t>
  </si>
  <si>
    <t>https://distansinstitutet.se/distansutbildningar/pedagogik/barnskotare/</t>
  </si>
  <si>
    <t>Utbildning barnskötare</t>
  </si>
  <si>
    <t>https://www.smallarupproret.se/ny-hundagare-detta-behover-du-veta/</t>
  </si>
  <si>
    <t>https://www.swesub.nu/filmkunskap/filmens-mest-ikoniska-frisyrer-hur-du-sjalv-kan-bara-dem/</t>
  </si>
  <si>
    <t>https://thecastle.nu/7-strategiska-tips-for-marina-entreprenorer/</t>
  </si>
  <si>
    <t>https://tradportalen.se/upptack-naturen-med-din-hund/</t>
  </si>
  <si>
    <t>https://myslandet.se/blogg/sa-skapar-du-den-ultimata-mysmiljon-i-sovrummet/</t>
  </si>
  <si>
    <t>https://presenttipsaren.nu/morgonmys-med-attityd-arets-presenttrender-2025/</t>
  </si>
  <si>
    <t>https://rabattkodsidor.se/2025/07/30/hur-ekonomiska-vanor-formas-tidigt-livet/</t>
  </si>
  <si>
    <t>https://duochjobbet.se/de-viktigaste-investeringarna-ombord-for-dig-som-jobbar-till-sjoss/</t>
  </si>
  <si>
    <t>https://www.ihus.nu/framtidssakra-ditt-hus-pa-marknaden-sa-gor-du-bostaden-mer-attraktiv/</t>
  </si>
  <si>
    <t>Mäklare Sundbyberg</t>
  </si>
  <si>
    <t>https://www.ihus.nu/framtidens-sanitara-hem-innovation-for-halsa-hallbarhet/</t>
  </si>
  <si>
    <t>https://www.newst.se/nya-trender-inom-digital-underhallning-2025/</t>
  </si>
  <si>
    <t>https://www.nolingo.se/fran-nobelbankett-till-andlighet-har-ar-prispengarna-storst/</t>
  </si>
  <si>
    <t>odds + betting partial</t>
  </si>
  <si>
    <t>https://www.omkrets.se/vem-ringer-du-nar-listen-slapper-en-handyman-saklart/</t>
  </si>
  <si>
    <t>https://svenskalopare.se/kost-och-naring/sa-kompletterar-du-medicinsk-viktnedgang-med-traditionella-metoder-for-basta-resultat/</t>
  </si>
  <si>
    <t>https://www.xn--tnkom-gra.nu/tank-om-sakerhets-trygghetstjanster-inte-fanns/</t>
  </si>
  <si>
    <t>https://thecastle.nu/framtidens-vvs-bransch/</t>
  </si>
  <si>
    <t>https://monc.se/fakta/tillvaxt/</t>
  </si>
  <si>
    <t>Företag som Hajper erbjuder betting och online casino</t>
  </si>
  <si>
    <t>https://www.metrotimes.com/contributor-news/is-shockwave-therapy-the-next-revolution-in-pain-management-40083691</t>
  </si>
  <si>
    <t>https://www.metrotimes.com/contributor-news/why-crm-platforms-are-making-waves-in-the-roofing-industry-40083709</t>
  </si>
  <si>
    <t>https://duochjobbet.se/att-byta-kontor-utan-att-forlora-teamkanslan/</t>
  </si>
  <si>
    <t>https://www.ihus.nu/framtidens-belysning/</t>
  </si>
  <si>
    <t>https://www.newst.se/vilken-upplevelse-passar-dig-din-pojkvan/</t>
  </si>
  <si>
    <t>https://www.omkrets.se/samhallsnyttans-hjaltar-sa-arbetar-socialpedagoger/</t>
  </si>
  <si>
    <t>https://distansinstitutet.se/distansutbildningar/vard-och-omsorg/socialpedagog/</t>
  </si>
  <si>
    <t>Socialpedagog</t>
  </si>
  <si>
    <t>https://www.orienteringsmagasinet.se/vad-far-orienterare-anvanda-for-hjalpmedel-i-tavlingar/</t>
  </si>
  <si>
    <t>https://www.swesub.nu/ekonomi/ge-den-basta-30-ars-presenten-en-upplevelse-men-vilken/</t>
  </si>
  <si>
    <t>https://www.upplevelse.com/presenttips/30-ars-present</t>
  </si>
  <si>
    <t>30 års present</t>
  </si>
  <si>
    <t>https://thecastle.nu/sa-gor-du-ditt-dromprojekt-mojligt/</t>
  </si>
  <si>
    <t>https://tolvmannabacken.se/sa-paverkas-batterier-i-sno-sjo/</t>
  </si>
  <si>
    <t>epidemicsounds.com</t>
  </si>
  <si>
    <t>https://thesource.com/2025/07/31/epidemic-sound-royalty-free-music-for-creators/</t>
  </si>
  <si>
    <t>https://www.epidemicsound.com/music/</t>
  </si>
  <si>
    <t>royalty-free music</t>
  </si>
  <si>
    <t>https://www.gigwise.com/why-content-creators-are-using-epidemic-sounds-royalty-free-music-platform/</t>
  </si>
  <si>
    <t>https://www.sweetyhigh.com/read/the-importance-of-music-on-social-media-epidemic-sound-073125</t>
  </si>
  <si>
    <t>copyright-free music</t>
  </si>
  <si>
    <t>https://bilverkstad.eu/lar-dig-lyssna-pa-bilens-signaler-detta-betyder-de-blinkande-lamporna/</t>
  </si>
  <si>
    <t>bilverkstad i tyresö</t>
  </si>
  <si>
    <t>https://www.sporthalsa.se/artiklar/sveriges-damlandslag-i-toppform-vankas-det-guld/</t>
  </si>
  <si>
    <t>ansvarsfullt spelande + online casino partial</t>
  </si>
  <si>
    <t>https://www.hemtrevligt.se/hemmetsjournal/partner/sa-fixar-du-den-perfekta-spelkvallen-hemma-i-soffan/</t>
  </si>
  <si>
    <t>brand</t>
  </si>
  <si>
    <t>https://www.saleseffect.se/sa-haller-du-huvudet-skarpt-pa-jobbet-utan-att-krascha-vid-tretiden/</t>
  </si>
  <si>
    <t>https://wellio.se/</t>
  </si>
  <si>
    <t>WELLIO kosttillskott</t>
  </si>
  <si>
    <t>https://www.saleseffect.se/skapa-starkare-band-pa-jobbet-med-en-upplevelse-som-gava/</t>
  </si>
  <si>
    <t>https://upplevelse.com/</t>
  </si>
  <si>
    <t>https://www.saleseffect.se/varumarkesbyggande-merch-oka-kundlojaliteten-med-anpassade-muggar/</t>
  </si>
  <si>
    <t>https://www.saleseffect.se/personligt-ar-den-vinnande-strategin/</t>
  </si>
  <si>
    <t>northtracker.com</t>
  </si>
  <si>
    <t>https://passioneffect.se/journalen-som-hjalper-ditt-foretag-nagra-myter-om-tidsbesparing-och-kostnader/</t>
  </si>
  <si>
    <t>https://www.northtracker.com/</t>
  </si>
  <si>
    <t>Northtracker</t>
  </si>
  <si>
    <t>https://passioneffect.se/sakerhetsrutiner-hos-spelbolag-licenser-betalningar-och-spelansvar/</t>
  </si>
  <si>
    <t>https://www.executiveeffect.se/5-satt-att-sluta-vara-en-chef-och-borja-vara-en-forebild/</t>
  </si>
  <si>
    <t>vassleprotein</t>
  </si>
  <si>
    <t>https://www.maklarringen.se/karriar/nyetablering/en-ny-start-sa-utrustar-du-ditt-kontor-med-ratt-kontorsmaterial</t>
  </si>
  <si>
    <t>https://www.maklarringen.se/upptack-maklarringen/byggtips-fakta-inspiration/valkommen-in-i-familjelivet-en-guide-till-en-ny-vardag</t>
  </si>
  <si>
    <t>banvagn</t>
  </si>
  <si>
    <t>https://naturaplug.com/latest/summer-wellness-hacks-for-a-happier-you/</t>
  </si>
  <si>
    <t>https://feedbuzzard.com/secrets-to-winning-gym-battles-in-pokemon-go/</t>
  </si>
  <si>
    <t>https://www.musiclipse.com/2025/07/18/what-happened-to-robert-plant-after-led-zeppelin/</t>
  </si>
  <si>
    <t>https://www.warrington-worldwide.co.uk/2025/07/15/why-choosing-quality-over-fast-fashion-is-vital-for-our-planet/</t>
  </si>
  <si>
    <t>https://aretrotale.com/en-gb</t>
  </si>
  <si>
    <t>luxury vintage from aretrotale.com</t>
  </si>
  <si>
    <t>https://businesswelt.eu/nachhaltige-unternehmensinnovation-als-wachstumstreiber/</t>
  </si>
  <si>
    <t>https://naturaplug.com/natural-health-and-wellness/the-cost-of-convenience-water-bottles-and-waste/</t>
  </si>
  <si>
    <t>https://www.theclintoncourier.net/2025/07/15/how-water-bottle-waste-is-affecting-global-ecosystems-what-local-families-can-do/</t>
  </si>
  <si>
    <t>https://feedbuzzard.com/the-plastic-water-bottle-crisis-and-what-you-can-do-to-help/</t>
  </si>
  <si>
    <t>https://www.africanbusinessreview.co.za/urban-pet-ownership-and-the-demand-for-innovative-products/</t>
  </si>
  <si>
    <t>https://www.talkandroid.com/511740-best-pet-tracking-features-on-android/</t>
  </si>
  <si>
    <t>https://feedbuzzard.com/how-ai-is-transforming-pet-care/</t>
  </si>
  <si>
    <t>https://businesswelt.eu/stressmanagement-techniken-inspiriert-von-der-natur/</t>
  </si>
  <si>
    <t>https://www.miaboss.de/naturoasen-in-der-stadt/</t>
  </si>
  <si>
    <t>https://www.londondaily.news/how-recent-uk-regulations-are-redefining-casino-bonuses-in-london/</t>
  </si>
  <si>
    <t>brand + online casino</t>
  </si>
  <si>
    <t>https://tv24.co.uk/news/love-island-fever-hits-casinos-with-new-game-series-launch</t>
  </si>
  <si>
    <t>https://www.utdplug.co.uk/personalisation-smart-recommendations-in-casino-technology/</t>
  </si>
  <si>
    <t>mega riches online casino</t>
  </si>
  <si>
    <t>https://retailtechinnovationhub.com/home/2025/7/30/how-ai-chatbots-deliver-instant-support-for-casinos-and-what-retailers-can-learn-from-them</t>
  </si>
  <si>
    <t>brand + casino partial</t>
  </si>
  <si>
    <t>https://tv24.co.uk/news/the-impact-of-tv-inspired-games-on-casino-player-excitement</t>
  </si>
  <si>
    <t>https://evpowered.co.uk/feature/how-ev-partnerships-are-changing-casino-marketing/</t>
  </si>
  <si>
    <t>https://retailtechinnovationhub.com/home/2025/7/29/personalised-loyalty-programmes-reward-casino-fans</t>
  </si>
  <si>
    <t>brand + welcome bonus</t>
  </si>
  <si>
    <t>https://www.londondaily.news/the-push-for-greater-transparency-in-online-casinos/</t>
  </si>
  <si>
    <t>https://www.utdplug.co.uk/vr-headsets-offer-walkthrough-experiences-in-online-casino/</t>
  </si>
  <si>
    <t>https://www.mrvegas.com/mobile/free-spins/</t>
  </si>
  <si>
    <t>free spins partial</t>
  </si>
  <si>
    <t>https://evpowered.co.uk/feature/taking-a-victory-lap-with-racing-themed-casino-games/</t>
  </si>
  <si>
    <t>https://diginyt.fi/digitaalinen-autokauppa-kaytannossa/</t>
  </si>
  <si>
    <t>https://www.outdooractive.fi/fi/member/sa-skapar-du-uteplatsen-som/322259833/</t>
  </si>
  <si>
    <t>https://intomoda.fi/koti/unelmakodin-rahoitus/</t>
  </si>
  <si>
    <t>https://diginyt.fi/digitalisaatio-asettaa-uusia-vaatimuksia-fyysisiin-ymparistoihin/</t>
  </si>
  <si>
    <t>https://www.haapavesi-lehti.fi/artikkeli/rakenna-unelmiesi-talo-oikealla-ovella</t>
  </si>
  <si>
    <t>https://luurituki.fi/bitcoin-saavuttaa-uutta-piikkia/</t>
  </si>
  <si>
    <t>https://www.ykkoslohja.fi/digitaaliset-valuutat-tulee-yha-suosituimmaksi/</t>
  </si>
  <si>
    <t>https://www.kvarnx.com/bitcoin-kurssi</t>
  </si>
  <si>
    <t>bitcoin kurssi</t>
  </si>
  <si>
    <t>https://intomoda.fi/trendit/krypto-tulevaisuuden-kulta-vai-ainoastaan-trendi/</t>
  </si>
  <si>
    <t>https://eventeffect.se/mobilitet-mil-och-matbarhet-eventlogistikens-raddare-i-noden/</t>
  </si>
  <si>
    <t>https://www.northtracker.com/korjournal/</t>
  </si>
  <si>
    <t>Körjournal</t>
  </si>
  <si>
    <t>https://norrahalland.se/native/halland-fraan-sommarparadis-till-vintertystnad/48572</t>
  </si>
  <si>
    <t>https://digitaliserad.nu/blogg/finansieringskallor-for-tech%e2%80%91startups-i-sverige/</t>
  </si>
  <si>
    <t>https://www.nykommun.se/2025/08/01/fixa-sommarens-tradgardsfest/</t>
  </si>
  <si>
    <t>https://www.xn--affrslivet-s5a.com/blogs/hur-ska-foretag-tanka-kring-buffertar</t>
  </si>
  <si>
    <t>https://www.globalbankingandfinance.com/why-a-roofing-crm-is-essential-for-growth-and-customer-success</t>
  </si>
  <si>
    <t>https://www.byggnyheter.se/20250805/32337/fran-trasig-troskel-till-trygg-trivsel-smafix-som-raddar-stora-projekt</t>
  </si>
  <si>
    <t>https://www.dagensfastigheter.se/20250805/12992/vad-sager-trapanelen-om-fastighetens-framtid</t>
  </si>
  <si>
    <t>https://www.byggnyheter.se/20250805/32338/smarta-tips-en-smidig-flytt</t>
  </si>
  <si>
    <t>https://www.stockholmsbyggnyheter.se/20250805/6554/vvs-systemens-utveckling-i-stockholm-en-jamforelse-mellan-stadsdelar-fororter</t>
  </si>
  <si>
    <t>VVS lidingö</t>
  </si>
  <si>
    <t>https://www.dagensfastigheter.se/20250805/12993/hallbar-lokalvard-en-avgorande-del-av-framtidens-fastigheter</t>
  </si>
  <si>
    <t>https://www.indoorprofessional.se/lokalvard</t>
  </si>
  <si>
    <t>lokalvård stockholm</t>
  </si>
  <si>
    <t>https://bovision.se/inspiration/smarta-saett-foer-att-skapa-insynsskydd-paa-din-tomt</t>
  </si>
  <si>
    <t>https://www.orderhero.se/digitalisering-och-hur-umganget-forandrats/</t>
  </si>
  <si>
    <t>https://foretagande.se/en-gronare-foretagsekonomi-sa-raddar-du-bade-planeten-och-planboken</t>
  </si>
  <si>
    <t>https://www.kleer.se/ekonomisystem/</t>
  </si>
  <si>
    <t>https://battreaffarer.nu/ekonomi/fragorna-maklare-vill-att-du-staller/</t>
  </si>
  <si>
    <t>Låna</t>
  </si>
  <si>
    <t>https://standupsverige.se/bakom-skrattet-det-andra-stockholm/</t>
  </si>
  <si>
    <t>upplevelser i Stockholm</t>
  </si>
  <si>
    <t>https://www.kronantillmiljonen.se/annat/lan-som-verktyg-pa-vagen-mot-ekonomisk-frihet/</t>
  </si>
  <si>
    <t>lån med låg ränta från exempelvis Lån &amp; Spar Bank</t>
  </si>
  <si>
    <t>https://www.diabit.se/hitta-tandlakaren-som-passar-dig/</t>
  </si>
  <si>
    <t>https://buffalonews.com/life-entertainment/article_37cb31c9-b8aa-5de5-bd0b-36e34b4f0c1f.html</t>
  </si>
  <si>
    <t>https://www.epidemicsound.com/</t>
  </si>
  <si>
    <t>Epidemic Sound</t>
  </si>
  <si>
    <t>https://monc.se/fakta/ekonomisk-tillvaxt/</t>
  </si>
  <si>
    <t>betting och casino</t>
  </si>
  <si>
    <t>https://sakochliv.se/2025/07/30/6-saker-du-maste-forsakra-oavsett-livssituation/</t>
  </si>
  <si>
    <t>lån med försäkring</t>
  </si>
  <si>
    <t>https://www.enterprisemagazine.se/nyheter/artikel/7-metoder-for-battre-moten-pa-arbetsplatsen</t>
  </si>
  <si>
    <t>onlinecasino med jacpot</t>
  </si>
  <si>
    <t>https://www.dagensinfrastruktur.se/2025/08/07/sa-tjanar-maklare-sina-pengar/</t>
  </si>
  <si>
    <t>Mäklare Stockholm</t>
  </si>
  <si>
    <t>https://www.allaannonser.se/samarb-mrvegas.html</t>
  </si>
  <si>
    <t>Mr Vegas Casino</t>
  </si>
  <si>
    <t>https://barabyggare.se/forsakringar-for-solceller-trygga-losningar-for-byggprojekt/</t>
  </si>
  <si>
    <t>https://familjeportalen.se/vikten-av-att-inkludera-hunden-i-familjelivet/</t>
  </si>
  <si>
    <t>https://industrimagasinet.se/effektiv-lonehantering-for-foretag-med-hjalp-av-automatiserade-system/</t>
  </si>
  <si>
    <t>https://hustillalla.se/mattor-som-forvandlar-ditt-hem-till-en-personlig-oas/</t>
  </si>
  <si>
    <t>https://trevligahem.se/belysning-som-forskonar-ditt-hem-och-skapar-ratt-stamning/</t>
  </si>
  <si>
    <t>https://fritidsfavoriter.se/batbatteri-och-dess-betydelse-for-dina-batagarlustar/</t>
  </si>
  <si>
    <t>https://hobbydelar.se/marina-motorer-som-hobbyn-mojligheter-och-tips-for-entusiaster/</t>
  </si>
  <si>
    <t>https://kvinnan.se/effektiv-och-hallbar-viktnedgang-for-kvinnor-genom-vetenskapsbaserade-metoder/</t>
  </si>
  <si>
    <t>https://hemmaprofilen.se/effektivitet-och-kvalitet-i-ditt-hem-med-ratt-skrivarpapper/</t>
  </si>
  <si>
    <t>https://trevligahem.se/nagra-kontorsmaterial-som-forbattrar-din-arbetsmiljo-hemma/</t>
  </si>
  <si>
    <t>https://handlaomhem.se/viktigheten-av-professionella-vvs-tjanster-for-ett-tryggt-boende-i-taby/</t>
  </si>
  <si>
    <t>https://miljonhuset.se/vikten-av-att-valja-ratt-rormokare-i-stockholm-for-ditt-boende/</t>
  </si>
  <si>
    <t>https://pappahajen.se/effektiv-bilservice-i-tyreso-for-man-med-fokus-pa-volkswagen-och-skoda/</t>
  </si>
  <si>
    <t>https://coolkille.se/att-ta-hand-om-din-bil-ar-viktigt-for-varje-man-i-tyreso/</t>
  </si>
  <si>
    <t>https://infobloggen.se/att-valja-ratt-tandlakare-kan-forbattra-din-livskvalitet-i-stockholm/</t>
  </si>
  <si>
    <t>https://snabbinfo.se/att-ta-hand-om-ditt-leende-i-goteborg-en-guide-till-tandlakare-och-akuttandvard/</t>
  </si>
  <si>
    <t>https://gratisinfo.se/sakerhet-som-en-del-av-en-trygg-livsstil/</t>
  </si>
  <si>
    <t>https://ladycare.se/personlig-harvard-for-kvinnor-i-stockholm/</t>
  </si>
  <si>
    <t>https://damgruppen.se/att-valja-ratt-harfargning-for-din-stil-i-stockholm/</t>
  </si>
  <si>
    <t>https://powerkvinna.se/att-valja-ratt-produkter-for-ditt-barn-en-guide-for-moderna-mammor/</t>
  </si>
  <si>
    <t>https://kvinnan.se/akut-tandvard-for-kvinnor-i-stockholm-allt-du-behover-veta/</t>
  </si>
  <si>
    <t>https://dambloggen.se/forbattra-din-hudhalsa-med-professionell-behandling-i-stockholm/</t>
  </si>
  <si>
    <t>https://industrimagasinet.se/professionell-kontorsstadning-ger-foretag-en-renare-arbetsmiljo-i-goteborg/</t>
  </si>
  <si>
    <t>https://onlinehem.se/effektiv-stadning-for-en-halsosam-boendemiljo-i-stockholm/</t>
  </si>
  <si>
    <t>https://nutidshuset.se/stadningens-betydelse-for-hallbara-bostadsmiljoer-i-stockholm/</t>
  </si>
  <si>
    <t>https://www.nykommun.se/2025/08/04/fran-flyttbeslut-till-forsta-visningen-tips-for-en-trygg-forsaljning/</t>
  </si>
  <si>
    <t>https://foretagande.se/varfor-foretag-borde-experimentera-mer-med-arbetstider</t>
  </si>
  <si>
    <t>jämföra villkor för privatlån</t>
  </si>
  <si>
    <t>https://foretagande.se/foretagslan-eller-privatlan-vilket-ska-du-ta</t>
  </si>
  <si>
    <t>Lån &amp; Spar Bank erbjuder privatlån utan säkerhet</t>
  </si>
  <si>
    <t>https://balansekonomi.se/fair-investments-vaxer-satsar-pa-resultatbaserade-investeringar/</t>
  </si>
  <si>
    <t>https://www.ihus.nu/trygghet-vid-fastighetsaffarer-darfor-valjer-fler-investerare-fair-investments/</t>
  </si>
  <si>
    <t>www.norrkopingshistoria.se</t>
  </si>
  <si>
    <t>muuttohaukat</t>
  </si>
  <si>
    <t>https://diginyt.fi/digitaalinen-muutto-tarkeita-asioita-mita-kannattaa-ottaa-huomioon-ennen-ja-jalkeen-muuton/</t>
  </si>
  <si>
    <t>https://muuttohaukat.com/</t>
  </si>
  <si>
    <t>muuttopalvelu</t>
  </si>
  <si>
    <t>https://www.nykommun.se/2025/08/06/dags-for-bilsemester-har-ar-tre-stallen-att-besoka-under-ledigheten/</t>
  </si>
  <si>
    <t>https://www.haapavesi-lehti.fi/artikkeli/aika-muuttaa-taman-takia-kannattaa-kayttaa-muuttopalvelua</t>
  </si>
  <si>
    <t>Bettingsyndikatet</t>
  </si>
  <si>
    <t>https://www.executiveeffect.se/reglering-som-konkurrensfordel/</t>
  </si>
  <si>
    <t>https://bettingsyndikatet.se/</t>
  </si>
  <si>
    <t>https://tosiasiat.fi/energiatehokkaat-autotallin-ovet-alentavat-lammityskustannuksia/</t>
  </si>
  <si>
    <t>https://bulletin.nu/vad-far-du-inte-lana-pengar-till</t>
  </si>
  <si>
    <t>https://bulletin.nu/hur-man-tranar-upp-formaga-att-lasa-kroppssprak</t>
  </si>
  <si>
    <t>https://www.videoslots.com/sv/casino/</t>
  </si>
  <si>
    <t>inne i ett intensivt spel på ett online casino</t>
  </si>
  <si>
    <t xml:space="preserve">https://mikaelelias.se/blogg/hur-spelmekaniker-forvandlar-vara-favorittjanster/ </t>
  </si>
  <si>
    <t>Cherry online casino</t>
  </si>
  <si>
    <t>https://www.sfexaminer.com/marketplace/boosting-athlete-performance-with-smarter-coaching-platforms/article_790d26b3-5cc1-4105-a1ed-ddfa3fc680d3.html</t>
  </si>
  <si>
    <t>all-in-one coaching platform</t>
  </si>
  <si>
    <t>https://www.sfweekly.com/marketplace/how-ai-agents-are-streamlining-modern-meetings-to-improve-productivity/article_e9c655cd-65d9-42b8-b5e2-e955ac8c0d2e.html</t>
  </si>
  <si>
    <t>https://www.sfweekly.com/marketplace/cold-packs-for-muscle-relaxation-what-you-need-to-know/article_d706f721-14bd-4b9d-b1c5-cafb94539f47.html</t>
  </si>
  <si>
    <t>https://www.sandiegoreader.com/contributor/readernews/stay-ahead-of-the-game-with-athlete-development-tracking-software/</t>
  </si>
  <si>
    <t>https://joinstriveon.com//solutions/athlete-development-and-management</t>
  </si>
  <si>
    <t>athlete development tracking software</t>
  </si>
  <si>
    <t>https://hollywoodlife.com/2025/08/19/viola-milano-appeal-of-timeless-pieces/</t>
  </si>
  <si>
    <t>https://passioneffect.se/foretagskultur-som-syns-vikten-av-identitet-och-varumarke/</t>
  </si>
  <si>
    <t>https://www.nykommun.se/2025/08/25/hur-lokal-branding-starker-gemenskapen-i-din-kommun/</t>
  </si>
  <si>
    <t>https://merchoteket.se</t>
  </si>
  <si>
    <t>https://eventeffect.se/din-game-changer-pa-scen-eventplattformens-spelfunktioner/</t>
  </si>
  <si>
    <t>https://eventeffect.se/det-osynliga-hantverket-som-far-eventet-att-flyta/</t>
  </si>
  <si>
    <t>https://eventeffect.se/sa-skapar-du-en-halsosam-festivalmiljo/</t>
  </si>
  <si>
    <t>https://www.executiveeffect.se/optimera-din-arbetsdag-med-smarta-energikickar/</t>
  </si>
  <si>
    <t>https://influencereffect.se/mikroinfluencers-med-makroeffekt-sa-ska-du-som-marknadsforare-tanka/</t>
  </si>
  <si>
    <t>https://passioneffect.se/mer-an-bara-fika-pa-jobbet-vikten-av-sma-lyxiga-pauser-i-arbetslivet/</t>
  </si>
  <si>
    <t>https://passioneffect.se/ledarskapskultur-moter-kassafloden-sa-frigor-du-tid-pa-arbetsplatsen/</t>
  </si>
  <si>
    <t>https://passioneffect.se/stoppa-lackaget-praktiska-tips-for-ditt-team/</t>
  </si>
  <si>
    <t>https://passioneffect.se/sma-detaljer-formar-stora-intryck-sa-skapar-leende-fortroende/</t>
  </si>
  <si>
    <t>https://passioneffect.se/hur-ser-en-vanlig-arbetsdag-ut-om-tio-ar/</t>
  </si>
  <si>
    <t>https://minifinder.se</t>
  </si>
  <si>
    <t>https://passioneffect.se/sa-utformar-du-som-arbetsgivare-rattvisa-arbetsprov/</t>
  </si>
  <si>
    <t>kosttillskott (sätt i kontexten för deras produkter)</t>
  </si>
  <si>
    <t>https://www.saleseffect.se/7-enkla-knep-for-att-maximera-ditt-nyhetsbrev/</t>
  </si>
  <si>
    <t>https://www.saleseffect.se/ordning-estetik-och-effektivitet-sa-maximerar-du-din-arbetsplats/</t>
  </si>
  <si>
    <t>https://www.thesportsbank.net/the-bank/nicotine-pouches-a-smoke-free-option-for-peak-performance/</t>
  </si>
  <si>
    <t>https://www.laprogressive.com/sponsored/alternative-to-smoking</t>
  </si>
  <si>
    <t>https://www.thesportsbank.net/social-issues/beyond-the-spotlight-cristiano-ronaldos-love-life/</t>
  </si>
  <si>
    <t>https://www.laprogressive.com/sponsored/finding-the-right-match</t>
  </si>
  <si>
    <t>https://londonlovesbusiness.com/the-timeless-appeal-of-vintage-clothing-and-its-quality/</t>
  </si>
  <si>
    <t>https://businessleben.de/nachfrage-nach-waermepumpen</t>
  </si>
  <si>
    <t>https://www.thesportsbank.net/business/aluminium-bottled-water-what-sports-fans-should-know/</t>
  </si>
  <si>
    <t>https://gerweck.net/2025/08/19/everyday-habits-of-wrestlings-top-performers/</t>
  </si>
  <si>
    <t>https://www.laprogressive.com/sponsored/sustainability</t>
  </si>
  <si>
    <t>https://www.laprogressive.com/sponsored/animal-laws</t>
  </si>
  <si>
    <t>https://www.autoracing1.com/pl/459075/the-importance-of-pets-in-a-race-car-drivers-career/</t>
  </si>
  <si>
    <t>https://www.theclintoncourier.net/2025/08/19/life-hacks-for-a-cleaner-quieter-home/</t>
  </si>
  <si>
    <t>https://businessleben.de/gewaechshaeuser-steigern-produktivitaet</t>
  </si>
  <si>
    <t>https://biolesen.de/oko-gewachshauser-die-das-ganze-jahr-energie-sparen/</t>
  </si>
  <si>
    <t>https://www.newst.se/ta-klivet-utanfor-din-komfortzon/</t>
  </si>
  <si>
    <t>https://balansekonomi.se/bygg-en-vardagsrutin-som-ger-balans-i-ekonomin/</t>
  </si>
  <si>
    <t>https://www.newst.se/darfor-hanger-stadsliv-och-tandhalsa-ihop/</t>
  </si>
  <si>
    <t>https://caboo.se/har-ar-kandisarna-som-spelat-stort-och-vunnit-eller-forlorat-annu-storre/</t>
  </si>
  <si>
    <t>casinoaktörer som Hajper</t>
  </si>
  <si>
    <t>https://www.satsdelar.se/sa-paverkar-privatlivet-larandet-en-guide-till-battre-studieresultat/</t>
  </si>
  <si>
    <t>https://vikingaliv.se/</t>
  </si>
  <si>
    <t>https://www.nolingo.se/microcopy-i-avgorande-ogonblick/</t>
  </si>
  <si>
    <t>https://www.mrvegas.com/sv/responsible-gaming/</t>
  </si>
  <si>
    <t>ansfarsfullt spelande</t>
  </si>
  <si>
    <t>https://www.newst.se/inflyttad-och-klar-sa-satter-du-stilen-med-sma-medel/</t>
  </si>
  <si>
    <t>https://www.omkrets.se/de-maffigaste-arenorna-i-champions-league/</t>
  </si>
  <si>
    <t>sport &amp; betting</t>
  </si>
  <si>
    <t>https://www.smallarupproret.se/tystare-firanden-tryggare-tassar/</t>
  </si>
  <si>
    <t>https://skanesport.se/2025/08/26/den-viktiga-gemenskapen-inom-sporten/</t>
  </si>
  <si>
    <t>hur spelautomater har utvecklats</t>
  </si>
  <si>
    <t>https://www.cybaero.se/geofencing-signaler-och-en-trygg-vardag/</t>
  </si>
  <si>
    <t>https://minifinder.se/tjanster/kategori/trygghetslarm</t>
  </si>
  <si>
    <t>trygghetslarm</t>
  </si>
  <si>
    <t>https://www.psykologitest.se/psykisk-ohalsa-okar-i-samhallet-psykologens-tid-ar-nu/</t>
  </si>
  <si>
    <t>utbildning till kbt terapeut</t>
  </si>
  <si>
    <t>https://primegamblingway.com/the-story-of-jackpots-who-actually-wins-them/</t>
  </si>
  <si>
    <t>https://www.mrvegas.com/super</t>
  </si>
  <si>
    <t>MrVegas Jackpot</t>
  </si>
  <si>
    <t>https://tvprogram.nu/blogg/9-gameshows-som-aldrig-dor</t>
  </si>
  <si>
    <t>Videoslots</t>
  </si>
  <si>
    <t>https://www.energinyheter.se/20250902/33674/nar-lonar-sig-solceller-sa-vander-du-utmaningar-till-varde</t>
  </si>
  <si>
    <t>https://www.byggnyheter.se/20250902/32458/ritningar-rantor-och-risk-sa-bygger-du-buffert-i-en-skakig-konjunktur</t>
  </si>
  <si>
    <t>https://www.byggnyheter.se/20250902/32459/allt-du-vill-veta-om-attefallshus-bygglov-hustyper-och-finansiering</t>
  </si>
  <si>
    <t>lån för renovering / tips"! Kolla om detta är något som går att skriva om, kör en länk dit med isfhttps://www.lsb.se/ekonomiskolan/bygga-attefallshus-vilka-regler-finns-och-vad-ar-bra-att-tanka-pa</t>
  </si>
  <si>
    <t>https://www.battrestadsdel.se/samarbete-2/hur-granser-dras-i-den-digitala-nojesindustrin/</t>
  </si>
  <si>
    <t>https://www.battrestadsdel.se/i-samarbete-med-2/sa-fixar-du-smidigt-foretagsboende-soderort-pa-tapeten/</t>
  </si>
  <si>
    <t>företagsbostäder</t>
  </si>
  <si>
    <t>https://www.battrestadsdel.se/i-samarbete-med-2/den-ultimata-hemmakvallen-sa-ser-den-ut/</t>
  </si>
  <si>
    <t>onlinecasino hos spelklubben</t>
  </si>
  <si>
    <t>https://www.battrestadsdel.se/samarbete-2/siffror-sportdata-och-kvarterskultur/</t>
  </si>
  <si>
    <t>betting på sport hos Bethard</t>
  </si>
  <si>
    <t>https://xn--sporthnt-5za.se/hur-ar-en-bra-tranare-enligt-idrottspsykologi/</t>
  </si>
  <si>
    <t>https://xn--lnen-qoa.nu/den-personliga-ekonomins-fem-pelare/</t>
  </si>
  <si>
    <t xml:space="preserve">https://lifeloving.co.uk/the-largest-casinos-in-the-worlds-10-biggest-countries/  </t>
  </si>
  <si>
    <t>https://lifeloving.co.uk/creative-themes-for-your-next-dinner-party/</t>
  </si>
  <si>
    <t>welcome bonus</t>
  </si>
  <si>
    <t>https://www.deadlinenews.co.uk/2025/09/02/the-most-popular-tv-series-from-scotland/</t>
  </si>
  <si>
    <t>https://www.megariches.com/the-wheel-of-riches-info/</t>
  </si>
  <si>
    <t>https://www.indiehackers.com/post/small-business-insurance-building-resilience-against-the-unexpected-825b667042</t>
  </si>
  <si>
    <t>https://www.digitaljournal.com/business/how-royalty-free-music-works/article</t>
  </si>
  <si>
    <t>royalty free music</t>
  </si>
  <si>
    <t>https://luurituki.fi/nain-valitset-oikean-olohuoneen-alykotiisi/</t>
  </si>
  <si>
    <t>https://kruunukaluste.fi/kauppa/sohvat/</t>
  </si>
  <si>
    <t>Sohva</t>
  </si>
  <si>
    <t>https://www.ykkoslohja.fi/sohva-on-kodin-paras-laakekuuri/</t>
  </si>
  <si>
    <t>Nahkasohva</t>
  </si>
  <si>
    <t>https://industryboost.fi/miksi-90-luvulta-oleva-tehdasovesi-maksaa-enemman-kuin-luuletkaan/</t>
  </si>
  <si>
    <t>https://turner.fi/nopea-nosto-ovi/</t>
  </si>
  <si>
    <t>https://nettiruutu.fi/anna-itsesi-inspiroitua-elokuvamaailman-ikonisimmista-ovikohtauksista/</t>
  </si>
  <si>
    <t>https://diginyt.fi/bitcoinin-infrastruktuuri-vankka-ja-hyvaksi-todettu-vai-hauras-kokeilu/</t>
  </si>
  <si>
    <t>https://nettiruutu.fi/kryptovaluutat-jatkavat-itsensa-ylittamista/</t>
  </si>
  <si>
    <t>https://www.kvarnx.com/kryptovaluutta</t>
  </si>
  <si>
    <t>kryptovaluutta</t>
  </si>
  <si>
    <t>https://moneymail.fi/uuden-sukupolven-sijoittajat-nain-saastaminen-muuttuu-suomessa/</t>
  </si>
  <si>
    <t>https://www.kvarnx.com/bitcoin</t>
  </si>
  <si>
    <t>biitcoin</t>
  </si>
  <si>
    <t>https://tosiasiat.fi/mita-tekee-kryptovaluutoista-hyvan-sijoituksen/</t>
  </si>
  <si>
    <t>https://www.kvarnx.com/fi/xrp</t>
  </si>
  <si>
    <t>xrp kurssi</t>
  </si>
  <si>
    <t>https://luurituki.fi/taman-takia-moni-epaonnistuvat-muutossa/</t>
  </si>
  <si>
    <t>https://intomoda.fi/koti/oletko-muuttamassa-asiantunteva-muuttopalvelu-voi-auttaa-sinua-tutustumaan-uudelleen-vaatekaappiisi/</t>
  </si>
  <si>
    <t>https://ekonomikunskap.se/varfor-saljare-och-foretagare-missar-avdrag-och-hur-du-undviker-fallan/</t>
  </si>
  <si>
    <t>https://ekonomikunskap.se/sa-planerar-du-semesterbudgeten-de-basta-knepen-for-att-undvika-onodiga-kostnader/</t>
  </si>
  <si>
    <t>https://ekonomikunskap.se/fran-styrranta-till-privatlan-sa-paverkas-du/</t>
  </si>
  <si>
    <t>https://ekonomikunskap.se/sa-bygger-du-ett-smartare-pengaflode-utan-att-jobba-mer/</t>
  </si>
  <si>
    <t>https://ekonomikunskap.se/trivsamt-tryggt-och-lonsamt-hemmets-ljus-som-investering/</t>
  </si>
  <si>
    <t>https://ekonomikunskap.se/sa-mycket-kan-du-lagga-pa-nojen-baserat-pa-din-lon/</t>
  </si>
  <si>
    <t>https://bilverkstad.eu/fran-bil-till-bat-batterivard-for-varje-fard/</t>
  </si>
  <si>
    <r>
      <rPr>
        <u/>
        <sz val="10"/>
        <color rgb="FF1155CC"/>
        <rFont val="Roboto Mono"/>
      </rPr>
      <t>https://www.startmotor.se/batterier/b%C3%A5tbatteri</t>
    </r>
    <r>
      <rPr>
        <sz val="10"/>
        <color rgb="FF000000"/>
        <rFont val="Roboto Mono"/>
      </rPr>
      <t xml:space="preserve"> </t>
    </r>
  </si>
  <si>
    <t>https://kulturbloggen.com/?p=196874</t>
  </si>
  <si>
    <t>https://esportare.se/ovrigt/visuella-strategier-i-e-sport/</t>
  </si>
  <si>
    <t>https://www.mrvegas.com/sv/sports/#/overview</t>
  </si>
  <si>
    <t>https://casinoandy.com/sv/online-casino/har-ar-varldens-popularaste-slots/</t>
  </si>
  <si>
    <t>online casinon som Spelklubben</t>
  </si>
  <si>
    <t>https://sportotto.com/sv/artiklar/fem-fallgropar-att-undvika-som-sportbettare/</t>
  </si>
  <si>
    <t>https://www.hajper.com/</t>
  </si>
  <si>
    <t>https://kulturbloggen.com/?p=196915</t>
  </si>
  <si>
    <t>välkomstbonus på onlinecasino</t>
  </si>
  <si>
    <t>https://businesscloud.co.uk/news/what-saas-teams-can-learn-from-high-volume-play/</t>
  </si>
  <si>
    <t>https://businesscloud.co.uk/news/tech-ecosystems-orchards-ripe-with-monopolies/</t>
  </si>
  <si>
    <t>Megariches’ live casino</t>
  </si>
  <si>
    <t>https://businesscloud.co.uk/news/regtech-the-new-growth-lever-in-digital-entertainment/</t>
  </si>
  <si>
    <t>GCGB regulated casino</t>
  </si>
  <si>
    <t>https://www.fokus.se/natives/placebo-i-vardagen/</t>
  </si>
  <si>
    <t>spelar på ett livecasino online</t>
  </si>
  <si>
    <t>https://ekonominu.se/blog-posts/den-stora-guiden-till-att-samla-lan-och-vanliga-fragor/</t>
  </si>
  <si>
    <t>samla dina lån</t>
  </si>
  <si>
    <t>https://villalivet.se/allmant/optimera-din-helg/</t>
  </si>
  <si>
    <t>https://villalivet.se/allmant/7-ambitiosa-ideer/</t>
  </si>
  <si>
    <t>live casino från videoslots</t>
  </si>
  <si>
    <t>https://villalivet.se/allmant/vilken-typ-av-villaagare-ar-du/</t>
  </si>
  <si>
    <t>https://www.megariches.com/sv/jackpots/</t>
  </si>
  <si>
    <t>https://villalivet.se/allmant/jackpottar-i-vardagen/</t>
  </si>
  <si>
    <t>https://ekonomikunskap.se/sparande-och-underhall-fran-batskrov-till-aktieportfolj/</t>
  </si>
  <si>
    <t>https://ekonomikunskap.se/din-guide-till-sveriges-minsta-kommun/</t>
  </si>
  <si>
    <t>en mäklare i Sundbyberg</t>
  </si>
  <si>
    <t>https://ekonomikunskap.se/varfor-kontorsvanor-paverkar-din-marginal/</t>
  </si>
  <si>
    <t>https://ekonomikunskap.se/vax-med-barnet-prylarna-som-haller-fran-nyfodd-till-forskola/</t>
  </si>
  <si>
    <t>https://www.lilla-varlden.se/collections/barnstolar</t>
  </si>
  <si>
    <t>barnstolar</t>
  </si>
  <si>
    <t>https://ekonomikunskap.se/kopkraft-trygghet-sakerhet-driver-konsumtion/</t>
  </si>
  <si>
    <t>https://ekonomikunskap.se/spara-tid-och-minska-stress-med-smart-hemstadning/</t>
  </si>
  <si>
    <t>städfirma i Stockholm</t>
  </si>
  <si>
    <t>2024-01-??</t>
  </si>
  <si>
    <t>https://www.extrakoll.se/</t>
  </si>
  <si>
    <t>led list</t>
  </si>
  <si>
    <t>husbesiktning sundsvall</t>
  </si>
  <si>
    <t>adligo.io</t>
  </si>
  <si>
    <r>
      <rPr>
        <strike/>
        <sz val="9"/>
        <color rgb="FFFF0000"/>
        <rFont val="Roboto Mono"/>
      </rPr>
      <t>https://xn--malmcloud-37a.se/the-power-of-onboarding-uniting-the-workspace-getting-organized-motivated-and-engaged/</t>
    </r>
    <r>
      <rPr>
        <strike/>
        <sz val="9"/>
        <color rgb="FFFF0000"/>
        <rFont val="Roboto Mono"/>
      </rPr>
      <t xml:space="preserve"> </t>
    </r>
  </si>
  <si>
    <t>Onboarding</t>
  </si>
  <si>
    <t>https://www.boerse-express.com/news/articles/das-sollten-sie-bei-der-versicherung-ihrer-waermepumpe-beachten-546007</t>
  </si>
  <si>
    <t>Wärmepumpen Versicherung</t>
  </si>
  <si>
    <t>https://el-news.de/umwelt-gesundheit/waermepumpen-ein-neues-energie-system-fuer-nachhaltiges-wohnen/</t>
  </si>
  <si>
    <t>mainfranken24.de</t>
  </si>
  <si>
    <t>https://www.innerbeautychallenge.com/</t>
  </si>
  <si>
    <t>custom tailored clothes</t>
  </si>
  <si>
    <t>https://masstamilans.com/what-are-the-benefits-of-custom-made-clothing.html</t>
  </si>
  <si>
    <t>Loro Piana</t>
  </si>
  <si>
    <t>https://www.voguefreaks.com/fashion-items-that-never-go-out-of-style/</t>
  </si>
  <si>
    <t>Flannel</t>
  </si>
  <si>
    <t>https://fashionterest.com/tailored-menswear/</t>
  </si>
  <si>
    <t>tailoring jeans</t>
  </si>
  <si>
    <t>https://fashionsizzle.com/2022/09/12/guide-where-to-find-inspiration-for-must-have-items-for-fall/</t>
  </si>
  <si>
    <t>https://www.blufashion.com/style/fashion-and-beauty-trends-you-need-to-know-about/</t>
  </si>
  <si>
    <t>can jeans be tailored</t>
  </si>
  <si>
    <t>https://gentlemannaguiden.com/sa-har-styr-du-upp-ditt-brollop-fran-frieri-till-till-storslagen-fest/</t>
  </si>
  <si>
    <t xml:space="preserve">bröllopsguide </t>
  </si>
  <si>
    <t>https://ekonomiskbalans.se/sank-din-manadskostnad-genom-att-valja-ratt-forsakring/</t>
  </si>
  <si>
    <t>Jämför försäkringar här</t>
  </si>
  <si>
    <t>https://brafiler.se/nyheter/spännande-tekniska-utvecklingar-inom-vården/961</t>
  </si>
  <si>
    <t>https://chronos.se/program</t>
  </si>
  <si>
    <t>https://ledarsidorna.se/2022/06/behandla-diabetes-digitalt/</t>
  </si>
  <si>
    <t>Här kan du hitta mer information om digitalt program för diabetes</t>
  </si>
  <si>
    <t>https://ngweb.se/motion-far-oss-att-ma-bra-och-haller-oss-friska%ef%bf%bc/</t>
  </si>
  <si>
    <t>Här kan du läsa mer om diabetes typ 2</t>
  </si>
  <si>
    <t>https://adamsteen.se/chronos/</t>
  </si>
  <si>
    <t>Här kan du hitta mer om Diabetes typ 2.</t>
  </si>
  <si>
    <t>https://sahlstorm.se/ny-teknologi-for-din-halsa/</t>
  </si>
  <si>
    <t>Läs mer här</t>
  </si>
  <si>
    <t>https://focusera.se/fa-en-battre-forstaelse-for-typ-2-diabetes/</t>
  </si>
  <si>
    <t>högt blodsocker symtom</t>
  </si>
  <si>
    <t>https://eventeffect.se/minireningsverk-revolutionerande-avloppshantering/</t>
  </si>
  <si>
    <t>Minireningsverk,</t>
  </si>
  <si>
    <t>https://firmify.se/minireningsverk-ett-paradigmskifte-i-lokaliserad-avloppshantering/</t>
  </si>
  <si>
    <t>https://www.saleseffect.se/minireningsverk-ett-hallbart-tillvagagangssatt-for-lokal-avloppsvattenhantering/</t>
  </si>
  <si>
    <t>Här hittade vi det bästa minireningsverket!</t>
  </si>
  <si>
    <t>https://veckomagasinet.com/att-kora-fort-kraver-battre-produkter/</t>
  </si>
  <si>
    <t>https://www.dieselkraft.se/Visa-produkter</t>
  </si>
  <si>
    <t>Hitta produkter här</t>
  </si>
  <si>
    <t>https://adamsteen.se/motoroptimering/</t>
  </si>
  <si>
    <t>Hitta mer om motoroptimering.</t>
  </si>
  <si>
    <t>https://canvas.yc.edu/eportfolios/18496/Home/A_Guide_to_Purchasing_Auto_Parts_Online</t>
  </si>
  <si>
    <t>Diselkraft.se</t>
  </si>
  <si>
    <t>https://www.executiveeffect.se/foretag-i-framkant-inom-motoroptimering/</t>
  </si>
  <si>
    <t>https://eventeffect.se/motoroptimering-i-fokus/</t>
  </si>
  <si>
    <t>https://www.industritorget.se/nyheter/chiptrim+och+bilindustrin/34172/</t>
  </si>
  <si>
    <t>Chiptrim</t>
  </si>
  <si>
    <t>https://lifehacking.se/4-anledningar-till-att-en-chiptrim-kommer-att-forbattra-din-bil/</t>
  </si>
  <si>
    <t>https://socialsummit17.se</t>
  </si>
  <si>
    <t>https://bossingsbilservice.se/motoroptimering-vad-ar-det-och-hur-fungerar-det/</t>
  </si>
  <si>
    <t>Optimera bilens</t>
  </si>
  <si>
    <t>https://jetshopfree.se/varfor-du-bor-optimera-motorn/</t>
  </si>
  <si>
    <t>Här läser du om motoroptimering</t>
  </si>
  <si>
    <t>https://kilander-racing.se/</t>
  </si>
  <si>
    <t>Optimera bil</t>
  </si>
  <si>
    <t>Här läser du om motoroptimering.</t>
  </si>
  <si>
    <t>https://isla.se/optimera-din-bil-for-langsiktig-prestanda/</t>
  </si>
  <si>
    <t>optimera din bil</t>
  </si>
  <si>
    <t>https://lifehacking.se/basta-sovstallningen-vid-ryggskott/</t>
  </si>
  <si>
    <t>https://bord13.se</t>
  </si>
  <si>
    <t>https://www.allabolag.se/5568169626/fair-investments-sweden-ab</t>
  </si>
  <si>
    <t>https://iptvking.se</t>
  </si>
  <si>
    <t>https://hustillsalu.se</t>
  </si>
  <si>
    <t>https://sipski.se</t>
  </si>
  <si>
    <t>https://www.linkedin.com/company/fair-investments-sweden-ab?originalSubdomain=se</t>
  </si>
  <si>
    <t>https://valutor.nu</t>
  </si>
  <si>
    <t>https://www.linkedin.com/company/fair-investments-sweden-ab?originalSubdomain=se&amp;original_referer=</t>
  </si>
  <si>
    <t>http://guldkorn.nu/</t>
  </si>
  <si>
    <t>https://tidskriftenskeppet.se/detta-bor-man-veta-nar-man-satter-igang-med-investeringar/</t>
  </si>
  <si>
    <t>https://sek-converter.se/viktiga-saker-att-tanka-pa-nar-det-kommer-till-investeringar/</t>
  </si>
  <si>
    <t>https://now.nu/kapitalforvaltning-sa-fungerar-det/</t>
  </si>
  <si>
    <t>Fair Investments använder en resultatbaserad affärsmodell</t>
  </si>
  <si>
    <t>https://smartkapital.se/tips-for-att-potentiellt-oka-avkastningen-pa-dina-investeringar/</t>
  </si>
  <si>
    <t>kapitalförvaltare som Fair Investments</t>
  </si>
  <si>
    <t>https://eventeffect.se/farinvestment-se-en-omfattande-guide/</t>
  </si>
  <si>
    <t>https://www.di.se/fonder/spets-4985958/</t>
  </si>
  <si>
    <t>https://financefinder.se/kapitalforvaltning-overlamna-forvaltningen-av-ditt-kapital-till-proffsen/</t>
  </si>
  <si>
    <t>https://ekonomiboken.se/identifiera-och-uppna-dina-ekonomiska-mal-med-hjalp-av-kapitalforvaltning/</t>
  </si>
  <si>
    <t xml:space="preserve">Fair Investments   </t>
  </si>
  <si>
    <t>https://r1ekonomi.se/privat-ekonomi/hur-kapitalforvaltning-fungerar-och-varfor-det-ar-sa-viktigt-for-foretag</t>
  </si>
  <si>
    <t>https://www.xn--brafretagsln-3cb4u.se/fair-investments-sweden-ab-merinfo-se/</t>
  </si>
  <si>
    <t>Fair Investments Sweden</t>
  </si>
  <si>
    <t>https://www.xn--brafretagsln-3cb4u.se/vontobel-markets-en-oversikt-over-onlinehandelsplattformen-och-investeringar-med-havstang/</t>
  </si>
  <si>
    <t>https://markets.vontobel.com/sv-se</t>
  </si>
  <si>
    <t xml:space="preserve">Investeringar med hävstång </t>
  </si>
  <si>
    <t>https://valutor.nu/vaxla-resevaluta-pa-arlanda/</t>
  </si>
  <si>
    <t xml:space="preserve">https://kollektomat.se/fair-investments-sweden-ab-bemyndigande-for-transparent-och-etisk-formogenhetsforvaltning/ </t>
  </si>
  <si>
    <t>https://www.executiveeffect.se/fair-investments-sweden-ab-tillhandahaller-omfattande-finansiella-tjanster/</t>
  </si>
  <si>
    <t>https://ekonomiskbalans.se/detta-ska-man-tanka-pa-nar-man-ska-borja-investera-i-aktier-och-fonder/</t>
  </si>
  <si>
    <t>https://familjeekonomin.se/fa-din-ekonomi-att-ga-ihop-med-dessa-tips/</t>
  </si>
  <si>
    <t>https://bokforingsprogram24.se/fairinvestments-se-en-omfattande-guide/</t>
  </si>
  <si>
    <t>https://haxan.se/collections/rokelse</t>
  </si>
  <si>
    <t>Rökelse</t>
  </si>
  <si>
    <t>https://haxan.se/products/ugn-grill</t>
  </si>
  <si>
    <t>Rengöra ugn</t>
  </si>
  <si>
    <t>Propplösare</t>
  </si>
  <si>
    <t>https://haxan.se/products/haxan-universalpasta</t>
  </si>
  <si>
    <t>universalpasta</t>
  </si>
  <si>
    <t>https://nyfamilj.se/5-tips-for-att-gora-varstadningen-roligare/</t>
  </si>
  <si>
    <t>https://www.executiveeffect.se/haxan-revolutionerande-rengoring-med-hallbara-och-innovativa-produkter/</t>
  </si>
  <si>
    <t>https://serviceteknikerkarlstad.se/stadprodukter-en-omfattande-guide-for-en-renare-bostad/</t>
  </si>
  <si>
    <t>https://lifehacking.se/</t>
  </si>
  <si>
    <t xml:space="preserve">Palo santo </t>
  </si>
  <si>
    <t>https://www.kopbarnvagn.se/sv/artiklar/axkid-minikid-3-tar.html</t>
  </si>
  <si>
    <t>axkid minikid</t>
  </si>
  <si>
    <t>https://www.kopbarnvagn.se/sv/artiklar/barnvagnar/marke-2/bugaboo/bugaboo-fox-5/index.html</t>
  </si>
  <si>
    <t>Bugaboo Fox 5</t>
  </si>
  <si>
    <t>https://babyblogg.se/nyblivna-foraldrar-glom-inte-att-ta-hand-om-er-sjalva-ocksa/ &gt;</t>
  </si>
  <si>
    <t>https://norrkopingextra.se/bostadsforsaljning-pa-gang-har-ar-checklistan-du-behover/</t>
  </si>
  <si>
    <t>https://nutidshuset.se/dags-for-homestyling-har-ar-knepen-som-okar-chanserna-for-en-lyckad-bostadsforsaljning/</t>
  </si>
  <si>
    <t>https://www.saleseffect.se/hitta-maklare-i-nykoping/</t>
  </si>
  <si>
    <t>Mäklare i Nyköping.</t>
  </si>
  <si>
    <t>Mäklare Nyköping</t>
  </si>
  <si>
    <t>https://vasterasextra.se/</t>
  </si>
  <si>
    <t>https://havstomt.se/artiklar/hur-man-hittar-den-perfekta-tomten-i-nykoping/</t>
  </si>
  <si>
    <t>https://poolstart.se/hur-man-saljer-en-villa-i-nykoping/</t>
  </si>
  <si>
    <t>https://sund.nu/hitta-din-drombostad/</t>
  </si>
  <si>
    <t>guldkorn.nu</t>
  </si>
  <si>
    <t>https://uppsalabostad.se/hitta-ratt-fastighetsmaklare-i-nykoping/</t>
  </si>
  <si>
    <t>https://galamagazine.se/gor-dig-redo-for-varen-genom-att-se-over-din-garderob/</t>
  </si>
  <si>
    <t>https://now.nu/3-steg-till-drombostaden/</t>
  </si>
  <si>
    <t>mäklare i Nyköping som erbjuder en helhetslösning</t>
  </si>
  <si>
    <t>https://businessmanualen.se/letar-du-efter-en-kontorslokal-detta-bor-du-halla-i-atanke/</t>
  </si>
  <si>
    <t>Anlita en mäklare i nyköping</t>
  </si>
  <si>
    <t>https://direktbygg.se/intresserad-av-ett-fritidshus-tank-pa-detta-medans-du-letar-efter-din-dromstuga/</t>
  </si>
  <si>
    <t>med en gång kan du kontakta din lokala mäklare här</t>
  </si>
  <si>
    <t>https://husmedia.se/tank-pa-detta-nar-du-ska-salja-ditt-hus/</t>
  </si>
  <si>
    <t>https://tidskriftenskeppet.se/tips-for-dig-som-ska-kopa-en-bostad-for-forsta-gangen/</t>
  </si>
  <si>
    <t>mäklare Trosa</t>
  </si>
  <si>
    <t>https://eventeffect.se/ratt-belysning-for-storre-event/</t>
  </si>
  <si>
    <t>Spotlights</t>
  </si>
  <si>
    <t>https://www.executiveeffect.se/belysning-for-storre-event/</t>
  </si>
  <si>
    <t>Belysningen</t>
  </si>
  <si>
    <t>https://modernalivet.se/hem-bostad/vikten-av-en-god-belysning-i-ditt-hem/</t>
  </si>
  <si>
    <t>https://www.industritorget.se/nyheter/f%c3%b6rdelarna+med+led-belysning+inom+bilindustrin/34171/</t>
  </si>
  <si>
    <t>https://svalan.se/bygga-en-tradgardspool-skapa-den-perfekta-oasen-for-trevliga-somrar-hemma/</t>
  </si>
  <si>
    <t>https://ledarsidorna.se/2022/06/satsa-pa-din-halsa-utan-langa-vardkoer/</t>
  </si>
  <si>
    <t>Satsa på din hälsa</t>
  </si>
  <si>
    <t>https://veckomagasinet.com/din-halsa-gar-fore-allt-annat-har-i-livet/</t>
  </si>
  <si>
    <t>Börja ta hand om din hälsa</t>
  </si>
  <si>
    <t>https://affarsstaden.se/esb-aditorial/just-nu-soker-nem-copywriters/</t>
  </si>
  <si>
    <t>https://sahlstorm.se/sa-kan-du-lyckas-med-din-halsoresa/</t>
  </si>
  <si>
    <t>Läs mer för att förbättra din hälsa.</t>
  </si>
  <si>
    <t>https://zelium.se/halsa/sa-kan-du-gora-positiva-forandringar-for-din-halsa-infor-hosten/</t>
  </si>
  <si>
    <t>https://dinlokalabokhandel.se/lev-ett-halsosammare-liv/</t>
  </si>
  <si>
    <t>https://eteriskaoljorna.se/ett-halsommare-liv/</t>
  </si>
  <si>
    <t>https://citygoldmedia.com/why-buying-expensive-clothing-items-more-often-than-not-can-be-cheaper-in-the-long-run/</t>
  </si>
  <si>
    <t>https://yagya.com/products/monogram-long-sleeve-shirt-tan</t>
  </si>
  <si>
    <t>tan long sleeve shirt,</t>
  </si>
  <si>
    <t>aktiehandel</t>
  </si>
  <si>
    <t>https://www.xn--brafretagsln-3cb4u.se/</t>
  </si>
  <si>
    <t>Smarta investeringar med en Europeisk aktiemäklare</t>
  </si>
  <si>
    <t>https://sek-converter.se/lasa-upp-index-handelsmojligheter/</t>
  </si>
  <si>
    <t xml:space="preserve">index </t>
  </si>
  <si>
    <t xml:space="preserve">https://financefinder.se/robomarkets-maximera-handelspotentialen-med-havstang/ </t>
  </si>
  <si>
    <t xml:space="preserve">Hävstång </t>
  </si>
  <si>
    <t>https://coinmixer.se/robomarkets-frigor-potentialen-med-havstangshandel/</t>
  </si>
  <si>
    <t xml:space="preserve">Hävstångshandel </t>
  </si>
  <si>
    <t>https://bolagshistorik.se/vad-gor-en-trader/</t>
  </si>
  <si>
    <t>CFD handel</t>
  </si>
  <si>
    <t>mynewsdesk.com/se/visibility-punktum-group/pressreleases/att-handla-aktier-med-haevstaang-aer-numera-vaeldigt-tillgaengligt-foer-svenska-investerare-3261380</t>
  </si>
  <si>
    <t>https://bonuskillen.se/att-forsorja-sig-som-trader/</t>
  </si>
  <si>
    <t>Metatrader 4</t>
  </si>
  <si>
    <t>https://businesshelper.se/bli-investerare-redan-idag/</t>
  </si>
  <si>
    <t xml:space="preserve">hävstångshandel </t>
  </si>
  <si>
    <t>https://egenvilla.se/hur-du-kan-jobba-hemifran-redan-idag/</t>
  </si>
  <si>
    <t>https://finansassistans.se/om-ditt-foretag-behover-ga-igenom-en-rekonstruktion-eller-insolvens-ar-det-oftast-vart-att-ta-hjalp-av-en-extern-firma/</t>
  </si>
  <si>
    <t xml:space="preserve">insolvens </t>
  </si>
  <si>
    <t>https://beautymama.se/varda-ditt-yttre-med-naturliga-skonhetsprodukter/</t>
  </si>
  <si>
    <t>Compagnie de Provence</t>
  </si>
  <si>
    <t>https://veckomagasinet.com/kanner-ni-till-drottning-marie-antoinette/</t>
  </si>
  <si>
    <t>https://sufracofinebrands.com/kategori/varumarken-la-cerise-sur-le-gateau</t>
  </si>
  <si>
    <t>Cerise</t>
  </si>
  <si>
    <t>https://modernalivet.se/</t>
  </si>
  <si>
    <t>https://sufracofinebrands.com/</t>
  </si>
  <si>
    <t>havstomt.se</t>
  </si>
  <si>
    <t>https://eventeffect.se/vikten-av-atmosfaren-i-evenemanget/</t>
  </si>
  <si>
    <t>https://sufracofinebrands.com/kategori/Varumarken-Compagnie-de-Provence</t>
  </si>
  <si>
    <t>compagnie de provence</t>
  </si>
  <si>
    <t>https://myaloevera.nu/2022/11/07/den-fula-ankungen-blev-vacker-svan/</t>
  </si>
  <si>
    <t>https://stilero.se/pc/badrum/</t>
  </si>
  <si>
    <t>https://sufracofinebrands.com/kategori/badrum</t>
  </si>
  <si>
    <t>Badrum</t>
  </si>
  <si>
    <t>https://poolstart.se/historia-och-kvalitet-pa-compagnie-de-provence-tval/</t>
  </si>
  <si>
    <t>https://andrashop.se/b/verktyg-och-andra-presenttips-till-hemmafixaren/</t>
  </si>
  <si>
    <t>https://traningskort.se/en-introduktion-till-compagnie-de-provence-tvalar/</t>
  </si>
  <si>
    <t>https://eventeffect.se/varfor-du-ska-ha-ett-tvalfat/</t>
  </si>
  <si>
    <t>https://sufracofinebrands.com/kategori/tvalfat/</t>
  </si>
  <si>
    <t>tvålfat</t>
  </si>
  <si>
    <t>https://isla.se/</t>
  </si>
  <si>
    <t>https://sufracofinebrands.com/kategori/marseilletval/</t>
  </si>
  <si>
    <t>marseilletvål</t>
  </si>
  <si>
    <t>https://playhd.se/fordelarna-med-att-anvanda-en-harborste-med-svinborst/</t>
  </si>
  <si>
    <t>https://sufracofinebrands.com/produkt/harborste-stor-med-svinborst-andree-jardin/</t>
  </si>
  <si>
    <t>hårborste svinborst</t>
  </si>
  <si>
    <t>https://healthyliving.se/halsoprodukter-som-kan-gora-en-massiv-skillnad-under-vintern-och-borjan-av-varen/</t>
  </si>
  <si>
    <t>Compagnie de Provence,</t>
  </si>
  <si>
    <t>https://guldkorn.nu/fordelarna-med-att-anvanda-en-harborste-med-svinborst/</t>
  </si>
  <si>
    <t>Svinborst</t>
  </si>
  <si>
    <t>https://alltombeauty.se/dessa-skonhetsprodukter-ar-ett-maste-under-varen/</t>
  </si>
  <si>
    <t>https://fitnessplaneten.se/hemmaspa-njut-av-en-harlig-spaupplevelse-i-bekvamligheten-av-ditt-eget-hem/</t>
  </si>
  <si>
    <t>tvålar från Compagnie de Provence</t>
  </si>
  <si>
    <t>https://nutidshuset.se/gor-dig-redo-for-varens-storstadning/</t>
  </si>
  <si>
    <t>https://sufracofinebrands.com/produkt/elementborste/</t>
  </si>
  <si>
    <t>rent med en element borste.</t>
  </si>
  <si>
    <t>https://sufracofinebrands.com/kategori/tvalpump</t>
  </si>
  <si>
    <t xml:space="preserve">Tvålpump </t>
  </si>
  <si>
    <t>https://passioneffect.se/sufraco-utforska-den-stora-mangfalden-av-savon-de-marseille-tvalar/</t>
  </si>
  <si>
    <t>https://sufracofinebrands.com/kategori/savon-de-marseille</t>
  </si>
  <si>
    <t>Savon De Marseille</t>
  </si>
  <si>
    <t>https://kvinnan.se/dessa-sma-inredningsdetaljer-kan-gora-en-enorm-skillnad-for-hur-man-upplever-ett-rum/</t>
  </si>
  <si>
    <t>https://dinlokalabokhandel.se/skapandet-av-en-produktiv-och-valfungerande-kontorsmiljo-genom-kontorsmaterial/</t>
  </si>
  <si>
    <t>https://eventeffect.se/tiotak-forvandla-taktjanster-med-spetskompetens-och-expertis/</t>
  </si>
  <si>
    <t>https://savethefuture.se/takbyte-vagen-till-ett-sakert-och-hallbart-tak/</t>
  </si>
  <si>
    <r>
      <rPr>
        <u/>
        <sz val="9"/>
        <color rgb="FF1155CC"/>
        <rFont val="Roboto Mono"/>
      </rPr>
      <t>https://serviceteknikerkarlstad.se/takbyte-fornya-och-stark-din-byggnads-skydd/</t>
    </r>
    <r>
      <rPr>
        <u/>
        <sz val="9"/>
        <color rgb="FF1155CC"/>
        <rFont val="Roboto Mono"/>
      </rPr>
      <t xml:space="preserve"> </t>
    </r>
  </si>
  <si>
    <t>https://www.industritorget.se/nyheter/begagnade+truckar/35461/</t>
  </si>
  <si>
    <t>https://direktbygg.se/tank-pa-detta-om-du-ska-ta-ett-lan-infor-en-renovering/</t>
  </si>
  <si>
    <t>https://poolstart.se/relining-en-kostnadseffektiv-losning/</t>
  </si>
  <si>
    <t>https://brafiler.se/nyheter/en-vape-kan-vara-ett-utm%C3%A4rkt-verktyg-f%C3%B6r-dig-som-%C3%A4r-intresserad-av-att-sluta-r%C3%B6ka/1027</t>
  </si>
  <si>
    <t>https://www.mynewsdesk.com/se/visibility-punktum-group/blog_posts/allt-och-lite-till-om-e-cigaretter-114707</t>
  </si>
  <si>
    <t>https://markets.vontobel.com/sv-se/produkter</t>
  </si>
  <si>
    <t>Börshandlande produkter</t>
  </si>
  <si>
    <t>Mini future</t>
  </si>
  <si>
    <t>https://pengar.in/</t>
  </si>
  <si>
    <t>https://markets.vontobel.com/sv-se/produkter/leverage/knock-out-warrant-open-end</t>
  </si>
  <si>
    <t>Warranter</t>
  </si>
  <si>
    <t>https://aktieskole.com/hvordan-tjener-man-kassen-paa-aktiehandel/</t>
  </si>
  <si>
    <t>https://markets.vontobel.com/da-dk/produkter/leverage/bull-bear-certifikater/DE000VV3RRW3</t>
  </si>
  <si>
    <t>Bull &amp; Bear Certifikater</t>
  </si>
  <si>
    <t>https://vafo.dk/annoncoerbetaltindhold/3-gode-grunde-til-at-handle-med-aktier</t>
  </si>
  <si>
    <t>https://markets.vontobel.com/da-dk/produkter</t>
  </si>
  <si>
    <t>Børshandlede produkter</t>
  </si>
  <si>
    <t>https://osakekoulu.com/sijoittamisen-ala-muuttuu-koko-ajan/</t>
  </si>
  <si>
    <t>https://markets.vontobel.com/fi-fi/tuotteet/viputuotteet/minifutuuri</t>
  </si>
  <si>
    <t>Minifutuurit</t>
  </si>
  <si>
    <t>https://markets.vontobel.com/fi-fi/tuotteet/viputuotteet/bull-biear-sertifikaatti/DE000VP4YPH0</t>
  </si>
  <si>
    <t>bull sertifikaatti</t>
  </si>
  <si>
    <t>https://markets.vontobel.com/fi-fi/tuotteet</t>
  </si>
  <si>
    <t>Pörssilistatut tuotteet</t>
  </si>
  <si>
    <t>https://markets.vontobel.com/fi-fi/tuotteet/viputuotteet/unlimited-turbot</t>
  </si>
  <si>
    <t>Unlimited Turbot</t>
  </si>
  <si>
    <t>bull og bear</t>
  </si>
  <si>
    <t>https://bolagsekonomen.se/detta-bor-man-tanka-pa-om-man-ar-intresserad-av-att-borja-investera-i-aktier-och-fonder/</t>
  </si>
  <si>
    <t>https://brafiler.se/nyheter/dessa-tj%C3%A4nster-kan-vara-kloka-att-ha-tillg%C3%A5ng-till-n%C3%A4r-du-b%C3%B6rjar-med-investeringar/1011</t>
  </si>
  <si>
    <t xml:space="preserve">warranter </t>
  </si>
  <si>
    <t>https://www.finansoplysning.dk/5-brugbare-tips-om-aktiemarkedet-for-nybegyndere</t>
  </si>
  <si>
    <t>https://stabilokonomi.dk/guide-til-det-du-skal-vide-om-bull-og-bear-markedet/</t>
  </si>
  <si>
    <t>Bull sertifikaatti</t>
  </si>
  <si>
    <t>https://rahaapu.fi/sijoitustermit-haltuun-mita-bull-ja-bear-ovat/</t>
  </si>
  <si>
    <t>Bull biear-sertifikaatti</t>
  </si>
  <si>
    <t>https://sampo-osake.fi/minifutuuri-ja-warrantit-millaisia-mahdollisuuksia-ne-tarjoavat/</t>
  </si>
  <si>
    <t xml:space="preserve">Minifutuuri </t>
  </si>
  <si>
    <t>https://outokumpu-osake.fi/kaupankaynti-minifutuureilla-bull-ja-bear-sertifikaateilla-ja-unlimited-turboilla/</t>
  </si>
  <si>
    <t xml:space="preserve">tuotteet </t>
  </si>
  <si>
    <t>https://downloadcentral.no/news/hvordan-finne-de-beste-investeringsmulighetene/1023</t>
  </si>
  <si>
    <t>https://nordea-osake.fi/mielenkiintoisia-sijoitusmahdollisuuksia-osakkeiden-ja-rahastojen-lisaksi/</t>
  </si>
  <si>
    <t>tuotteet</t>
  </si>
  <si>
    <t>https://nokia-osake.fi/mita-uuden-sijoittajan-tulisi-tietaa-bull-bear-sertifikaateista/</t>
  </si>
  <si>
    <t xml:space="preserve">Bull biear-sertifikaatti </t>
  </si>
  <si>
    <t>https://kone-osake.fi/markkinoiden-suunnan-ennustaminen-ja-bull-bear-sertifikaatit/</t>
  </si>
  <si>
    <t>bull biear-sertifikaatti</t>
  </si>
  <si>
    <t>https://downloadcentral.fi/news/mielenkiintoisia-sijoitusmahdollisuuksia-loppuvuonna-2023/1028</t>
  </si>
  <si>
    <t>https://wartsila-osake.fi/oletko-paassyt-jo-alkuun-osakesijoittamisessa-ja-haluat-laajentaa-salkkuasi/</t>
  </si>
  <si>
    <t>https://www.radionordkapp.no/nyheter/23841/slik-sparer-du-smart/</t>
  </si>
  <si>
    <t>https://markets.vontobel.com/nb-no,</t>
  </si>
  <si>
    <t>https://finansassistans.se/detta-ska-man-tanka-pa-nar-man-ska-valja-en-arbetsplattform-till-sin-arbetsplats/</t>
  </si>
  <si>
    <t>yagya.com</t>
  </si>
  <si>
    <t>https://www.theplaidhorse.com/2022/05/16/how-to-find-the-perfect-breeches-for-you/</t>
  </si>
  <si>
    <t>https://yagya.com/</t>
  </si>
  <si>
    <t>Equestrian Clothing</t>
  </si>
  <si>
    <t>https://www.horsesinthemorning.com/how-to-find-the-best-riding-gear/</t>
  </si>
  <si>
    <t>https://yagya.com/pages/shop</t>
  </si>
  <si>
    <t>Riding breeches</t>
  </si>
  <si>
    <t>https://camdenclothesline.com/horse-riding-breeches-and-riding-apparel.html</t>
  </si>
  <si>
    <t>Yagya.com</t>
  </si>
  <si>
    <t>https://backstageviral.com/horse-riding-breeches/</t>
  </si>
  <si>
    <t>Find your riding breeches here</t>
  </si>
  <si>
    <t>https://worldnewscontent.com/how-to-transport-your-horse-abroad/</t>
  </si>
  <si>
    <t>Riding</t>
  </si>
  <si>
    <t>https://ixprl.com/variety-of-horse-riding-saddles/</t>
  </si>
  <si>
    <t>Horse riding</t>
  </si>
  <si>
    <t>https://canvas.yc.edu/eportfolios/18496/Home/Every_Thing_That_You_Need_to_Know_about_Breeches_and_Tights</t>
  </si>
  <si>
    <t>Riding Breeches</t>
  </si>
  <si>
    <t>https://krafitis.com/5-qualities-to-scrutinize-when-purchasing-horse-riding-gloves-today/</t>
  </si>
  <si>
    <t>horse riding</t>
  </si>
  <si>
    <t>https://www.voguefreaks.com/classy-athletic-wear-and-preppy-staples/</t>
  </si>
  <si>
    <t>https://americanracehorse.com/the-rise-of-premium-equestrian-wear-the-hottest-items-this-fall/</t>
  </si>
  <si>
    <t>https://ridzeal.com/ladies-riding-breeches/</t>
  </si>
  <si>
    <t>https://whatsnew2day.com/guide-to-buying-horse-riding-breeches/</t>
  </si>
  <si>
    <t>https://publicistpaper.com/what-should-you-know-about-horseback-riding-clothes/</t>
  </si>
  <si>
    <t>best riding clothes on market.</t>
  </si>
  <si>
    <t>https://whatsnew2day.com/things-to-consider-when-buying-horse-riding-clothing/</t>
  </si>
  <si>
    <t>https://everythinghorseuk.co.uk/tips-for-starting-horseback-riding/</t>
  </si>
  <si>
    <t>tan long sleeve shirt</t>
  </si>
  <si>
    <t>https://lifestylebyps.com/blogs/lifestyle/buy-durable-and-luxurious-riding-breeches</t>
  </si>
  <si>
    <t>https://yagya.com/products/compression-riding-breeches-tan</t>
  </si>
  <si>
    <t xml:space="preserve">Breeches </t>
  </si>
  <si>
    <t>https://nighthelper.com/how-to-add-some-flair-to-a-basic-look/</t>
  </si>
  <si>
    <t>https://www.womendailymagazine.com/athleisure-heres-what-to-know-about-it/</t>
  </si>
  <si>
    <t xml:space="preserve">breeches </t>
  </si>
  <si>
    <t>https://www.executiveeffect.se/index-trading-for-exekutiva-en-djupdykning-i-passiv-investering-for-framgang/</t>
  </si>
  <si>
    <t>Index trading</t>
  </si>
  <si>
    <t>https://www.saleseffect.se/index-handel-drivkrafter-bakom-affarsframgangar/</t>
  </si>
  <si>
    <t xml:space="preserve">Index handel </t>
  </si>
  <si>
    <t>https://eventeffect.se/index-trading-maximera-avkastningen-genom-evenemang-och-event/</t>
  </si>
  <si>
    <t xml:space="preserve">Index trading </t>
  </si>
  <si>
    <t>https://eventeffect.se/vaping-en-djupdykning-i-varlden-av-vape-teknik-och-dess-olika-aspekter/</t>
  </si>
  <si>
    <t>https://eventeffect.se/kapitalforvaltning-en-djupgaende-utforskning-av-framgangsrika-investeringar/</t>
  </si>
  <si>
    <t xml:space="preserve">FAIR Investments </t>
  </si>
  <si>
    <t>https://www.saleseffect.se/takbyte-och-allt-det-kan-innefatta/</t>
  </si>
  <si>
    <t>https://www.executiveeffect.se/fastighetsjuridik-inom-advokatbyrans-starka-branschfokus/</t>
  </si>
  <si>
    <t>https://eventeffect.se/en-omfattande-guide-till-effektiv-vw-service-underhall-och-expertis/</t>
  </si>
  <si>
    <t>VW service</t>
  </si>
  <si>
    <t>https://amagerliv.dk/annoncorbetaltindhold/kreditvurdering-oeger-sikkerheden-for-virksomheder-paa-amager</t>
  </si>
  <si>
    <t>https://kobenhavnliv.dk/annoncorbetaltindhold/ivaerksaettere-i-koebenhavn-er-udfordret-paa-oekonomien-kreditvurderinger-kan-hjaelpe</t>
  </si>
  <si>
    <t>https://www.dagens.no/sponset-innhold/slik-faar-du-suksess-med-investeringene-dine</t>
  </si>
  <si>
    <t>https://amerikanskeaktier.dk/ikke-kun-aktier-er-risikofyldte-faa-indsigt-i-kunders-risiko-med-kreditvurdering/</t>
  </si>
  <si>
    <t>https://migogaalborg.dk/kreditvurderinger-skaber-tryghed-for-nye-ivaerksaettere-i-aalborg/</t>
  </si>
  <si>
    <t>https://www.bgfashion.net/article/18877/80/Mens-apparel-is-a-growing-business</t>
  </si>
  <si>
    <t>peak vs notch lapel</t>
  </si>
  <si>
    <t>https://faa.dk/annoncoerbetaltindhold/unge-traeder-ind-paa-aktiemarkedet-men-det-er-ikke-fyns-ungdom-der-gaar-forrest</t>
  </si>
  <si>
    <t>https://www.newsbreak.com/-1727464/3131235032097-comfort-and-performance-finding-the-ideal-riding-breeches-for-you</t>
  </si>
  <si>
    <t xml:space="preserve">Riding breeches </t>
  </si>
  <si>
    <t>https://vackerthem.se/inredning-och-rengoring-hur-de-paverkar-varandra/</t>
  </si>
  <si>
    <t>https://listor.se/livsstil/5-trender-som-format-dagens-kultur-under-det-senaste-decenniet/</t>
  </si>
  <si>
    <t>https://kvinnan.se/dessa-skonhetsprodukter-kan-vara-varda-att-investera-i-for-sommaren/</t>
  </si>
  <si>
    <t>all i am beauty</t>
  </si>
  <si>
    <t>https://www.frii.se/all-i-am-beauty-en-resa-genom-amanda-schulmans-veganska-skonhetsimperium/</t>
  </si>
  <si>
    <t>https://reviewsbird.se/natbutiker/elegansen-bakom-en-valpassande-kostym-en-djupdykning-i-herrmodets-varld</t>
  </si>
  <si>
    <t xml:space="preserve">välja en kostym </t>
  </si>
  <si>
    <t>https://www.herningfolkeblad.dk/link/800f50a3-b6cb-49d9-af6a-b84561800e8c/</t>
  </si>
  <si>
    <t>https://www.bytabil.net/att-valja-ratt-nyckeln-till-en-framgangsrik-bilupplevelse/</t>
  </si>
  <si>
    <t>https://www.bauen-und-heimwerken.de/artikel/lohnt-sich-eine-waermepumpe.htm</t>
  </si>
  <si>
    <t>https://www.villa-sverige.se/2023/09/25/klassisk-arkitektur-en-tidlos-skatt-i-byggnadskonstens-varld/</t>
  </si>
  <si>
    <t>klassisk arkitektur</t>
  </si>
  <si>
    <t>https://www.svenskacc.se/2023/09/25/skapande-av-framtidens-stad/</t>
  </si>
  <si>
    <t>Arkitekt Stockholm</t>
  </si>
  <si>
    <t xml:space="preserve">https://savethefuture.se/fonsterbyte-av-hog-kvalitet-en-djupdykning-i-tillverkning-och-installatio/ </t>
  </si>
  <si>
    <t>https://www.cialisnz.nu/2023/09/25/att-putsa-fonster-for-ett-vackrare-hem/</t>
  </si>
  <si>
    <t>https://www.onion.nu/2023/09/25/10-praktiska-tips-for-att-halla-ditt-hus-rent/</t>
  </si>
  <si>
    <t>https://haxan.se/products/haxan-attika</t>
  </si>
  <si>
    <t>Ättika</t>
  </si>
  <si>
    <t>https://www.onion.nu/2023/09/25/allt-du-behover-veta-om-att-ha-en-jordbruksfastighet/</t>
  </si>
  <si>
    <t>https://www.begagnadiphone.nu/2023/09/25/hjartat-av-jordbruket-ekonomibyggnad/</t>
  </si>
  <si>
    <t>https://www.byggsmaland.se/2023/09/25/byta-tak-pa-maskinhallen-en-viktig-uppgradering-for-jordbruksverksamheten/</t>
  </si>
  <si>
    <t>https://www.byggsmaland.se/2023/09/25/marin-innovation-och-framtiden-for-flytbryggor/</t>
  </si>
  <si>
    <t>https://www.web-templates.nu/2023/09/25/bilar-och-underhall-verkstaden-som-haller-dig-rullande/</t>
  </si>
  <si>
    <t xml:space="preserve">Verkstad Tyresö </t>
  </si>
  <si>
    <t>https://www.indlaeg.nu/2023/09/25/sokandet-efter-halsosammare-alternativ-nikotinfri-vape/</t>
  </si>
  <si>
    <t xml:space="preserve">nikotinfri vape </t>
  </si>
  <si>
    <t>https://www.democratiefestival.nu/2023/09/25/vapes-en-djupdykning-i-e-cigaretternas-varld/</t>
  </si>
  <si>
    <t>https://www.indlaeg.nu/2023/09/26/agandet-av-ett-hus-vikten-av-rorinspektion/</t>
  </si>
  <si>
    <t>https://www.villarelining.se/boka-besiktning</t>
  </si>
  <si>
    <t>rörinspektion</t>
  </si>
  <si>
    <t>https://www.cialisnz.nu/2023/09/27/relining-en-modern-losning-for-rorsystem/</t>
  </si>
  <si>
    <t>https://www.advokatboras.se/2023/09/26/rekonstruktion-och-insolvens-en-djupgaende-analys/</t>
  </si>
  <si>
    <t>https://www.beatthemountain.se/2023/09/26/svarigheterna-och-krangligheter-av-rekonstruktion-inom-juridiken/</t>
  </si>
  <si>
    <t>https://www.calminax.se/2023/09/26/sopborsten-en-forbisedd-hjalte-i-ditt-personliga-hygienritual/</t>
  </si>
  <si>
    <t xml:space="preserve">sopborste </t>
  </si>
  <si>
    <t>https://www.finansbasen.se/2023/09/26/forsta-gangen-hemkopare-vad-du-behover-veta/</t>
  </si>
  <si>
    <t xml:space="preserve">Mäklare Trosa </t>
  </si>
  <si>
    <t>https://www.finansbasen.se/2023/09/26/robomarkets-en-innovativ-plats-for-online-trading/</t>
  </si>
  <si>
    <t>https://www.nui.nu/2023/09/26/hur-du-forbattrar-din-handelsupplevelse-pa-aktiemarknaden/</t>
  </si>
  <si>
    <t>förbättra handelsupplevelsen med TradingView-integration</t>
  </si>
  <si>
    <t>https://www.democratiefestival.nu/2023/09/26/index-i-online-trading-en-nyckel-till-mangsidighet-och-minskad-risk/</t>
  </si>
  <si>
    <t>https://www.ossn.se/2023/09/26/metatrader-4-mt4-en-ledande-plattform-for-online-trading/</t>
  </si>
  <si>
    <t xml:space="preserve">Metatrader 4 </t>
  </si>
  <si>
    <t>https://www.bitcoincircuit.se/2023/09/26/aktietips-inom-online-trading-en-guide-till-framgang/</t>
  </si>
  <si>
    <t>https://www.pensionsplaneraren.se/2023/09/26/daytrading-inom-online-trading-en-djupdykning-i-kortfristig-handel/</t>
  </si>
  <si>
    <t>Daytrading</t>
  </si>
  <si>
    <t>https://www.pensionplanering.se/2023/09/27/havstang-i-online-trading-oka-dina-mojligheter-och-risker/</t>
  </si>
  <si>
    <t>https://www.alltjanstsala.se/2023/09/27/underhallande-aktiviteter-i-stockholm-fran-stand-up-till-kultur/</t>
  </si>
  <si>
    <t>Stand-up Stockholm</t>
  </si>
  <si>
    <t>https://www.advokatboras.se/2023/09/27/juridiska-tjanster-en-guide-till-fastighetsjuridik-och-mer/</t>
  </si>
  <si>
    <t>https://www.nilsgrundberg.se/2023/09/27/att-ta-korkort-en-guide-till-trafikskola-och-korprov/</t>
  </si>
  <si>
    <t>Trafikskola Eskilstuna</t>
  </si>
  <si>
    <t>https://www.zappakeramik.se/2023/09/27/varfor-du-borde-investera-i-en-swimmingpool/</t>
  </si>
  <si>
    <t>https://www.afian.se/2023/09/27/vikten-av-testautomatisering-i-programvaruproduktion/</t>
  </si>
  <si>
    <t>https://www.malmo-bostader.se/2023/09/27/nojen-och-matupplevelser-i-uppsala-utforska-staden/</t>
  </si>
  <si>
    <t>pubar Uppsala</t>
  </si>
  <si>
    <t>https://www.olagillgren.se/2023/09/27/minireningsverk-en-losningsorienterad-ansats-for-avloppsrening/</t>
  </si>
  <si>
    <t>https://www.nui.nu/2023/09/27/att-gora-rattvisa-investeringar-en-guide-till-hallbara-och-etiska-val/</t>
  </si>
  <si>
    <t>https://www.daniellastoja.se/2023/09/27/sa-gor-du-smarta-investeringar-en-guide-till-rattvisa-och-lonsamma-val/</t>
  </si>
  <si>
    <t>https://www.xn--postd-jra.se/2023/09/27/en-nyborjarguide-till-investeringar/</t>
  </si>
  <si>
    <t>https://www.ossn.se/2023/09/27/avancerade-investeringstips-for-erfarna-investerare/</t>
  </si>
  <si>
    <t>https://www.villa-sverige.se/2023/09/27/led-lister-en-ljusare-framtid-for-belysning/</t>
  </si>
  <si>
    <t>LED lister</t>
  </si>
  <si>
    <t>https://www.wissen-gesundheit.de/Aktuelles/News/12486--Aktuelle-Gesundheitstrends-die-jeder-kennen-sollte</t>
  </si>
  <si>
    <t>vont.co/de</t>
  </si>
  <si>
    <t>Vape Shop</t>
  </si>
  <si>
    <t>https://www.reviewgorilla.se/blog/mans-garderob-essentials-allt-du-behover-veta/</t>
  </si>
  <si>
    <t xml:space="preserve">Kostymbyxor </t>
  </si>
  <si>
    <t>https://finansbureauet.dk/3-essentielle-overvejelser-til-at-vaelge-den-rigtige-forretningspartner.127438.html</t>
  </si>
  <si>
    <t>https://www.norrkopingshistoria.se/</t>
  </si>
  <si>
    <r>
      <rPr>
        <u/>
        <sz val="9"/>
        <color rgb="FF1155CC"/>
        <rFont val="Roboto Mono"/>
      </rPr>
      <t>vont.se</t>
    </r>
    <r>
      <rPr>
        <sz val="9"/>
        <rFont val="Roboto Mono"/>
      </rPr>
      <t xml:space="preserve"> </t>
    </r>
  </si>
  <si>
    <t xml:space="preserve">Vape &amp; E cigg </t>
  </si>
  <si>
    <t>https://livsstilsforandringar.se/cbd-oljans-bidragande-till-naturlig-halsa-i-en-varld-praglad-av-stress/</t>
  </si>
  <si>
    <t>https://lifestylebloggen.se/nar-naturens-underverk-moter-modern-forskning/</t>
  </si>
  <si>
    <t xml:space="preserve">Lions Mane </t>
  </si>
  <si>
    <t>https://livsstilsexperten.se/fordelar-med-vaping-ur-ett-livsstilsperspektiv/</t>
  </si>
  <si>
    <t>https://brafiler.se/nyheter/testautomatisering-en-nyckelkomponent-i-dators%C3%A4kerhet-online/1039</t>
  </si>
  <si>
    <t>https://livsbanken.se/reishi-svamp-ganoderma-lucidum/</t>
  </si>
  <si>
    <t>Reishi</t>
  </si>
  <si>
    <t>https://livsstilsbloggen.se/att-lyckas-med-halsosamma-livsstilsforandringar-fran-tobaksrokning-till-vaping/</t>
  </si>
  <si>
    <t>https://www.executiveeffect.se/fastighetsjuridik-en-djupdykning-i-lagar-och-rattigheter-inom-fastighetsbranschen/</t>
  </si>
  <si>
    <t>https://healthyliving.se/?p=225</t>
  </si>
  <si>
    <t>rekommenderar hjärtstartare</t>
  </si>
  <si>
    <t>https://hemstart.se/led-listbelysning-den-moderna-ljuskallan-for-byggprojekt/</t>
  </si>
  <si>
    <t xml:space="preserve">LED lister </t>
  </si>
  <si>
    <t>https://stabilokonomi.dk/overvejer-du-at-koebe-aktier-via-dit-selskab-her-er-hvad-du-skal-undersoege-foer-du-investerer/</t>
  </si>
  <si>
    <t>https://rvpr.se/forbered-ditt-hem-for-vintern-tips-och-trix/</t>
  </si>
  <si>
    <t>https://tiotak.se/taklaggare-vasteras/</t>
  </si>
  <si>
    <t>Takläggare Västerås kan erbjuda professionell hjälp för att säkerställa att ditt tak är i gott skick inför vintern.</t>
  </si>
  <si>
    <t>https://instrumentpolen.se/svenska-bilmekaniker-i-tyreso-din-vag-till-bekymmersfri-bilkorning/</t>
  </si>
  <si>
    <t>verkstad i Tyresö</t>
  </si>
  <si>
    <t>https://tidskriftenskeppet.se/att-upptacka-stand-up-komedi-i-stockholm-en-underhallande-upplevelse/</t>
  </si>
  <si>
    <t>https://sahlstorm.se/satt-upp-din-egen-swimmingpool-en-guide-till-poolbyggnad/</t>
  </si>
  <si>
    <t>https://miamipool.se/swimmingpool/</t>
  </si>
  <si>
    <t xml:space="preserve">Swimingpool </t>
  </si>
  <si>
    <t>https://foraldraguiden.se/miljovanliga-och-effektiva-stadprodukter-for-en-ren-och-hallbar-framtid/</t>
  </si>
  <si>
    <t>https://eventeffect.se/husbesiktning-i-sundsvall-allt-du-behover-veta/</t>
  </si>
  <si>
    <t>husbesiktning i Sundsvall.</t>
  </si>
  <si>
    <t>https://swedenvirtualreality.se/sa-fungerar-vapes-en-djupgaende-titt-pa-elektroniska-cigaretter/</t>
  </si>
  <si>
    <t>rosmarinolja.nu</t>
  </si>
  <si>
    <t>https://passioneffect.se/rosmarinolja-i-skonhetsindustrin-naturlig-skonhet-med-en-doft-av-rosmarin/</t>
  </si>
  <si>
    <t>https://www.rosmarinolja.nu/</t>
  </si>
  <si>
    <t xml:space="preserve">Rosmarinolja </t>
  </si>
  <si>
    <t>https://haronaglarspa.se/renhet-med-rosmarinolja</t>
  </si>
  <si>
    <t>Rosmarinolja</t>
  </si>
  <si>
    <t>https://eciggshoppen.se/</t>
  </si>
  <si>
    <t>jetshopfree.se</t>
  </si>
  <si>
    <t>https://freizeitradar.de/blog/4-hobbys-die-sie-im-winter-machen-koennen/</t>
  </si>
  <si>
    <t xml:space="preserve">E Zigarette </t>
  </si>
  <si>
    <t>https://www.aura-optik.de/mehrere-engelszahlen-im-alltag-was-es-zu-beachten-gibt/</t>
  </si>
  <si>
    <t>https://matratzen-held.de/wie-du-ohne-druck-schnell-einschlaefst/</t>
  </si>
  <si>
    <t xml:space="preserve">Vape Shop </t>
  </si>
  <si>
    <t>https://nyheteridag.se/investeringssparkonto-isk-ochamerikanska-aktier-endjupgaende-analys/</t>
  </si>
  <si>
    <t>amerikanska aktier med ISK,</t>
  </si>
  <si>
    <t>https://ledarsidorna.se/investeringssparkonto-isk-ochaktier-en-djupdykning-ilangsiktiga-investeringar/</t>
  </si>
  <si>
    <t xml:space="preserve">fokusera på ISK aktier </t>
  </si>
  <si>
    <t>https://affarsstaden.se/esb-aditorial/investeringssparkonto-isk-och-aktier-en-djupdykning-i-langsiktiga-investeringar/</t>
  </si>
  <si>
    <t>ISK aktier</t>
  </si>
  <si>
    <t>https://nyheteridag.se/vont-omdefinierar-vape-upplevelsen-med-innovation/</t>
  </si>
  <si>
    <t>https://affarsstaden.se/esb-aditorial/skinome-ditt-ultimata-mal-for-frasch-naturlig-och-effektiv-hudvard/</t>
  </si>
  <si>
    <t>Skinome</t>
  </si>
  <si>
    <t>https://www.totallyorebro.se/uncategorized/minireningsverk-den-perfekta-losningen-for-avloppsrening-pa-avlagsna-fastigheter/</t>
  </si>
  <si>
    <t>https://www.hausbautipps24.de/hausbau/bauweise/klimaschutz/nachhaltigkeit-im-eigenheim-praktische-tipps-fuer-umweltbewusstes-wohnen.html</t>
  </si>
  <si>
    <t xml:space="preserve">https://finansassistans.se/valutahandel-en-djupdykning-i-den-storsta-och-mest-likvida-finansiella-marknaden/ </t>
  </si>
  <si>
    <t>https://www.robomarkets.com/se/forex-trading/assets/forex/</t>
  </si>
  <si>
    <t>valutahandel</t>
  </si>
  <si>
    <t>https://www.nilsgrundberg.se/2023/10/20/mini-future-en-kortguide-till-borshandel/</t>
  </si>
  <si>
    <t>Mini-future</t>
  </si>
  <si>
    <t>https://www.web-templates.nu/2023/10/20/kontorsmaterial-de-ofta-glomda-hjaltarna-pa-arbetsplatsen/</t>
  </si>
  <si>
    <t>https://www.democratiefestival.nu/2023/10/20/halla-ditt-nya-hem-rent-en-nyborjarguide-for-hemagare/</t>
  </si>
  <si>
    <t xml:space="preserve">putsa fönster </t>
  </si>
  <si>
    <t>https://www.lagenhet-sverige.se/2023/10/20/taklaggare-din-nyckel-till-ett-sakert-tak-over-huvudet/</t>
  </si>
  <si>
    <t>https://www.villa-sverige.se/2023/10/20/rorinspektion-att-bevara-och-underhalla-vara-vatten-och-avloppssystem/</t>
  </si>
  <si>
    <t xml:space="preserve">Rörinspektion </t>
  </si>
  <si>
    <t>https://www.fyrverkerier.nu/2023/10/23/hemunderhall-och-rorinfodring-i-stockholm-bevara-ditt-hem-pa-lang-sikt/</t>
  </si>
  <si>
    <t xml:space="preserve">relining Stockholm </t>
  </si>
  <si>
    <t>https://www.mcforsakring.nu/2023/10/23/rekonstruktion-en-rattslig-process-for-foretags-reorganisering/</t>
  </si>
  <si>
    <t>https://www.pensionplanering.se/2023/10/23/vad-ar-rekonstruktion/</t>
  </si>
  <si>
    <t>https://www.knuten.nu/2023/10/25/fordelar-med-torrborstning-for-kroppen-friskare-hud-och-okad-energi/</t>
  </si>
  <si>
    <t>https://sufracofinebrands.com/kategori/torrborste</t>
  </si>
  <si>
    <t xml:space="preserve">torrborste </t>
  </si>
  <si>
    <t>https://www.beatthemountain.se/2023/10/25/fastighetsjuridik-vad-du-behover-veta-om-fastighetsratt/</t>
  </si>
  <si>
    <t xml:space="preserve">Fastighetsjuridik </t>
  </si>
  <si>
    <t>https://www.goteborg-bostader.se/2023/10/25/minireningsverk-for-enskilda-avlopp-hallbara-losningar-for-avloppshantering/</t>
  </si>
  <si>
    <t xml:space="preserve">minireningsverk </t>
  </si>
  <si>
    <t>https://www.malmo-bostader.se/2023/10/27/led-listor-ljusrevolutionen-som-anpassar-sig-till-din-kreativitet/</t>
  </si>
  <si>
    <t>https://www.webbonline.se/2023/10/27/reishi-svampens-halsofordelar-en-djupdykning-i-naturens-mirakel/</t>
  </si>
  <si>
    <t xml:space="preserve">reishi </t>
  </si>
  <si>
    <t>reishi</t>
  </si>
  <si>
    <t>https://preferensaktier.com/investeringssparkonto-isk-och-amerikanska-aktier-en-djupgaende-analys/</t>
  </si>
  <si>
    <t>amerikanska aktier med ISK</t>
  </si>
  <si>
    <t>https://aktiefeed.se/robomarkets-revolutionerande-cfd-handel/</t>
  </si>
  <si>
    <t>CFD-handel</t>
  </si>
  <si>
    <t>https://dinkanal.se/blogg/stil-och-elegans-en-resa-genom-kladval/</t>
  </si>
  <si>
    <t>https://skvallra.se/blogg/att-valja-den-ratta-kostymen-en-fullstandig-guide/</t>
  </si>
  <si>
    <t xml:space="preserve">Wärmepumpe Versicherung </t>
  </si>
  <si>
    <t>https://www.bloglovin.com/@mariaurban/exploring-world-vaping-a-comprehensive-guide</t>
  </si>
  <si>
    <t>www.vont.co</t>
  </si>
  <si>
    <t>svalan.se</t>
  </si>
  <si>
    <t>swimmingpool</t>
  </si>
  <si>
    <t>https://www.villa-sverige.se/2023/10/20/att-investera-i-din-halsa-en-nikotinfri-e-cigaretta-i-jamforelse-med-att-aga-ett-hem/</t>
  </si>
  <si>
    <t>https://dinkanal.se/ekonomi/att-sakra-framtiden-vikten-av-ratt-forsakringar/</t>
  </si>
  <si>
    <t xml:space="preserve">försäkring av solceller </t>
  </si>
  <si>
    <t>https://www.sistersinlaw.se/blog/2023/11/3/magiska-brollopsforberedelser</t>
  </si>
  <si>
    <t xml:space="preserve">bröllopskläder. </t>
  </si>
  <si>
    <t>https://nostalgeek.se/vaping-ett-innovativt-alternativ-till-traditionell-rokning/</t>
  </si>
  <si>
    <t>https://foraldraguiden.se/nikotinfri-vape-den-senaste-trenden-inom-vaping/</t>
  </si>
  <si>
    <t>Nikotinfri vape</t>
  </si>
  <si>
    <t>https://businessmanualen.se/vagen-till-framgang-hur-du-landar-jobb-pa-en-framstaende-advokatbyra/</t>
  </si>
  <si>
    <t>https://www.foyen.se/</t>
  </si>
  <si>
    <t>advokatbyrå</t>
  </si>
  <si>
    <t>https://businessacademy.se/utmaningar-med-att-vara-arkitekt-en-resa-genom-kreativitet-och-komplexitet/</t>
  </si>
  <si>
    <t xml:space="preserve">arkitekt i Stockholm </t>
  </si>
  <si>
    <t>https://handlaomhem.se/sa-undviker-du-att-skada-kroppen-nar-du-putsar-fonster/</t>
  </si>
  <si>
    <t>putsar fönster</t>
  </si>
  <si>
    <t>https://powerkvinna.se/bikarbonat-stadprodukternas-hemliga-vapen-for-effektiv-rengoring/</t>
  </si>
  <si>
    <t>https://businessacademy.se/byggande-uppat-en-komplett-guide-till-att-bli-en-framstaende-taklaggare/</t>
  </si>
  <si>
    <t>https://bolagshistorik.se/fem-missar-du-bor-undvika-som-ny-taklaggare/</t>
  </si>
  <si>
    <t>https://investeringer.se/tyreso-dar-familjeliv-moter-naturlig-skonhet-och-bekvamlighet/</t>
  </si>
  <si>
    <t xml:space="preserve">verkstad i Tyresö </t>
  </si>
  <si>
    <t>https://powerkvinna.se/en-omvandling-av-rokvanor-i-samhallet/</t>
  </si>
  <si>
    <t>https://herrprylar.se/en-djupdykning-i-alternativet-till-traditionell-rokning/</t>
  </si>
  <si>
    <t>https://investeringer.se/relining-nar-det-ar-dags-att-agera/</t>
  </si>
  <si>
    <t>relining i Stockholm</t>
  </si>
  <si>
    <t>https://handlaomhem.se/renovera-din-villa-med-minimal-miljopaverkan/</t>
  </si>
  <si>
    <t xml:space="preserve">relining i Stockholm </t>
  </si>
  <si>
    <t>https://bolagshistorik.se/foretagsrekonstruktion-att-identifiera-behovet-for-omvandling/</t>
  </si>
  <si>
    <t>https://livsfakta.se/rekonstruktion-och-insolvens/</t>
  </si>
  <si>
    <t>https://beautymama.se/?p=979797979813&amp;preview=true</t>
  </si>
  <si>
    <t>https://businessmanualen.se/en-charmig-smastad-att-kalla-hem/</t>
  </si>
  <si>
    <t>https://coolkille.se/3-dejtforslag-for-forsta-dejten-i-stockholm/</t>
  </si>
  <si>
    <t>standup i Stockholm</t>
  </si>
  <si>
    <t>https://handlaomhem.se/tre-projekt-for-dig-som-vill-forbereda-din-villa-for-sommaren/</t>
  </si>
  <si>
    <t>https://coolkille.se/uppsala-studentliv-en-resa-genom-aktiviteter-och-pubar/</t>
  </si>
  <si>
    <t xml:space="preserve">pub i Uppsala </t>
  </si>
  <si>
    <t>https://trevligahem.se/en-kompakt-losning-for-avloppsrening/</t>
  </si>
  <si>
    <t>https://industrimagasinet.se/patagonias-framgang-med-fair-investment/</t>
  </si>
  <si>
    <t xml:space="preserve">fair investments </t>
  </si>
  <si>
    <t>https://finansfeber.se/framtidens-hallbara-resor/</t>
  </si>
  <si>
    <t>https://finansonline.se/5-anledningar-ditt-foretag-bor-jobba-med-fair-investments/</t>
  </si>
  <si>
    <t>https://mammagruppen.se/5-satt-att-gora-ditt-hem-extra-mysigt/</t>
  </si>
  <si>
    <t>https://herrrummet.se/svampar-for-halsa-och-harmoni/</t>
  </si>
  <si>
    <t>reish</t>
  </si>
  <si>
    <t>https://mammagruppen.se/antiinflammatoriska-fordelar-med-cbd-olja/</t>
  </si>
  <si>
    <t>CBD-olja</t>
  </si>
  <si>
    <t>https://smartfinansiering.se/effektivisera-din-affar/</t>
  </si>
  <si>
    <t>https://investeringer.se/tesla-hallbarhet-att-sta-for/</t>
  </si>
  <si>
    <t>https://twitter.com/i/flow/login?redirect_after_login=/FairInvSwe</t>
  </si>
  <si>
    <t>https://mikroinvestor.se/fair-investments-en-hallbar-framtid-for-ekonomi-och-samhalle/</t>
  </si>
  <si>
    <t>https://smartkapital.se/hur-investmentbolag-hanterar-sina-portfoljer/</t>
  </si>
  <si>
    <t>https://trevligahem.se/en-stralande-framtid-for-energibesparing-och-hallbarhet/</t>
  </si>
  <si>
    <t>LED-lampor</t>
  </si>
  <si>
    <t>https://businessacademy.se/etik-inom-finansvarlden/</t>
  </si>
  <si>
    <t>Fair investment</t>
  </si>
  <si>
    <t>https://projektify.de/neue-internet-trends-2024/</t>
  </si>
  <si>
    <t>vont.co/de:</t>
  </si>
  <si>
    <t>E Zigarette</t>
  </si>
  <si>
    <t xml:space="preserve">https://www.sistersinlaw.se/blog/2023/11/3/magiska-brollopsforberedelser </t>
  </si>
  <si>
    <t>https://www.totallyorebro.se/uncategorized/cfd-for-nyborjare/</t>
  </si>
  <si>
    <t>https://www.totallystockholm.se/valutahandel-omsattning-och-risker/</t>
  </si>
  <si>
    <t>Valutahandel</t>
  </si>
  <si>
    <t>https://affarsstaden.se/esb-aditorial/hur-du-borjar-investera-i-amerikanska-aktier-med-ett-isk/</t>
  </si>
  <si>
    <t>amerikanska aktier är att skapa ett ISK</t>
  </si>
  <si>
    <t>https://ecommunity.se/tillvaxten-av-vaping/</t>
  </si>
  <si>
    <t>https://nyheteridag.se/fa-battre-fokus-pa-ditt-hemmakontor/</t>
  </si>
  <si>
    <t>https://fashiongtonpost.com/3-mens-watches-essentials-to-know/</t>
  </si>
  <si>
    <t>see watches for men here</t>
  </si>
  <si>
    <t>https://ledarsidorna.se/inredningstips-for-ett-trivsamt-kontor/</t>
  </si>
  <si>
    <t xml:space="preserve">https://press.newsmachine.com/pressrelease/view/knack-kladkoden-med-denna-guide-40924 </t>
  </si>
  <si>
    <t>https://www.fashion-mommy.com/3-ways-to-style-your-watch-and-make-your-look-pop/</t>
  </si>
  <si>
    <t>https://lomelina.se/blogg/hur-du-valjer-vilket-material-dina-kostymbyxor-ska-ha/</t>
  </si>
  <si>
    <t>https://ecommunity.se/hur-fungerar-minireningsverk/</t>
  </si>
  <si>
    <t>https://ecommunity.se/farsk-hudvard-en-djupdykning-i-skinomes-revolutionerande-koncept/</t>
  </si>
  <si>
    <t xml:space="preserve">Skinome </t>
  </si>
  <si>
    <t>https://ecommunity.se/halsosvampar-pa-frammarsch/</t>
  </si>
  <si>
    <t>www.spoors.health/</t>
  </si>
  <si>
    <t>Lions Mane,</t>
  </si>
  <si>
    <t>https://ecommunity.se/maximera-din-solcellsinvestering-tips-for-nya-solcellsagare/</t>
  </si>
  <si>
    <t>https://www.frii.se/viktiga-tips-for-effektivt-fastighetsagande/</t>
  </si>
  <si>
    <t xml:space="preserve">Sanering </t>
  </si>
  <si>
    <t>https://www.frii.se/forsta-huskopet-fran-lanelofte-till-ratt-hus-i-ratt-omrade/</t>
  </si>
  <si>
    <t xml:space="preserve">Husbesiktningar </t>
  </si>
  <si>
    <t>https://indexfonder.net/cfd-handel-att-forsta-risken-och-potentialen-for-hoga-vinster/</t>
  </si>
  <si>
    <t>https://sparsajten.se/aktier/aktiehandel-for-sparande-och-tillvaxt/</t>
  </si>
  <si>
    <t xml:space="preserve">aktiehandel </t>
  </si>
  <si>
    <t>https://modernalivet.se/ekonomi/isk-en-nyckel-for-svenska-traders-for-prisvarda-investeringar/</t>
  </si>
  <si>
    <t>ISK</t>
  </si>
  <si>
    <t>https://podradio.nu/metatrader-4-en-nodvandig-plattform-for-svenska-traders/</t>
  </si>
  <si>
    <t>MetaTrader 4</t>
  </si>
  <si>
    <t>https://hemsidor24.se/artiklar/revolutionen-inom-avloppsreparation/</t>
  </si>
  <si>
    <t>https://podradio.nu/bevarande-av-klassiska-byggnader-genom-relining-i-stockholm/</t>
  </si>
  <si>
    <t>https://gastronomen.se/ett-tobaksfritt-alternativ-for-snusentusiaster/</t>
  </si>
  <si>
    <t>https://egenvilla.se/skapa-en-varm-julstamning-med-led-lister-under-vinterns-morka-dagar/</t>
  </si>
  <si>
    <t>https://alltomhem.se/minireningsverk-for-enskilda-avlopp/</t>
  </si>
  <si>
    <t>https://lyckligtliv.se/reishi-svampen-en-djupdykning-i-dess-halsofordelar/</t>
  </si>
  <si>
    <t>https://handlaomhem.se/den-vasentliga-rollen-av-husbesiktning-for-sakra-bostadskop/</t>
  </si>
  <si>
    <t xml:space="preserve">husbesiktning i Sundsvall </t>
  </si>
  <si>
    <t>https://varmlandsbygden.se/partner/reishi-svampen-naturens-adaptogena-elixir-for-halsa-och-valmaende/</t>
  </si>
  <si>
    <t xml:space="preserve">Reishi </t>
  </si>
  <si>
    <t>https://varmlandsbygden.se/partner/aco-decennier-av-hudvardsinnovation/</t>
  </si>
  <si>
    <t>https://askskinfo.com/varumarke/aco</t>
  </si>
  <si>
    <t>ACO</t>
  </si>
  <si>
    <t>https://eventeffect.se/solcellsakring-en-avgorande-investering-for-langsiktig-hallbarhet-och-ekonomisk-trygghet/</t>
  </si>
  <si>
    <t>https://bygghuddinge.se/njut-av-naturen-aret-runt-med-ett-uterum/</t>
  </si>
  <si>
    <t>https://carpcon.se/</t>
  </si>
  <si>
    <t>https://www.totallystockholm.se/hur-vaping-och-nikotinprodukter-star-sig-mot-varann/</t>
  </si>
  <si>
    <t>https://nordictimes.com/partner/disposable-vapes-the-convenient-alternative-to-traditional-vapes/</t>
  </si>
  <si>
    <t xml:space="preserve">Engångsvapes </t>
  </si>
  <si>
    <t>https://varmlandsbygden.se/partner/den-tobaksfria-framtiden-utforskning-av-fordelarna-med-vitt-snus/</t>
  </si>
  <si>
    <t xml:space="preserve">Tobaksfritt snus </t>
  </si>
  <si>
    <t>https://varmlandsbygden.se/partner/den-vasentliga-rollen-av-skraddarsydda-tandvardsbehandlingar-for-en-halsosam-mun-och-tandhalsa/</t>
  </si>
  <si>
    <t>https://ekonomiboken.se/maximera-avkastningen-och-tryggheten-fordelarna-med-att-anlita-ett-investmentbolag-for-radgivning/</t>
  </si>
  <si>
    <t xml:space="preserve">investmentbolag </t>
  </si>
  <si>
    <t>https://ekonomiboken.se/att-sakra-solceller-med-trygghetsforsakringar/</t>
  </si>
  <si>
    <t>https://dindromvilla.se/den-revolutionerande-effektiviteten-hos-minireningsverk/</t>
  </si>
  <si>
    <t>https://hemmatech.se/devops-en-transformative-kultur-for-effektiv-mjukvaruleverans/</t>
  </si>
  <si>
    <t>https://lemontree.se/</t>
  </si>
  <si>
    <t>https://fashionisers.com/2024/01/08/timeless-elegance-the-role-of-watches-in-mens-fashion/</t>
  </si>
  <si>
    <t>https://gafashion.net/shining-bright-the-diverse-world-of-fashionable-watches-including-the-rise-of-solar-timepieces/</t>
  </si>
  <si>
    <t>http://www.die-fans.de/fussball/aktuell/artikel/,Franz+Beckenbauer%3A+Eine+Fu%C3%9Fball-Legende+ist+tot,67532,,,,,south</t>
  </si>
  <si>
    <t>https://nordostfussball.de/article/277-eric-dier-wechselt-von-tottenham-zu-den-bayern/</t>
  </si>
  <si>
    <t>E-Zigarette ohne Nikotin</t>
  </si>
  <si>
    <t>https://www.leipziginfo.de/ratgeber/wohnen/leipzig-unter-den-top-10-der-europaeischen-staedte-mit-der-hoechsten-lebensqualitaet/</t>
  </si>
  <si>
    <t xml:space="preserve">Einweg-E-Zigaretten </t>
  </si>
  <si>
    <t>https://passioneffect.se/vaping-en-djupdykning-i-varlden-av-vape-teknik-och-dess-olika-aspekter/</t>
  </si>
  <si>
    <t>https://eventeffect.se/utforska-vont-se-vapes-innovationer-i-varlden-av-e-cigaretter/</t>
  </si>
  <si>
    <t>https://eventeffect.se/sa-sanker-du-din-elrakning-med-7-enkla-tips/</t>
  </si>
  <si>
    <t xml:space="preserve">https://savethefuture.se/modernisera-ditt-foretag-med-flexibla-kassalosningar/ </t>
  </si>
  <si>
    <t xml:space="preserve">hyra kassasystem </t>
  </si>
  <si>
    <t>https://sund.nu/optimera-ditt-utomhusutrymme-med-en-swimmingpool-fran-experterna-pa-miami-pool/</t>
  </si>
  <si>
    <t xml:space="preserve">Deras hemsida </t>
  </si>
  <si>
    <t>https://s-automation.se/kundrelationssystem-crm-verktyg-en-nyckel-till-framgangsrik-kundhantering/</t>
  </si>
  <si>
    <t xml:space="preserve">CRM verktyg </t>
  </si>
  <si>
    <t xml:space="preserve">Mäklare trosa  </t>
  </si>
  <si>
    <t>Nikotinfria vape-produkter</t>
  </si>
  <si>
    <t>https://socialsummit17.se/?p=669</t>
  </si>
  <si>
    <t>https://edgehyllie.se/?p=293</t>
  </si>
  <si>
    <t>https://marketingmartin.se/att-vardera-tillforlitlighet-tryggbil-din-bilverkstad-i-stockholm-tyreso/</t>
  </si>
  <si>
    <t>https://firmify.se/nara-tillganglighet-till-en-allomfattande-bilverkstad-i-stockholm-en-vag-till-trygghet-och-bekvamlighet/</t>
  </si>
  <si>
    <t>https://tommytappar.se/revolutionen-av-relining-fran-traditionell-rorbyte-till-banbrytande-teknologi-for-villa-fastigheter/</t>
  </si>
  <si>
    <t>https://tommytappar.se/lansforakringar-fastighetsformedling-i-nykoping-en-helhetslosning-for-bade-kopare-och-saljare/</t>
  </si>
  <si>
    <t xml:space="preserve">Mäklare nyköping  </t>
  </si>
  <si>
    <t>https://14karat.se/stand-up-komedin-i-stockholm-en-oas-for-humor-och-samhorighe/</t>
  </si>
  <si>
    <t>https://financefinder.se/den-vasentliga-rollen-av-affarsjuridiska-advokatbyraer-i-stockholm/</t>
  </si>
  <si>
    <t>https://jimmys.se/den-irlandska-pubens-episka-inflytande-pa-pubkulturen-varlden-over-en-resa-genom-tid-och-tradition/</t>
  </si>
  <si>
    <t>https://xn--malmcloud-37a.se/?p=528</t>
  </si>
  <si>
    <t>https://tommytappar.se/?p=249</t>
  </si>
  <si>
    <t>https://www.frii.se/?p=983</t>
  </si>
  <si>
    <t xml:space="preserve">Event </t>
  </si>
  <si>
    <t>https://renbyggbransch.nu/byggforetag-kreativa-kraftverk-for-framtiden/</t>
  </si>
  <si>
    <t xml:space="preserve">byggföretag </t>
  </si>
  <si>
    <t>https://serviceteknikerkarlstad.se/?p=394</t>
  </si>
  <si>
    <t>Bygg sundsvall</t>
  </si>
  <si>
    <t>https://gardets.nu/det-dromlika-boende-och-lagenhetssokandet-i-solleftea-en-resa-genom-naturskona-landskap/</t>
  </si>
  <si>
    <t>https://grimetonradio.se/utforskning-av-alvtorpet-en-skatt-i-centrala-solleftea/</t>
  </si>
  <si>
    <t>Bostad Sollefteå</t>
  </si>
  <si>
    <t>https://lammetochbrodet.se/?p=351</t>
  </si>
  <si>
    <t xml:space="preserve">Restaurang sundsvall </t>
  </si>
  <si>
    <t>https://www.executiveeffect.se/fair-investments-en-resa-mot-langsiktigt-vardeskapande/</t>
  </si>
  <si>
    <t>https://www.saleseffect.se/fair-investments-for-en-rattvis-kapitalforvaltning/</t>
  </si>
  <si>
    <t>bostad i Sollefteå</t>
  </si>
  <si>
    <t xml:space="preserve">https://gardets.nu/det-dromlika-boende-och-lagenhetssokandet-i-solleftea-en-resa-genom-naturskona-landskap/ </t>
  </si>
  <si>
    <t>lägenheter i Sollefteå</t>
  </si>
  <si>
    <t>https://renbyggbransch.nu/det-framsta-valet-for-byggfirma-i-stockholm/</t>
  </si>
  <si>
    <t>https://podradio.nu/fair-investments-etiska-och-hallbara-val-for-en-langsiktig-och-hallbar-framtid/</t>
  </si>
  <si>
    <t>https://podradio.nu/fair-investments-for-en-rattvis-kapitalforvaltning/</t>
  </si>
  <si>
    <t>https://podradio.nu/fair-investments-en-djupdykning-i-finansiell-forvaltning/</t>
  </si>
  <si>
    <t>https://uppsalabostad.se/fair-investments-en-djupdykning-i-framgangsrik-avkastningsstrategi/</t>
  </si>
  <si>
    <t>https://citynavigator.se/fair-investments-optimering-av-kapitaltillvaxt-finansiell-valfard/</t>
  </si>
  <si>
    <t>https://helaostrasmaland.se/navigera-genom-marknadens-skattkarta-fair-investments-investeringsfilosofi/</t>
  </si>
  <si>
    <t>https://www.saleseffect.se/fair-investments-kraftfull-och-langsiktigt-effektiv-forvaltning/</t>
  </si>
  <si>
    <t>https://www.saleseffect.se/fair-investments-skraddarsydd-radgivning-for-foretagare/</t>
  </si>
  <si>
    <t>https://eventeffect.se/fair-investments-en-djupdykning-i-effektiv-kraftfull-forvaltning/</t>
  </si>
  <si>
    <t>https://eventeffect.se/omdefiniera-investeringslandskapet-med-fair-investments-en-djupdykning-i-enastaende-prestanda-rattvisa-avgifter/</t>
  </si>
  <si>
    <t>https://twitter.com/</t>
  </si>
  <si>
    <t>https://eventeffect.se/fair-investments-vagen-till-en-ljusare-ekonomisk-framtid/</t>
  </si>
  <si>
    <t>https://eventeffect.se/fair-investments-en-vag-mot-ekonomisk-trygghet-framtida-livskvalitet/</t>
  </si>
  <si>
    <t>https://www.frii.se/?p=985</t>
  </si>
  <si>
    <t xml:space="preserve">Trafikskola </t>
  </si>
  <si>
    <t>https://contourair.se/?p=305</t>
  </si>
  <si>
    <t xml:space="preserve">hotel visby </t>
  </si>
  <si>
    <t>https://serviceteknikerkarlstad.se/?p=392</t>
  </si>
  <si>
    <t>https://ekonomiboken.se/allt-du-behover-veta-om-fonder/</t>
  </si>
  <si>
    <t>https://familjeekonomin.se/investera-ditt-foretags-tillgangar-hitta-ratt-investmentbolag/</t>
  </si>
  <si>
    <t>https://industrimagasinet.se/kom-igang-med-aktieinvesteringar-en-enkel-guide-for-nyborjare/</t>
  </si>
  <si>
    <t>https://livsekonomi.se/planera-for-framtiden-hur-man-skapar-en-effektiv-pensionsstrategi/</t>
  </si>
  <si>
    <t>https://skapapengar.se/ny-bolagsfokuserad-investeringsfilosofi/</t>
  </si>
  <si>
    <t>https://enkelteknologi.se/en-nyborjares-guide-till-personlig-ekonomi/</t>
  </si>
  <si>
    <t>https://investgruppen.se/forvaltare-for-privatpersoner/</t>
  </si>
  <si>
    <t>https://gentlemanexperten.se/frigor-tid-med-ratt-investering/</t>
  </si>
  <si>
    <t>https://renbyggbransch.nu/hogkvalitativa-byggprojekt-helhetslosningar-som-inkluderar-el-vvs-malning-plattsattning/</t>
  </si>
  <si>
    <t xml:space="preserve">https://renbyggbransch.nu/hogkvalitativa-byggprojekt-helhetslosningar-som-inkluderar-el-vvs-malning-plattsattning/ </t>
  </si>
  <si>
    <t xml:space="preserve">vvs sundsvall </t>
  </si>
  <si>
    <t>https://podradio.nu/upptack-nya-hudvardsmarket-pa-marknaden/</t>
  </si>
  <si>
    <t>https://ecommunity.se/upptack-norrlands-skonhet-i-sundsvall/</t>
  </si>
  <si>
    <t xml:space="preserve">Husbesiktning Sundsvall </t>
  </si>
  <si>
    <t>https://ecommunity.se/vikten-av-att-anvanda-veganska-stadprodukter-for-en-hallbar-framtid/</t>
  </si>
  <si>
    <t xml:space="preserve">propplösare </t>
  </si>
  <si>
    <t>https://hemsidor24.se/artiklar/historian-om-e-cigaretten/</t>
  </si>
  <si>
    <t>https://blankaaktier.com/tips-for-handlare-anmal-dig-till-tradingview/</t>
  </si>
  <si>
    <t>TradingView även tillgängligt för svenska investerare.</t>
  </si>
  <si>
    <t>https://www.mcforsakring.nu/2023/09/25/omvardnad-for-dina-lurviga-vanner-i-sundsvall/</t>
  </si>
  <si>
    <t xml:space="preserve">veterinär i Sundsvall </t>
  </si>
  <si>
    <t>https://www.saleseffect.se/mat-utvardera-optimera-strategier-for-konstant-tillvaxt/</t>
  </si>
  <si>
    <t>https://www.frii.se/forstaelse-av-crm-verktyg-effektiv-hantering-av-kundrelationer/</t>
  </si>
  <si>
    <t>https://www.tnp.no/norsk/hvordan-sikrer-du-deg-det-beste-lanet/</t>
  </si>
  <si>
    <r>
      <rPr>
        <u/>
        <sz val="10"/>
        <color rgb="FF000000"/>
        <rFont val="Arial"/>
        <family val="2"/>
      </rPr>
      <t xml:space="preserve">Hemplys </t>
    </r>
    <r>
      <rPr>
        <u/>
        <sz val="10"/>
        <color rgb="FF1155CC"/>
        <rFont val="Arial"/>
        <family val="2"/>
      </rPr>
      <t>cbd olja</t>
    </r>
  </si>
  <si>
    <t>https://labradorretrieverinfo.se/husdjur-vara-trogna-kamrater-i-livet/</t>
  </si>
  <si>
    <t>Veterinär Sundsvall</t>
  </si>
  <si>
    <t>https://kronbacken.se/?p=275</t>
  </si>
  <si>
    <t>https://xn--malmcloud-37a.se/?p=530</t>
  </si>
  <si>
    <t>https://marketingmartin.se/?p=605</t>
  </si>
  <si>
    <t>https://www.sandiegoreader.com/contributor/readernews/why-small-business-insurance-is-essential-for-small-business-success/</t>
  </si>
  <si>
    <t>https://www.utdplug.co.uk/experiences-in-miniature-lessons-from-the-gaming-world/</t>
  </si>
  <si>
    <t>https://www.videoslots.com/mobile/casino/slots/</t>
  </si>
  <si>
    <t>videoslots casino</t>
  </si>
  <si>
    <t>https://norrahalland.se/native/nar-kvalitetstid-blir-vardag-konsten-att-umgaas/49029</t>
  </si>
  <si>
    <t>spel online på aktörer som spelklubben</t>
  </si>
  <si>
    <t>https://www.dagensps.se/karriar/hur-du-lar-dig-att-fatta-beslut-snabbare/</t>
  </si>
  <si>
    <t>Mega Riches online casino</t>
  </si>
  <si>
    <t>https://www.dagensps.se/privatekonomi/ekonomiguider/svenskarna-slar-amerikanerna-i-skuldsattning/</t>
  </si>
  <si>
    <t>Lån &amp; Spar Bank erbjuder olika typer av privatlån</t>
  </si>
  <si>
    <t>https://passioneffect.se/fran-kub-till-kreativ-kraftcentral-sa-lyckas-du-med-helrenoveringen-av-kontoret/</t>
  </si>
  <si>
    <t>https://dryft.se/helrenovering/</t>
  </si>
  <si>
    <t>https://www.sporthalsa.se/artiklar/marginalernas-magi-sma-vanor-som-vinner-matchen/</t>
  </si>
  <si>
    <t>https://www.sporthalsa.se/artiklar/hur-ar-en-bra-tranare-enligt-idrottspsykologi/</t>
  </si>
  <si>
    <t>https://www.uochd.se/lb-article/181929/saker-drift-borjar-med-samsyn</t>
  </si>
  <si>
    <t>http://distansinstitutet.se/</t>
  </si>
  <si>
    <t>distansutbildning</t>
  </si>
  <si>
    <t>https://www.lifesciencesweden.se/lb-article/181930/nya-genombrott-och-vardagrutiner-likheter-mellan-forskning-och-tandvard</t>
  </si>
  <si>
    <t>https://ljudia.se/artiklar/gemenskap/</t>
  </si>
  <si>
    <t>https://hollywoodlife.com/2025/09/05/royalty-free-vs-copyright-free-music/</t>
  </si>
  <si>
    <t>https://hollywoodlife.com/2025/09/05/how-to-find-the-right-rug-style-for-living-space/</t>
  </si>
  <si>
    <t xml:space="preserve">https://www.xn--lneguiden-52a.se/privatlan
</t>
  </si>
  <si>
    <t>LSB's privatlån</t>
  </si>
  <si>
    <t>https://eventeffect.se/fy-for-konserter-utan-skarmar/</t>
  </si>
  <si>
    <t>https://eventeffect.se/sa-skapar-du-engagerande-hybrid-event/</t>
  </si>
  <si>
    <t>https://eventeffect.se/sa-bygger-du-ett-robust-kapital-nar-sasongerna-svanger/</t>
  </si>
  <si>
    <t>https://www.linkedin.com/company/fair-investments-sweden-ab</t>
  </si>
  <si>
    <t>https://passioneffect.se/fa-ditt-kapital-att-vaxa-med-smarta-ekonomiska-beslut/</t>
  </si>
  <si>
    <t>https://www.saleseffect.se/onboarding-i-tre-klick-hur-en-faq-guidar-nya-kunder-genom-de-forsta-hindren/</t>
  </si>
  <si>
    <t>https://www.mrvegas.com/sv/faq-encore/</t>
  </si>
  <si>
    <t>Mr Vegas online casino-upplevelse Encores (behöver inte vara skrivet i den ordningen)</t>
  </si>
  <si>
    <t>https://www.saleseffect.se/fran-magkansla-till-matbara-mil-datadrivna-insikter-for-modern-saljledning/</t>
  </si>
  <si>
    <t>https://www.saleseffect.se/sa-genererar-relationer-avkastning/</t>
  </si>
  <si>
    <t>https://www.grontsamhallsbyggande.se/2025/09/05/rotavdraget-mitt-i-klimatdebatten/</t>
  </si>
  <si>
    <t>https://www.executiveeffect.se/hur-du-vinner-rummet-nar-du-forklarar-spelregler/</t>
  </si>
  <si>
    <t>https://psiquiatria.com/psicologia-general/como-influye-la-musica-en-la-toma-de-decisiones-de-la-mente-al-marketing/</t>
  </si>
  <si>
    <t>https://www.epidemicsound.com/es/music/</t>
  </si>
  <si>
    <t>LATAM</t>
  </si>
  <si>
    <t>música sin copyright</t>
  </si>
  <si>
    <t>https://www.rollingstone.co.uk/culture/london-nights-dont-end-at-last-orders-53710/</t>
  </si>
  <si>
    <t>11,000 casino games</t>
  </si>
  <si>
    <t>https://www.saleseffect.se/konsumenternas-krav-forandrar-produktutvecklingen/</t>
  </si>
  <si>
    <t>https://passioneffect.se/produkter-som-haller-i-langden/</t>
  </si>
  <si>
    <t>https://www.fotbollsem.net/derbyt-i-norra-london-satter-tempen-pa-premier-league-2025-26/.</t>
  </si>
  <si>
    <t>liveodds</t>
  </si>
  <si>
    <t>https://www.rollingstone.co.uk/culture/72-hour-setlist-of-london-experiences-53795/</t>
  </si>
  <si>
    <t>online casino</t>
  </si>
  <si>
    <t>https://familjeekonomin.se/sakerstall-ekonomisk-trygghet-med-ratt-forsakring-for-solcellsanlaggningar/</t>
  </si>
  <si>
    <t>https://satsamanualen.se/forsakringar-for-solceller-som-tryggar-din-investering/</t>
  </si>
  <si>
    <t>https://dindromvilla.se/fastighetsmaklare-i-trosa-hjalper-dig-att-hitta-dromhemmet/</t>
  </si>
  <si>
    <t>https://businessmanualen.se/effektiv-lonehantering-med-molnbaserade-system-for-moderna-foretag/</t>
  </si>
  <si>
    <t>https://dindromvilla.se/mattor-som-forvandlar-ditt-hem-till-en-mysig-oas/</t>
  </si>
  <si>
    <t>https://hemmaprofilen.se/belysningens-betydelse-for-ett-trivsamt-hem/</t>
  </si>
  <si>
    <t>https://hobbyforalla.se/batbatteri-en-viktig-del-av-din-bathobby/</t>
  </si>
  <si>
    <t>https://fritidsintressen.se/intresset-for-marinmotorteknik-som-en-hobby-vaxer/</t>
  </si>
  <si>
    <t>https://damgruppen.se/effektiva-strategier-for-kvinnor-att-na-sina-viktnedgangsmal/</t>
  </si>
  <si>
    <t>https://nybyggdahus.se/flexibla-foretagsbostader-for-langsiktiga-projekt-i-sverige/</t>
  </si>
  <si>
    <t>https://hemforalla.se/flexibla-boendelosningar-for-foretag-i-stockholm/</t>
  </si>
  <si>
    <t>https://hobbyforalla.se/ett-hallbart-val-av-papper-for-dina-kreativa-projekt/</t>
  </si>
  <si>
    <t>https://fritidsintressen.se/nyttiga-kontorsmaterial-for-dina-hobbies-och-kreativa-projekt/</t>
  </si>
  <si>
    <t>https://mittvitahus.se/viktigheten-av-professionell-vvs-installation-i-ditt-hem/</t>
  </si>
  <si>
    <t>https://villaprojekt.se/vikten-av-att-anlita-en-auktoriserad-rormokare-for-ditt-hem-i-stockholm/</t>
  </si>
  <si>
    <t>https://retrohus.se/professionell-taklaggning-for-hallbara-och-skraddarsydda-bostadslosningar/</t>
  </si>
  <si>
    <t>https://nutidshuset.se/vikten-av-att-byta-tak-pa-maskinhallar-for-saker-och-funktionell-bostadsmiljo/</t>
  </si>
  <si>
    <t>https://manligutveckling.se/service-och-underhall-av-bilar-for-man-i-tyreso/</t>
  </si>
  <si>
    <t>https://herravdelningen.se/service-och-reparationer-av-din-bil-for-man-i-tyreso/</t>
  </si>
  <si>
    <t>https://guidebloggen.se/att-hitta-ratt-tandlakare-i-stockholm-for-en-battre-livsstil/</t>
  </si>
  <si>
    <t>https://evigliv.se/att-hitta-ratt-tandlakare-i-goteborg-for-en-battre-livsstil/</t>
  </si>
  <si>
    <t>https://herrprylar.se/mans-roll-i-att-skapa-en-tryggare-miljo-med-sakerhetslosningar/</t>
  </si>
  <si>
    <t>https://ladyfashion.se/frisorsalongen-pa-sodermalm-ger-kvinnor-basta-mojliga-harbehandlingar/</t>
  </si>
  <si>
    <t>https://beautyagenten.se/balayage-och-ombre-de-trendigaste-fargteknikerna-for-ditt-har-i-stockholm/</t>
  </si>
  <si>
    <t>https://barnmagasinet.se/produkter-som-gor-livet-enklare-for-bebisar-och-smabarnsforaldrar/</t>
  </si>
  <si>
    <t>https://ladyfashion.se/tandvard-for-kvinnor-viktiga-fakta-och-resurser-i-stockholm/</t>
  </si>
  <si>
    <t>https://powerkvinna.se/vikten-av-professionell-hudvard-for-kvinnor-i-stockholm/</t>
  </si>
  <si>
    <t>Finns.se</t>
  </si>
  <si>
    <t>https://industribanken.se/effektiv-kontorsstadning-som-forbattrar-arbetsmiljon-i-goteborg/</t>
  </si>
  <si>
    <t>https://finns.se/foretagstjanster/kontorsstadning/</t>
  </si>
  <si>
    <t>Kontorsstädning Göteborg</t>
  </si>
  <si>
    <t>https://retrohus.se/professionella-stadtjanster-for-ett-halsosamt-och-hallbart-boende-i-stockholm/</t>
  </si>
  <si>
    <t>https://nybyggdahus.se/effektiv-stadning-i-hemmet-for-en-hallbar-livsstil/</t>
  </si>
  <si>
    <t>https://lyxpresenten.se/standup-comedy-en-upplevelse-av-skratt-och-gemenskap-i-sverige/</t>
  </si>
  <si>
    <t>standupsverige.se</t>
  </si>
  <si>
    <t>stand up stockholm</t>
  </si>
  <si>
    <t>https://dinbyggnad.se/effektiv-ljudisolering-med-akustikprodukter-i-byggprocessen/</t>
  </si>
  <si>
    <t>https://tkw.se/</t>
  </si>
  <si>
    <t>akustikplattor tak</t>
  </si>
  <si>
    <t>Sveaförsäkring</t>
  </si>
  <si>
    <t>https://investeringer.se/jamfor-forsakringar-for-att-hitta-ditt-basta-alternativ/</t>
  </si>
  <si>
    <t>https://xn--sveafrskring-mcb3w.se/</t>
  </si>
  <si>
    <t>svea försäkring</t>
  </si>
  <si>
    <t>https://soundofmusic.nu/artikel/psykoakustik/</t>
  </si>
  <si>
    <t>Svenska nätcasinot Cherry</t>
  </si>
  <si>
    <t>jakt.se</t>
  </si>
  <si>
    <t>https://naringslivsbolaget.se/glesbygd/</t>
  </si>
  <si>
    <t>https://www.jakt.se/kikare-och-kikarsikten</t>
  </si>
  <si>
    <t>kikarsikte</t>
  </si>
  <si>
    <t>https://interiorbysusan.se/traslag/</t>
  </si>
  <si>
    <t>Rund matta</t>
  </si>
  <si>
    <t>https://johannanordstrom.se/quiet-luxury/</t>
  </si>
  <si>
    <t>taklampa</t>
  </si>
  <si>
    <t>https://naringslivsbolaget.se/tillvaxt-sverige/</t>
  </si>
  <si>
    <t>https://lånen.nu/basta-privatlan/</t>
  </si>
  <si>
    <t>sandudden</t>
  </si>
  <si>
    <t>https://battreaffarer.nu/foretagande/foretagskultur/</t>
  </si>
  <si>
    <t>https://sandudden.se/kick-off/</t>
  </si>
  <si>
    <t>kick off stockholm</t>
  </si>
  <si>
    <t>https://influencereffect.se/algoritmen-alskar-sport-sa-jobbar-kreatorer-med-tempo-takt-och-ton/</t>
  </si>
  <si>
    <t>[brand] + betting</t>
  </si>
  <si>
    <t>https://influencereffect.se/vara-fyrbenta-vanner-har-blivit-en-del-av-flodet/</t>
  </si>
  <si>
    <t>https://influencereffect.se/skala-foretaget-med-kelvin-valj-ratt-ljus-for-att-bygga-ditt-varumarke/</t>
  </si>
  <si>
    <t>https://influencereffect.se/skapa-ett-blandande-intryck-med-ditt-leende/</t>
  </si>
  <si>
    <t>https://influencereffect.se/vagen-till-att-bygga-trovardiga-samarbeten-med-influencers/</t>
  </si>
  <si>
    <t>låna</t>
  </si>
  <si>
    <t>https://influencereffect.se/den-numera-ofrivilliga-drommen-om-frihet-kan-alla-sidoprojekt-bli-heltidskarriarer-2025/</t>
  </si>
  <si>
    <t>finansiera ditt nästa projekt (privatlån med flexibel återbetalning för sekundärlänk)/</t>
  </si>
  <si>
    <t>https://influencereffect.se/lat-sparandet-vara-stabilt-nar-floden-svanger/</t>
  </si>
  <si>
    <t>https://www.sfexaminer.com/marketplace/how-incorporating-a-roofing-crm-streamlines-a-project-from-proposal-to-closing/article_74e3c479-d03c-46c1-9f62-c08be558b545.html</t>
  </si>
  <si>
    <t>https://businesscasestudies.co.uk/human-led-cx-what-other-industries-can-learn/</t>
  </si>
  <si>
    <t>https://www.mrvegas.com/live-casino/</t>
  </si>
  <si>
    <t>https://moneymail.fi/autotallinovi-sijoituksena-nain-se-nostaa-asuntosi-arvon/</t>
  </si>
  <si>
    <t>https://www.etlehti.fi/blogit/liiketoiminta/miksi-oikea-teollisuusovi-saastaa-tuhansia-euroja-vuodessa</t>
  </si>
  <si>
    <t>https://hankiasiakkaita.fi/paranna-tyoymparistoa-yritystiloissa-modernilla-oviratkaisuilla/</t>
  </si>
  <si>
    <t>https://rakennajaparas.fi/9-syyta-miksi-sinun-tulisi-valita-autotallin-nosto-ovi-turnerilta/</t>
  </si>
  <si>
    <t>https://rakennajahalvalla.fi/talosi-autotallin-paivitys-nain-nostat-talosi-arvoa-oikealla-autotallin-ovella/</t>
  </si>
  <si>
    <t>https://industryboost.fi/nain-modernit-oviratkaisut-turnerilta-tulee-parantamaan-sinun-tyoymparistoasi/</t>
  </si>
  <si>
    <t>https://www.haapavesi-lehti.fi/artikkeli/nain-kunnostat-terassin-kesalla</t>
  </si>
  <si>
    <t>https://kaupanmenestys.fi/sohva-tarinankertojana-miten-sohvat-kertovat-myymalan-tuotemerkkitarinan/</t>
  </si>
  <si>
    <t>https://talonaika.fi/nain-kalustat-fiksusti-pienen-tilan-7-huonekaluvinkkia-joka-vapauttaa-tila/</t>
  </si>
  <si>
    <t>Vuodesohva</t>
  </si>
  <si>
    <t>https://www.otsnews.co.uk/innovation-in-nicotine-pouches-whats-next-for-this-smoke-free-nicotine-product/</t>
  </si>
  <si>
    <t>https://www.thefootballforum.net/blogs/staying-focused-when-watching-football-matches/</t>
  </si>
  <si>
    <t>https://betterthisworld.com/latest-news/the-link-between-emotional-wellness-and-physical-health/</t>
  </si>
  <si>
    <t>https://www.niederlausitz-aktuell.de/niederlausitz-aktuell/themen/ratgeber/301744/secondhand-shoppen-wie-ein-profi-beste-tipps-fuer-exklusive-fundstuecke.html</t>
  </si>
  <si>
    <t>https://aretrotale.com/de</t>
  </si>
  <si>
    <t>https://wiereich.net/standard-wohngebaeudeversicherung-vs-spezielle-waermepumpenversicherung/</t>
  </si>
  <si>
    <t>https://havokjournal.com/nation/business/why-aluminum-water-bottles-are-the-smarter-greener-choice-for-events-and-brands/</t>
  </si>
  <si>
    <t>https://arizonadigitalfreepress.com/personal-responsibility-during-the-climate-change-crisis/</t>
  </si>
  <si>
    <t>https://betterthisworld.com/latest-news/sustainability-and-pet-care-how-modern-tools-contribute-to-responsible-animal-ownership/</t>
  </si>
  <si>
    <t>https://programminginsider.com/how-to-provide-the-best-care-for-your-dog/</t>
  </si>
  <si>
    <t>https://betterthisworld.com/latest-news/does-owning-a-pet-retain-cognitive-decline/</t>
  </si>
  <si>
    <t>https://www.africanbusinessreview.co.za/smart-pet-tech-an-emerging-market-opportunity/</t>
  </si>
  <si>
    <t>https://wiereich.net/mit-praktischen-schritten-den-wert-ihres-eigentums-steigern/</t>
  </si>
  <si>
    <t>https://leimenblog.de/wie-nachhaltiges-wohnen-fuer-eigenheimbesitzer-zum-vorteil-wird/</t>
  </si>
  <si>
    <t>https://www.allaannonser.se/samarb-kungaslottet.html</t>
  </si>
  <si>
    <t>https://www.sandiegoreader.com/contributor/readernews/how-modern-contractor-software-streamlines-projects-and-profits/</t>
  </si>
  <si>
    <t>Leap to Digital</t>
  </si>
  <si>
    <t>https://esportare.se/ovrigt/designens-omen-siffror-tecken-och-sma-ritualer-i-var-visuella-kultur</t>
  </si>
  <si>
    <t>betta på esport</t>
  </si>
  <si>
    <t>https://esportare.se/ovrigt/datan-som-gor-e-sporten-begriplig/</t>
  </si>
  <si>
    <t>https://esportare.se/ovrigt/har-ar-nagra-ovantade-e-sporter-att-spela-pa/</t>
  </si>
  <si>
    <t>Betting på e-sport</t>
  </si>
  <si>
    <t>https://laexaminer.com/the-benefits-of-electrical-stimulation-for-pain-management/</t>
  </si>
  <si>
    <t>Electrical stimulation</t>
  </si>
  <si>
    <t>https://www.digitaljournal.com/life/the-importance-of-a-great-rug/article</t>
  </si>
  <si>
    <t>https://www.kpopstarz.com/articles/322629/20250922/kpop-takeover-how-seoul-rewired-global-pop-its-fandom-model.htm</t>
  </si>
  <si>
    <t>royalty-free content</t>
  </si>
  <si>
    <t>spelayatzy.se</t>
  </si>
  <si>
    <t>www.spelklubben.se</t>
  </si>
  <si>
    <t>Spela casino hos spelklubben.se</t>
  </si>
  <si>
    <t>https://www.totallystockholm.se/varfor-foredrar-unga-sodermalm-over-ostermalm/</t>
  </si>
  <si>
    <t>https://www.totallystockholm.se/gatukonsten-i-stockholm-en-kvallsrunda-av-upptackter/</t>
  </si>
  <si>
    <t>https://www.dbet.com/se/</t>
  </si>
  <si>
    <t>https://www.nojesnytthelsingborg.se/2025/09/29/resor-jetlag-och-rutiner-hur-du-inte-later-tidszoner-sabotera-din-somn/</t>
  </si>
  <si>
    <t>https://www.dbet.com/se/mobil/</t>
  </si>
  <si>
    <t>Betting i mobilen</t>
  </si>
  <si>
    <t>https://www.djungeltrumman.se/stockholmare-tjanar-mest-men-har-de-mest-pengar-over/</t>
  </si>
  <si>
    <t>Svensklicienserade casinon som Videoslots</t>
  </si>
  <si>
    <t>https://www.djungeltrumman.se/fem-branscher-som-lever-valdigt-nara-den-statliga-regelboken/</t>
  </si>
  <si>
    <t>https://www.kungaslottet.se/responsible-gaming/</t>
  </si>
  <si>
    <t>Casinoaktören Kungaslottet har svensk spellicens</t>
  </si>
  <si>
    <t>https://radiotoday.co.uk/2025/09/what-radio-can-learn-from-onboarding-across-entertainment-sectors/</t>
  </si>
  <si>
    <t>https://www.mrvegas.com/welcome-bonus/</t>
  </si>
  <si>
    <t>https://standupsverige.se/standupklubben-ar-som-ett-casino/</t>
  </si>
  <si>
    <t>https://www.healthcarebusinesstoday.com/understanding-cold-packs-and-their-purposes-benefits-and-risks/</t>
  </si>
  <si>
    <t>https://villalivet.se/ekonomi/rotavdraget-2025-2026/</t>
  </si>
  <si>
    <t>https://villalivet.se/allmant/vardagslogistik-i-gotet/</t>
  </si>
  <si>
    <t>Tandläkare i göteborg</t>
  </si>
  <si>
    <t>https://villalivet.se/allmant/trygghetstekniken-i-hemmet-for-aldre/</t>
  </si>
  <si>
    <t>https://villalivet.se/allmant/smarta-och-mysiga-hemmakvallar/</t>
  </si>
  <si>
    <t>mega riches</t>
  </si>
  <si>
    <t>https://villalivet.se/allmant/gammal-idyll-gor-comeback-2025/</t>
  </si>
  <si>
    <t>https://www.lsb.se/billan</t>
  </si>
  <si>
    <t>billån</t>
  </si>
  <si>
    <t>https://www.djungeltrumman.se/spelen-du-kan-spela-sjalv-men-anda-ha-kul/</t>
  </si>
  <si>
    <t>https://www.mrvegas.com/sv/casino/</t>
  </si>
  <si>
    <t>hittar ett bra casino online</t>
  </si>
  <si>
    <t>https://www.battrestadsdel.se/i-samarbete-med-2/har-hittar-du-gratistraning-i-sydvastra-stockholm/</t>
  </si>
  <si>
    <t>kreatin</t>
  </si>
  <si>
    <t>https://www.battrestadsdel.se/samarbete-2/hur-lanar-regeringen-pengar/</t>
  </si>
  <si>
    <t>vanligt privatlån</t>
  </si>
  <si>
    <t>https://www.battrestadsdel.se/i-samarbete-med-2/det-ar-skillnad-pa-overvakning-och-overvakning/</t>
  </si>
  <si>
    <t>körjournal</t>
  </si>
  <si>
    <t>https://eventeffect.se/risk-efterlevnad-och-vardering-den-dolda-ekonomin-bakom-motena/</t>
  </si>
  <si>
    <t>https://eventeffect.se/2025-ett-rekord-ar-for-evenemang-som-behover-storre-sakerhet-2026/</t>
  </si>
  <si>
    <t>https://www.executiveeffect.se/forberedelser-som-gor-de-finansiella-besluten-lattare/</t>
  </si>
  <si>
    <t>https://passioneffect.se/vikten-av-riskfordelning-och-ratt-samarbetspartner/</t>
  </si>
  <si>
    <t>https://passioneffect.se/kickoff-kit-2025-boosta-med-goodiebag/</t>
  </si>
  <si>
    <t>merchoteket</t>
  </si>
  <si>
    <t>https://www.saleseffect.se/mobil-friktion-som-saljer-ux-paverkar-affarerna/</t>
  </si>
  <si>
    <t>https://www.megariches.com/sv/mobile/</t>
  </si>
  <si>
    <t>https://spellabbet.se/fran-fotbollsplan-till-digital-arena-sportens-digitala-revolution/</t>
  </si>
  <si>
    <t>Betting på esport</t>
  </si>
  <si>
    <t>https://cookies.nu/artiklar/kakor-integritet-och-noje-online-sa-hanger-allt-ihop/</t>
  </si>
  <si>
    <t>https://spelklubben.se/</t>
  </si>
  <si>
    <t>https://tommymyllymaki.se/inspiration/nar-smak-moter-slump-knep-for-att-lasa-det-finstilta-i-online-erbjudanden/</t>
  </si>
  <si>
    <t>https://www.megariches.com/sv/welcome-bonus</t>
  </si>
  <si>
    <t>Mega Riches välkomstbonus med 50 gratis spins</t>
  </si>
  <si>
    <t>https://balansekonomi.se/10-saker-som-faktiskt-ar-helt-gratis/</t>
  </si>
  <si>
    <t>https://www.kungaslottet.se/casino/</t>
  </si>
  <si>
    <t>spela online hos Kungaslottet</t>
  </si>
  <si>
    <t>https://www.diabit.se/publikens-talamod-hur-lange-orkar-vi-egentligen-lyssna/</t>
  </si>
  <si>
    <t>https://www.nolingo.se/publikens-kraft-hur-stottning-fran-omgivningen-paverkar-prestation/</t>
  </si>
  <si>
    <t>https://dbet.com/se/sport</t>
  </si>
  <si>
    <t>bra beslut i betting</t>
  </si>
  <si>
    <t>https://simbin.se/tekniken-bakom-mobil-racing-och-casino/</t>
  </si>
  <si>
    <t>https://thecastle.nu/ramvillkoren-for-ett-lyckat-foretagande-sverige-bland-de-basta-i-varlden/</t>
  </si>
  <si>
    <t>aktörer som Hajper</t>
  </si>
  <si>
    <t>https://duochjobbet.se/sa-fungerar-en-fastanstallning/</t>
  </si>
  <si>
    <t>https://jazziparken.se/den-perfekta-ankomsttiden/</t>
  </si>
  <si>
    <t>bettingsyndikatet</t>
  </si>
  <si>
    <t>https://caboo.se/kultserierna-som-fick-en-ny-publik-generationer-senare/</t>
  </si>
  <si>
    <t>https://www.nolingo.se/a-b-testning-i-digitala-annonser-hur-fungerar-det/</t>
  </si>
  <si>
    <t>https://www.kungaslottet.se/welcome-bonus/</t>
  </si>
  <si>
    <t>Spela casino online hos Kungaslottet</t>
  </si>
  <si>
    <t>https://umea2014.se/jakt-norrland/</t>
  </si>
  <si>
    <t>https://www.jakt.se/blaser-r8-2</t>
  </si>
  <si>
    <t>blaser r8</t>
  </si>
  <si>
    <t>https://www.di.se/brandstudio/lan-spar-bank/lan-spar-bank-tar-klivet-in-pa-bolan/</t>
  </si>
  <si>
    <t xml:space="preserve">Läs mer om Lån &amp; Spar Bank </t>
  </si>
  <si>
    <t>https://www.grontsamhallsbyggande.se/2025/10/01/8-saker-smabarnsforaldrar-tipsar-varandra-om-pa-sociala-medier/</t>
  </si>
  <si>
    <t>https://www.lilla-varlden.se</t>
  </si>
  <si>
    <t>Lilla Världen</t>
  </si>
  <si>
    <t>https://www.grontsamhallsbyggande.se/2025/10/01/tumma-inte-pa-sakerheten-i-eventplaneringen/</t>
  </si>
  <si>
    <t>https://www.grontsamhallsbyggande.se/2025/10/01/en-trygg-vag-hem/</t>
  </si>
  <si>
    <t>https://minifinder.se/tjanster/kategori/elektronisk-korjournal</t>
  </si>
  <si>
    <t>https://www.dagensinfrastruktur.se/2025/10/01/renoveringsvagen-hur-hemmen-moderniseras-idag/</t>
  </si>
  <si>
    <t>https://stockholms-rorvvs.se/varmepumpar-pa-lidingo</t>
  </si>
  <si>
    <t>värmepump lidingö</t>
  </si>
  <si>
    <t>https://www.grontsamhallsbyggande.se/2025/10/01/design-for-ateranvandning/</t>
  </si>
  <si>
    <t>https://comfydence.se/</t>
  </si>
  <si>
    <t>https://www.grontsamhallsbyggande.se/2025/10/01/funkar-beloningar-for-klimatsmarta-val/</t>
  </si>
  <si>
    <t>https://dbet.com/se/bonus</t>
  </si>
  <si>
    <t>casinobonus</t>
  </si>
  <si>
    <t>https://www.dagensinfrastruktur.se/2025/10/01/den-svenska-bredbandsutvecklingen/</t>
  </si>
  <si>
    <t>https://www.svenskbyggtidning.se/2025/10/01/amerikansk-arkitektur-i-svenska-stader-las-vegas-chicago-och-new-york-som-inspirationskallor/</t>
  </si>
  <si>
    <t>https://www.dagensinfrastruktur.se/2025/10/01/sannolikhet-i-infrastruktur-smartare-drag-nar-slumpen-far-plats/</t>
  </si>
  <si>
    <t>https://www.megariches.com/sv/the-wheel-of-riches-info</t>
  </si>
  <si>
    <t>Wheel of Riches-jackpot hos Mega Riches</t>
  </si>
  <si>
    <t>https://avtalsguiden.com/2025/09/30/helhetslosningar-for-foretagare-fran-juridiken-till-ekonomin/</t>
  </si>
  <si>
    <t>https://www.kleer.se/byt-till-kleer/jamforelse-ekonomilosning/</t>
  </si>
  <si>
    <t>ekonomilösning partial</t>
  </si>
  <si>
    <t>https://brollopspresenten.se/brollopsgavor-genom-tiderna/</t>
  </si>
  <si>
    <t>https://brollopspresenten.se/brollopspresenterna-brudgummen-verkligen-vill-ha/</t>
  </si>
  <si>
    <t>https://www.startmotor.se/batterier/bilbatteri</t>
  </si>
  <si>
    <t>https://avtalsguiden.com/2025/09/30/de-flesta-bara-skriver-pa-sa-fungerar-kontrakt/</t>
  </si>
  <si>
    <t>https://familjehogtider.se/5-hogtider-som-inte-ar-hogtider-men-som-borde-vara-det/</t>
  </si>
  <si>
    <t>https://brollopspresenten.se/hallbara-brollopspresenter-till-bruden/</t>
  </si>
  <si>
    <t>https://www.eastvalleytribune.com/contributor_content/why-digital-strategy-matters-for-local-and-niche-markets/article_f1466250-efcb-41b7-89d2-74cfbf21f281.html</t>
  </si>
  <si>
    <t>https://www.startupbooted.com/why-ai-meeting-assistant-tools-are-transforming-the-modern-workplace</t>
  </si>
  <si>
    <t>Himala AI</t>
  </si>
  <si>
    <t>https://mxc.com.mx/2025/10/01/musica-que-engancha-como-elegir-la-cancion-perfecta-para-tu-video/</t>
  </si>
  <si>
    <t>https://www.epidemicsound.com/es/music</t>
  </si>
  <si>
    <t>https://arverbil.se/checklista-infor-vintern-sa-gor-du-bilen-redo-for-minusgrader/</t>
  </si>
  <si>
    <t>https://www.carliabil.se/miljovanlig-hantering-av-uttjanta-bildelar/</t>
  </si>
  <si>
    <t>https://www.startmotor.se/batterier/startbatterier</t>
  </si>
  <si>
    <t>startbatteri</t>
  </si>
  <si>
    <t>https://bilverkstad.eu/sa-forlanger-du-livet-pa-din-begagnade-bil-tips-for-saker-korning/</t>
  </si>
  <si>
    <t>https://xn--dckverkstad-l8a.nu/ar-du-vinterredo-sa-behaller-du-greppet-nar-temperaturen-svajar/</t>
  </si>
  <si>
    <t>https://tryggbil.se/tjanster/dackbyte-och-dackhotell/</t>
  </si>
  <si>
    <t>Däckbyte i tyresö</t>
  </si>
  <si>
    <t>https://www.dackhjalp.se/inlagg/dags-for-dackbyte-en-guide-till-ett-sakert-skifte/</t>
  </si>
  <si>
    <t>byta däck tyresö</t>
  </si>
  <si>
    <t>https://www.omkrets.se/tragolvsguiden-hitta-ratt-stil-och-kansla/</t>
  </si>
  <si>
    <t>Mäklare i Sundbyberg</t>
  </si>
  <si>
    <t>https://jazziparken.se/hur-far-jazz-oss-att-ma/</t>
  </si>
  <si>
    <t>https://kulturbloggen.com/?p=197690</t>
  </si>
  <si>
    <t>https://www.dbet.com/se/casino/</t>
  </si>
  <si>
    <t>https://www.sciencetimes.com/articles/60622/20251001/why-businesses-are-turning-ai-meeting-assistants.htm</t>
  </si>
  <si>
    <t>AI meeting assistant</t>
  </si>
  <si>
    <t>https://pc-concept.nu/gamingbelysning-2025/</t>
  </si>
  <si>
    <t>Mr Vegas online casino</t>
  </si>
  <si>
    <t>https://elbilen.se/nyheter/planera-elbilsturen-som-ett-proffs-med-rackvidd-och-risk-i-atanke/</t>
  </si>
  <si>
    <t>http://spelklubben.se/</t>
  </si>
  <si>
    <t>https://www.eonmusic.co.uk/features/encore-economics-why-extras-matter-in-modern-rock-music</t>
  </si>
  <si>
    <t>https://www.megariches.com/welcome-bonus</t>
  </si>
  <si>
    <t>Mega Riches welcome bonus 100% + 50 free spins</t>
  </si>
  <si>
    <t>https://www.racingbetter.co.uk/news/2025/10/rb700_photographing_horses.html</t>
  </si>
  <si>
    <t>https://www.mrvegas.com/mobile/casino/</t>
  </si>
  <si>
    <t>https://madison.com/life-entertainment/article_e3ae5609-1c6f-5e8d-9659-0b6e9826e2d6.html</t>
  </si>
  <si>
    <t>Rug</t>
  </si>
  <si>
    <t>https://omaha.com/life-entertainment/article_1982bac9-b8bd-5a25-86c2-a5ff34448cc0.html</t>
  </si>
  <si>
    <t>https://omaha.com/life-entertainment/article_cab506c5-34cf-5c82-8bd2-1e21e7299148.html</t>
  </si>
  <si>
    <t>hot packs</t>
  </si>
  <si>
    <t>https://ekonomikunskap.se/fran-buffert-till-borsen-sa-vaxer-pengarna-pa-riktigt/</t>
  </si>
  <si>
    <t>https://xn--golfptv-ixa.se/blogg/sa-bettar-du-pa-golf-enligt-new-york-times-sportexperter/</t>
  </si>
  <si>
    <t>Betting på golf</t>
  </si>
  <si>
    <t>https://xn--golfptv-ixa.se/blogg/s-byggs-dramat-i-sandning-frn-storfavorit-till-sondagsskrall/</t>
  </si>
  <si>
    <t>https://www.bethard.com/sv/sports/golf</t>
  </si>
  <si>
    <t>golf betting</t>
  </si>
  <si>
    <t>https://xn--golfptv-ixa.se/blogg/golfens-filmfoto/</t>
  </si>
  <si>
    <t>https://london-tv.co.uk/how-to-be-the-host-that-makes-guests-feel-comfortable-immediately/</t>
  </si>
  <si>
    <t>UK online slots</t>
  </si>
  <si>
    <t>https://midlands-tv.co.uk/8-films-everyone-should-watch-at-least-once/</t>
  </si>
  <si>
    <t>https://www.megariches.com/jackpots/</t>
  </si>
  <si>
    <r>
      <rPr>
        <sz val="10"/>
        <color rgb="FF000000"/>
        <rFont val="Roboto Mono"/>
      </rPr>
      <t>jackpots at Mega Riches</t>
    </r>
  </si>
  <si>
    <t>https://www.essexmagazine.co.uk/2025/10/how-to-learn-a-new-language-on-the-go/</t>
  </si>
  <si>
    <t>online casino games</t>
  </si>
  <si>
    <t>https://morsdagpresent.se/skam-bort-mamma-pa-mors-dag/</t>
  </si>
  <si>
    <t>frisör på södermalm</t>
  </si>
  <si>
    <t>https://morsdagpresent.se/sasongsanpassade-presenter-till-mamma/</t>
  </si>
  <si>
    <t>https://morsdagpresent.se/en-overraskning-i-morsdagspresent/</t>
  </si>
  <si>
    <t>https://morsdagpresent.se/mors-dag-nar-man-bor-langt-bort-satt-att-komma-nara-anda/</t>
  </si>
  <si>
    <t>https://sandudden.se/</t>
  </si>
  <si>
    <t>Villa Sandudden</t>
  </si>
  <si>
    <t>https://byggnytt.nu/nar-projektkalkylen-moter-kapitalmarknaden/</t>
  </si>
  <si>
    <t>https://byggnytt.nu/bygga-en-brygga-i-tra-regler-istryck-och-dimensioner/</t>
  </si>
  <si>
    <t>https://www.startmotor.se/startmotorer</t>
  </si>
  <si>
    <t>https://byggnytt.nu/diy-eller-anlita-proffs-vvs-arbeten-i-hemmet/</t>
  </si>
  <si>
    <t>VVS i sollentuna</t>
  </si>
  <si>
    <t>https://piggokry.nu/mattande-mellanmal/</t>
  </si>
  <si>
    <t>https://timeandleisure.co.uk/promotions/a-packing-philosophy-for-all-trips/</t>
  </si>
  <si>
    <t>http://mrvegas.com/</t>
  </si>
  <si>
    <t>play anywhere at an online casino</t>
  </si>
  <si>
    <t>https://www.reseledaren.nu/backpackarens-guide-till-5g-och-roaming/</t>
  </si>
  <si>
    <t>mobilcasino med snabba uttag</t>
  </si>
  <si>
    <t>https://fragbite.se/all/news/59603/spelifieringen-av-spel</t>
  </si>
  <si>
    <t>https://www.videoslots.com/sv/casino/video-slots/</t>
  </si>
  <si>
    <t>spelautomater online med hög RTP</t>
  </si>
  <si>
    <t>https://www.nykommun.se/2025/09/29/kickoff-som-katalysator-bygg-kultur-klarhet-och-kraft-i-skargarden/</t>
  </si>
  <si>
    <t>Kick-off i Stockholm</t>
  </si>
  <si>
    <t xml:space="preserve">https://www.nykommun.se/2025/10/01/sa-valjer-du-ratt-bostadsrattsforening/ </t>
  </si>
  <si>
    <t>www.di.se/brandstudio/fair-investments/fair-investments-vi-tar-bara-betalt-for-verkliga-resultat-det-tjanar-alla-pa/</t>
  </si>
  <si>
    <t>https://piggokry.nu/koffein-med-kompass/</t>
  </si>
  <si>
    <t>https://piggokry.nu/ta-munhalsan-pa-allvar-i-hybridvardagen/</t>
  </si>
  <si>
    <t>https://bröllopspresenttips.se/skattjakt-for-tva-en-romantisk-poangjakt-pa-brollopsdagen/</t>
  </si>
  <si>
    <t>http://www.spelklubben.se/sv</t>
  </si>
  <si>
    <t>https://xn--brllopspresenttips-e3b.se/de-mest-uppskattade-klassiska-brollopspresenterna/</t>
  </si>
  <si>
    <t>en återkommande jackpott</t>
  </si>
  <si>
    <t>https://sportligan.se/artikel/ett-svenskt-fotbollshaveri-vad-ar-oddsen-att-sverige-gar-till-vm/</t>
  </si>
  <si>
    <t>betting på VM-kvalet i fotboll</t>
  </si>
  <si>
    <t>https://eventeffect.se/kreativa-giveaways-gor-skillnad-i-event-marketing/</t>
  </si>
  <si>
    <t>https://merchoteket.se/collections/hoodies</t>
  </si>
  <si>
    <t>Roliga hoodies</t>
  </si>
  <si>
    <t xml:space="preserve">https://bouncemagazine.co.uk/what-game-design-teaches-us-about-everyday-decision-making/ </t>
  </si>
  <si>
    <t>https://www.megariches.com/casino</t>
  </si>
  <si>
    <t>play casino games at Mega Riches</t>
  </si>
  <si>
    <t>https://www.on-magazine.co.uk/stuff/gaming/build-a-mini-vegas-at-home/</t>
  </si>
  <si>
    <t>https://www.videoslots.com/welcome-bonus/</t>
  </si>
  <si>
    <t>Play video slots at Videoslots</t>
  </si>
  <si>
    <t>https://timeandleisure.co.uk/promotions/the-psychology-of-surprise-in-london-life/</t>
  </si>
  <si>
    <t>https://www.megariches.com/the-wheel-of-riches-info</t>
  </si>
  <si>
    <t>Wheel of Riches rewards</t>
  </si>
  <si>
    <t>https://luurituki.fi/nain-se-toimii-kun-ostetaan-autoja-suoraan-puhelimella/</t>
  </si>
  <si>
    <t>https://luotto.io/aika-ostaa-auto-saattaa-olla-hyva-idea-vertailla-lainoja/</t>
  </si>
  <si>
    <t>ykkoslohja.fi</t>
  </si>
  <si>
    <t>www.outdooractive.fi</t>
  </si>
  <si>
    <t>https://www.fiso.co.uk/how-to-stay-motivated-in-fantasy-football/</t>
  </si>
  <si>
    <t>welcome bonus on Mr Vegas</t>
  </si>
  <si>
    <t>https://www.sporthalsa.se/artiklar/tips-pa-hjarngympa-strategiska-spel-och-utmaningar-som-stimulerar-hjarnan/</t>
  </si>
  <si>
    <t>https://yorkshirewonders.co.uk/casinos-in-yorkshire</t>
  </si>
  <si>
    <t>https://www.entreprenad.com/lb-article/182047/nagra-vanliga-fallor-i-anlaggningsprojektet-och-hur-de-tapps-till</t>
  </si>
  <si>
    <t>jämföra ekonomilösning</t>
  </si>
  <si>
    <t>https://www.welshcountry.co.uk/entertainment-infrastructure-and-ethics-in-the-digital-era/</t>
  </si>
  <si>
    <t>Mega Riches UK online casino</t>
  </si>
  <si>
    <t>https://www.sportingnews.com/us/culture/entertainment/news/nike-rolls-out-youth-basketball-camps-tech-cut-coaches-busywork%C2%A0/297b9593546570323a9a6c74</t>
  </si>
  <si>
    <t>https://ekonomiskbalans.se/forsakringsalternativ-for-solceller-en-trygg-losning-for-installatorer-och-aterforsaljare/</t>
  </si>
  <si>
    <t>https://smartareekonomi.se/forsakringslosningar-for-solcellsanlaggningar-som-skyddar-din-ekonomiska-investering/</t>
  </si>
  <si>
    <t>https://industribanken.se/effektivisera-lonehanteringen-med-ett-modernt-molnbaserat-system/</t>
  </si>
  <si>
    <t>https://lillahemmet.se/mattor-som-forvandlar-ditt-hem-till-en-oas/</t>
  </si>
  <si>
    <t>https://husmedia.se/effektiv-belysning-for-att-skapa-en-inbjudande-bostad/</t>
  </si>
  <si>
    <t>https://barabyggare.se/vikten-av-ratt-batbatteri-i-byggprojekt/</t>
  </si>
  <si>
    <t>https://skaparum.se/effektivitet-och-hallbarhet-i-marin-och-industrimotorer-for-byggbranschen/</t>
  </si>
  <si>
    <t>https://vackerhud.se/viktnedgangens-inverkan-pa-skonhet-och-halsa/</t>
  </si>
  <si>
    <t>https://businessagent.se/flexibla-losningar-for-foretagsbostader-i-sverige/</t>
  </si>
  <si>
    <t>https://industrimagasinet.se/flexibla-boendelosningar-for-foretagsresor-i-stockholm/</t>
  </si>
  <si>
    <t>https://digitalfritid.se/skriv-ut-dina-kreativa-projekt-med-ratt-papper-och-kvalitet/</t>
  </si>
  <si>
    <t>https://fritidsfavoriter.se/kontorsmaterial-som-gor-dina-hobbyprojekt-mer-effektiva-och-roliga/</t>
  </si>
  <si>
    <t>https://nybyggande.se/professionell-vvs-installation-och-service-i-taby-med-rot-avdrag/</t>
  </si>
  <si>
    <t>https://barabyggare.se/professionella-vvs-tjanster-och-hur-du-utnyttjar-rot-och-rut-avdrag-i-stockholm/</t>
  </si>
  <si>
    <t>https://hemmabyggt.se/professionell-taklaggning-for-lantbruk-och-ladugardar-i-sodra-sverige/</t>
  </si>
  <si>
    <t>https://bonusman.se/vikten-av-takunderhall-for-maskinhallar-och-dess-paverkan-pa-verksamheten/</t>
  </si>
  <si>
    <t>https://pappagruppen.se/bilar-och-man-en-perfekt-kombination-i-tyreso/</t>
  </si>
  <si>
    <t>https://dinbyggnad.se/vikten-av-professionell-service-for-bilar-inom-byggbranschen/</t>
  </si>
  <si>
    <t>https://bolagshistorik.se/sakerhetstjanster-som-skyddar-foretag-och-privatpersoner-i-storstockholm/</t>
  </si>
  <si>
    <t>https://barnkatalogen.se/brett-utbud-av-produkter-for-barn-och-foraldrar-i-var-onlinebutik/</t>
  </si>
  <si>
    <t>https://dinfamilj.se/akut-tandvard-for-hela-familjen-i-stockholm/</t>
  </si>
  <si>
    <t>https://familjfakta.se/samarbete-mellan-familjemedlemmar-for-att-uppna-hudhalsa-tillsammans/</t>
  </si>
  <si>
    <t>https://industrilinjen.se/effektiv-kontorsstadning-skapar-en-battre-arbetsmiljo-i-goteborg/</t>
  </si>
  <si>
    <t>https://hemforalla.se/professionella-stadtjanster-for-en-halsosam-boendemiljo-i-stockholm/</t>
  </si>
  <si>
    <t>https://miljonhuset.se/hallbara-stadtjanster-for-ett-halsosamt-boende-i-stockholm/</t>
  </si>
  <si>
    <t>https://businessagent.se/standup-comedy-som-affarside-i-sverige/</t>
  </si>
  <si>
    <t>https://retrohus.se/forbattra-ditt-hem-med-effektiva-undertak-och-akustiklosningar/</t>
  </si>
  <si>
    <t>https://nutidshuset.se/forbattra-ljudmiljon-i-ditt-hem-med-akustikprodukter/</t>
  </si>
  <si>
    <t>TKW</t>
  </si>
  <si>
    <t>https://hemforalla.se/forbattra-ljudmiljon-i-ditt-hem-med-effektiva-akustiklosningar/</t>
  </si>
  <si>
    <t>https://miljonhuset.se/forbattra-ljudmiljon-i-hemmet-med-akustiklosningar/</t>
  </si>
  <si>
    <t>https://satsamanualen.se/jamfor-forsakringar-for-att-hitta-det-basta-skyddet-till-ratt-pris/</t>
  </si>
  <si>
    <t>https://www.refunder.se/artikel/sprakkompassen</t>
  </si>
  <si>
    <t>https://travellingforbusiness.co.uk/content/most-on-time-airlines-best-performing-airports-and-leading-hotel-loyalty-programmes-in-2025/</t>
  </si>
  <si>
    <t>https://www.pastemagazine.com/tech/epidemic-sound/royalty-free-music-for-creators</t>
  </si>
  <si>
    <t>https://www.growthnavigate.com/how-roofing-crm-software-can-benefit-roof-businesses-both-big-and-small</t>
  </si>
  <si>
    <t>pub_page_url</t>
  </si>
  <si>
    <t>anchor_text</t>
  </si>
  <si>
    <t>target_url</t>
  </si>
  <si>
    <t>published_at</t>
  </si>
  <si>
    <t>link_type</t>
  </si>
  <si>
    <t>canonical_root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</si>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</sst>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€&quot;#,##0"/>
  </numFmts>
  <fonts count="323">
    <font>
      <sz val="10"/>
      <color rgb="FF000000"/>
      <name val="Arial"/>
      <scheme val="minor"/>
    </font>
    <font>
      <b/>
      <sz val="9"/>
      <color rgb="FFFFFFFF"/>
      <name val="Roboto Mono"/>
    </font>
    <font>
      <b/>
      <u/>
      <sz val="9"/>
      <color rgb="FF0000FF"/>
      <name val="Roboto Mono"/>
    </font>
    <font>
      <u/>
      <sz val="9"/>
      <color rgb="FF34A853"/>
      <name val="Roboto Mono"/>
    </font>
    <font>
      <u/>
      <sz val="9"/>
      <color rgb="FF0000FF"/>
      <name val="Roboto Mono"/>
    </font>
    <font>
      <sz val="9"/>
      <color theme="1"/>
      <name val="Roboto Mono"/>
    </font>
    <font>
      <b/>
      <sz val="9"/>
      <color theme="1"/>
      <name val="Roboto Mono"/>
    </font>
    <font>
      <u/>
      <sz val="9"/>
      <color rgb="FF0000FF"/>
      <name val="Roboto Mono"/>
    </font>
    <font>
      <u/>
      <sz val="9"/>
      <color rgb="FF0000FF"/>
      <name val="Roboto Mono"/>
    </font>
    <font>
      <sz val="9"/>
      <color rgb="FF000000"/>
      <name val="Roboto Mono"/>
    </font>
    <font>
      <u/>
      <sz val="9"/>
      <color rgb="FF484848"/>
      <name val="Roboto Mono"/>
    </font>
    <font>
      <u/>
      <sz val="9"/>
      <color rgb="FF0000FF"/>
      <name val="Roboto Mono"/>
    </font>
    <font>
      <u/>
      <sz val="9"/>
      <color rgb="FF0000FF"/>
      <name val="Roboto Mono"/>
    </font>
    <font>
      <u/>
      <sz val="9"/>
      <color rgb="FF484848"/>
      <name val="Roboto Mono"/>
    </font>
    <font>
      <b/>
      <sz val="9"/>
      <color rgb="FF1155CC"/>
      <name val="Roboto Mono"/>
    </font>
    <font>
      <u/>
      <sz val="9"/>
      <color rgb="FF0000FF"/>
      <name val="Roboto Mono"/>
    </font>
    <font>
      <b/>
      <u/>
      <sz val="9"/>
      <color rgb="FF0000FF"/>
      <name val="Roboto Mono"/>
    </font>
    <font>
      <u/>
      <sz val="9"/>
      <color rgb="FF1155CC"/>
      <name val="Roboto Mono"/>
    </font>
    <font>
      <u/>
      <sz val="9"/>
      <color rgb="FF1155CC"/>
      <name val="Roboto Mono"/>
    </font>
    <font>
      <u/>
      <sz val="9"/>
      <color rgb="FF0000FF"/>
      <name val="Roboto Mono"/>
    </font>
    <font>
      <u/>
      <sz val="12"/>
      <color rgb="FF2880C3"/>
      <name val="Lato"/>
    </font>
    <font>
      <b/>
      <u/>
      <sz val="9"/>
      <color rgb="FF0000FF"/>
      <name val="Roboto Mono"/>
    </font>
    <font>
      <u/>
      <sz val="9"/>
      <color rgb="FF1F1F1F"/>
      <name val="Roboto Mono"/>
    </font>
    <font>
      <u/>
      <sz val="9"/>
      <color rgb="FF1155CC"/>
      <name val="Roboto Mono"/>
    </font>
    <font>
      <u/>
      <sz val="9"/>
      <color rgb="FF0000FF"/>
      <name val="Roboto Mono"/>
    </font>
    <font>
      <u/>
      <sz val="11"/>
      <color rgb="FF0000FF"/>
      <name val="Arial"/>
      <family val="2"/>
    </font>
    <font>
      <b/>
      <u/>
      <sz val="9"/>
      <color rgb="FF0000FF"/>
      <name val="Roboto Mono"/>
    </font>
    <font>
      <u/>
      <sz val="9"/>
      <color rgb="FF333333"/>
      <name val="Roboto Mono"/>
    </font>
    <font>
      <u/>
      <sz val="9"/>
      <color rgb="FF0000FF"/>
      <name val="Roboto Mono"/>
    </font>
    <font>
      <u/>
      <sz val="9"/>
      <color rgb="FF1155CC"/>
      <name val="Roboto Mono"/>
    </font>
    <font>
      <u/>
      <sz val="9"/>
      <color rgb="FF1155CC"/>
      <name val="Roboto Mono"/>
    </font>
    <font>
      <u/>
      <sz val="10"/>
      <color rgb="FF1155CC"/>
      <name val="Arial"/>
      <family val="2"/>
    </font>
    <font>
      <u/>
      <sz val="11"/>
      <color rgb="FF0000FF"/>
      <name val="Slack-Lato"/>
    </font>
    <font>
      <u/>
      <sz val="9"/>
      <color rgb="FF1155CC"/>
      <name val="Roboto Mono"/>
    </font>
    <font>
      <u/>
      <sz val="9"/>
      <color rgb="FF1155CC"/>
      <name val="Roboto Mono"/>
    </font>
    <font>
      <u/>
      <sz val="9"/>
      <color rgb="FF1155CC"/>
      <name val="Roboto Mono"/>
    </font>
    <font>
      <b/>
      <u/>
      <sz val="9"/>
      <color rgb="FF0000FF"/>
      <name val="Roboto Mono"/>
    </font>
    <font>
      <u/>
      <sz val="9"/>
      <color rgb="FF34A853"/>
      <name val="Roboto Mono"/>
    </font>
    <font>
      <u/>
      <sz val="9"/>
      <color rgb="FF1155CC"/>
      <name val="Roboto Mono"/>
    </font>
    <font>
      <u/>
      <sz val="9"/>
      <color rgb="FF1155CC"/>
      <name val="Roboto Mono"/>
    </font>
    <font>
      <u/>
      <sz val="9"/>
      <color rgb="FF000000"/>
      <name val="Roboto Mono"/>
    </font>
    <font>
      <u/>
      <sz val="9"/>
      <color rgb="FF0000FF"/>
      <name val="Roboto Mono"/>
    </font>
    <font>
      <u/>
      <sz val="9"/>
      <color rgb="FF0000FF"/>
      <name val="Roboto Mono"/>
    </font>
    <font>
      <b/>
      <u/>
      <sz val="9"/>
      <color rgb="FF0000FF"/>
      <name val="Roboto Mono"/>
    </font>
    <font>
      <u/>
      <sz val="9"/>
      <color rgb="FF34A853"/>
      <name val="Roboto Mono"/>
    </font>
    <font>
      <u/>
      <sz val="9"/>
      <color rgb="FF0000FF"/>
      <name val="Roboto Mono"/>
    </font>
    <font>
      <u/>
      <sz val="9"/>
      <color rgb="FF1155CC"/>
      <name val="Roboto Mono"/>
    </font>
    <font>
      <u/>
      <sz val="9"/>
      <color rgb="FF1155CC"/>
      <name val="Roboto Mono"/>
    </font>
    <font>
      <u/>
      <sz val="9"/>
      <color rgb="FF99B5E6"/>
      <name val="Roboto Mono"/>
    </font>
    <font>
      <b/>
      <u/>
      <sz val="9"/>
      <color rgb="FF0000FF"/>
      <name val="Roboto Mono"/>
    </font>
    <font>
      <u/>
      <sz val="9"/>
      <color rgb="FF34A853"/>
      <name val="Roboto Mono"/>
    </font>
    <font>
      <u/>
      <sz val="9"/>
      <color rgb="FF0000FF"/>
      <name val="Roboto Mono"/>
    </font>
    <font>
      <u/>
      <sz val="9"/>
      <color rgb="FF1155CC"/>
      <name val="Roboto Mono"/>
    </font>
    <font>
      <u/>
      <sz val="9"/>
      <color rgb="FF0000FF"/>
      <name val="Roboto Mono"/>
    </font>
    <font>
      <u/>
      <sz val="9"/>
      <color rgb="FF1155CC"/>
      <name val="Roboto Mono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u/>
      <sz val="9"/>
      <color rgb="FF56A3F1"/>
      <name val="Roboto Mono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&quot;Open Sans&quot;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b/>
      <u/>
      <sz val="9"/>
      <color rgb="FF56A3F1"/>
      <name val="Roboto Mono"/>
    </font>
    <font>
      <u/>
      <sz val="10"/>
      <color rgb="FF56A3F1"/>
      <name val="Arial"/>
      <family val="2"/>
    </font>
    <font>
      <b/>
      <u/>
      <sz val="10"/>
      <color rgb="FF1155CC"/>
      <name val="Arial"/>
      <family val="2"/>
    </font>
    <font>
      <sz val="10"/>
      <color theme="1"/>
      <name val="Roboto Mono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theme="1"/>
      <name val="Arial"/>
      <family val="2"/>
    </font>
    <font>
      <u/>
      <sz val="10"/>
      <color rgb="FF34A853"/>
      <name val="Roboto Mono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1"/>
      <color rgb="FF113664"/>
      <name val="&quot;Open sans&quot;"/>
    </font>
    <font>
      <u/>
      <sz val="10"/>
      <color rgb="FF56A3F1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u/>
      <sz val="9"/>
      <color rgb="FF000000"/>
      <name val="Roboto Mono"/>
    </font>
    <font>
      <b/>
      <sz val="9"/>
      <color rgb="FF000000"/>
      <name val="Roboto Mono"/>
    </font>
    <font>
      <u/>
      <sz val="11"/>
      <color rgb="FF1155CC"/>
      <name val="&quot;helvetica neue&quot;"/>
    </font>
    <font>
      <sz val="10"/>
      <color theme="1"/>
      <name val="&quot;Helvetica Neue&quot;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1"/>
      <color rgb="FF000000"/>
      <name val="&quot;Open sans&quot;"/>
    </font>
    <font>
      <u/>
      <sz val="9"/>
      <color rgb="FF1155CC"/>
      <name val="&quot;Google Sans&quot;"/>
    </font>
    <font>
      <sz val="11"/>
      <color theme="1"/>
      <name val="Roboto Mono"/>
    </font>
    <font>
      <u/>
      <sz val="11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9"/>
      <color rgb="FF000000"/>
      <name val="Helvetica"/>
    </font>
    <font>
      <u/>
      <sz val="13"/>
      <color rgb="FF282828"/>
      <name val="&quot;DM Sans&quot;"/>
    </font>
    <font>
      <u/>
      <sz val="12"/>
      <color rgb="FF008CBA"/>
      <name val="Georgia"/>
      <family val="1"/>
    </font>
    <font>
      <u/>
      <sz val="11"/>
      <color rgb="FF0000FF"/>
      <name val="Arial"/>
      <family val="2"/>
    </font>
    <font>
      <u/>
      <sz val="9"/>
      <color rgb="FF000000"/>
      <name val="Helvetica"/>
    </font>
    <font>
      <u/>
      <sz val="9"/>
      <color rgb="FF0000FF"/>
      <name val="Helvetica"/>
    </font>
    <font>
      <b/>
      <u/>
      <sz val="10"/>
      <color rgb="FF1155CC"/>
      <name val="Arial"/>
      <family val="2"/>
    </font>
    <font>
      <u/>
      <sz val="9"/>
      <color rgb="FF1155CC"/>
      <name val="&quot;docs-Roboto Mono&quot;"/>
    </font>
    <font>
      <b/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9"/>
      <color rgb="FF1F1F1F"/>
      <name val="&quot;Google Sans&quot;"/>
    </font>
    <font>
      <u/>
      <sz val="9"/>
      <color rgb="FF1155CC"/>
      <name val="&quot;Open Sans&quot;"/>
    </font>
    <font>
      <u/>
      <sz val="9"/>
      <color rgb="FF1155CC"/>
      <name val="&quot;Roboto Mono&quot;"/>
    </font>
    <font>
      <sz val="9"/>
      <color theme="1"/>
      <name val="&quot;Roboto Mono&quot;"/>
    </font>
    <font>
      <b/>
      <u/>
      <sz val="9"/>
      <color rgb="FF1155CC"/>
      <name val="&quot;Roboto Mono&quot;"/>
    </font>
    <font>
      <u/>
      <sz val="9"/>
      <color rgb="FF0000FF"/>
      <name val="&quot;Roboto Mono&quot;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9"/>
      <color rgb="FF000000"/>
      <name val="&quot;Google Sans&quot;"/>
    </font>
    <font>
      <u/>
      <sz val="11"/>
      <color rgb="FF1E73BE"/>
      <name val="&quot;Open Sans&quot;"/>
    </font>
    <font>
      <u/>
      <sz val="11"/>
      <color rgb="FF2E5586"/>
      <name val="&quot;Open sans&quot;"/>
    </font>
    <font>
      <u/>
      <sz val="9"/>
      <color rgb="FF1F1F1F"/>
      <name val="&quot;Roboto Mono&quot;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b/>
      <u/>
      <sz val="9"/>
      <color rgb="FF0000FF"/>
      <name val="Roboto Mono"/>
    </font>
    <font>
      <u/>
      <sz val="9"/>
      <color rgb="FF34A853"/>
      <name val="Roboto Mono"/>
    </font>
    <font>
      <u/>
      <sz val="10"/>
      <color rgb="FF0000FF"/>
      <name val="Arial"/>
      <family val="2"/>
    </font>
    <font>
      <u/>
      <sz val="9"/>
      <color rgb="FF0000FF"/>
      <name val="Roboto Mono"/>
    </font>
    <font>
      <b/>
      <u/>
      <sz val="9"/>
      <color rgb="FF0000FF"/>
      <name val="Roboto Mono"/>
    </font>
    <font>
      <u/>
      <sz val="9"/>
      <color rgb="FF34A853"/>
      <name val="Roboto Mono"/>
    </font>
    <font>
      <u/>
      <sz val="10"/>
      <color rgb="FF1155CC"/>
      <name val="Arial"/>
      <family val="2"/>
    </font>
    <font>
      <u/>
      <sz val="10"/>
      <color rgb="FF222222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9"/>
      <color rgb="FF1155CC"/>
      <name val="Helvetica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u/>
      <sz val="11"/>
      <color rgb="FF1D1C1D"/>
      <name val="Slack-Lato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9"/>
      <color rgb="FF1155CC"/>
      <name val="Helvetica"/>
    </font>
    <font>
      <u/>
      <sz val="10"/>
      <color rgb="FF1155CC"/>
      <name val="Arial"/>
      <family val="2"/>
    </font>
    <font>
      <u/>
      <sz val="9"/>
      <color rgb="FF1155CC"/>
      <name val="Helvetica"/>
    </font>
    <font>
      <u/>
      <sz val="10"/>
      <color rgb="FF0000FF"/>
      <name val="Arial"/>
      <family val="2"/>
    </font>
    <font>
      <u/>
      <sz val="11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9"/>
      <color rgb="FF0000FF"/>
      <name val="Roboto Mono"/>
    </font>
    <font>
      <u/>
      <sz val="11"/>
      <color rgb="FF484848"/>
      <name val="&quot;Open Sans&quot;"/>
    </font>
    <font>
      <u/>
      <sz val="11"/>
      <color rgb="FF484848"/>
      <name val="&quot;Open Sans&quot;"/>
    </font>
    <font>
      <sz val="9"/>
      <color rgb="FF000000"/>
      <name val="-apple-system-font"/>
    </font>
    <font>
      <u/>
      <sz val="9"/>
      <color rgb="FF000000"/>
      <name val="Arial"/>
      <family val="2"/>
    </font>
    <font>
      <u/>
      <sz val="9"/>
      <color rgb="FF000000"/>
      <name val="-apple-system-font"/>
    </font>
    <font>
      <u/>
      <sz val="9"/>
      <color rgb="FF000000"/>
      <name val="Arial"/>
      <family val="2"/>
    </font>
    <font>
      <u/>
      <sz val="9"/>
      <color rgb="FF000000"/>
      <name val="-apple-system-font"/>
    </font>
    <font>
      <u/>
      <sz val="9"/>
      <color rgb="FF333333"/>
      <name val="Helvetica"/>
    </font>
    <font>
      <u/>
      <sz val="9"/>
      <color rgb="FF333333"/>
      <name val="Helvetica"/>
    </font>
    <font>
      <u/>
      <sz val="11"/>
      <color rgb="FF1155CC"/>
      <name val="Slack-Lato"/>
    </font>
    <font>
      <u/>
      <sz val="10"/>
      <color rgb="FF0000FF"/>
      <name val="Arial"/>
      <family val="2"/>
    </font>
    <font>
      <u/>
      <sz val="9"/>
      <color rgb="FF1F1F1F"/>
      <name val="Google Sans"/>
    </font>
    <font>
      <u/>
      <sz val="9"/>
      <color rgb="FF000000"/>
      <name val="Google Sans"/>
    </font>
    <font>
      <u/>
      <sz val="11"/>
      <color rgb="FF1155CC"/>
      <name val="Arial"/>
      <family val="2"/>
    </font>
    <font>
      <sz val="11"/>
      <color theme="1"/>
      <name val="Arial"/>
      <family val="2"/>
    </font>
    <font>
      <u/>
      <sz val="9"/>
      <color rgb="FF0000FF"/>
      <name val="Helvetica"/>
    </font>
    <font>
      <sz val="9"/>
      <color rgb="FF000000"/>
      <name val="Helvetica"/>
    </font>
    <font>
      <sz val="9"/>
      <color theme="1"/>
      <name val="&quot;Open Sans&quot;"/>
    </font>
    <font>
      <sz val="10"/>
      <color rgb="FF000000"/>
      <name val="&quot;Arial&quot;"/>
    </font>
    <font>
      <u/>
      <sz val="9"/>
      <color rgb="FF1F1F1F"/>
      <name val="&quot;Google Sans&quot;"/>
    </font>
    <font>
      <u/>
      <sz val="10"/>
      <color rgb="FF0000FF"/>
      <name val="Arial"/>
      <family val="2"/>
    </font>
    <font>
      <u/>
      <sz val="9"/>
      <color rgb="FF1155CC"/>
      <name val="&quot;Open Sans&quot;"/>
    </font>
    <font>
      <u/>
      <sz val="9"/>
      <color rgb="FF0000FF"/>
      <name val="Open Sans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b/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&quot;Google Sans&quot;"/>
    </font>
    <font>
      <sz val="10"/>
      <color rgb="FF000000"/>
      <name val="&quot;Google Sans&quot;"/>
    </font>
    <font>
      <sz val="10"/>
      <color theme="1"/>
      <name val="Roboto Mono"/>
    </font>
    <font>
      <u/>
      <sz val="11"/>
      <color rgb="FF0000FF"/>
      <name val="Arial"/>
      <family val="2"/>
    </font>
    <font>
      <u/>
      <sz val="10"/>
      <color rgb="FF0000FF"/>
      <name val="Helvetica"/>
    </font>
    <font>
      <u/>
      <sz val="9"/>
      <color rgb="FF0000FF"/>
      <name val="Helvetica"/>
    </font>
    <font>
      <u/>
      <sz val="10"/>
      <color rgb="FF0000FF"/>
      <name val="Helvetica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  <scheme val="minor"/>
    </font>
    <font>
      <u/>
      <sz val="11"/>
      <color rgb="FF000000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Slack-Lato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Arial"/>
      <family val="2"/>
    </font>
    <font>
      <u/>
      <sz val="10"/>
      <color rgb="FFDCA10D"/>
      <name val="Arial"/>
      <family val="2"/>
    </font>
    <font>
      <u/>
      <sz val="10"/>
      <color rgb="FFDCA10D"/>
      <name val="Arial"/>
      <family val="2"/>
    </font>
    <font>
      <u/>
      <sz val="10"/>
      <color rgb="FF0000FF"/>
      <name val="Arial"/>
      <family val="2"/>
    </font>
    <font>
      <u/>
      <sz val="11"/>
      <color rgb="FF1155CC"/>
      <name val="Arial"/>
      <family val="2"/>
    </font>
    <font>
      <u/>
      <sz val="9"/>
      <color rgb="FF1155CC"/>
      <name val="Helvetica"/>
    </font>
    <font>
      <u/>
      <sz val="11"/>
      <color rgb="FF1D1C1D"/>
      <name val="Slack-Lato"/>
    </font>
    <font>
      <sz val="11"/>
      <color rgb="FF1D1C1D"/>
      <name val="Slack-Lato"/>
    </font>
    <font>
      <u/>
      <sz val="11"/>
      <color rgb="FF1155CC"/>
      <name val="Helvetica"/>
    </font>
    <font>
      <sz val="11"/>
      <color theme="1"/>
      <name val="Helvetica"/>
    </font>
    <font>
      <u/>
      <sz val="10"/>
      <color rgb="FF1155CC"/>
      <name val="Arial"/>
      <family val="2"/>
    </font>
    <font>
      <u/>
      <sz val="11"/>
      <color rgb="FF0000FF"/>
      <name val="Arial"/>
      <family val="2"/>
    </font>
    <font>
      <sz val="10"/>
      <color rgb="FF000000"/>
      <name val="Arial"/>
      <family val="2"/>
    </font>
    <font>
      <u/>
      <sz val="11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333333"/>
      <name val="Arial"/>
      <family val="2"/>
    </font>
    <font>
      <u/>
      <sz val="10"/>
      <color rgb="FF1F1F1F"/>
      <name val="&quot;Google Sans&quot;"/>
    </font>
    <font>
      <u/>
      <sz val="10"/>
      <color rgb="FF0000FF"/>
      <name val="Arial"/>
      <family val="2"/>
    </font>
    <font>
      <u/>
      <sz val="11"/>
      <color rgb="FF1155CC"/>
      <name val="Arial"/>
      <family val="2"/>
    </font>
    <font>
      <sz val="9"/>
      <color theme="1"/>
      <name val="Helvetica"/>
    </font>
    <font>
      <u/>
      <sz val="11"/>
      <color rgb="FF0000FF"/>
      <name val="Arial"/>
      <family val="2"/>
    </font>
    <font>
      <u/>
      <sz val="10"/>
      <color rgb="FF1155CC"/>
      <name val="Arial"/>
      <family val="2"/>
    </font>
    <font>
      <u/>
      <sz val="11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Montserrat"/>
    </font>
    <font>
      <sz val="10"/>
      <color theme="1"/>
      <name val="Calibri"/>
      <family val="2"/>
    </font>
    <font>
      <u/>
      <sz val="9"/>
      <color rgb="FF0000FF"/>
      <name val="Roboto Mono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Inherit"/>
    </font>
    <font>
      <u/>
      <sz val="10"/>
      <color rgb="FF0000FF"/>
      <name val="Arial"/>
      <family val="2"/>
    </font>
    <font>
      <u/>
      <sz val="12"/>
      <color rgb="FF1155CC"/>
      <name val="Arial"/>
      <family val="2"/>
    </font>
    <font>
      <u/>
      <sz val="12"/>
      <color rgb="FF1155CC"/>
      <name val="Arial"/>
      <family val="2"/>
    </font>
    <font>
      <sz val="12"/>
      <color theme="1"/>
      <name val="Arial"/>
      <family val="2"/>
    </font>
    <font>
      <u/>
      <sz val="11"/>
      <color rgb="FF0000FF"/>
      <name val="Arial"/>
      <family val="2"/>
    </font>
    <font>
      <u/>
      <sz val="10"/>
      <color rgb="FF0000FF"/>
      <name val="Roboto"/>
    </font>
    <font>
      <u/>
      <sz val="10"/>
      <color rgb="FF000080"/>
      <name val="Arial"/>
      <family val="2"/>
    </font>
    <font>
      <u/>
      <sz val="11"/>
      <color rgb="FF1155CC"/>
      <name val="Calibri"/>
      <family val="2"/>
    </font>
    <font>
      <u/>
      <sz val="11"/>
      <color rgb="FF1155CC"/>
      <name val="Calibri"/>
      <family val="2"/>
    </font>
    <font>
      <u/>
      <sz val="10"/>
      <color rgb="FF1155CC"/>
      <name val="Roboto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9"/>
      <color rgb="FF1155CC"/>
      <name val="Open Sans"/>
    </font>
    <font>
      <u/>
      <sz val="11"/>
      <color rgb="FF000000"/>
      <name val="Arial"/>
      <family val="2"/>
    </font>
    <font>
      <u/>
      <sz val="9"/>
      <color rgb="FF1155CC"/>
      <name val="Helvetica"/>
    </font>
    <font>
      <u/>
      <sz val="9"/>
      <color rgb="FF0000FF"/>
      <name val="Roboto Mono"/>
    </font>
    <font>
      <u/>
      <sz val="9"/>
      <color rgb="FF0000FF"/>
      <name val="Roboto Mono"/>
    </font>
    <font>
      <u/>
      <sz val="10"/>
      <color rgb="FF1155CC"/>
      <name val="Arial"/>
      <family val="2"/>
    </font>
    <font>
      <u/>
      <sz val="9"/>
      <color rgb="FF1155CC"/>
      <name val="Docs-Roboto Mono"/>
    </font>
    <font>
      <u/>
      <sz val="10"/>
      <color rgb="FF1155CC"/>
      <name val="Verdana"/>
      <family val="2"/>
    </font>
    <font>
      <u/>
      <sz val="10"/>
      <color rgb="FF1155CC"/>
      <name val="Arial"/>
      <family val="2"/>
    </font>
    <font>
      <u/>
      <sz val="11"/>
      <color rgb="FF000000"/>
      <name val="Arial"/>
      <family val="2"/>
    </font>
    <font>
      <u/>
      <sz val="9"/>
      <color rgb="FF0000FF"/>
      <name val="Open Sans"/>
    </font>
    <font>
      <u/>
      <sz val="11"/>
      <color rgb="FF2E2E2E"/>
      <name val="&quot;Work Sans&quot;"/>
    </font>
    <font>
      <u/>
      <sz val="9"/>
      <color rgb="FF0000FF"/>
      <name val="Helvetica"/>
    </font>
    <font>
      <u/>
      <sz val="9"/>
      <color rgb="FF1155CC"/>
      <name val="Open Sans"/>
    </font>
    <font>
      <u/>
      <sz val="9"/>
      <color rgb="FF1155CC"/>
      <name val="Open Sans"/>
    </font>
    <font>
      <u/>
      <sz val="9"/>
      <color rgb="FF0000FF"/>
      <name val="Open Sans"/>
    </font>
    <font>
      <u/>
      <sz val="9"/>
      <color rgb="FF0000FF"/>
      <name val="Open Sans"/>
    </font>
    <font>
      <u/>
      <sz val="9"/>
      <color rgb="FF0000FF"/>
      <name val="Open Sans"/>
    </font>
    <font>
      <sz val="9"/>
      <color theme="1"/>
      <name val="Open Sans"/>
    </font>
    <font>
      <u/>
      <sz val="10"/>
      <color rgb="FF1155CC"/>
      <name val="Arial"/>
      <family val="2"/>
    </font>
    <font>
      <u/>
      <sz val="10"/>
      <color rgb="FFDCA10D"/>
      <name val="Helvetica Neue"/>
    </font>
    <font>
      <u/>
      <sz val="10"/>
      <color rgb="FF1155CC"/>
      <name val="Arial"/>
      <family val="2"/>
    </font>
    <font>
      <u/>
      <sz val="11"/>
      <color rgb="FF1155CC"/>
      <name val="Arial"/>
      <family val="2"/>
    </font>
    <font>
      <sz val="10"/>
      <color rgb="FF000000"/>
      <name val="Calibri"/>
      <family val="2"/>
    </font>
    <font>
      <sz val="10"/>
      <color rgb="FF000000"/>
      <name val="Roboto Mono"/>
    </font>
    <font>
      <u/>
      <sz val="11"/>
      <color rgb="FF0000FF"/>
      <name val="&quot;Calibri&quot;"/>
    </font>
    <font>
      <u/>
      <sz val="11"/>
      <color rgb="FF0000FF"/>
      <name val="&quot;Arial&quot;"/>
    </font>
    <font>
      <u/>
      <sz val="9"/>
      <color rgb="FF0000FF"/>
      <name val="Roboto Mono"/>
    </font>
    <font>
      <u/>
      <sz val="9"/>
      <color rgb="FF333333"/>
      <name val="Roboto Mono"/>
    </font>
    <font>
      <u/>
      <sz val="9"/>
      <color rgb="FF1155CC"/>
      <name val="Roboto Mono"/>
    </font>
    <font>
      <u/>
      <sz val="9"/>
      <color rgb="FF1155CC"/>
      <name val="Roboto Mono"/>
    </font>
    <font>
      <u/>
      <sz val="12"/>
      <color rgb="FF0000FF"/>
      <name val="Arial"/>
      <family val="2"/>
    </font>
    <font>
      <sz val="10"/>
      <color rgb="FF443F3B"/>
      <name val="Arial"/>
      <family val="2"/>
    </font>
    <font>
      <sz val="10"/>
      <color rgb="FF4285F4"/>
      <name val="Arial"/>
      <family val="2"/>
    </font>
    <font>
      <u/>
      <sz val="9"/>
      <color rgb="FF0000FF"/>
      <name val="Roboto Mono"/>
    </font>
    <font>
      <u/>
      <sz val="10"/>
      <color rgb="FF1155CC"/>
      <name val="Roboto Mono"/>
    </font>
    <font>
      <u/>
      <sz val="10"/>
      <color rgb="FF1155CC"/>
      <name val="Arial"/>
      <family val="2"/>
    </font>
    <font>
      <b/>
      <u/>
      <sz val="10"/>
      <color rgb="FF1155CC"/>
      <name val="Roboto Mono"/>
    </font>
    <font>
      <u/>
      <sz val="10"/>
      <color rgb="FF000000"/>
      <name val="Roboto Mono"/>
    </font>
    <font>
      <sz val="9"/>
      <color rgb="FF000000"/>
      <name val="&quot;docs-Roboto Mono&quot;"/>
    </font>
    <font>
      <b/>
      <strike/>
      <u/>
      <sz val="9"/>
      <color rgb="FFFF0000"/>
      <name val="Roboto Mono"/>
    </font>
    <font>
      <strike/>
      <sz val="9"/>
      <color rgb="FFFF0000"/>
      <name val="Roboto Mono"/>
    </font>
    <font>
      <u/>
      <sz val="9"/>
      <color rgb="FF303B32"/>
      <name val="Roboto Mono"/>
    </font>
    <font>
      <u/>
      <sz val="9"/>
      <color rgb="FF0000FF"/>
      <name val="Roboto Mono"/>
    </font>
    <font>
      <u/>
      <sz val="9"/>
      <color rgb="FF0000FF"/>
      <name val="Roboto Mono"/>
    </font>
    <font>
      <sz val="9"/>
      <color rgb="FF1155CC"/>
      <name val="Roboto Mono"/>
    </font>
    <font>
      <u/>
      <sz val="9"/>
      <color rgb="FF34A853"/>
      <name val="Roboto Mono"/>
    </font>
    <font>
      <u/>
      <sz val="9"/>
      <color rgb="FF1155CC"/>
      <name val="Roboto Mono"/>
    </font>
    <font>
      <u/>
      <sz val="9"/>
      <color rgb="FF484848"/>
      <name val="Roboto Mono"/>
    </font>
    <font>
      <u/>
      <sz val="9"/>
      <color rgb="FF000000"/>
      <name val="Roboto Mono"/>
    </font>
    <font>
      <u/>
      <sz val="9"/>
      <color rgb="FF113664"/>
      <name val="Roboto Mono"/>
    </font>
    <font>
      <u/>
      <sz val="10"/>
      <color rgb="FF0000FF"/>
      <name val="Arial"/>
      <family val="2"/>
    </font>
    <font>
      <u/>
      <sz val="12"/>
      <color rgb="FF000000"/>
      <name val="Arial"/>
      <family val="2"/>
    </font>
    <font>
      <u/>
      <sz val="10"/>
      <color rgb="FF1155CC"/>
      <name val="Arial"/>
      <family val="2"/>
    </font>
    <font>
      <u/>
      <sz val="11"/>
      <color rgb="FF113664"/>
      <name val="Arial"/>
      <family val="2"/>
    </font>
    <font>
      <sz val="11"/>
      <color rgb="FF113664"/>
      <name val="&quot;Open sans&quot;"/>
    </font>
    <font>
      <b/>
      <u/>
      <sz val="10"/>
      <color rgb="FF1155CC"/>
      <name val="Arial"/>
      <family val="2"/>
    </font>
    <font>
      <u/>
      <sz val="9"/>
      <color rgb="FF1F1F1F"/>
      <name val="&quot;Google Sans&quot;"/>
    </font>
    <font>
      <u/>
      <sz val="10"/>
      <color rgb="FF3C763D"/>
      <name val="&quot;open sans&quot;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9"/>
      <color rgb="FF34A853"/>
      <name val="Roboto Mono"/>
    </font>
    <font>
      <u/>
      <sz val="9"/>
      <color rgb="FF1F1F1F"/>
      <name val="&quot;Roboto Mono&quot;"/>
    </font>
    <font>
      <u/>
      <sz val="10"/>
      <color rgb="FF0000FF"/>
      <name val="Roboto Mono"/>
    </font>
    <font>
      <u/>
      <sz val="10"/>
      <color rgb="FF1155CC"/>
      <name val="Arial"/>
      <family val="2"/>
      <scheme val="minor"/>
    </font>
    <font>
      <sz val="9"/>
      <name val="Roboto Mono"/>
    </font>
    <font>
      <b/>
      <u/>
      <sz val="9"/>
      <color rgb="FF1155CC"/>
      <name val="Roboto Mono"/>
    </font>
    <font>
      <b/>
      <sz val="9"/>
      <name val="Roboto Mono"/>
    </font>
    <font>
      <sz val="10"/>
      <name val="Arial"/>
      <family val="2"/>
    </font>
    <font>
      <sz val="11"/>
      <name val="inherit"/>
    </font>
    <font>
      <sz val="11"/>
      <color rgb="FF000000"/>
      <name val="Arial, sans-serif"/>
    </font>
    <font>
      <sz val="10"/>
      <color rgb="FF000000"/>
      <name val="Arial, sans-serif"/>
    </font>
    <font>
      <sz val="11"/>
      <name val="Arial"/>
      <family val="2"/>
    </font>
    <font>
      <sz val="11"/>
      <name val="Aptos, sans-serif"/>
    </font>
    <font>
      <u/>
      <sz val="11"/>
      <color rgb="FF2E2E2E"/>
      <name val="&quot;Work Sans&quot;, sans-serif"/>
    </font>
    <font>
      <u/>
      <sz val="11"/>
      <color rgb="FF1155CC"/>
      <name val="&quot;Calibri&quot;, sans-serif"/>
    </font>
    <font>
      <u/>
      <sz val="10"/>
      <color rgb="FF000000"/>
      <name val="Arial"/>
      <family val="2"/>
    </font>
    <font>
      <u/>
      <sz val="10"/>
      <color theme="10"/>
      <name val="Arial"/>
      <family val="2"/>
      <scheme val="minor"/>
    </font>
    <font>
      <sz val="9"/>
      <color theme="1"/>
      <name val="Roboto Mono"/>
      <family val="3"/>
    </font>
    <font>
      <b/>
      <sz val="9"/>
      <color rgb="FFFFFFFF"/>
      <name val="Roboto Mono"/>
      <family val="3"/>
    </font>
  </fonts>
  <fills count="13">
    <fill>
      <patternFill patternType="none"/>
    </fill>
    <fill>
      <patternFill patternType="gray125"/>
    </fill>
    <fill>
      <patternFill patternType="solid">
        <fgColor rgb="FFFBBF24"/>
        <bgColor rgb="FFFBBF2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E8F0FE"/>
        <bgColor rgb="FFE8F0FE"/>
      </patternFill>
    </fill>
    <fill>
      <patternFill patternType="solid">
        <fgColor rgb="FFF4CCCC"/>
        <bgColor rgb="FFF4CCCC"/>
      </patternFill>
    </fill>
    <fill>
      <patternFill patternType="solid">
        <fgColor rgb="FFDFF0D8"/>
        <bgColor rgb="FFDFF0D8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274E13"/>
      </top>
      <bottom/>
      <diagonal/>
    </border>
    <border>
      <left/>
      <right/>
      <top/>
      <bottom style="thin">
        <color rgb="FF274E13"/>
      </bottom>
      <diagonal/>
    </border>
  </borders>
  <cellStyleXfs count="2">
    <xf numFmtId="0" fontId="0" fillId="0" borderId="0"/>
    <xf numFmtId="0" fontId="320" fillId="0" borderId="0" applyNumberFormat="0" applyFill="0" applyBorder="0" applyAlignment="0" applyProtection="0"/>
  </cellStyleXfs>
  <cellXfs count="38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9" fillId="3" borderId="0" xfId="0" applyFont="1" applyFill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4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5" fillId="4" borderId="0" xfId="0" applyFont="1" applyFill="1"/>
    <xf numFmtId="0" fontId="19" fillId="0" borderId="0" xfId="0" applyFont="1"/>
    <xf numFmtId="0" fontId="20" fillId="3" borderId="0" xfId="0" applyFont="1" applyFill="1"/>
    <xf numFmtId="0" fontId="21" fillId="0" borderId="0" xfId="0" applyFont="1"/>
    <xf numFmtId="0" fontId="22" fillId="3" borderId="0" xfId="0" applyFont="1" applyFill="1"/>
    <xf numFmtId="0" fontId="23" fillId="3" borderId="0" xfId="0" applyFont="1" applyFill="1"/>
    <xf numFmtId="0" fontId="24" fillId="0" borderId="0" xfId="0" applyFont="1"/>
    <xf numFmtId="0" fontId="25" fillId="5" borderId="0" xfId="0" applyFont="1" applyFill="1" applyAlignment="1">
      <alignment horizontal="left"/>
    </xf>
    <xf numFmtId="0" fontId="26" fillId="0" borderId="0" xfId="0" applyFont="1"/>
    <xf numFmtId="0" fontId="5" fillId="0" borderId="0" xfId="0" applyFont="1" applyAlignment="1">
      <alignment horizontal="left"/>
    </xf>
    <xf numFmtId="0" fontId="27" fillId="0" borderId="0" xfId="0" applyFont="1" applyAlignment="1">
      <alignment vertical="top"/>
    </xf>
    <xf numFmtId="0" fontId="5" fillId="3" borderId="0" xfId="0" applyFont="1" applyFill="1"/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31" fillId="0" borderId="0" xfId="0" applyFont="1"/>
    <xf numFmtId="0" fontId="32" fillId="5" borderId="0" xfId="0" applyFont="1" applyFill="1" applyAlignment="1">
      <alignment horizontal="left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 vertical="top"/>
    </xf>
    <xf numFmtId="0" fontId="35" fillId="0" borderId="0" xfId="0" applyFont="1" applyAlignment="1">
      <alignment horizontal="left"/>
    </xf>
    <xf numFmtId="0" fontId="36" fillId="6" borderId="0" xfId="0" applyFont="1" applyFill="1"/>
    <xf numFmtId="0" fontId="37" fillId="6" borderId="0" xfId="0" applyFont="1" applyFill="1"/>
    <xf numFmtId="0" fontId="38" fillId="6" borderId="0" xfId="0" applyFont="1" applyFill="1" applyAlignment="1">
      <alignment horizontal="left"/>
    </xf>
    <xf numFmtId="0" fontId="39" fillId="6" borderId="0" xfId="0" applyFont="1" applyFill="1" applyAlignment="1">
      <alignment horizontal="left"/>
    </xf>
    <xf numFmtId="0" fontId="5" fillId="6" borderId="0" xfId="0" applyFont="1" applyFill="1"/>
    <xf numFmtId="0" fontId="40" fillId="6" borderId="0" xfId="0" applyFont="1" applyFill="1" applyAlignment="1">
      <alignment horizontal="left"/>
    </xf>
    <xf numFmtId="0" fontId="9" fillId="6" borderId="0" xfId="0" applyFont="1" applyFill="1" applyAlignment="1">
      <alignment horizontal="left" vertical="top"/>
    </xf>
    <xf numFmtId="164" fontId="5" fillId="6" borderId="0" xfId="0" applyNumberFormat="1" applyFont="1" applyFill="1"/>
    <xf numFmtId="0" fontId="41" fillId="6" borderId="0" xfId="0" applyFont="1" applyFill="1" applyAlignment="1">
      <alignment horizontal="left"/>
    </xf>
    <xf numFmtId="0" fontId="42" fillId="6" borderId="0" xfId="0" applyFont="1" applyFill="1" applyAlignment="1">
      <alignment horizontal="left"/>
    </xf>
    <xf numFmtId="0" fontId="43" fillId="7" borderId="0" xfId="0" applyFont="1" applyFill="1"/>
    <xf numFmtId="0" fontId="44" fillId="7" borderId="0" xfId="0" applyFont="1" applyFill="1"/>
    <xf numFmtId="0" fontId="45" fillId="7" borderId="0" xfId="0" applyFont="1" applyFill="1" applyAlignment="1">
      <alignment horizontal="left"/>
    </xf>
    <xf numFmtId="0" fontId="46" fillId="7" borderId="0" xfId="0" applyFont="1" applyFill="1" applyAlignment="1">
      <alignment horizontal="left"/>
    </xf>
    <xf numFmtId="0" fontId="5" fillId="7" borderId="0" xfId="0" applyFont="1" applyFill="1"/>
    <xf numFmtId="0" fontId="9" fillId="7" borderId="0" xfId="0" applyFont="1" applyFill="1" applyAlignment="1">
      <alignment horizontal="left" vertical="top"/>
    </xf>
    <xf numFmtId="164" fontId="5" fillId="7" borderId="0" xfId="0" applyNumberFormat="1" applyFont="1" applyFill="1"/>
    <xf numFmtId="0" fontId="47" fillId="7" borderId="0" xfId="0" applyFont="1" applyFill="1" applyAlignment="1">
      <alignment horizontal="left"/>
    </xf>
    <xf numFmtId="0" fontId="48" fillId="0" borderId="0" xfId="0" applyFont="1" applyAlignment="1">
      <alignment horizontal="left"/>
    </xf>
    <xf numFmtId="0" fontId="49" fillId="8" borderId="0" xfId="0" applyFont="1" applyFill="1"/>
    <xf numFmtId="0" fontId="50" fillId="8" borderId="0" xfId="0" applyFont="1" applyFill="1"/>
    <xf numFmtId="0" fontId="51" fillId="8" borderId="0" xfId="0" applyFont="1" applyFill="1" applyAlignment="1">
      <alignment horizontal="left"/>
    </xf>
    <xf numFmtId="0" fontId="52" fillId="8" borderId="0" xfId="0" applyFont="1" applyFill="1" applyAlignment="1">
      <alignment horizontal="left"/>
    </xf>
    <xf numFmtId="0" fontId="5" fillId="8" borderId="0" xfId="0" applyFont="1" applyFill="1"/>
    <xf numFmtId="0" fontId="9" fillId="8" borderId="0" xfId="0" applyFont="1" applyFill="1" applyAlignment="1">
      <alignment horizontal="left" vertical="top"/>
    </xf>
    <xf numFmtId="164" fontId="5" fillId="8" borderId="0" xfId="0" applyNumberFormat="1" applyFont="1" applyFill="1"/>
    <xf numFmtId="0" fontId="53" fillId="8" borderId="0" xfId="0" applyFont="1" applyFill="1" applyAlignment="1">
      <alignment horizontal="left"/>
    </xf>
    <xf numFmtId="0" fontId="54" fillId="8" borderId="0" xfId="0" applyFont="1" applyFill="1" applyAlignment="1">
      <alignment horizontal="left"/>
    </xf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165" fontId="59" fillId="0" borderId="0" xfId="0" applyNumberFormat="1" applyFont="1"/>
    <xf numFmtId="0" fontId="60" fillId="0" borderId="0" xfId="0" applyFont="1"/>
    <xf numFmtId="0" fontId="61" fillId="0" borderId="0" xfId="0" applyFont="1" applyAlignment="1">
      <alignment horizontal="left"/>
    </xf>
    <xf numFmtId="0" fontId="62" fillId="3" borderId="0" xfId="0" applyFont="1" applyFill="1"/>
    <xf numFmtId="0" fontId="60" fillId="3" borderId="0" xfId="0" applyFont="1" applyFill="1"/>
    <xf numFmtId="0" fontId="63" fillId="3" borderId="0" xfId="0" applyFont="1" applyFill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3" borderId="0" xfId="0" applyFont="1" applyFill="1"/>
    <xf numFmtId="0" fontId="68" fillId="3" borderId="0" xfId="0" applyFont="1" applyFill="1"/>
    <xf numFmtId="0" fontId="69" fillId="3" borderId="0" xfId="0" applyFont="1" applyFill="1"/>
    <xf numFmtId="0" fontId="70" fillId="3" borderId="0" xfId="0" applyFont="1" applyFill="1"/>
    <xf numFmtId="0" fontId="71" fillId="3" borderId="0" xfId="0" applyFont="1" applyFill="1"/>
    <xf numFmtId="0" fontId="72" fillId="3" borderId="0" xfId="0" applyFont="1" applyFill="1"/>
    <xf numFmtId="0" fontId="73" fillId="0" borderId="0" xfId="0" applyFont="1"/>
    <xf numFmtId="0" fontId="74" fillId="0" borderId="0" xfId="0" applyFont="1"/>
    <xf numFmtId="164" fontId="9" fillId="3" borderId="0" xfId="0" applyNumberFormat="1" applyFont="1" applyFill="1" applyAlignment="1">
      <alignment horizontal="left"/>
    </xf>
    <xf numFmtId="0" fontId="75" fillId="0" borderId="0" xfId="0" applyFont="1"/>
    <xf numFmtId="0" fontId="76" fillId="3" borderId="0" xfId="0" applyFont="1" applyFill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164" fontId="68" fillId="0" borderId="0" xfId="0" applyNumberFormat="1" applyFont="1" applyAlignment="1">
      <alignment horizontal="right"/>
    </xf>
    <xf numFmtId="0" fontId="81" fillId="0" borderId="0" xfId="0" applyFont="1"/>
    <xf numFmtId="0" fontId="82" fillId="0" borderId="0" xfId="0" applyFont="1"/>
    <xf numFmtId="0" fontId="83" fillId="3" borderId="0" xfId="0" applyFont="1" applyFill="1"/>
    <xf numFmtId="0" fontId="84" fillId="3" borderId="0" xfId="0" applyFont="1" applyFill="1"/>
    <xf numFmtId="0" fontId="85" fillId="7" borderId="0" xfId="0" applyFont="1" applyFill="1"/>
    <xf numFmtId="0" fontId="86" fillId="0" borderId="0" xfId="0" applyFont="1"/>
    <xf numFmtId="0" fontId="87" fillId="3" borderId="0" xfId="0" applyFont="1" applyFill="1"/>
    <xf numFmtId="164" fontId="68" fillId="3" borderId="0" xfId="0" applyNumberFormat="1" applyFont="1" applyFill="1" applyAlignment="1">
      <alignment horizontal="right"/>
    </xf>
    <xf numFmtId="164" fontId="5" fillId="3" borderId="0" xfId="0" applyNumberFormat="1" applyFont="1" applyFill="1"/>
    <xf numFmtId="164" fontId="9" fillId="3" borderId="0" xfId="0" applyNumberFormat="1" applyFont="1" applyFill="1" applyAlignment="1">
      <alignment horizontal="right"/>
    </xf>
    <xf numFmtId="0" fontId="88" fillId="3" borderId="0" xfId="0" applyFont="1" applyFill="1"/>
    <xf numFmtId="0" fontId="89" fillId="3" borderId="0" xfId="0" applyFont="1" applyFill="1"/>
    <xf numFmtId="0" fontId="90" fillId="3" borderId="0" xfId="0" applyFont="1" applyFill="1"/>
    <xf numFmtId="164" fontId="91" fillId="0" borderId="0" xfId="0" applyNumberFormat="1" applyFont="1" applyAlignment="1">
      <alignment horizontal="right"/>
    </xf>
    <xf numFmtId="0" fontId="92" fillId="3" borderId="0" xfId="0" applyFont="1" applyFill="1"/>
    <xf numFmtId="0" fontId="93" fillId="3" borderId="0" xfId="0" applyFont="1" applyFill="1"/>
    <xf numFmtId="164" fontId="5" fillId="0" borderId="0" xfId="0" applyNumberFormat="1" applyFont="1" applyAlignment="1">
      <alignment horizontal="right"/>
    </xf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3" borderId="0" xfId="0" applyFont="1" applyFill="1"/>
    <xf numFmtId="0" fontId="98" fillId="3" borderId="0" xfId="0" applyFont="1" applyFill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 applyAlignment="1">
      <alignment horizontal="left"/>
    </xf>
    <xf numFmtId="0" fontId="104" fillId="0" borderId="0" xfId="0" applyFont="1"/>
    <xf numFmtId="0" fontId="105" fillId="0" borderId="0" xfId="0" applyFont="1"/>
    <xf numFmtId="0" fontId="106" fillId="0" borderId="2" xfId="0" applyFont="1" applyBorder="1"/>
    <xf numFmtId="0" fontId="60" fillId="0" borderId="2" xfId="0" applyFont="1" applyBorder="1"/>
    <xf numFmtId="0" fontId="107" fillId="3" borderId="0" xfId="0" applyFont="1" applyFill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3" borderId="0" xfId="0" applyFont="1" applyFill="1" applyAlignment="1">
      <alignment horizontal="left"/>
    </xf>
    <xf numFmtId="0" fontId="114" fillId="0" borderId="0" xfId="0" applyFont="1"/>
    <xf numFmtId="0" fontId="115" fillId="0" borderId="0" xfId="0" applyFont="1"/>
    <xf numFmtId="0" fontId="116" fillId="3" borderId="0" xfId="0" applyFont="1" applyFill="1"/>
    <xf numFmtId="0" fontId="117" fillId="3" borderId="0" xfId="0" applyFont="1" applyFill="1"/>
    <xf numFmtId="0" fontId="118" fillId="0" borderId="0" xfId="0" applyFont="1"/>
    <xf numFmtId="0" fontId="119" fillId="3" borderId="0" xfId="0" applyFont="1" applyFill="1"/>
    <xf numFmtId="0" fontId="120" fillId="3" borderId="0" xfId="0" applyFont="1" applyFill="1"/>
    <xf numFmtId="0" fontId="121" fillId="0" borderId="2" xfId="0" applyFont="1" applyBorder="1"/>
    <xf numFmtId="0" fontId="122" fillId="0" borderId="2" xfId="0" applyFont="1" applyBorder="1"/>
    <xf numFmtId="0" fontId="123" fillId="3" borderId="2" xfId="0" applyFont="1" applyFill="1" applyBorder="1"/>
    <xf numFmtId="0" fontId="124" fillId="0" borderId="2" xfId="0" applyFont="1" applyBorder="1"/>
    <xf numFmtId="0" fontId="5" fillId="0" borderId="2" xfId="0" applyFont="1" applyBorder="1"/>
    <xf numFmtId="164" fontId="5" fillId="0" borderId="2" xfId="0" applyNumberFormat="1" applyFont="1" applyBorder="1"/>
    <xf numFmtId="0" fontId="125" fillId="0" borderId="1" xfId="0" applyFont="1" applyBorder="1"/>
    <xf numFmtId="0" fontId="126" fillId="0" borderId="1" xfId="0" applyFont="1" applyBorder="1"/>
    <xf numFmtId="0" fontId="127" fillId="0" borderId="1" xfId="0" applyFont="1" applyBorder="1"/>
    <xf numFmtId="0" fontId="5" fillId="0" borderId="1" xfId="0" applyFont="1" applyBorder="1"/>
    <xf numFmtId="0" fontId="60" fillId="0" borderId="1" xfId="0" applyFont="1" applyBorder="1"/>
    <xf numFmtId="164" fontId="5" fillId="0" borderId="1" xfId="0" applyNumberFormat="1" applyFont="1" applyBorder="1" applyAlignment="1">
      <alignment horizontal="right"/>
    </xf>
    <xf numFmtId="0" fontId="128" fillId="3" borderId="0" xfId="0" applyFont="1" applyFill="1"/>
    <xf numFmtId="164" fontId="60" fillId="0" borderId="0" xfId="0" applyNumberFormat="1" applyFont="1"/>
    <xf numFmtId="164" fontId="129" fillId="0" borderId="0" xfId="0" applyNumberFormat="1" applyFont="1"/>
    <xf numFmtId="164" fontId="130" fillId="0" borderId="0" xfId="0" applyNumberFormat="1" applyFont="1"/>
    <xf numFmtId="0" fontId="131" fillId="0" borderId="2" xfId="0" applyFont="1" applyBorder="1"/>
    <xf numFmtId="164" fontId="132" fillId="0" borderId="2" xfId="0" applyNumberFormat="1" applyFont="1" applyBorder="1"/>
    <xf numFmtId="164" fontId="5" fillId="0" borderId="2" xfId="0" applyNumberFormat="1" applyFont="1" applyBorder="1" applyAlignment="1">
      <alignment horizontal="right"/>
    </xf>
    <xf numFmtId="164" fontId="133" fillId="3" borderId="0" xfId="0" applyNumberFormat="1" applyFont="1" applyFill="1"/>
    <xf numFmtId="164" fontId="60" fillId="3" borderId="0" xfId="0" applyNumberFormat="1" applyFont="1" applyFill="1"/>
    <xf numFmtId="164" fontId="134" fillId="0" borderId="0" xfId="0" applyNumberFormat="1" applyFont="1"/>
    <xf numFmtId="0" fontId="135" fillId="3" borderId="0" xfId="0" applyFont="1" applyFill="1"/>
    <xf numFmtId="164" fontId="136" fillId="0" borderId="0" xfId="0" applyNumberFormat="1" applyFont="1"/>
    <xf numFmtId="0" fontId="137" fillId="0" borderId="0" xfId="0" applyFont="1"/>
    <xf numFmtId="0" fontId="138" fillId="0" borderId="0" xfId="0" applyFont="1"/>
    <xf numFmtId="0" fontId="60" fillId="3" borderId="0" xfId="0" applyFont="1" applyFill="1" applyAlignment="1">
      <alignment wrapText="1"/>
    </xf>
    <xf numFmtId="0" fontId="139" fillId="3" borderId="0" xfId="0" applyFont="1" applyFill="1"/>
    <xf numFmtId="164" fontId="5" fillId="4" borderId="0" xfId="0" applyNumberFormat="1" applyFont="1" applyFill="1" applyAlignment="1">
      <alignment horizontal="right"/>
    </xf>
    <xf numFmtId="0" fontId="140" fillId="0" borderId="0" xfId="0" applyFont="1"/>
    <xf numFmtId="0" fontId="141" fillId="0" borderId="1" xfId="0" applyFont="1" applyBorder="1"/>
    <xf numFmtId="0" fontId="142" fillId="3" borderId="1" xfId="0" applyFont="1" applyFill="1" applyBorder="1"/>
    <xf numFmtId="164" fontId="5" fillId="0" borderId="1" xfId="0" applyNumberFormat="1" applyFont="1" applyBorder="1"/>
    <xf numFmtId="0" fontId="143" fillId="0" borderId="0" xfId="0" applyFont="1"/>
    <xf numFmtId="0" fontId="144" fillId="9" borderId="0" xfId="0" applyFont="1" applyFill="1"/>
    <xf numFmtId="0" fontId="145" fillId="0" borderId="2" xfId="0" applyFont="1" applyBorder="1"/>
    <xf numFmtId="0" fontId="146" fillId="4" borderId="0" xfId="0" applyFont="1" applyFill="1"/>
    <xf numFmtId="0" fontId="147" fillId="5" borderId="0" xfId="0" applyFont="1" applyFill="1"/>
    <xf numFmtId="0" fontId="148" fillId="0" borderId="0" xfId="0" applyFont="1"/>
    <xf numFmtId="0" fontId="149" fillId="0" borderId="3" xfId="0" applyFont="1" applyBorder="1"/>
    <xf numFmtId="0" fontId="150" fillId="0" borderId="3" xfId="0" applyFont="1" applyBorder="1"/>
    <xf numFmtId="0" fontId="60" fillId="4" borderId="0" xfId="0" applyFont="1" applyFill="1"/>
    <xf numFmtId="0" fontId="151" fillId="3" borderId="3" xfId="0" applyFont="1" applyFill="1" applyBorder="1"/>
    <xf numFmtId="0" fontId="152" fillId="3" borderId="0" xfId="0" applyFont="1" applyFill="1"/>
    <xf numFmtId="0" fontId="153" fillId="0" borderId="0" xfId="0" applyFont="1"/>
    <xf numFmtId="0" fontId="154" fillId="0" borderId="0" xfId="0" applyFont="1"/>
    <xf numFmtId="0" fontId="155" fillId="0" borderId="0" xfId="0" applyFont="1"/>
    <xf numFmtId="164" fontId="5" fillId="4" borderId="0" xfId="0" applyNumberFormat="1" applyFont="1" applyFill="1"/>
    <xf numFmtId="0" fontId="156" fillId="0" borderId="0" xfId="0" applyFont="1"/>
    <xf numFmtId="0" fontId="157" fillId="0" borderId="0" xfId="0" applyFont="1"/>
    <xf numFmtId="0" fontId="158" fillId="0" borderId="0" xfId="0" applyFont="1" applyAlignment="1">
      <alignment horizontal="left"/>
    </xf>
    <xf numFmtId="0" fontId="159" fillId="0" borderId="0" xfId="0" applyFont="1" applyAlignment="1">
      <alignment horizontal="left" vertical="top"/>
    </xf>
    <xf numFmtId="0" fontId="160" fillId="5" borderId="0" xfId="0" applyFont="1" applyFill="1"/>
    <xf numFmtId="0" fontId="161" fillId="4" borderId="1" xfId="0" applyFont="1" applyFill="1" applyBorder="1"/>
    <xf numFmtId="0" fontId="60" fillId="3" borderId="1" xfId="0" applyFont="1" applyFill="1" applyBorder="1"/>
    <xf numFmtId="0" fontId="162" fillId="3" borderId="0" xfId="0" applyFont="1" applyFill="1"/>
    <xf numFmtId="0" fontId="163" fillId="3" borderId="0" xfId="0" applyFont="1" applyFill="1"/>
    <xf numFmtId="0" fontId="164" fillId="3" borderId="0" xfId="0" applyFont="1" applyFill="1" applyAlignment="1">
      <alignment vertical="top"/>
    </xf>
    <xf numFmtId="0" fontId="165" fillId="3" borderId="0" xfId="0" applyFont="1" applyFill="1" applyAlignment="1">
      <alignment vertical="top"/>
    </xf>
    <xf numFmtId="0" fontId="166" fillId="3" borderId="0" xfId="0" applyFont="1" applyFill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3" borderId="0" xfId="0" applyFont="1" applyFill="1"/>
    <xf numFmtId="0" fontId="56" fillId="3" borderId="0" xfId="0" applyFont="1" applyFill="1"/>
    <xf numFmtId="0" fontId="171" fillId="3" borderId="0" xfId="0" applyFont="1" applyFill="1"/>
    <xf numFmtId="0" fontId="172" fillId="0" borderId="0" xfId="0" applyFont="1"/>
    <xf numFmtId="0" fontId="173" fillId="3" borderId="0" xfId="0" applyFont="1" applyFill="1"/>
    <xf numFmtId="0" fontId="137" fillId="3" borderId="0" xfId="0" applyFont="1" applyFill="1" applyAlignment="1">
      <alignment wrapText="1"/>
    </xf>
    <xf numFmtId="0" fontId="174" fillId="3" borderId="0" xfId="0" applyFont="1" applyFill="1" applyAlignment="1">
      <alignment wrapText="1"/>
    </xf>
    <xf numFmtId="0" fontId="175" fillId="3" borderId="0" xfId="0" applyFont="1" applyFill="1" applyAlignment="1">
      <alignment wrapText="1"/>
    </xf>
    <xf numFmtId="0" fontId="176" fillId="3" borderId="0" xfId="0" applyFont="1" applyFill="1" applyAlignment="1">
      <alignment wrapText="1"/>
    </xf>
    <xf numFmtId="0" fontId="177" fillId="0" borderId="2" xfId="0" applyFont="1" applyBorder="1"/>
    <xf numFmtId="0" fontId="178" fillId="3" borderId="2" xfId="0" applyFont="1" applyFill="1" applyBorder="1"/>
    <xf numFmtId="0" fontId="60" fillId="3" borderId="2" xfId="0" applyFont="1" applyFill="1" applyBorder="1"/>
    <xf numFmtId="0" fontId="179" fillId="0" borderId="0" xfId="0" applyFont="1"/>
    <xf numFmtId="0" fontId="180" fillId="0" borderId="0" xfId="0" applyFont="1"/>
    <xf numFmtId="0" fontId="137" fillId="3" borderId="0" xfId="0" applyFont="1" applyFill="1"/>
    <xf numFmtId="0" fontId="181" fillId="3" borderId="0" xfId="0" applyFont="1" applyFill="1"/>
    <xf numFmtId="0" fontId="182" fillId="3" borderId="0" xfId="0" applyFont="1" applyFill="1"/>
    <xf numFmtId="0" fontId="183" fillId="3" borderId="0" xfId="0" applyFont="1" applyFill="1"/>
    <xf numFmtId="0" fontId="184" fillId="0" borderId="0" xfId="0" applyFont="1"/>
    <xf numFmtId="0" fontId="185" fillId="3" borderId="0" xfId="0" applyFont="1" applyFill="1" applyAlignment="1">
      <alignment vertical="top"/>
    </xf>
    <xf numFmtId="0" fontId="186" fillId="0" borderId="0" xfId="0" applyFont="1"/>
    <xf numFmtId="0" fontId="187" fillId="3" borderId="0" xfId="0" applyFont="1" applyFill="1"/>
    <xf numFmtId="0" fontId="188" fillId="3" borderId="0" xfId="0" applyFont="1" applyFill="1"/>
    <xf numFmtId="0" fontId="189" fillId="3" borderId="0" xfId="0" applyFont="1" applyFill="1"/>
    <xf numFmtId="0" fontId="190" fillId="0" borderId="0" xfId="0" applyFont="1"/>
    <xf numFmtId="0" fontId="191" fillId="0" borderId="0" xfId="0" applyFont="1"/>
    <xf numFmtId="0" fontId="192" fillId="3" borderId="0" xfId="0" applyFont="1" applyFill="1"/>
    <xf numFmtId="0" fontId="193" fillId="0" borderId="1" xfId="0" applyFont="1" applyBorder="1"/>
    <xf numFmtId="0" fontId="194" fillId="5" borderId="1" xfId="0" applyFont="1" applyFill="1" applyBorder="1" applyAlignment="1">
      <alignment horizontal="left"/>
    </xf>
    <xf numFmtId="0" fontId="137" fillId="3" borderId="0" xfId="0" applyFont="1" applyFill="1" applyAlignment="1">
      <alignment horizontal="left"/>
    </xf>
    <xf numFmtId="0" fontId="195" fillId="0" borderId="0" xfId="0" applyFont="1"/>
    <xf numFmtId="0" fontId="196" fillId="4" borderId="0" xfId="0" applyFont="1" applyFill="1"/>
    <xf numFmtId="0" fontId="197" fillId="0" borderId="0" xfId="0" applyFont="1"/>
    <xf numFmtId="0" fontId="191" fillId="3" borderId="0" xfId="0" applyFont="1" applyFill="1"/>
    <xf numFmtId="0" fontId="198" fillId="0" borderId="2" xfId="0" applyFont="1" applyBorder="1"/>
    <xf numFmtId="0" fontId="191" fillId="0" borderId="2" xfId="0" applyFont="1" applyBorder="1"/>
    <xf numFmtId="0" fontId="199" fillId="0" borderId="0" xfId="0" applyFont="1"/>
    <xf numFmtId="0" fontId="200" fillId="3" borderId="0" xfId="0" applyFont="1" applyFill="1" applyAlignment="1">
      <alignment horizontal="left"/>
    </xf>
    <xf numFmtId="0" fontId="201" fillId="3" borderId="0" xfId="0" applyFont="1" applyFill="1" applyAlignment="1">
      <alignment wrapText="1"/>
    </xf>
    <xf numFmtId="0" fontId="202" fillId="3" borderId="0" xfId="0" applyFont="1" applyFill="1" applyAlignment="1">
      <alignment wrapText="1"/>
    </xf>
    <xf numFmtId="0" fontId="203" fillId="3" borderId="0" xfId="0" applyFont="1" applyFill="1" applyAlignment="1">
      <alignment wrapText="1"/>
    </xf>
    <xf numFmtId="0" fontId="204" fillId="3" borderId="0" xfId="0" applyFont="1" applyFill="1" applyAlignment="1">
      <alignment wrapText="1"/>
    </xf>
    <xf numFmtId="0" fontId="205" fillId="3" borderId="0" xfId="0" applyFont="1" applyFill="1" applyAlignment="1">
      <alignment wrapText="1"/>
    </xf>
    <xf numFmtId="0" fontId="206" fillId="3" borderId="0" xfId="0" applyFont="1" applyFill="1" applyAlignment="1">
      <alignment wrapText="1"/>
    </xf>
    <xf numFmtId="0" fontId="207" fillId="0" borderId="0" xfId="0" applyFont="1" applyAlignment="1">
      <alignment wrapText="1"/>
    </xf>
    <xf numFmtId="0" fontId="60" fillId="0" borderId="0" xfId="0" applyFont="1" applyAlignment="1">
      <alignment wrapText="1"/>
    </xf>
    <xf numFmtId="0" fontId="208" fillId="0" borderId="0" xfId="0" applyFont="1"/>
    <xf numFmtId="0" fontId="209" fillId="0" borderId="0" xfId="0" applyFont="1"/>
    <xf numFmtId="0" fontId="210" fillId="3" borderId="0" xfId="0" applyFont="1" applyFill="1"/>
    <xf numFmtId="0" fontId="211" fillId="4" borderId="0" xfId="0" applyFont="1" applyFill="1" applyAlignment="1">
      <alignment wrapText="1"/>
    </xf>
    <xf numFmtId="0" fontId="212" fillId="0" borderId="0" xfId="0" applyFont="1" applyAlignment="1">
      <alignment wrapText="1"/>
    </xf>
    <xf numFmtId="0" fontId="213" fillId="0" borderId="0" xfId="0" applyFont="1" applyAlignment="1">
      <alignment wrapText="1"/>
    </xf>
    <xf numFmtId="0" fontId="214" fillId="0" borderId="1" xfId="0" applyFont="1" applyBorder="1" applyAlignment="1">
      <alignment wrapText="1"/>
    </xf>
    <xf numFmtId="0" fontId="137" fillId="0" borderId="1" xfId="0" applyFont="1" applyBorder="1" applyAlignment="1">
      <alignment wrapText="1"/>
    </xf>
    <xf numFmtId="0" fontId="215" fillId="0" borderId="0" xfId="0" applyFont="1" applyAlignment="1">
      <alignment wrapText="1"/>
    </xf>
    <xf numFmtId="0" fontId="216" fillId="3" borderId="0" xfId="0" applyFont="1" applyFill="1" applyAlignment="1">
      <alignment wrapText="1"/>
    </xf>
    <xf numFmtId="0" fontId="217" fillId="3" borderId="0" xfId="0" applyFont="1" applyFill="1"/>
    <xf numFmtId="0" fontId="180" fillId="3" borderId="0" xfId="0" applyFont="1" applyFill="1"/>
    <xf numFmtId="0" fontId="218" fillId="0" borderId="0" xfId="0" applyFont="1" applyAlignment="1">
      <alignment horizontal="left"/>
    </xf>
    <xf numFmtId="0" fontId="219" fillId="3" borderId="0" xfId="0" applyFont="1" applyFill="1" applyAlignment="1">
      <alignment vertical="top"/>
    </xf>
    <xf numFmtId="0" fontId="180" fillId="3" borderId="0" xfId="0" applyFont="1" applyFill="1" applyAlignment="1">
      <alignment vertical="top"/>
    </xf>
    <xf numFmtId="0" fontId="220" fillId="3" borderId="0" xfId="0" applyFont="1" applyFill="1" applyAlignment="1">
      <alignment wrapText="1"/>
    </xf>
    <xf numFmtId="0" fontId="221" fillId="5" borderId="0" xfId="0" applyFont="1" applyFill="1"/>
    <xf numFmtId="0" fontId="222" fillId="3" borderId="0" xfId="0" applyFont="1" applyFill="1"/>
    <xf numFmtId="0" fontId="165" fillId="3" borderId="0" xfId="0" applyFont="1" applyFill="1"/>
    <xf numFmtId="0" fontId="223" fillId="0" borderId="0" xfId="0" applyFont="1" applyAlignment="1">
      <alignment wrapText="1"/>
    </xf>
    <xf numFmtId="0" fontId="224" fillId="0" borderId="0" xfId="0" applyFont="1" applyAlignment="1">
      <alignment wrapText="1"/>
    </xf>
    <xf numFmtId="0" fontId="225" fillId="3" borderId="0" xfId="0" applyFont="1" applyFill="1"/>
    <xf numFmtId="0" fontId="226" fillId="3" borderId="0" xfId="0" applyFont="1" applyFill="1" applyAlignment="1">
      <alignment wrapText="1"/>
    </xf>
    <xf numFmtId="0" fontId="227" fillId="0" borderId="2" xfId="0" applyFont="1" applyBorder="1"/>
    <xf numFmtId="0" fontId="228" fillId="0" borderId="0" xfId="0" applyFont="1"/>
    <xf numFmtId="0" fontId="229" fillId="0" borderId="0" xfId="0" applyFont="1" applyAlignment="1">
      <alignment wrapText="1"/>
    </xf>
    <xf numFmtId="0" fontId="230" fillId="3" borderId="0" xfId="0" applyFont="1" applyFill="1"/>
    <xf numFmtId="0" fontId="231" fillId="3" borderId="0" xfId="0" applyFont="1" applyFill="1" applyAlignment="1">
      <alignment wrapText="1"/>
    </xf>
    <xf numFmtId="0" fontId="232" fillId="0" borderId="0" xfId="0" applyFont="1"/>
    <xf numFmtId="0" fontId="233" fillId="0" borderId="0" xfId="0" applyFont="1" applyAlignment="1">
      <alignment wrapText="1"/>
    </xf>
    <xf numFmtId="0" fontId="234" fillId="0" borderId="0" xfId="0" applyFont="1"/>
    <xf numFmtId="0" fontId="234" fillId="0" borderId="0" xfId="0" applyFont="1" applyAlignment="1">
      <alignment wrapText="1"/>
    </xf>
    <xf numFmtId="0" fontId="235" fillId="3" borderId="0" xfId="0" applyFont="1" applyFill="1"/>
    <xf numFmtId="0" fontId="236" fillId="0" borderId="0" xfId="0" applyFont="1"/>
    <xf numFmtId="0" fontId="237" fillId="0" borderId="0" xfId="0" applyFont="1"/>
    <xf numFmtId="0" fontId="238" fillId="3" borderId="0" xfId="0" applyFont="1" applyFill="1"/>
    <xf numFmtId="0" fontId="239" fillId="3" borderId="1" xfId="0" applyFont="1" applyFill="1" applyBorder="1"/>
    <xf numFmtId="0" fontId="240" fillId="0" borderId="0" xfId="0" applyFont="1"/>
    <xf numFmtId="0" fontId="241" fillId="3" borderId="0" xfId="0" applyFont="1" applyFill="1" applyAlignment="1">
      <alignment wrapText="1"/>
    </xf>
    <xf numFmtId="0" fontId="242" fillId="0" borderId="0" xfId="0" applyFont="1" applyAlignment="1">
      <alignment wrapText="1"/>
    </xf>
    <xf numFmtId="0" fontId="243" fillId="0" borderId="0" xfId="0" applyFont="1"/>
    <xf numFmtId="0" fontId="244" fillId="3" borderId="0" xfId="0" applyFont="1" applyFill="1"/>
    <xf numFmtId="0" fontId="245" fillId="3" borderId="0" xfId="0" applyFont="1" applyFill="1"/>
    <xf numFmtId="0" fontId="246" fillId="0" borderId="4" xfId="0" applyFont="1" applyBorder="1"/>
    <xf numFmtId="0" fontId="247" fillId="0" borderId="5" xfId="0" applyFont="1" applyBorder="1"/>
    <xf numFmtId="0" fontId="248" fillId="0" borderId="4" xfId="0" applyFont="1" applyBorder="1"/>
    <xf numFmtId="0" fontId="249" fillId="0" borderId="0" xfId="0" applyFont="1"/>
    <xf numFmtId="0" fontId="250" fillId="0" borderId="0" xfId="0" applyFont="1"/>
    <xf numFmtId="0" fontId="220" fillId="0" borderId="0" xfId="0" applyFont="1"/>
    <xf numFmtId="0" fontId="251" fillId="3" borderId="2" xfId="0" applyFont="1" applyFill="1" applyBorder="1"/>
    <xf numFmtId="0" fontId="252" fillId="0" borderId="0" xfId="0" applyFont="1"/>
    <xf numFmtId="0" fontId="253" fillId="0" borderId="0" xfId="0" applyFont="1"/>
    <xf numFmtId="0" fontId="254" fillId="3" borderId="0" xfId="0" applyFont="1" applyFill="1"/>
    <xf numFmtId="0" fontId="255" fillId="0" borderId="0" xfId="0" applyFont="1"/>
    <xf numFmtId="0" fontId="56" fillId="0" borderId="0" xfId="0" applyFont="1" applyAlignment="1">
      <alignment wrapText="1"/>
    </xf>
    <xf numFmtId="0" fontId="256" fillId="3" borderId="0" xfId="0" applyFont="1" applyFill="1"/>
    <xf numFmtId="0" fontId="257" fillId="0" borderId="0" xfId="0" applyFont="1" applyAlignment="1">
      <alignment wrapText="1"/>
    </xf>
    <xf numFmtId="0" fontId="258" fillId="3" borderId="0" xfId="0" applyFont="1" applyFill="1"/>
    <xf numFmtId="0" fontId="259" fillId="0" borderId="0" xfId="0" applyFont="1" applyAlignment="1">
      <alignment wrapText="1"/>
    </xf>
    <xf numFmtId="0" fontId="260" fillId="0" borderId="0" xfId="0" applyFont="1"/>
    <xf numFmtId="0" fontId="261" fillId="0" borderId="0" xfId="0" applyFont="1" applyAlignment="1">
      <alignment wrapText="1"/>
    </xf>
    <xf numFmtId="0" fontId="262" fillId="3" borderId="0" xfId="0" applyFont="1" applyFill="1"/>
    <xf numFmtId="0" fontId="263" fillId="0" borderId="0" xfId="0" applyFont="1"/>
    <xf numFmtId="0" fontId="264" fillId="0" borderId="0" xfId="0" applyFont="1"/>
    <xf numFmtId="0" fontId="265" fillId="3" borderId="0" xfId="0" applyFont="1" applyFill="1"/>
    <xf numFmtId="0" fontId="5" fillId="0" borderId="5" xfId="0" applyFont="1" applyBorder="1"/>
    <xf numFmtId="0" fontId="266" fillId="3" borderId="0" xfId="0" applyFont="1" applyFill="1" applyAlignment="1">
      <alignment wrapText="1"/>
    </xf>
    <xf numFmtId="0" fontId="5" fillId="0" borderId="4" xfId="0" applyFont="1" applyBorder="1"/>
    <xf numFmtId="0" fontId="268" fillId="0" borderId="0" xfId="0" applyFont="1"/>
    <xf numFmtId="0" fontId="269" fillId="0" borderId="0" xfId="0" applyFont="1"/>
    <xf numFmtId="0" fontId="91" fillId="3" borderId="0" xfId="0" applyFont="1" applyFill="1"/>
    <xf numFmtId="0" fontId="270" fillId="3" borderId="0" xfId="0" applyFont="1" applyFill="1"/>
    <xf numFmtId="0" fontId="271" fillId="0" borderId="0" xfId="0" applyFont="1" applyAlignment="1">
      <alignment vertical="top"/>
    </xf>
    <xf numFmtId="0" fontId="272" fillId="3" borderId="0" xfId="0" applyFont="1" applyFill="1"/>
    <xf numFmtId="0" fontId="273" fillId="0" borderId="0" xfId="0" applyFont="1"/>
    <xf numFmtId="0" fontId="274" fillId="0" borderId="0" xfId="0" applyFont="1"/>
    <xf numFmtId="0" fontId="275" fillId="3" borderId="0" xfId="0" applyFont="1" applyFill="1"/>
    <xf numFmtId="0" fontId="220" fillId="3" borderId="0" xfId="0" applyFont="1" applyFill="1"/>
    <xf numFmtId="0" fontId="276" fillId="3" borderId="0" xfId="0" applyFont="1" applyFill="1"/>
    <xf numFmtId="0" fontId="277" fillId="0" borderId="0" xfId="0" applyFont="1"/>
    <xf numFmtId="164" fontId="56" fillId="0" borderId="0" xfId="0" applyNumberFormat="1" applyFont="1"/>
    <xf numFmtId="0" fontId="278" fillId="3" borderId="0" xfId="0" applyFont="1" applyFill="1"/>
    <xf numFmtId="0" fontId="279" fillId="10" borderId="0" xfId="0" applyFont="1" applyFill="1"/>
    <xf numFmtId="0" fontId="280" fillId="3" borderId="0" xfId="0" applyFont="1" applyFill="1"/>
    <xf numFmtId="0" fontId="68" fillId="3" borderId="0" xfId="0" applyFont="1" applyFill="1" applyAlignment="1">
      <alignment horizontal="left"/>
    </xf>
    <xf numFmtId="0" fontId="68" fillId="3" borderId="0" xfId="0" applyFont="1" applyFill="1" applyAlignment="1">
      <alignment horizontal="left" wrapText="1"/>
    </xf>
    <xf numFmtId="0" fontId="5" fillId="0" borderId="0" xfId="0" applyFont="1" applyAlignment="1">
      <alignment wrapText="1"/>
    </xf>
    <xf numFmtId="0" fontId="281" fillId="3" borderId="0" xfId="0" applyFont="1" applyFill="1" applyAlignment="1">
      <alignment horizontal="left" vertical="center"/>
    </xf>
    <xf numFmtId="0" fontId="9" fillId="11" borderId="0" xfId="0" applyFont="1" applyFill="1"/>
    <xf numFmtId="0" fontId="282" fillId="11" borderId="0" xfId="0" applyFont="1" applyFill="1" applyAlignment="1">
      <alignment horizontal="left"/>
    </xf>
    <xf numFmtId="0" fontId="282" fillId="3" borderId="0" xfId="0" applyFont="1" applyFill="1" applyAlignment="1">
      <alignment horizontal="left"/>
    </xf>
    <xf numFmtId="0" fontId="283" fillId="0" borderId="0" xfId="0" applyFont="1"/>
    <xf numFmtId="0" fontId="284" fillId="0" borderId="0" xfId="0" applyFont="1"/>
    <xf numFmtId="0" fontId="9" fillId="3" borderId="0" xfId="0" applyFont="1" applyFill="1" applyAlignment="1">
      <alignment wrapText="1"/>
    </xf>
    <xf numFmtId="0" fontId="285" fillId="3" borderId="0" xfId="0" applyFont="1" applyFill="1"/>
    <xf numFmtId="0" fontId="286" fillId="0" borderId="0" xfId="0" applyFont="1" applyAlignment="1">
      <alignment horizontal="left"/>
    </xf>
    <xf numFmtId="0" fontId="287" fillId="0" borderId="0" xfId="0" applyFont="1"/>
    <xf numFmtId="164" fontId="288" fillId="0" borderId="0" xfId="0" applyNumberFormat="1" applyFont="1"/>
    <xf numFmtId="0" fontId="289" fillId="0" borderId="0" xfId="0" applyFont="1" applyAlignment="1">
      <alignment vertical="center"/>
    </xf>
    <xf numFmtId="0" fontId="290" fillId="0" borderId="0" xfId="0" applyFont="1"/>
    <xf numFmtId="0" fontId="291" fillId="3" borderId="0" xfId="0" applyFont="1" applyFill="1"/>
    <xf numFmtId="0" fontId="292" fillId="0" borderId="0" xfId="0" applyFont="1"/>
    <xf numFmtId="0" fontId="293" fillId="3" borderId="0" xfId="0" applyFont="1" applyFill="1"/>
    <xf numFmtId="0" fontId="288" fillId="0" borderId="0" xfId="0" applyFont="1" applyAlignment="1">
      <alignment horizontal="left"/>
    </xf>
    <xf numFmtId="0" fontId="294" fillId="0" borderId="0" xfId="0" applyFont="1"/>
    <xf numFmtId="0" fontId="295" fillId="3" borderId="0" xfId="0" applyFont="1" applyFill="1" applyAlignment="1">
      <alignment horizontal="left"/>
    </xf>
    <xf numFmtId="165" fontId="296" fillId="0" borderId="0" xfId="0" applyNumberFormat="1" applyFont="1"/>
    <xf numFmtId="0" fontId="297" fillId="3" borderId="0" xfId="0" applyFont="1" applyFill="1"/>
    <xf numFmtId="0" fontId="298" fillId="3" borderId="0" xfId="0" applyFont="1" applyFill="1"/>
    <xf numFmtId="0" fontId="299" fillId="3" borderId="0" xfId="0" applyFont="1" applyFill="1"/>
    <xf numFmtId="0" fontId="300" fillId="3" borderId="0" xfId="0" applyFont="1" applyFill="1"/>
    <xf numFmtId="0" fontId="301" fillId="12" borderId="0" xfId="0" applyFont="1" applyFill="1"/>
    <xf numFmtId="0" fontId="302" fillId="5" borderId="0" xfId="0" applyFont="1" applyFill="1"/>
    <xf numFmtId="0" fontId="60" fillId="5" borderId="0" xfId="0" applyFont="1" applyFill="1"/>
    <xf numFmtId="0" fontId="303" fillId="5" borderId="0" xfId="0" applyFont="1" applyFill="1"/>
    <xf numFmtId="0" fontId="6" fillId="11" borderId="0" xfId="0" applyFont="1" applyFill="1"/>
    <xf numFmtId="0" fontId="304" fillId="11" borderId="0" xfId="0" applyFont="1" applyFill="1"/>
    <xf numFmtId="0" fontId="60" fillId="11" borderId="0" xfId="0" applyFont="1" applyFill="1"/>
    <xf numFmtId="0" fontId="305" fillId="11" borderId="0" xfId="0" applyFont="1" applyFill="1"/>
    <xf numFmtId="0" fontId="5" fillId="11" borderId="0" xfId="0" applyFont="1" applyFill="1"/>
    <xf numFmtId="0" fontId="110" fillId="11" borderId="0" xfId="0" applyFont="1" applyFill="1"/>
    <xf numFmtId="164" fontId="5" fillId="11" borderId="0" xfId="0" applyNumberFormat="1" applyFont="1" applyFill="1"/>
    <xf numFmtId="0" fontId="306" fillId="0" borderId="0" xfId="0" applyFont="1"/>
    <xf numFmtId="0" fontId="267" fillId="0" borderId="0" xfId="0" applyFont="1"/>
    <xf numFmtId="0" fontId="321" fillId="0" borderId="0" xfId="0" applyFont="1"/>
    <xf numFmtId="0" fontId="322" fillId="2" borderId="1" xfId="0" applyFont="1" applyFill="1" applyBorder="1"/>
    <xf numFmtId="0" fontId="320" fillId="0" borderId="0" xfId="1"/>
    <xf numFmtId="0" fontId="322" fillId="2" borderId="0" xfId="0" applyFont="1" applyFill="1" applyBorder="1"/>
  </cellXfs>
  <cellStyles count="2">
    <cellStyle name="Hyperlänk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tandea.se/" TargetMode="External"/><Relationship Id="rId4233" Type="http://schemas.openxmlformats.org/officeDocument/2006/relationships/hyperlink" Target="https://sakraror.se/vara-tjanster/allman-service-vvs/vvs-i-sollentuna/" TargetMode="External"/><Relationship Id="rId8854" Type="http://schemas.openxmlformats.org/officeDocument/2006/relationships/hyperlink" Target="https://www.disy-magazin.de/unsere-magazine/disy-gesundheit/familie/familie/wenn-gaerten-zu-persoenlichen-oasen-werden/" TargetMode="External"/><Relationship Id="rId9905" Type="http://schemas.openxmlformats.org/officeDocument/2006/relationships/hyperlink" Target="https://kruunukaluste.fi/kauppa/puutarhakalusteet-ulkokalusteet-ja-terassikalusteet/" TargetMode="External"/><Relationship Id="rId7456" Type="http://schemas.openxmlformats.org/officeDocument/2006/relationships/hyperlink" Target="http://petster.se/" TargetMode="External"/><Relationship Id="rId8507" Type="http://schemas.openxmlformats.org/officeDocument/2006/relationships/hyperlink" Target="http://aerius.se/ventilationsrengoring-vasteras/" TargetMode="External"/><Relationship Id="rId10784" Type="http://schemas.openxmlformats.org/officeDocument/2006/relationships/hyperlink" Target="http://tandea.se/tandvard/akut-tandvard-stockholm/" TargetMode="External"/><Relationship Id="rId11835" Type="http://schemas.openxmlformats.org/officeDocument/2006/relationships/hyperlink" Target="https://yagya.com/" TargetMode="External"/><Relationship Id="rId6058" Type="http://schemas.openxmlformats.org/officeDocument/2006/relationships/hyperlink" Target="http://cherry.com/" TargetMode="External"/><Relationship Id="rId7109" Type="http://schemas.openxmlformats.org/officeDocument/2006/relationships/hyperlink" Target="https://www.coface.fi/luottovakuutus" TargetMode="External"/><Relationship Id="rId10437" Type="http://schemas.openxmlformats.org/officeDocument/2006/relationships/hyperlink" Target="https://michaelofrisorerna.se/" TargetMode="External"/><Relationship Id="rId987" Type="http://schemas.openxmlformats.org/officeDocument/2006/relationships/hyperlink" Target="https://bod&#248;posten.no/5-mater-a-forberede-seg-til-skisesongen/" TargetMode="External"/><Relationship Id="rId2668" Type="http://schemas.openxmlformats.org/officeDocument/2006/relationships/hyperlink" Target="https://www.mabattre.nu/" TargetMode="External"/><Relationship Id="rId3719" Type="http://schemas.openxmlformats.org/officeDocument/2006/relationships/hyperlink" Target="http://spelklubben.se/" TargetMode="External"/><Relationship Id="rId4090" Type="http://schemas.openxmlformats.org/officeDocument/2006/relationships/hyperlink" Target="https://fairinvestments.se/" TargetMode="External"/><Relationship Id="rId5141" Type="http://schemas.openxmlformats.org/officeDocument/2006/relationships/hyperlink" Target="http://nodepositbonus.cc/" TargetMode="External"/><Relationship Id="rId9762" Type="http://schemas.openxmlformats.org/officeDocument/2006/relationships/hyperlink" Target="https://arctic.se/se/forsakringslosningar/svensksolenergi/" TargetMode="External"/><Relationship Id="rId11692" Type="http://schemas.openxmlformats.org/officeDocument/2006/relationships/hyperlink" Target="http://vontabel.com/" TargetMode="External"/><Relationship Id="rId12743" Type="http://schemas.openxmlformats.org/officeDocument/2006/relationships/hyperlink" Target="https://barnmagasinet.se/produkter-som-gor-livet-enklare-for-bebisar-och-smabarnsforaldrar/" TargetMode="External"/><Relationship Id="rId1751" Type="http://schemas.openxmlformats.org/officeDocument/2006/relationships/hyperlink" Target="https://www.triwa.com/time-for-solar" TargetMode="External"/><Relationship Id="rId2802" Type="http://schemas.openxmlformats.org/officeDocument/2006/relationships/hyperlink" Target="http://spelklubben.se/" TargetMode="External"/><Relationship Id="rId8364" Type="http://schemas.openxmlformats.org/officeDocument/2006/relationships/hyperlink" Target="https://www.cyberteddy-online.com/iptv-framtidens-tv-eller-bara-annu-ett-buzzword" TargetMode="External"/><Relationship Id="rId9415" Type="http://schemas.openxmlformats.org/officeDocument/2006/relationships/hyperlink" Target="https://thatsup.co.uk/native/manchester-adventures-5-highlights-you-can-t-skip/" TargetMode="External"/><Relationship Id="rId10294" Type="http://schemas.openxmlformats.org/officeDocument/2006/relationships/hyperlink" Target="https://supernormal.health/se/" TargetMode="External"/><Relationship Id="rId11345" Type="http://schemas.openxmlformats.org/officeDocument/2006/relationships/hyperlink" Target="https://ekonomiboken.se/identifiera-och-uppna-dina-ekonomiska-mal-med-hjalp-av-kapitalforvaltning/" TargetMode="External"/><Relationship Id="rId1404" Type="http://schemas.openxmlformats.org/officeDocument/2006/relationships/hyperlink" Target="https://stilguiden.nu/" TargetMode="External"/><Relationship Id="rId8017" Type="http://schemas.openxmlformats.org/officeDocument/2006/relationships/hyperlink" Target="https://www.coface.no/inkasso" TargetMode="External"/><Relationship Id="rId3576" Type="http://schemas.openxmlformats.org/officeDocument/2006/relationships/hyperlink" Target="http://fairinvestments.se/" TargetMode="External"/><Relationship Id="rId4627" Type="http://schemas.openxmlformats.org/officeDocument/2006/relationships/hyperlink" Target="https://www.kvarnx.com/sv" TargetMode="External"/><Relationship Id="rId4974" Type="http://schemas.openxmlformats.org/officeDocument/2006/relationships/hyperlink" Target="https://hazard.se/betting/proffsens-bettingstrategi-sa-betar-de-basta/" TargetMode="External"/><Relationship Id="rId497" Type="http://schemas.openxmlformats.org/officeDocument/2006/relationships/hyperlink" Target="https://chronos.se/diabetes/blodsocker/hba1c" TargetMode="External"/><Relationship Id="rId2178" Type="http://schemas.openxmlformats.org/officeDocument/2006/relationships/hyperlink" Target="https://www.gashaga.nu/hur-ser-ditt-dromhus-ut" TargetMode="External"/><Relationship Id="rId3229" Type="http://schemas.openxmlformats.org/officeDocument/2006/relationships/hyperlink" Target="https://distansinstitutet.se/distansutbildningar/kommunikation/miljostrateg/" TargetMode="External"/><Relationship Id="rId7100" Type="http://schemas.openxmlformats.org/officeDocument/2006/relationships/hyperlink" Target="http://hund.se/" TargetMode="External"/><Relationship Id="rId6799" Type="http://schemas.openxmlformats.org/officeDocument/2006/relationships/hyperlink" Target="https://www.saleseffect.se/sa-frigor-en-effektiv-inkassostrategi-resurser-i-saljteamet/" TargetMode="External"/><Relationship Id="rId3710" Type="http://schemas.openxmlformats.org/officeDocument/2006/relationships/hyperlink" Target="https://lomelina.se/blogg/toppvalen-av-damer-toppklader-hitta-stilen-som-passar-just-dig/" TargetMode="External"/><Relationship Id="rId9272" Type="http://schemas.openxmlformats.org/officeDocument/2006/relationships/hyperlink" Target="https://bolagsekonomen.se/forbattra-ljudmiljon-i-byggnader-med-effektiva-akustiklosningar/" TargetMode="External"/><Relationship Id="rId12253" Type="http://schemas.openxmlformats.org/officeDocument/2006/relationships/hyperlink" Target="https://www.triwa.com/watches-for-men" TargetMode="External"/><Relationship Id="rId13304" Type="http://schemas.openxmlformats.org/officeDocument/2006/relationships/hyperlink" Target="https://tkw.se/" TargetMode="External"/><Relationship Id="rId631" Type="http://schemas.openxmlformats.org/officeDocument/2006/relationships/hyperlink" Target="http://vontabel.com/" TargetMode="External"/><Relationship Id="rId1261" Type="http://schemas.openxmlformats.org/officeDocument/2006/relationships/hyperlink" Target="https://www.totallystockholm.se/klader-for-olika-livets-tillfallen-fran-vardag-till-brollop/" TargetMode="External"/><Relationship Id="rId2312" Type="http://schemas.openxmlformats.org/officeDocument/2006/relationships/hyperlink" Target="https://www.spoors.health/" TargetMode="External"/><Relationship Id="rId5882" Type="http://schemas.openxmlformats.org/officeDocument/2006/relationships/hyperlink" Target="https://lifestylebloggen.se/vitt-snus-en-modern-twist-pa-en-klassisk-produkt/" TargetMode="External"/><Relationship Id="rId6933" Type="http://schemas.openxmlformats.org/officeDocument/2006/relationships/hyperlink" Target="https://ng.se/artiklar/material-inom-noje-vad-kostar-ditt-intresse" TargetMode="External"/><Relationship Id="rId4484" Type="http://schemas.openxmlformats.org/officeDocument/2006/relationships/hyperlink" Target="https://huddingeextra.se/den-oemotstandliga-lyxen-av-en-egen-flytbrygga-en-sommardrom/" TargetMode="External"/><Relationship Id="rId5535" Type="http://schemas.openxmlformats.org/officeDocument/2006/relationships/hyperlink" Target="https://uutisankka.com/uncategorized/epoksi-ja-silikoni-kiinnittamisessa-ja-tiivistamisessa/" TargetMode="External"/><Relationship Id="rId3086" Type="http://schemas.openxmlformats.org/officeDocument/2006/relationships/hyperlink" Target="https://dinlokalabokhandel.se/big-ben-stand-up-stockholms-standup-ikon/" TargetMode="External"/><Relationship Id="rId4137" Type="http://schemas.openxmlformats.org/officeDocument/2006/relationships/hyperlink" Target="https://www.executiveeffect.se/vad-ar-fair-investments/" TargetMode="External"/><Relationship Id="rId8758" Type="http://schemas.openxmlformats.org/officeDocument/2006/relationships/hyperlink" Target="https://finest.se/sa-valjer-du-ratt-casino-7-faktorer/" TargetMode="External"/><Relationship Id="rId9809" Type="http://schemas.openxmlformats.org/officeDocument/2006/relationships/hyperlink" Target="http://sakraror.se/" TargetMode="External"/><Relationship Id="rId10688" Type="http://schemas.openxmlformats.org/officeDocument/2006/relationships/hyperlink" Target="https://www.orderhero.se/digitalisering-och-hur-umganget-forandrats/" TargetMode="External"/><Relationship Id="rId11739" Type="http://schemas.openxmlformats.org/officeDocument/2006/relationships/hyperlink" Target="https://yagya.com/" TargetMode="External"/><Relationship Id="rId13161" Type="http://schemas.openxmlformats.org/officeDocument/2006/relationships/hyperlink" Target="https://www.nykommun.se/2025/09/29/kickoff-som-katalysator-bygg-kultur-klarhet-och-kraft-i-skargarden/" TargetMode="External"/><Relationship Id="rId141" Type="http://schemas.openxmlformats.org/officeDocument/2006/relationships/hyperlink" Target="https://www.kopbarnvagn.se/sv/artiklar/bugaboo/index.html" TargetMode="External"/><Relationship Id="rId3220" Type="http://schemas.openxmlformats.org/officeDocument/2006/relationships/hyperlink" Target="http://lansfast.se/" TargetMode="External"/><Relationship Id="rId6790" Type="http://schemas.openxmlformats.org/officeDocument/2006/relationships/hyperlink" Target="http://dinkorskola.se/" TargetMode="External"/><Relationship Id="rId7841" Type="http://schemas.openxmlformats.org/officeDocument/2006/relationships/hyperlink" Target="http://rusta.com/sv-se/fritid/husdjur/hundfoder" TargetMode="External"/><Relationship Id="rId10822" Type="http://schemas.openxmlformats.org/officeDocument/2006/relationships/hyperlink" Target="https://www.nykommun.se/2025/08/06/dags-for-bilsemester-har-ar-tre-stallen-att-besoka-under-ledigheten/" TargetMode="External"/><Relationship Id="rId7" Type="http://schemas.openxmlformats.org/officeDocument/2006/relationships/hyperlink" Target="http://haxan.se/" TargetMode="External"/><Relationship Id="rId5392" Type="http://schemas.openxmlformats.org/officeDocument/2006/relationships/hyperlink" Target="http://sakraror.se/" TargetMode="External"/><Relationship Id="rId6443" Type="http://schemas.openxmlformats.org/officeDocument/2006/relationships/hyperlink" Target="http://startmotor.se/" TargetMode="External"/><Relationship Id="rId5045" Type="http://schemas.openxmlformats.org/officeDocument/2006/relationships/hyperlink" Target="http://kvarnx.com/" TargetMode="External"/><Relationship Id="rId9666" Type="http://schemas.openxmlformats.org/officeDocument/2006/relationships/hyperlink" Target="http://lsb.se/" TargetMode="External"/><Relationship Id="rId11596" Type="http://schemas.openxmlformats.org/officeDocument/2006/relationships/hyperlink" Target="https://kvinnan.se/dessa-sma-inredningsdetaljer-kan-gora-en-enorm-skillnad-for-hur-man-upplever-ett-rum/" TargetMode="External"/><Relationship Id="rId12994" Type="http://schemas.openxmlformats.org/officeDocument/2006/relationships/hyperlink" Target="https://dbet.com/se/sport" TargetMode="External"/><Relationship Id="rId1655" Type="http://schemas.openxmlformats.org/officeDocument/2006/relationships/hyperlink" Target="http://hemplybalance.com/" TargetMode="External"/><Relationship Id="rId2706" Type="http://schemas.openxmlformats.org/officeDocument/2006/relationships/hyperlink" Target="https://luckycasino.com/sv/double-up" TargetMode="External"/><Relationship Id="rId8268" Type="http://schemas.openxmlformats.org/officeDocument/2006/relationships/hyperlink" Target="https://svenskiptv.com/hur-fungerar-iptv-kom-igang/" TargetMode="External"/><Relationship Id="rId9319" Type="http://schemas.openxmlformats.org/officeDocument/2006/relationships/hyperlink" Target="https://italienskpizza.se/antipasti/" TargetMode="External"/><Relationship Id="rId10198" Type="http://schemas.openxmlformats.org/officeDocument/2006/relationships/hyperlink" Target="https://www.mrvegas.com/sv/" TargetMode="External"/><Relationship Id="rId11249" Type="http://schemas.openxmlformats.org/officeDocument/2006/relationships/hyperlink" Target="https://veckomagasinet.com/att-kora-fort-kraver-battre-produkter/" TargetMode="External"/><Relationship Id="rId12647" Type="http://schemas.openxmlformats.org/officeDocument/2006/relationships/hyperlink" Target="https://www.su.se/polopoly_fs/1.103854.1349877868!/menu/standard/file/S%C3%A4ljare%20mot%20%C3%A5terf%C3%B6rs%C3%A4ljarled%20-%20Fair%20Investments.pdf" TargetMode="External"/><Relationship Id="rId1308" Type="http://schemas.openxmlformats.org/officeDocument/2006/relationships/hyperlink" Target="https://advancepointcap.com/alternative-business-financing/" TargetMode="External"/><Relationship Id="rId4878" Type="http://schemas.openxmlformats.org/officeDocument/2006/relationships/hyperlink" Target="https://www.onlinepengar.com/bitcoin-senaste-utveckling-och-faktorer-som-paverkat-priset/" TargetMode="External"/><Relationship Id="rId5929" Type="http://schemas.openxmlformats.org/officeDocument/2006/relationships/hyperlink" Target="https://e-ciggbolaget.se/e-cigaretter/startpaket/" TargetMode="External"/><Relationship Id="rId9800" Type="http://schemas.openxmlformats.org/officeDocument/2006/relationships/hyperlink" Target="https://villaprojekt.se/flexibla-losningar-for-foretagsbostader-i-sverige/" TargetMode="External"/><Relationship Id="rId11730" Type="http://schemas.openxmlformats.org/officeDocument/2006/relationships/hyperlink" Target="http://yagya.com/" TargetMode="External"/><Relationship Id="rId14" Type="http://schemas.openxmlformats.org/officeDocument/2006/relationships/hyperlink" Target="https://eventeffect.se/planera-stadning-for-stora-event/" TargetMode="External"/><Relationship Id="rId7004" Type="http://schemas.openxmlformats.org/officeDocument/2006/relationships/hyperlink" Target="https://sportsfanfare.com/2024/12/19/effective-strategies-for-healing-sports-injuries/" TargetMode="External"/><Relationship Id="rId7351" Type="http://schemas.openxmlformats.org/officeDocument/2006/relationships/hyperlink" Target="https://www.starleaf.com/blog/kicking-old-habits-in-the-modern-day/" TargetMode="External"/><Relationship Id="rId8402" Type="http://schemas.openxmlformats.org/officeDocument/2006/relationships/hyperlink" Target="http://fairinvestments.se/" TargetMode="External"/><Relationship Id="rId10332" Type="http://schemas.openxmlformats.org/officeDocument/2006/relationships/hyperlink" Target="https://www.indoorprofessional.se/" TargetMode="External"/><Relationship Id="rId3961" Type="http://schemas.openxmlformats.org/officeDocument/2006/relationships/hyperlink" Target="https://lemontree.se/tjanster/devops/site-reliability-engineering/" TargetMode="External"/><Relationship Id="rId882" Type="http://schemas.openxmlformats.org/officeDocument/2006/relationships/hyperlink" Target="https://www.swedoffice.se/" TargetMode="External"/><Relationship Id="rId2563" Type="http://schemas.openxmlformats.org/officeDocument/2006/relationships/hyperlink" Target="http://finansplassen.no/" TargetMode="External"/><Relationship Id="rId3614" Type="http://schemas.openxmlformats.org/officeDocument/2006/relationships/hyperlink" Target="https://www.kulturakademintrappan.se/" TargetMode="External"/><Relationship Id="rId9176" Type="http://schemas.openxmlformats.org/officeDocument/2006/relationships/hyperlink" Target="https://gonorthshop.com/products/dog-water-bottle-with-bowl-12oz" TargetMode="External"/><Relationship Id="rId12157" Type="http://schemas.openxmlformats.org/officeDocument/2006/relationships/hyperlink" Target="https://tiotak.se/byta-tak-ekonomibyggnad/" TargetMode="External"/><Relationship Id="rId13208" Type="http://schemas.openxmlformats.org/officeDocument/2006/relationships/hyperlink" Target="https://www.sporthalsa.se/artiklar/tips-pa-hjarngympa-strategiska-spel-och-utmaningar-som-stimulerar-hjarnan/" TargetMode="External"/><Relationship Id="rId535" Type="http://schemas.openxmlformats.org/officeDocument/2006/relationships/hyperlink" Target="https://livsstilsforandringar.se/personliga-halsoplaner-efter-dna-blir-allt-mer-populart/" TargetMode="External"/><Relationship Id="rId1165" Type="http://schemas.openxmlformats.org/officeDocument/2006/relationships/hyperlink" Target="https://eventeffect.se/en-omfattande-guide-till-testautomatisering/" TargetMode="External"/><Relationship Id="rId2216" Type="http://schemas.openxmlformats.org/officeDocument/2006/relationships/hyperlink" Target="http://tryggbil.se/" TargetMode="External"/><Relationship Id="rId5786" Type="http://schemas.openxmlformats.org/officeDocument/2006/relationships/hyperlink" Target="https://mittvitahus.se/maklare-i-nykoping-din-guide-till-bostadsmarknaden-i-nykoping/" TargetMode="External"/><Relationship Id="rId6837" Type="http://schemas.openxmlformats.org/officeDocument/2006/relationships/hyperlink" Target="http://www.kanalgratis.se/sv" TargetMode="External"/><Relationship Id="rId4388" Type="http://schemas.openxmlformats.org/officeDocument/2006/relationships/hyperlink" Target="https://livsekonomi.se/maximera-din-avkastning-med-etiska-investeringsval/" TargetMode="External"/><Relationship Id="rId5439" Type="http://schemas.openxmlformats.org/officeDocument/2006/relationships/hyperlink" Target="https://www.myownwater.com/" TargetMode="External"/><Relationship Id="rId9310" Type="http://schemas.openxmlformats.org/officeDocument/2006/relationships/hyperlink" Target="https://www.maklarringen.se/upptack-maklarringen/byggtips-fakta-inspiration/de-sma-knepen-for-att-fa-din-bostad-att-bli-vard-mer" TargetMode="External"/><Relationship Id="rId11240" Type="http://schemas.openxmlformats.org/officeDocument/2006/relationships/hyperlink" Target="https://eventeffect.se/minireningsverk-revolutionerande-avloppshantering/" TargetMode="External"/><Relationship Id="rId5920" Type="http://schemas.openxmlformats.org/officeDocument/2006/relationships/hyperlink" Target="http://bbml.se/" TargetMode="External"/><Relationship Id="rId3471" Type="http://schemas.openxmlformats.org/officeDocument/2006/relationships/hyperlink" Target="https://www.tandea.se/kliniker/tandlakare-ostermalm/" TargetMode="External"/><Relationship Id="rId4522" Type="http://schemas.openxmlformats.org/officeDocument/2006/relationships/hyperlink" Target="https://jessicasmaleriostad.se/hur-forodande-ett-skadat-tak-kan-vara-for-din-ekonomibyggnad-industri/" TargetMode="External"/><Relationship Id="rId13065" Type="http://schemas.openxmlformats.org/officeDocument/2006/relationships/hyperlink" Target="http://startmotor.se/" TargetMode="External"/><Relationship Id="rId392" Type="http://schemas.openxmlformats.org/officeDocument/2006/relationships/hyperlink" Target="http://askskinfo.com/" TargetMode="External"/><Relationship Id="rId2073" Type="http://schemas.openxmlformats.org/officeDocument/2006/relationships/hyperlink" Target="https://distansinstitutet.se/distansutbildningar/pedagogik/socialpedagog/" TargetMode="External"/><Relationship Id="rId3124" Type="http://schemas.openxmlformats.org/officeDocument/2006/relationships/hyperlink" Target="https://renbyggbransch.nu/tiotaks-solcellsinlaggningar-framtidens-energilosning/" TargetMode="External"/><Relationship Id="rId6694" Type="http://schemas.openxmlformats.org/officeDocument/2006/relationships/hyperlink" Target="http://startmotor.se/" TargetMode="External"/><Relationship Id="rId7745" Type="http://schemas.openxmlformats.org/officeDocument/2006/relationships/hyperlink" Target="http://flygbussarna.se/" TargetMode="External"/><Relationship Id="rId5296" Type="http://schemas.openxmlformats.org/officeDocument/2006/relationships/hyperlink" Target="http://foyen.se/" TargetMode="External"/><Relationship Id="rId6347" Type="http://schemas.openxmlformats.org/officeDocument/2006/relationships/hyperlink" Target="http://snusnetto.se/" TargetMode="External"/><Relationship Id="rId10726" Type="http://schemas.openxmlformats.org/officeDocument/2006/relationships/hyperlink" Target="http://hund.se/" TargetMode="External"/><Relationship Id="rId12898" Type="http://schemas.openxmlformats.org/officeDocument/2006/relationships/hyperlink" Target="http://spelklubben.se/" TargetMode="External"/><Relationship Id="rId2957" Type="http://schemas.openxmlformats.org/officeDocument/2006/relationships/hyperlink" Target="https://svenska-spelare.se/nyheter/slots-online-utforska-de-senaste-trenderna-och-spelen/" TargetMode="External"/><Relationship Id="rId929" Type="http://schemas.openxmlformats.org/officeDocument/2006/relationships/hyperlink" Target="https://mentalitch.com/the-importance-of-dress-socks-elevating-your-style-and-confidence/" TargetMode="External"/><Relationship Id="rId1559" Type="http://schemas.openxmlformats.org/officeDocument/2006/relationships/hyperlink" Target="https://serviceteknikerkarlstad.se/bikarbonat-den-naturliga-stadhjalten-som-forvandlar-ditt-hem-inom-och-utomhus/" TargetMode="External"/><Relationship Id="rId4032" Type="http://schemas.openxmlformats.org/officeDocument/2006/relationships/hyperlink" Target="http://aretrotale.com/" TargetMode="External"/><Relationship Id="rId5430" Type="http://schemas.openxmlformats.org/officeDocument/2006/relationships/hyperlink" Target="https://www.vont.se/vape" TargetMode="External"/><Relationship Id="rId11981" Type="http://schemas.openxmlformats.org/officeDocument/2006/relationships/hyperlink" Target="https://www.executiveeffect.se/vad-ar-fair-investments/" TargetMode="External"/><Relationship Id="rId8653" Type="http://schemas.openxmlformats.org/officeDocument/2006/relationships/hyperlink" Target="http://rusta.se/" TargetMode="External"/><Relationship Id="rId9704" Type="http://schemas.openxmlformats.org/officeDocument/2006/relationships/hyperlink" Target="http://maklarringen.se/" TargetMode="External"/><Relationship Id="rId10583" Type="http://schemas.openxmlformats.org/officeDocument/2006/relationships/hyperlink" Target="https://www.theclintoncourier.net/2025/07/15/how-water-bottle-waste-is-affecting-global-ecosystems-what-local-families-can-do/" TargetMode="External"/><Relationship Id="rId11634" Type="http://schemas.openxmlformats.org/officeDocument/2006/relationships/hyperlink" Target="http://vontabel.com/" TargetMode="External"/><Relationship Id="rId7255" Type="http://schemas.openxmlformats.org/officeDocument/2006/relationships/hyperlink" Target="http://mobot.com/" TargetMode="External"/><Relationship Id="rId8306" Type="http://schemas.openxmlformats.org/officeDocument/2006/relationships/hyperlink" Target="https://www.spelklubben.se/sv/casino" TargetMode="External"/><Relationship Id="rId10236" Type="http://schemas.openxmlformats.org/officeDocument/2006/relationships/hyperlink" Target="https://www.allaannonser.se/samarb-viktigaprodukterbarn.html" TargetMode="External"/><Relationship Id="rId3865" Type="http://schemas.openxmlformats.org/officeDocument/2006/relationships/hyperlink" Target="http://gordetmedrw.se/" TargetMode="External"/><Relationship Id="rId4916" Type="http://schemas.openxmlformats.org/officeDocument/2006/relationships/hyperlink" Target="http://bethard.com/" TargetMode="External"/><Relationship Id="rId786" Type="http://schemas.openxmlformats.org/officeDocument/2006/relationships/hyperlink" Target="https://www.happysocks.com/us/collection/socks-for-men" TargetMode="External"/><Relationship Id="rId2467" Type="http://schemas.openxmlformats.org/officeDocument/2006/relationships/hyperlink" Target="https://topplistor.nu/upptack-vaping-en-fargglad-resa-genom-varlden-av-angor/" TargetMode="External"/><Relationship Id="rId3518" Type="http://schemas.openxmlformats.org/officeDocument/2006/relationships/hyperlink" Target="https://www.merinfo.se/foretag/Fair-Investments-Sweden-AB-5568169626/2k3576i-kqah" TargetMode="External"/><Relationship Id="rId439" Type="http://schemas.openxmlformats.org/officeDocument/2006/relationships/hyperlink" Target="https://ridzeal.com/step-into-style-trendy-and-comfortable-socks-for-women/" TargetMode="External"/><Relationship Id="rId1069" Type="http://schemas.openxmlformats.org/officeDocument/2006/relationships/hyperlink" Target="https://fashiongtonpost.com/how-to-care-for-your-socks/" TargetMode="External"/><Relationship Id="rId8163" Type="http://schemas.openxmlformats.org/officeDocument/2006/relationships/hyperlink" Target="http://swedenlongstay.se/" TargetMode="External"/><Relationship Id="rId9214" Type="http://schemas.openxmlformats.org/officeDocument/2006/relationships/hyperlink" Target="https://nybyggdahus.se/marknaden-for-bostader-i-trosa-mojligheter-och-utmaningar/" TargetMode="External"/><Relationship Id="rId9561" Type="http://schemas.openxmlformats.org/officeDocument/2006/relationships/hyperlink" Target="https://www.djungeltrumman.se/roligare-nojen-med-hunden-som-basta-sallskap/" TargetMode="External"/><Relationship Id="rId11491" Type="http://schemas.openxmlformats.org/officeDocument/2006/relationships/hyperlink" Target="https://www.braf&#246;retagsl&#229;n.se/" TargetMode="External"/><Relationship Id="rId12542" Type="http://schemas.openxmlformats.org/officeDocument/2006/relationships/hyperlink" Target="http://haxan.se/" TargetMode="External"/><Relationship Id="rId920" Type="http://schemas.openxmlformats.org/officeDocument/2006/relationships/hyperlink" Target="https://easyreadernews.com/the-ultimate-checklist-for-a-night-out-at-manhattan-beach/" TargetMode="External"/><Relationship Id="rId1550" Type="http://schemas.openxmlformats.org/officeDocument/2006/relationships/hyperlink" Target="https://mitechnews.com/guest-columns/how-to-deal-with-financial-emergency-in-your-business/" TargetMode="External"/><Relationship Id="rId2601" Type="http://schemas.openxmlformats.org/officeDocument/2006/relationships/hyperlink" Target="https://www.innovationskontorett.se/" TargetMode="External"/><Relationship Id="rId10093" Type="http://schemas.openxmlformats.org/officeDocument/2006/relationships/hyperlink" Target="https://www.swedoffice.se/kategori/69602-gaffelparm-trarygg" TargetMode="External"/><Relationship Id="rId11144" Type="http://schemas.openxmlformats.org/officeDocument/2006/relationships/hyperlink" Target="https://www.artscreen.se/kontorsmaterial-aven-for-konstnarer" TargetMode="External"/><Relationship Id="rId1203" Type="http://schemas.openxmlformats.org/officeDocument/2006/relationships/hyperlink" Target="https://pontechmarina.com/se/flytbrygga/" TargetMode="External"/><Relationship Id="rId4773" Type="http://schemas.openxmlformats.org/officeDocument/2006/relationships/hyperlink" Target="https://www.startmotor.se/kategori/generatorer" TargetMode="External"/><Relationship Id="rId5824" Type="http://schemas.openxmlformats.org/officeDocument/2006/relationships/hyperlink" Target="http://foyen.se/" TargetMode="External"/><Relationship Id="rId3375" Type="http://schemas.openxmlformats.org/officeDocument/2006/relationships/hyperlink" Target="https://www.spelklubben.se/sv/casino" TargetMode="External"/><Relationship Id="rId4426" Type="http://schemas.openxmlformats.org/officeDocument/2006/relationships/hyperlink" Target="http://alfa.se/" TargetMode="External"/><Relationship Id="rId7996" Type="http://schemas.openxmlformats.org/officeDocument/2006/relationships/hyperlink" Target="https://growthscribe.com/how-to-make-the-most-of-your-wellness-tech-practical-tips-for-your-daily-routine/" TargetMode="External"/><Relationship Id="rId296" Type="http://schemas.openxmlformats.org/officeDocument/2006/relationships/hyperlink" Target="https://arctic.se/se/produktsidor/hjartstartare/" TargetMode="External"/><Relationship Id="rId3028" Type="http://schemas.openxmlformats.org/officeDocument/2006/relationships/hyperlink" Target="http://awaio.com/" TargetMode="External"/><Relationship Id="rId6598" Type="http://schemas.openxmlformats.org/officeDocument/2006/relationships/hyperlink" Target="http://cherry.com/" TargetMode="External"/><Relationship Id="rId7649" Type="http://schemas.openxmlformats.org/officeDocument/2006/relationships/hyperlink" Target="http://hund.se/" TargetMode="External"/><Relationship Id="rId10977" Type="http://schemas.openxmlformats.org/officeDocument/2006/relationships/hyperlink" Target="https://minifinder.se/tjanster/kategori/trygghetslarm" TargetMode="External"/><Relationship Id="rId9071" Type="http://schemas.openxmlformats.org/officeDocument/2006/relationships/hyperlink" Target="https://www.bethard.com/sv/sports" TargetMode="External"/><Relationship Id="rId12052" Type="http://schemas.openxmlformats.org/officeDocument/2006/relationships/hyperlink" Target="https://www.robomarkets.com/se/forex-trading/trading/isk/" TargetMode="External"/><Relationship Id="rId430" Type="http://schemas.openxmlformats.org/officeDocument/2006/relationships/hyperlink" Target="http://advancepointcap.com/" TargetMode="External"/><Relationship Id="rId1060" Type="http://schemas.openxmlformats.org/officeDocument/2006/relationships/hyperlink" Target="http://schjodt.com/" TargetMode="External"/><Relationship Id="rId2111" Type="http://schemas.openxmlformats.org/officeDocument/2006/relationships/hyperlink" Target="http://fairinvestments.se/" TargetMode="External"/><Relationship Id="rId13103" Type="http://schemas.openxmlformats.org/officeDocument/2006/relationships/hyperlink" Target="https://madison.com/life-entertainment/article_e3ae5609-1c6f-5e8d-9659-0b6e9826e2d6.html" TargetMode="External"/><Relationship Id="rId5681" Type="http://schemas.openxmlformats.org/officeDocument/2006/relationships/hyperlink" Target="https://www.rusta.com/se/sv/hem--inredning/mattor/" TargetMode="External"/><Relationship Id="rId6732" Type="http://schemas.openxmlformats.org/officeDocument/2006/relationships/hyperlink" Target="http://hund.se/" TargetMode="External"/><Relationship Id="rId4283" Type="http://schemas.openxmlformats.org/officeDocument/2006/relationships/hyperlink" Target="https://familje-sidan.se/allt-du-behover-veta-om-tandimplantat-fran-planering-till-utforande-resultat/" TargetMode="External"/><Relationship Id="rId5334" Type="http://schemas.openxmlformats.org/officeDocument/2006/relationships/hyperlink" Target="http://kvarnx.com/" TargetMode="External"/><Relationship Id="rId9955" Type="http://schemas.openxmlformats.org/officeDocument/2006/relationships/hyperlink" Target="https://www.zmarta.fi/lainaa-rahaa" TargetMode="External"/><Relationship Id="rId11885" Type="http://schemas.openxmlformats.org/officeDocument/2006/relationships/hyperlink" Target="https://pontechmarina.com/se/flytbrygga/" TargetMode="External"/><Relationship Id="rId1944" Type="http://schemas.openxmlformats.org/officeDocument/2006/relationships/hyperlink" Target="https://luddep.se/nyckeln-till-forenklade-affarer" TargetMode="External"/><Relationship Id="rId8557" Type="http://schemas.openxmlformats.org/officeDocument/2006/relationships/hyperlink" Target="https://mynicco.com/" TargetMode="External"/><Relationship Id="rId9608" Type="http://schemas.openxmlformats.org/officeDocument/2006/relationships/hyperlink" Target="https://www.tandlakare.se/stad/stockholm/" TargetMode="External"/><Relationship Id="rId10487" Type="http://schemas.openxmlformats.org/officeDocument/2006/relationships/hyperlink" Target="http://sakraror.se/" TargetMode="External"/><Relationship Id="rId11538" Type="http://schemas.openxmlformats.org/officeDocument/2006/relationships/hyperlink" Target="https://sufracofinebrands.com/" TargetMode="External"/><Relationship Id="rId12936" Type="http://schemas.openxmlformats.org/officeDocument/2006/relationships/hyperlink" Target="https://www.lsb.se/billan" TargetMode="External"/><Relationship Id="rId7159" Type="http://schemas.openxmlformats.org/officeDocument/2006/relationships/hyperlink" Target="https://beautymama.se/skonhet-genom-halsa-hur-precisionsmedicin-kan-forvandla-ditt-utseende/" TargetMode="External"/><Relationship Id="rId3769" Type="http://schemas.openxmlformats.org/officeDocument/2006/relationships/hyperlink" Target="https://sundmans.se/gotland-ditt-perfekta-sommarparadis/" TargetMode="External"/><Relationship Id="rId5191" Type="http://schemas.openxmlformats.org/officeDocument/2006/relationships/hyperlink" Target="https://www.startmotor.se/kategori/generatorer" TargetMode="External"/><Relationship Id="rId6242" Type="http://schemas.openxmlformats.org/officeDocument/2006/relationships/hyperlink" Target="https://industribanken.se/kopa-kontorsmaterial-sa-far-du-basta-priserna-och-tjansterna/" TargetMode="External"/><Relationship Id="rId7640" Type="http://schemas.openxmlformats.org/officeDocument/2006/relationships/hyperlink" Target="http://lansfast.se/" TargetMode="External"/><Relationship Id="rId10621" Type="http://schemas.openxmlformats.org/officeDocument/2006/relationships/hyperlink" Target="http://mrvegas.com/" TargetMode="External"/><Relationship Id="rId12793" Type="http://schemas.openxmlformats.org/officeDocument/2006/relationships/hyperlink" Target="https://www.rusta.com/sv-se/hem-och-inredning/belysning" TargetMode="External"/><Relationship Id="rId2852" Type="http://schemas.openxmlformats.org/officeDocument/2006/relationships/hyperlink" Target="http://glitnor.com/" TargetMode="External"/><Relationship Id="rId3903" Type="http://schemas.openxmlformats.org/officeDocument/2006/relationships/hyperlink" Target="https://www.realtid.se/investeringsnatverk-hjalper-la-reine-mannens-solcellsbolag/" TargetMode="External"/><Relationship Id="rId9465" Type="http://schemas.openxmlformats.org/officeDocument/2006/relationships/hyperlink" Target="https://www.borskollen.se/nyheter/27/darfor-hanger-lonerna-inte-med-i-inflationen" TargetMode="External"/><Relationship Id="rId11395" Type="http://schemas.openxmlformats.org/officeDocument/2006/relationships/hyperlink" Target="http://haxan.se/" TargetMode="External"/><Relationship Id="rId12446" Type="http://schemas.openxmlformats.org/officeDocument/2006/relationships/hyperlink" Target="https://www.allabolag.se/5568169626/bokslut" TargetMode="External"/><Relationship Id="rId824" Type="http://schemas.openxmlformats.org/officeDocument/2006/relationships/hyperlink" Target="https://evigliv.se/rehabbar-du-efter-en-skada-tank-pa-detta/" TargetMode="External"/><Relationship Id="rId1454" Type="http://schemas.openxmlformats.org/officeDocument/2006/relationships/hyperlink" Target="http://www.alfa.no/" TargetMode="External"/><Relationship Id="rId2505" Type="http://schemas.openxmlformats.org/officeDocument/2006/relationships/hyperlink" Target="https://lemontree.se/branscher/bank-finans-forsakring/dora/" TargetMode="External"/><Relationship Id="rId8067" Type="http://schemas.openxmlformats.org/officeDocument/2006/relationships/hyperlink" Target="http://nettotobak.com/" TargetMode="External"/><Relationship Id="rId9118" Type="http://schemas.openxmlformats.org/officeDocument/2006/relationships/hyperlink" Target="http://spelklubben.se/" TargetMode="External"/><Relationship Id="rId11048" Type="http://schemas.openxmlformats.org/officeDocument/2006/relationships/hyperlink" Target="http://kvarnx.com/" TargetMode="External"/><Relationship Id="rId1107" Type="http://schemas.openxmlformats.org/officeDocument/2006/relationships/hyperlink" Target="https://socialsummit17.se/fastighetsjuridik-en-oversikt-av-aganderatt-transaktioner-och-tvister/" TargetMode="External"/><Relationship Id="rId4677" Type="http://schemas.openxmlformats.org/officeDocument/2006/relationships/hyperlink" Target="https://www.nettotobak.com/" TargetMode="External"/><Relationship Id="rId5728" Type="http://schemas.openxmlformats.org/officeDocument/2006/relationships/hyperlink" Target="http://fairinvestments.se/" TargetMode="External"/><Relationship Id="rId3279" Type="http://schemas.openxmlformats.org/officeDocument/2006/relationships/hyperlink" Target="https://www.casino-bonusarna.se/nyheter/spelklubben-se-en-lysande-ny-stjarna-pa-spelhimlen/" TargetMode="External"/><Relationship Id="rId7150" Type="http://schemas.openxmlformats.org/officeDocument/2006/relationships/hyperlink" Target="https://www.joureliten.se/jour-rormokare/" TargetMode="External"/><Relationship Id="rId8201" Type="http://schemas.openxmlformats.org/officeDocument/2006/relationships/hyperlink" Target="http://rbentreprenad.se/" TargetMode="External"/><Relationship Id="rId10131" Type="http://schemas.openxmlformats.org/officeDocument/2006/relationships/hyperlink" Target="https://klockfeber.se/hur-du-gor-det-mesta-av-din-tid-efter-jobbet/" TargetMode="External"/><Relationship Id="rId3760" Type="http://schemas.openxmlformats.org/officeDocument/2006/relationships/hyperlink" Target="https://knutpunktslussen.se/energisnala-fonsterlosningar/" TargetMode="External"/><Relationship Id="rId4811" Type="http://schemas.openxmlformats.org/officeDocument/2006/relationships/hyperlink" Target="http://pontonhamnar.se/" TargetMode="External"/><Relationship Id="rId681" Type="http://schemas.openxmlformats.org/officeDocument/2006/relationships/hyperlink" Target="https://stylingguiden.se/planerar-du-ett-brollop-detta-ska-du-tanka-pa/" TargetMode="External"/><Relationship Id="rId2362" Type="http://schemas.openxmlformats.org/officeDocument/2006/relationships/hyperlink" Target="http://distansinstitutet.se/" TargetMode="External"/><Relationship Id="rId3413" Type="http://schemas.openxmlformats.org/officeDocument/2006/relationships/hyperlink" Target="http://lansfast.se/" TargetMode="External"/><Relationship Id="rId6983" Type="http://schemas.openxmlformats.org/officeDocument/2006/relationships/hyperlink" Target="https://www.rusta.com/sv-se/hem-och-inredning/mattor" TargetMode="External"/><Relationship Id="rId13007" Type="http://schemas.openxmlformats.org/officeDocument/2006/relationships/hyperlink" Target="https://caboo.se/kultserierna-som-fick-en-ny-publik-generationer-senare/" TargetMode="External"/><Relationship Id="rId334" Type="http://schemas.openxmlformats.org/officeDocument/2006/relationships/hyperlink" Target="https://alltombeauty.se/stress-paverkar-huden-negativt-tips-for-att-stressa-mindre/" TargetMode="External"/><Relationship Id="rId2015" Type="http://schemas.openxmlformats.org/officeDocument/2006/relationships/hyperlink" Target="http://lansfast.se/" TargetMode="External"/><Relationship Id="rId5585" Type="http://schemas.openxmlformats.org/officeDocument/2006/relationships/hyperlink" Target="https://tryggbil.se/volkswagen/" TargetMode="External"/><Relationship Id="rId6636" Type="http://schemas.openxmlformats.org/officeDocument/2006/relationships/hyperlink" Target="https://ledarsidorna.se/trender-inom-inredning-hur-heminredning-speglar-samhallsforandringar/" TargetMode="External"/><Relationship Id="rId4187" Type="http://schemas.openxmlformats.org/officeDocument/2006/relationships/hyperlink" Target="https://tvvestfold.no/velg-de-riktige-skoene-for-fotturer/" TargetMode="External"/><Relationship Id="rId5238" Type="http://schemas.openxmlformats.org/officeDocument/2006/relationships/hyperlink" Target="https://everynightstudios.com/" TargetMode="External"/><Relationship Id="rId9859" Type="http://schemas.openxmlformats.org/officeDocument/2006/relationships/hyperlink" Target="https://www.dbet.com/sports/" TargetMode="External"/><Relationship Id="rId11789" Type="http://schemas.openxmlformats.org/officeDocument/2006/relationships/hyperlink" Target="https://www.robomarkets.com/se/forex-trading/assets/indices/" TargetMode="External"/><Relationship Id="rId1848" Type="http://schemas.openxmlformats.org/officeDocument/2006/relationships/hyperlink" Target="https://industrimagasinet.se/pontoner-och-flytbroar-en-oversikt-av-viktiga-vattenkorsningsverktyg/" TargetMode="External"/><Relationship Id="rId3270" Type="http://schemas.openxmlformats.org/officeDocument/2006/relationships/hyperlink" Target="https://www.vaken.se/det-absolut-viktigaste-kontorsmaterialet/" TargetMode="External"/><Relationship Id="rId4321" Type="http://schemas.openxmlformats.org/officeDocument/2006/relationships/hyperlink" Target="https://www.vasterastidning.se/nativeannons/sakert-och-roligt-casinospel-online-en-guide-for-vasterasbor/257410" TargetMode="External"/><Relationship Id="rId191" Type="http://schemas.openxmlformats.org/officeDocument/2006/relationships/hyperlink" Target="https://carolinkonig.se/2022/12/15/valj-ratt-barnvagn-kopguide-for-forstagangsforaldrar/" TargetMode="External"/><Relationship Id="rId7891" Type="http://schemas.openxmlformats.org/officeDocument/2006/relationships/hyperlink" Target="http://bethard.com/sv/sports" TargetMode="External"/><Relationship Id="rId8942" Type="http://schemas.openxmlformats.org/officeDocument/2006/relationships/hyperlink" Target="https://www.leipziginfo.de/ratgeber/garten/so-machst-du-deinen-aussenbereich-ganz-einfach-sommertauglich/" TargetMode="External"/><Relationship Id="rId10872" Type="http://schemas.openxmlformats.org/officeDocument/2006/relationships/hyperlink" Target="https://wellio.se/produktkategori/vassleprotein/" TargetMode="External"/><Relationship Id="rId11923" Type="http://schemas.openxmlformats.org/officeDocument/2006/relationships/hyperlink" Target="http://robomarkets.com/" TargetMode="External"/><Relationship Id="rId5095" Type="http://schemas.openxmlformats.org/officeDocument/2006/relationships/hyperlink" Target="https://ironmanmagazine.se/sa-fungerar-ett-vo2-max-test" TargetMode="External"/><Relationship Id="rId6493" Type="http://schemas.openxmlformats.org/officeDocument/2006/relationships/hyperlink" Target="http://hund.se/" TargetMode="External"/><Relationship Id="rId7544" Type="http://schemas.openxmlformats.org/officeDocument/2006/relationships/hyperlink" Target="http://hajper.com/" TargetMode="External"/><Relationship Id="rId10525" Type="http://schemas.openxmlformats.org/officeDocument/2006/relationships/hyperlink" Target="https://www.epidemicsound.com/music/" TargetMode="External"/><Relationship Id="rId6146" Type="http://schemas.openxmlformats.org/officeDocument/2006/relationships/hyperlink" Target="https://clab.fi/eri-rahoitusvaihtoehdot-kodinelektroniikalle-seka-niiden-edut-ja-haitat/" TargetMode="External"/><Relationship Id="rId12697" Type="http://schemas.openxmlformats.org/officeDocument/2006/relationships/hyperlink" Target="https://fritidsintressen.se/intresset-for-marinmotorteknik-som-en-hobby-vaxer/" TargetMode="External"/><Relationship Id="rId2756" Type="http://schemas.openxmlformats.org/officeDocument/2006/relationships/hyperlink" Target="http://pontonhamnar.se/" TargetMode="External"/><Relationship Id="rId3807" Type="http://schemas.openxmlformats.org/officeDocument/2006/relationships/hyperlink" Target="https://edgehyllie.se/sa-underhaller-du-ditt-tak-aret-runt/" TargetMode="External"/><Relationship Id="rId9369" Type="http://schemas.openxmlformats.org/officeDocument/2006/relationships/hyperlink" Target="https://www.kungaslottet.se/sv/mobile/" TargetMode="External"/><Relationship Id="rId11299" Type="http://schemas.openxmlformats.org/officeDocument/2006/relationships/hyperlink" Target="https://www.reco.se/fair-investments-sweden-ab" TargetMode="External"/><Relationship Id="rId728" Type="http://schemas.openxmlformats.org/officeDocument/2006/relationships/hyperlink" Target="https://sufracofinebrands.com/kategori/varumarken-compagnie-de-provence" TargetMode="External"/><Relationship Id="rId1358" Type="http://schemas.openxmlformats.org/officeDocument/2006/relationships/hyperlink" Target="https://malm&#246;cloud.se/?p=429" TargetMode="External"/><Relationship Id="rId2409" Type="http://schemas.openxmlformats.org/officeDocument/2006/relationships/hyperlink" Target="http://hemplybalance.com/" TargetMode="External"/><Relationship Id="rId5979" Type="http://schemas.openxmlformats.org/officeDocument/2006/relationships/hyperlink" Target="https://www.myownwater.com/" TargetMode="External"/><Relationship Id="rId64" Type="http://schemas.openxmlformats.org/officeDocument/2006/relationships/hyperlink" Target="http://chronos.se/" TargetMode="External"/><Relationship Id="rId8452" Type="http://schemas.openxmlformats.org/officeDocument/2006/relationships/hyperlink" Target="http://myownwater.com/" TargetMode="External"/><Relationship Id="rId9503" Type="http://schemas.openxmlformats.org/officeDocument/2006/relationships/hyperlink" Target="https://lindenytt.com/extra/den-stora-guiden-for-en-husbilssemester/" TargetMode="External"/><Relationship Id="rId9850" Type="http://schemas.openxmlformats.org/officeDocument/2006/relationships/hyperlink" Target="https://cdbilvardsprodukter.se/" TargetMode="External"/><Relationship Id="rId11780" Type="http://schemas.openxmlformats.org/officeDocument/2006/relationships/hyperlink" Target="https://yagya.com/products/compression-riding-breeches-tan" TargetMode="External"/><Relationship Id="rId12831" Type="http://schemas.openxmlformats.org/officeDocument/2006/relationships/hyperlink" Target="http://kruunukaluste.fi/" TargetMode="External"/><Relationship Id="rId7054" Type="http://schemas.openxmlformats.org/officeDocument/2006/relationships/hyperlink" Target="http://nodepositbonus.cc/" TargetMode="External"/><Relationship Id="rId8105" Type="http://schemas.openxmlformats.org/officeDocument/2006/relationships/hyperlink" Target="https://arctic.se/se/forsakringslosningar/svensksolenergi/" TargetMode="External"/><Relationship Id="rId10382" Type="http://schemas.openxmlformats.org/officeDocument/2006/relationships/hyperlink" Target="https://skanesport.se/2025/07/28/generationsskiftet-pa-laktaren-hur-fotbollskulturen-forandras/" TargetMode="External"/><Relationship Id="rId11433" Type="http://schemas.openxmlformats.org/officeDocument/2006/relationships/hyperlink" Target="http://lansfast.se/" TargetMode="External"/><Relationship Id="rId10035" Type="http://schemas.openxmlformats.org/officeDocument/2006/relationships/hyperlink" Target="http://upplevelse.com/" TargetMode="External"/><Relationship Id="rId3664" Type="http://schemas.openxmlformats.org/officeDocument/2006/relationships/hyperlink" Target="https://www.reco.se/fair-investments-sweden-ab" TargetMode="External"/><Relationship Id="rId4715" Type="http://schemas.openxmlformats.org/officeDocument/2006/relationships/hyperlink" Target="https://rikedomen.se/sakerhetskontroll-av-bilen-infor-langre-resor/" TargetMode="External"/><Relationship Id="rId13258" Type="http://schemas.openxmlformats.org/officeDocument/2006/relationships/hyperlink" Target="http://sakraror.se/" TargetMode="External"/><Relationship Id="rId585" Type="http://schemas.openxmlformats.org/officeDocument/2006/relationships/hyperlink" Target="http://villarelining.se/" TargetMode="External"/><Relationship Id="rId2266" Type="http://schemas.openxmlformats.org/officeDocument/2006/relationships/hyperlink" Target="http://triwa.com/" TargetMode="External"/><Relationship Id="rId3317" Type="http://schemas.openxmlformats.org/officeDocument/2006/relationships/hyperlink" Target="https://edgehyllie.se/carpcon-erbjuder-omfattande-hogkvalitativa-fonsterbytestjanster/" TargetMode="External"/><Relationship Id="rId6887" Type="http://schemas.openxmlformats.org/officeDocument/2006/relationships/hyperlink" Target="https://www.cherry.com/sv/" TargetMode="External"/><Relationship Id="rId7938" Type="http://schemas.openxmlformats.org/officeDocument/2006/relationships/hyperlink" Target="http://glassfactory.fi/" TargetMode="External"/><Relationship Id="rId238" Type="http://schemas.openxmlformats.org/officeDocument/2006/relationships/hyperlink" Target="https://looksgud.com/blog/reasons-to-consider-tailored-clothes-this-fall/" TargetMode="External"/><Relationship Id="rId5489" Type="http://schemas.openxmlformats.org/officeDocument/2006/relationships/hyperlink" Target="http://fairinvestments.se/" TargetMode="External"/><Relationship Id="rId9360" Type="http://schemas.openxmlformats.org/officeDocument/2006/relationships/hyperlink" Target="https://www.dbet.com/casino/" TargetMode="External"/><Relationship Id="rId10919" Type="http://schemas.openxmlformats.org/officeDocument/2006/relationships/hyperlink" Target="http://myownwater.com/" TargetMode="External"/><Relationship Id="rId11290" Type="http://schemas.openxmlformats.org/officeDocument/2006/relationships/hyperlink" Target="https://www.reco.se/fair-investments-sweden-ab" TargetMode="External"/><Relationship Id="rId12341" Type="http://schemas.openxmlformats.org/officeDocument/2006/relationships/hyperlink" Target="http://conclean.se/" TargetMode="External"/><Relationship Id="rId2400" Type="http://schemas.openxmlformats.org/officeDocument/2006/relationships/hyperlink" Target="https://roligaste.se/engangsvapes-och-utmaningen-med-atervinning/" TargetMode="External"/><Relationship Id="rId9013" Type="http://schemas.openxmlformats.org/officeDocument/2006/relationships/hyperlink" Target="http://upplevelse.com/" TargetMode="External"/><Relationship Id="rId1002" Type="http://schemas.openxmlformats.org/officeDocument/2006/relationships/hyperlink" Target="http://distansinstitutet.se/" TargetMode="External"/><Relationship Id="rId5970" Type="http://schemas.openxmlformats.org/officeDocument/2006/relationships/hyperlink" Target="http://myownwater.com/" TargetMode="External"/><Relationship Id="rId3174" Type="http://schemas.openxmlformats.org/officeDocument/2006/relationships/hyperlink" Target="http://fairinvestments.se/" TargetMode="External"/><Relationship Id="rId4572" Type="http://schemas.openxmlformats.org/officeDocument/2006/relationships/hyperlink" Target="http://cdg.io/" TargetMode="External"/><Relationship Id="rId5623" Type="http://schemas.openxmlformats.org/officeDocument/2006/relationships/hyperlink" Target="https://www.joureliten.se/jour-rormokare/" TargetMode="External"/><Relationship Id="rId4225" Type="http://schemas.openxmlformats.org/officeDocument/2006/relationships/hyperlink" Target="http://norteam.se/" TargetMode="External"/><Relationship Id="rId7795" Type="http://schemas.openxmlformats.org/officeDocument/2006/relationships/hyperlink" Target="https://allwomenstalk.com/essential-dog-gadgets-2025/" TargetMode="External"/><Relationship Id="rId8846" Type="http://schemas.openxmlformats.org/officeDocument/2006/relationships/hyperlink" Target="http://purakliniken.se/estetisk-tandvard/tandimplantat/" TargetMode="External"/><Relationship Id="rId10776" Type="http://schemas.openxmlformats.org/officeDocument/2006/relationships/hyperlink" Target="http://michaelofrisorerna.se/" TargetMode="External"/><Relationship Id="rId11827" Type="http://schemas.openxmlformats.org/officeDocument/2006/relationships/hyperlink" Target="https://www.bgfashion.net/article/18877/80/Mens-apparel-is-a-growing-business" TargetMode="External"/><Relationship Id="rId6397" Type="http://schemas.openxmlformats.org/officeDocument/2006/relationships/hyperlink" Target="http://kamux.fi/" TargetMode="External"/><Relationship Id="rId7448" Type="http://schemas.openxmlformats.org/officeDocument/2006/relationships/hyperlink" Target="https://www.totallyorebro.se/guider/aktiviteter/upplev-orebros-hundliv-pa-basta-satt/" TargetMode="External"/><Relationship Id="rId10429" Type="http://schemas.openxmlformats.org/officeDocument/2006/relationships/hyperlink" Target="https://www.bergetsro.se/salja/maklare-solna/" TargetMode="External"/><Relationship Id="rId979" Type="http://schemas.openxmlformats.org/officeDocument/2006/relationships/hyperlink" Target="http://alfa.no/" TargetMode="External"/><Relationship Id="rId5480" Type="http://schemas.openxmlformats.org/officeDocument/2006/relationships/hyperlink" Target="https://hampabonden.se/hampaprodukter/cbd-buds" TargetMode="External"/><Relationship Id="rId6531" Type="http://schemas.openxmlformats.org/officeDocument/2006/relationships/hyperlink" Target="https://aretrotale.com/" TargetMode="External"/><Relationship Id="rId10910" Type="http://schemas.openxmlformats.org/officeDocument/2006/relationships/hyperlink" Target="http://arctic.se/" TargetMode="External"/><Relationship Id="rId4082" Type="http://schemas.openxmlformats.org/officeDocument/2006/relationships/hyperlink" Target="http://fairinvestments.se/" TargetMode="External"/><Relationship Id="rId5133" Type="http://schemas.openxmlformats.org/officeDocument/2006/relationships/hyperlink" Target="https://www.tandea.se/" TargetMode="External"/><Relationship Id="rId9754" Type="http://schemas.openxmlformats.org/officeDocument/2006/relationships/hyperlink" Target="http://joinstriveon.com/" TargetMode="External"/><Relationship Id="rId11684" Type="http://schemas.openxmlformats.org/officeDocument/2006/relationships/hyperlink" Target="https://markets.vontobel.com/fi-fi/tuotteet/viputuotteet/bull-biear-sertifikaatti/DE000VP4YPH0" TargetMode="External"/><Relationship Id="rId12735" Type="http://schemas.openxmlformats.org/officeDocument/2006/relationships/hyperlink" Target="http://sesec.se/" TargetMode="External"/><Relationship Id="rId1743" Type="http://schemas.openxmlformats.org/officeDocument/2006/relationships/hyperlink" Target="http://tandea.se/" TargetMode="External"/><Relationship Id="rId8009" Type="http://schemas.openxmlformats.org/officeDocument/2006/relationships/hyperlink" Target="https://www.filippa-k.com/de/de/damen/bekleidung/hemden" TargetMode="External"/><Relationship Id="rId8356" Type="http://schemas.openxmlformats.org/officeDocument/2006/relationships/hyperlink" Target="https://technobark.com/best-dog-gps-trackers/" TargetMode="External"/><Relationship Id="rId9407" Type="http://schemas.openxmlformats.org/officeDocument/2006/relationships/hyperlink" Target="https://www.newst.se/behover-ditt-djur-en-varierad-kost/" TargetMode="External"/><Relationship Id="rId10286" Type="http://schemas.openxmlformats.org/officeDocument/2006/relationships/hyperlink" Target="https://www.rusta.com/sv-se/hem-och-inredning/belysning" TargetMode="External"/><Relationship Id="rId11337" Type="http://schemas.openxmlformats.org/officeDocument/2006/relationships/hyperlink" Target="https://www.facebook.com/fairinvestmentsswedenAB/" TargetMode="External"/><Relationship Id="rId4966" Type="http://schemas.openxmlformats.org/officeDocument/2006/relationships/hyperlink" Target="https://aaatak.se/" TargetMode="External"/><Relationship Id="rId3568" Type="http://schemas.openxmlformats.org/officeDocument/2006/relationships/hyperlink" Target="https://www.sveafaktura.se/alla-bor-ha-en-utbildning-inom-ekonomi" TargetMode="External"/><Relationship Id="rId4619" Type="http://schemas.openxmlformats.org/officeDocument/2006/relationships/hyperlink" Target="https://www.spelklubben.se/" TargetMode="External"/><Relationship Id="rId10420" Type="http://schemas.openxmlformats.org/officeDocument/2006/relationships/hyperlink" Target="https://ekstromgaray.se/" TargetMode="External"/><Relationship Id="rId489" Type="http://schemas.openxmlformats.org/officeDocument/2006/relationships/hyperlink" Target="http://www.adligo.io/" TargetMode="External"/><Relationship Id="rId6041" Type="http://schemas.openxmlformats.org/officeDocument/2006/relationships/hyperlink" Target="https://printler.com/sv/" TargetMode="External"/><Relationship Id="rId9264" Type="http://schemas.openxmlformats.org/officeDocument/2006/relationships/hyperlink" Target="https://tiotak.se/" TargetMode="External"/><Relationship Id="rId12592" Type="http://schemas.openxmlformats.org/officeDocument/2006/relationships/hyperlink" Target="http://yourgild.com/" TargetMode="External"/><Relationship Id="rId970" Type="http://schemas.openxmlformats.org/officeDocument/2006/relationships/hyperlink" Target="https://www.tryggbil.se/" TargetMode="External"/><Relationship Id="rId1253" Type="http://schemas.openxmlformats.org/officeDocument/2006/relationships/hyperlink" Target="https://thedigestonline.com/branded-content/5-ways-to-finance-your-small-business/" TargetMode="External"/><Relationship Id="rId2651" Type="http://schemas.openxmlformats.org/officeDocument/2006/relationships/hyperlink" Target="http://cannabislight.se/" TargetMode="External"/><Relationship Id="rId3702" Type="http://schemas.openxmlformats.org/officeDocument/2006/relationships/hyperlink" Target="https://www.filippa-k.com/se/sv/dam/ready-to-wear/skjortor-blusar" TargetMode="External"/><Relationship Id="rId11194" Type="http://schemas.openxmlformats.org/officeDocument/2006/relationships/hyperlink" Target="http://mainfranken24.de/" TargetMode="External"/><Relationship Id="rId12245" Type="http://schemas.openxmlformats.org/officeDocument/2006/relationships/hyperlink" Target="https://affarsstaden.se/esb-aditorial/hur-du-borjar-investera-i-amerikanska-aktier-med-ett-isk/" TargetMode="External"/><Relationship Id="rId623" Type="http://schemas.openxmlformats.org/officeDocument/2006/relationships/hyperlink" Target="https://www.poshbeautyblog.com/fashion-and-style/2023/4/21/these-items-can-add-some-flair-and-excitement-to-a-minimal-outfit" TargetMode="External"/><Relationship Id="rId2304" Type="http://schemas.openxmlformats.org/officeDocument/2006/relationships/hyperlink" Target="http://arctic.se/" TargetMode="External"/><Relationship Id="rId5874" Type="http://schemas.openxmlformats.org/officeDocument/2006/relationships/hyperlink" Target="https://www.vont.se/to-go/0-mg-ml" TargetMode="External"/><Relationship Id="rId6925" Type="http://schemas.openxmlformats.org/officeDocument/2006/relationships/hyperlink" Target="https://www.tandea.se/tandvard/tandimplantat/" TargetMode="External"/><Relationship Id="rId4476" Type="http://schemas.openxmlformats.org/officeDocument/2006/relationships/hyperlink" Target="https://52metodenhalvfasta.se/vikten-av-ett-starkt-vo2-max-hur-det-paverkar-halsa-livslangd/" TargetMode="External"/><Relationship Id="rId5527" Type="http://schemas.openxmlformats.org/officeDocument/2006/relationships/hyperlink" Target="https://www.energieffektivabyggnader.se/" TargetMode="External"/><Relationship Id="rId3078" Type="http://schemas.openxmlformats.org/officeDocument/2006/relationships/hyperlink" Target="http://qsundsvall.se/" TargetMode="External"/><Relationship Id="rId4129" Type="http://schemas.openxmlformats.org/officeDocument/2006/relationships/hyperlink" Target="http://spolarent.se/" TargetMode="External"/><Relationship Id="rId7699" Type="http://schemas.openxmlformats.org/officeDocument/2006/relationships/hyperlink" Target="https://villaprojekt.se/fordelarna-med-professionell-hemstadning-i-stockholm/" TargetMode="External"/><Relationship Id="rId8000" Type="http://schemas.openxmlformats.org/officeDocument/2006/relationships/hyperlink" Target="https://himala.ai/" TargetMode="External"/><Relationship Id="rId4610" Type="http://schemas.openxmlformats.org/officeDocument/2006/relationships/hyperlink" Target="https://www.spelklubben.se/" TargetMode="External"/><Relationship Id="rId13153" Type="http://schemas.openxmlformats.org/officeDocument/2006/relationships/hyperlink" Target="https://timeandleisure.co.uk/promotions/a-packing-philosophy-for-all-trips/" TargetMode="External"/><Relationship Id="rId480" Type="http://schemas.openxmlformats.org/officeDocument/2006/relationships/hyperlink" Target="http://askskinfo.com/" TargetMode="External"/><Relationship Id="rId2161" Type="http://schemas.openxmlformats.org/officeDocument/2006/relationships/hyperlink" Target="http://foyen.se/" TargetMode="External"/><Relationship Id="rId3212" Type="http://schemas.openxmlformats.org/officeDocument/2006/relationships/hyperlink" Target="https://www.dombacksmark.se/byta-generator-pa-traktorn" TargetMode="External"/><Relationship Id="rId133" Type="http://schemas.openxmlformats.org/officeDocument/2006/relationships/hyperlink" Target="http://chronos.se/" TargetMode="External"/><Relationship Id="rId5384" Type="http://schemas.openxmlformats.org/officeDocument/2006/relationships/hyperlink" Target="https://www.infrastrukturnyheter.se/20241001/30564/den-internationella-boomen-vitt-snus" TargetMode="External"/><Relationship Id="rId6782" Type="http://schemas.openxmlformats.org/officeDocument/2006/relationships/hyperlink" Target="https://passioneffect.se/hallbarhetsarbete-och-varumarkesstrategi-svenska-fonster-som-redovisande-exempel/" TargetMode="External"/><Relationship Id="rId7833" Type="http://schemas.openxmlformats.org/officeDocument/2006/relationships/hyperlink" Target="http://svenskafonster.se/" TargetMode="External"/><Relationship Id="rId10814" Type="http://schemas.openxmlformats.org/officeDocument/2006/relationships/hyperlink" Target="https://balansekonomi.se/fair-investments-vaxer-satsar-pa-resultatbaserade-investeringar/" TargetMode="External"/><Relationship Id="rId5037" Type="http://schemas.openxmlformats.org/officeDocument/2006/relationships/hyperlink" Target="https://www.spelklubben.se/sv/casino" TargetMode="External"/><Relationship Id="rId6435" Type="http://schemas.openxmlformats.org/officeDocument/2006/relationships/hyperlink" Target="https://www.dagensinfrastruktur.se/2024/11/27/sakerhet-i-offentlig-infrastruktur-varfor-palitliga-lassmeder-ar-avgorande/" TargetMode="External"/><Relationship Id="rId12986" Type="http://schemas.openxmlformats.org/officeDocument/2006/relationships/hyperlink" Target="http://kungaslottet.se/" TargetMode="External"/><Relationship Id="rId1994" Type="http://schemas.openxmlformats.org/officeDocument/2006/relationships/hyperlink" Target="https://fairinvestments.se/" TargetMode="External"/><Relationship Id="rId9658" Type="http://schemas.openxmlformats.org/officeDocument/2006/relationships/hyperlink" Target="https://www.sportochfritidsnyheter.se/20250602/4270/sa-undviker-du-att-bli-fotbollsfarsan-som-ingen-gillar" TargetMode="External"/><Relationship Id="rId11588" Type="http://schemas.openxmlformats.org/officeDocument/2006/relationships/hyperlink" Target="https://sufracofinebrands.com/kategori/aleppotval" TargetMode="External"/><Relationship Id="rId12639" Type="http://schemas.openxmlformats.org/officeDocument/2006/relationships/hyperlink" Target="http://mrvegas.com/" TargetMode="External"/><Relationship Id="rId1647" Type="http://schemas.openxmlformats.org/officeDocument/2006/relationships/hyperlink" Target="https://fashionsizzle.com/2023/10/5-ways-to-be-a-more-sustainable-fashion-consumer/" TargetMode="External"/><Relationship Id="rId4120" Type="http://schemas.openxmlformats.org/officeDocument/2006/relationships/hyperlink" Target="http://fairinvestments.se/" TargetMode="External"/><Relationship Id="rId7690" Type="http://schemas.openxmlformats.org/officeDocument/2006/relationships/hyperlink" Target="https://industrilinjen.se/forbattra-ljudmiljon-i-din-verksamhet-med-effektiva-akustiklosningar/" TargetMode="External"/><Relationship Id="rId8741" Type="http://schemas.openxmlformats.org/officeDocument/2006/relationships/hyperlink" Target="http://acnespecialisten.se/" TargetMode="External"/><Relationship Id="rId6292" Type="http://schemas.openxmlformats.org/officeDocument/2006/relationships/hyperlink" Target="http://tandea.se/" TargetMode="External"/><Relationship Id="rId7343" Type="http://schemas.openxmlformats.org/officeDocument/2006/relationships/hyperlink" Target="https://www.di.se/brandstudio/fair-investments/fair-investments-vi-tar-bara-betalt-for-verkliga-resultat-det-tjanar-alla-pa/" TargetMode="External"/><Relationship Id="rId10671" Type="http://schemas.openxmlformats.org/officeDocument/2006/relationships/hyperlink" Target="https://www.globalbankingandfinance.com/why-a-roofing-crm-is-essential-for-growth-and-customer-success" TargetMode="External"/><Relationship Id="rId11722" Type="http://schemas.openxmlformats.org/officeDocument/2006/relationships/hyperlink" Target="https://www.theplaidhorse.com/2022/05/16/how-to-find-the-perfect-breeches-for-you/" TargetMode="External"/><Relationship Id="rId10324" Type="http://schemas.openxmlformats.org/officeDocument/2006/relationships/hyperlink" Target="http://tandea.se/tandvard/akut-tandvard-stockholm/" TargetMode="External"/><Relationship Id="rId3953" Type="http://schemas.openxmlformats.org/officeDocument/2006/relationships/hyperlink" Target="http://fairinvestments.se/" TargetMode="External"/><Relationship Id="rId9168" Type="http://schemas.openxmlformats.org/officeDocument/2006/relationships/hyperlink" Target="http://willabgarden.de/" TargetMode="External"/><Relationship Id="rId12496" Type="http://schemas.openxmlformats.org/officeDocument/2006/relationships/hyperlink" Target="https://www.frii.se/?p=985" TargetMode="External"/><Relationship Id="rId874" Type="http://schemas.openxmlformats.org/officeDocument/2006/relationships/hyperlink" Target="https://tidende.dk/sponseret-indhold/5-gode-tips-naar-du-starter-virksomhed-paa-bornholm/134032" TargetMode="External"/><Relationship Id="rId2555" Type="http://schemas.openxmlformats.org/officeDocument/2006/relationships/hyperlink" Target="http://pontonhamnar.se/" TargetMode="External"/><Relationship Id="rId3606" Type="http://schemas.openxmlformats.org/officeDocument/2006/relationships/hyperlink" Target="https://www.anasayfa.se/varfor-behovs-en-maklare" TargetMode="External"/><Relationship Id="rId11098" Type="http://schemas.openxmlformats.org/officeDocument/2006/relationships/hyperlink" Target="https://businesscloud.co.uk/news/regtech-the-new-growth-lever-in-digital-entertainment/" TargetMode="External"/><Relationship Id="rId12149" Type="http://schemas.openxmlformats.org/officeDocument/2006/relationships/hyperlink" Target="http://haxan.se/" TargetMode="External"/><Relationship Id="rId527" Type="http://schemas.openxmlformats.org/officeDocument/2006/relationships/hyperlink" Target="https://bossingsbilservice.se/plocktruckar-for-ditt-event/" TargetMode="External"/><Relationship Id="rId1157" Type="http://schemas.openxmlformats.org/officeDocument/2006/relationships/hyperlink" Target="https://www.frii.se/lyxen-och-njutningen-av-att-ha-en-swimming-pool/" TargetMode="External"/><Relationship Id="rId2208" Type="http://schemas.openxmlformats.org/officeDocument/2006/relationships/hyperlink" Target="https://www.rambollnatura.se/sa-fungerar-en-vagbrytare" TargetMode="External"/><Relationship Id="rId5778" Type="http://schemas.openxmlformats.org/officeDocument/2006/relationships/hyperlink" Target="https://www.bethard.com/sv/sports" TargetMode="External"/><Relationship Id="rId6829" Type="http://schemas.openxmlformats.org/officeDocument/2006/relationships/hyperlink" Target="http://bethard.com/" TargetMode="External"/><Relationship Id="rId12630" Type="http://schemas.openxmlformats.org/officeDocument/2006/relationships/hyperlink" Target="http://videoslots.com/" TargetMode="External"/><Relationship Id="rId8251" Type="http://schemas.openxmlformats.org/officeDocument/2006/relationships/hyperlink" Target="http://svenskiptv.com/" TargetMode="External"/><Relationship Id="rId9302" Type="http://schemas.openxmlformats.org/officeDocument/2006/relationships/hyperlink" Target="https://invozio.com/att-jobba-som-frilansare-och-fakturera-utan-fskatt" TargetMode="External"/><Relationship Id="rId10181" Type="http://schemas.openxmlformats.org/officeDocument/2006/relationships/hyperlink" Target="http://violamilano.com/" TargetMode="External"/><Relationship Id="rId11232" Type="http://schemas.openxmlformats.org/officeDocument/2006/relationships/hyperlink" Target="https://chronos.se/program" TargetMode="External"/><Relationship Id="rId3463" Type="http://schemas.openxmlformats.org/officeDocument/2006/relationships/hyperlink" Target="https://www.memoryhou.se/framtiden-ar-ljus" TargetMode="External"/><Relationship Id="rId4861" Type="http://schemas.openxmlformats.org/officeDocument/2006/relationships/hyperlink" Target="http://spelklubben.se/" TargetMode="External"/><Relationship Id="rId5912" Type="http://schemas.openxmlformats.org/officeDocument/2006/relationships/hyperlink" Target="https://www.cherry.com/sv/casino/jackpotspel" TargetMode="External"/><Relationship Id="rId13057" Type="http://schemas.openxmlformats.org/officeDocument/2006/relationships/hyperlink" Target="https://www.startupbooted.com/why-ai-meeting-assistant-tools-are-transforming-the-modern-workplace" TargetMode="External"/><Relationship Id="rId384" Type="http://schemas.openxmlformats.org/officeDocument/2006/relationships/hyperlink" Target="https://direktbygg.se/saker-att-planera-for-infor-en-storre-renovering-eller-byggprojekt/" TargetMode="External"/><Relationship Id="rId2065" Type="http://schemas.openxmlformats.org/officeDocument/2006/relationships/hyperlink" Target="https://www.the-wedding-bazaar.com/vintage-wedding-ideas-for-a-timeless-look" TargetMode="External"/><Relationship Id="rId3116" Type="http://schemas.openxmlformats.org/officeDocument/2006/relationships/hyperlink" Target="https://pontechmarina.com/se/flytbrygga/" TargetMode="External"/><Relationship Id="rId4514" Type="http://schemas.openxmlformats.org/officeDocument/2006/relationships/hyperlink" Target="https://www.swedoffice.se/kategori/49902-kopieringspapper" TargetMode="External"/><Relationship Id="rId6686" Type="http://schemas.openxmlformats.org/officeDocument/2006/relationships/hyperlink" Target="https://fritidshusen.se/att-kopa-salja-och-vardera-bostader-i-trosa-en-guide-till-lansforsakringar-fastighetsformedling/" TargetMode="External"/><Relationship Id="rId7737" Type="http://schemas.openxmlformats.org/officeDocument/2006/relationships/hyperlink" Target="http://mobot.com/" TargetMode="External"/><Relationship Id="rId10718" Type="http://schemas.openxmlformats.org/officeDocument/2006/relationships/hyperlink" Target="https://www.dagensinfrastruktur.se/2025/08/07/sa-tjanar-maklare-sina-pengar/" TargetMode="External"/><Relationship Id="rId5288" Type="http://schemas.openxmlformats.org/officeDocument/2006/relationships/hyperlink" Target="https://www.favorreklambyra.se/" TargetMode="External"/><Relationship Id="rId6339" Type="http://schemas.openxmlformats.org/officeDocument/2006/relationships/hyperlink" Target="https://utflyktsguide.se/skidakning-for-alla-optimera-din-uteresa-med-ratt-skidvalla/" TargetMode="External"/><Relationship Id="rId12140" Type="http://schemas.openxmlformats.org/officeDocument/2006/relationships/hyperlink" Target="https://www.vont.se/" TargetMode="External"/><Relationship Id="rId1898" Type="http://schemas.openxmlformats.org/officeDocument/2006/relationships/hyperlink" Target="https://www.tandea.se/" TargetMode="External"/><Relationship Id="rId2949" Type="http://schemas.openxmlformats.org/officeDocument/2006/relationships/hyperlink" Target="http://spelklubben.se/" TargetMode="External"/><Relationship Id="rId6820" Type="http://schemas.openxmlformats.org/officeDocument/2006/relationships/hyperlink" Target="http://spelklubben.se/" TargetMode="External"/><Relationship Id="rId4371" Type="http://schemas.openxmlformats.org/officeDocument/2006/relationships/hyperlink" Target="https://www.spelklubben.se/sv/betting" TargetMode="External"/><Relationship Id="rId5422" Type="http://schemas.openxmlformats.org/officeDocument/2006/relationships/hyperlink" Target="https://arctic.se/se/forsakringslosningar/svensksolenergi/" TargetMode="External"/><Relationship Id="rId4024" Type="http://schemas.openxmlformats.org/officeDocument/2006/relationships/hyperlink" Target="http://kvarnx.com/" TargetMode="External"/><Relationship Id="rId7594" Type="http://schemas.openxmlformats.org/officeDocument/2006/relationships/hyperlink" Target="https://www.coface.dk/inkasso" TargetMode="External"/><Relationship Id="rId8992" Type="http://schemas.openxmlformats.org/officeDocument/2006/relationships/hyperlink" Target="https://www.ykkoslohja.fi/miksi-lainavertailu-on-tarkeaa-3-vinkkia-parempiin-ehtoihin/" TargetMode="External"/><Relationship Id="rId11973" Type="http://schemas.openxmlformats.org/officeDocument/2006/relationships/hyperlink" Target="http://creditsafe.se/" TargetMode="External"/><Relationship Id="rId6196" Type="http://schemas.openxmlformats.org/officeDocument/2006/relationships/hyperlink" Target="http://sakraror.se/" TargetMode="External"/><Relationship Id="rId7247" Type="http://schemas.openxmlformats.org/officeDocument/2006/relationships/hyperlink" Target="http://svenskiptv.com/" TargetMode="External"/><Relationship Id="rId8645" Type="http://schemas.openxmlformats.org/officeDocument/2006/relationships/hyperlink" Target="https://dambloggen.se/skalfasader-som-ett-estetiskt-val-for-kvinnors-tandvard-i-stockholm/" TargetMode="External"/><Relationship Id="rId10575" Type="http://schemas.openxmlformats.org/officeDocument/2006/relationships/hyperlink" Target="https://aretrotale.com/en-gb" TargetMode="External"/><Relationship Id="rId11626" Type="http://schemas.openxmlformats.org/officeDocument/2006/relationships/hyperlink" Target="https://borsbolag.se/" TargetMode="External"/><Relationship Id="rId10228" Type="http://schemas.openxmlformats.org/officeDocument/2006/relationships/hyperlink" Target="https://www.dailypioneer.com/2025/impact/small-business-insurance-coverage-is-the-foundation-for-growth-and-success.html" TargetMode="External"/><Relationship Id="rId3857" Type="http://schemas.openxmlformats.org/officeDocument/2006/relationships/hyperlink" Target="https://aktiefeed.se/aktuellt-hur-spelbolagen-presterar-pa-borsen-2024/" TargetMode="External"/><Relationship Id="rId4908" Type="http://schemas.openxmlformats.org/officeDocument/2006/relationships/hyperlink" Target="https://www.snuset.se/snuskuriren/philip-morris-fasar-ut-shiro-till-forman-for-zyn/" TargetMode="External"/><Relationship Id="rId778" Type="http://schemas.openxmlformats.org/officeDocument/2006/relationships/hyperlink" Target="http://happysocks.com/" TargetMode="External"/><Relationship Id="rId2459" Type="http://schemas.openxmlformats.org/officeDocument/2006/relationships/hyperlink" Target="http://pontonhamnar.se/" TargetMode="External"/><Relationship Id="rId6330" Type="http://schemas.openxmlformats.org/officeDocument/2006/relationships/hyperlink" Target="https://businesshelper.se/hallbara-klader-for-foretag/" TargetMode="External"/><Relationship Id="rId9553" Type="http://schemas.openxmlformats.org/officeDocument/2006/relationships/hyperlink" Target="https://www.hajper.com/sv/casino/explore" TargetMode="External"/><Relationship Id="rId12881" Type="http://schemas.openxmlformats.org/officeDocument/2006/relationships/hyperlink" Target="http://bethard.com/" TargetMode="External"/><Relationship Id="rId1542" Type="http://schemas.openxmlformats.org/officeDocument/2006/relationships/hyperlink" Target="https://www.happysocks.com/us/collection/socks-for-men" TargetMode="External"/><Relationship Id="rId2940" Type="http://schemas.openxmlformats.org/officeDocument/2006/relationships/hyperlink" Target="https://happycasino.se/" TargetMode="External"/><Relationship Id="rId8155" Type="http://schemas.openxmlformats.org/officeDocument/2006/relationships/hyperlink" Target="http://startmotor.se/" TargetMode="External"/><Relationship Id="rId9206" Type="http://schemas.openxmlformats.org/officeDocument/2006/relationships/hyperlink" Target="http://fairinvestments.se/" TargetMode="External"/><Relationship Id="rId10085" Type="http://schemas.openxmlformats.org/officeDocument/2006/relationships/hyperlink" Target="https://www.di.se/brandstudio/fair-investments/fair-investments-vi-tar-bara-betalt-for-verkliga-resultat-det-tjanar-alla-pa/" TargetMode="External"/><Relationship Id="rId11136" Type="http://schemas.openxmlformats.org/officeDocument/2006/relationships/hyperlink" Target="https://www.albatrosssegel.se/" TargetMode="External"/><Relationship Id="rId11483" Type="http://schemas.openxmlformats.org/officeDocument/2006/relationships/hyperlink" Target="https://eteriskaoljorna.se/ett-halsommare-liv/" TargetMode="External"/><Relationship Id="rId12534" Type="http://schemas.openxmlformats.org/officeDocument/2006/relationships/hyperlink" Target="http://filippa-k.com/se/sv/" TargetMode="External"/><Relationship Id="rId912" Type="http://schemas.openxmlformats.org/officeDocument/2006/relationships/hyperlink" Target="https://www.askskinfo.com/varumarke/all-i-am-beauty" TargetMode="External"/><Relationship Id="rId4765" Type="http://schemas.openxmlformats.org/officeDocument/2006/relationships/hyperlink" Target="http://m6bygg.se/" TargetMode="External"/><Relationship Id="rId5816" Type="http://schemas.openxmlformats.org/officeDocument/2006/relationships/hyperlink" Target="https://businessacademy.se/bokforingsprogram-for-effektiv-hantering-av-ekonomi/" TargetMode="External"/><Relationship Id="rId288" Type="http://schemas.openxmlformats.org/officeDocument/2006/relationships/hyperlink" Target="https://chronos.se/diabetes/blodsocker/hba1c" TargetMode="External"/><Relationship Id="rId3367" Type="http://schemas.openxmlformats.org/officeDocument/2006/relationships/hyperlink" Target="http://fairinvestments.se/" TargetMode="External"/><Relationship Id="rId4418" Type="http://schemas.openxmlformats.org/officeDocument/2006/relationships/hyperlink" Target="https://livsbanken.se/att-valja-ratt-tandlakare-en-guide-for-stockholmare/" TargetMode="External"/><Relationship Id="rId7988" Type="http://schemas.openxmlformats.org/officeDocument/2006/relationships/hyperlink" Target="https://pedrovazpaulo.com/trading-willpower-decision-fatigue/" TargetMode="External"/><Relationship Id="rId10969" Type="http://schemas.openxmlformats.org/officeDocument/2006/relationships/hyperlink" Target="http://spelklubben.se/" TargetMode="External"/><Relationship Id="rId12391" Type="http://schemas.openxmlformats.org/officeDocument/2006/relationships/hyperlink" Target="https://socialsummit17.se/?p=669" TargetMode="External"/><Relationship Id="rId2450" Type="http://schemas.openxmlformats.org/officeDocument/2006/relationships/hyperlink" Target="http://distansinstitutet.se/" TargetMode="External"/><Relationship Id="rId3501" Type="http://schemas.openxmlformats.org/officeDocument/2006/relationships/hyperlink" Target="https://www.allabolag.se/5568169626/bokslut" TargetMode="External"/><Relationship Id="rId9063" Type="http://schemas.openxmlformats.org/officeDocument/2006/relationships/hyperlink" Target="http://dryft.se/" TargetMode="External"/><Relationship Id="rId12044" Type="http://schemas.openxmlformats.org/officeDocument/2006/relationships/hyperlink" Target="http://vont.co/de" TargetMode="External"/><Relationship Id="rId422" Type="http://schemas.openxmlformats.org/officeDocument/2006/relationships/hyperlink" Target="https://www.vont.se/" TargetMode="External"/><Relationship Id="rId1052" Type="http://schemas.openxmlformats.org/officeDocument/2006/relationships/hyperlink" Target="https://lemontree.se/tjanster/testautomatisering/" TargetMode="External"/><Relationship Id="rId2103" Type="http://schemas.openxmlformats.org/officeDocument/2006/relationships/hyperlink" Target="https://www.xpublishing.se/varfor-ar-ett-kassasystem-ett-maste" TargetMode="External"/><Relationship Id="rId5673" Type="http://schemas.openxmlformats.org/officeDocument/2006/relationships/hyperlink" Target="https://ecommunity.se/for-dig-med-havstomt-upptack-fordelarna-och-utmaningarna/" TargetMode="External"/><Relationship Id="rId4275" Type="http://schemas.openxmlformats.org/officeDocument/2006/relationships/hyperlink" Target="https://storgruppen.se/asbestsanering/" TargetMode="External"/><Relationship Id="rId5326" Type="http://schemas.openxmlformats.org/officeDocument/2006/relationships/hyperlink" Target="https://www.forsakringen.se/sa-forsakrar-du-dig-om-att-fa-det-basta-privatlanet/" TargetMode="External"/><Relationship Id="rId6724" Type="http://schemas.openxmlformats.org/officeDocument/2006/relationships/hyperlink" Target="https://designkanalen.se/hallbara-klader-en-guide-till-miljovanligt-mode/" TargetMode="External"/><Relationship Id="rId8896" Type="http://schemas.openxmlformats.org/officeDocument/2006/relationships/hyperlink" Target="https://www.kingsizemag.se/okategoriserat/sa-blir-du-av-med-akne-2025-med-moderna-metoder-langsiktiga-resultat/" TargetMode="External"/><Relationship Id="rId9947" Type="http://schemas.openxmlformats.org/officeDocument/2006/relationships/hyperlink" Target="https://www.haapavesi-lehti.fi/artikkeli/nain-se-toimii-kun-autokauppias-ostaa-autosi-ja-sina-valtat-kaiken-vaivan" TargetMode="External"/><Relationship Id="rId11877" Type="http://schemas.openxmlformats.org/officeDocument/2006/relationships/hyperlink" Target="http://tiotak.se/" TargetMode="External"/><Relationship Id="rId12928" Type="http://schemas.openxmlformats.org/officeDocument/2006/relationships/hyperlink" Target="http://minifinder.se/" TargetMode="External"/><Relationship Id="rId1936" Type="http://schemas.openxmlformats.org/officeDocument/2006/relationships/hyperlink" Target="https://schjodt.com/expertise/rekonstruktion-insolvens" TargetMode="External"/><Relationship Id="rId7498" Type="http://schemas.openxmlformats.org/officeDocument/2006/relationships/hyperlink" Target="http://godies.fi/" TargetMode="External"/><Relationship Id="rId8549" Type="http://schemas.openxmlformats.org/officeDocument/2006/relationships/hyperlink" Target="http://godies.fi/" TargetMode="External"/><Relationship Id="rId10479" Type="http://schemas.openxmlformats.org/officeDocument/2006/relationships/hyperlink" Target="https://www.hajper.com/sv/sportsbook" TargetMode="External"/><Relationship Id="rId3011" Type="http://schemas.openxmlformats.org/officeDocument/2006/relationships/hyperlink" Target="https://www.spelklubben.se/sv/casino" TargetMode="External"/><Relationship Id="rId6581" Type="http://schemas.openxmlformats.org/officeDocument/2006/relationships/hyperlink" Target="https://www.cherry.com/sv/welcome-bonus" TargetMode="External"/><Relationship Id="rId7632" Type="http://schemas.openxmlformats.org/officeDocument/2006/relationships/hyperlink" Target="https://hemforalla.se/sa-forbattrar-du-din-bilvard-i-ditt-hem/" TargetMode="External"/><Relationship Id="rId10960" Type="http://schemas.openxmlformats.org/officeDocument/2006/relationships/hyperlink" Target="http://rusta.se/" TargetMode="External"/><Relationship Id="rId5183" Type="http://schemas.openxmlformats.org/officeDocument/2006/relationships/hyperlink" Target="http://tryggbil.se/" TargetMode="External"/><Relationship Id="rId6234" Type="http://schemas.openxmlformats.org/officeDocument/2006/relationships/hyperlink" Target="http://mariatand.se/" TargetMode="External"/><Relationship Id="rId10613" Type="http://schemas.openxmlformats.org/officeDocument/2006/relationships/hyperlink" Target="https://retailtechinnovationhub.com/home/2025/7/30/how-ai-chatbots-deliver-instant-support-for-casinos-and-what-retailers-can-learn-from-them" TargetMode="External"/><Relationship Id="rId9457" Type="http://schemas.openxmlformats.org/officeDocument/2006/relationships/hyperlink" Target="http://upplevelse.com/" TargetMode="External"/><Relationship Id="rId12785" Type="http://schemas.openxmlformats.org/officeDocument/2006/relationships/hyperlink" Target="http://bethard.com/" TargetMode="External"/><Relationship Id="rId1793" Type="http://schemas.openxmlformats.org/officeDocument/2006/relationships/hyperlink" Target="http://tiotak.se/" TargetMode="External"/><Relationship Id="rId2844" Type="http://schemas.openxmlformats.org/officeDocument/2006/relationships/hyperlink" Target="https://www.moviezine.se/nyheter/sponsrat-en-djupdykning-i-online-casinots-foranderliga-landskap-slotsspelens-roll" TargetMode="External"/><Relationship Id="rId8059" Type="http://schemas.openxmlformats.org/officeDocument/2006/relationships/hyperlink" Target="http://kleer.se/" TargetMode="External"/><Relationship Id="rId11387" Type="http://schemas.openxmlformats.org/officeDocument/2006/relationships/hyperlink" Target="https://nyfamilj.se/5-tips-for-att-gora-varstadningen-roligare/" TargetMode="External"/><Relationship Id="rId12438" Type="http://schemas.openxmlformats.org/officeDocument/2006/relationships/hyperlink" Target="http://qsundsvall.se/" TargetMode="External"/><Relationship Id="rId816" Type="http://schemas.openxmlformats.org/officeDocument/2006/relationships/hyperlink" Target="https://www.adligo.io/sv" TargetMode="External"/><Relationship Id="rId1446" Type="http://schemas.openxmlformats.org/officeDocument/2006/relationships/hyperlink" Target="https://www.executiveeffect.se/5-rehabiliteringsverktyg-for-ditt-kna/" TargetMode="External"/><Relationship Id="rId4669" Type="http://schemas.openxmlformats.org/officeDocument/2006/relationships/hyperlink" Target="http://cherry.com/" TargetMode="External"/><Relationship Id="rId8540" Type="http://schemas.openxmlformats.org/officeDocument/2006/relationships/hyperlink" Target="http://nordicknots.com/" TargetMode="External"/><Relationship Id="rId10470" Type="http://schemas.openxmlformats.org/officeDocument/2006/relationships/hyperlink" Target="https://www.bergetsro.se/salja/maklare-sundbyberg/" TargetMode="External"/><Relationship Id="rId11521" Type="http://schemas.openxmlformats.org/officeDocument/2006/relationships/hyperlink" Target="https://finansassistans.se/om-ditt-foretag-behover-ga-igenom-en-rekonstruktion-eller-insolvens-ar-det-oftast-vart-att-ta-hjalp-av-en-extern-firma/" TargetMode="External"/><Relationship Id="rId6091" Type="http://schemas.openxmlformats.org/officeDocument/2006/relationships/hyperlink" Target="https://hudsonweekly.com/the-technologies-reshaping-healthcare/" TargetMode="External"/><Relationship Id="rId7142" Type="http://schemas.openxmlformats.org/officeDocument/2006/relationships/hyperlink" Target="http://sakraror.se/" TargetMode="External"/><Relationship Id="rId10123" Type="http://schemas.openxmlformats.org/officeDocument/2006/relationships/hyperlink" Target="https://www.rusta.com/sv-se/hem-och-inredning/mattor" TargetMode="External"/><Relationship Id="rId3752" Type="http://schemas.openxmlformats.org/officeDocument/2006/relationships/hyperlink" Target="https://www.allabolag.se/5568169626/bokslut" TargetMode="External"/><Relationship Id="rId12295" Type="http://schemas.openxmlformats.org/officeDocument/2006/relationships/hyperlink" Target="http://villarelining.se/" TargetMode="External"/><Relationship Id="rId673" Type="http://schemas.openxmlformats.org/officeDocument/2006/relationships/hyperlink" Target="https://www.happysocks.com/us/collection/socks-for-men" TargetMode="External"/><Relationship Id="rId2354" Type="http://schemas.openxmlformats.org/officeDocument/2006/relationships/hyperlink" Target="https://www.cattisb.se/viktigt-pa-riktigt" TargetMode="External"/><Relationship Id="rId3405" Type="http://schemas.openxmlformats.org/officeDocument/2006/relationships/hyperlink" Target="http://storgruppen.se/" TargetMode="External"/><Relationship Id="rId4803" Type="http://schemas.openxmlformats.org/officeDocument/2006/relationships/hyperlink" Target="https://trendytech.se/nyheter-i-kryptovalutavarlden/" TargetMode="External"/><Relationship Id="rId326" Type="http://schemas.openxmlformats.org/officeDocument/2006/relationships/hyperlink" Target="https://haxan.se/" TargetMode="External"/><Relationship Id="rId2007" Type="http://schemas.openxmlformats.org/officeDocument/2006/relationships/hyperlink" Target="https://www.pingpongbarnklader.se/antligen-en-tandlakare-jag-vagar-lita-pa" TargetMode="External"/><Relationship Id="rId6975" Type="http://schemas.openxmlformats.org/officeDocument/2006/relationships/hyperlink" Target="http://mockfjards.se/" TargetMode="External"/><Relationship Id="rId4179" Type="http://schemas.openxmlformats.org/officeDocument/2006/relationships/hyperlink" Target="http://alfa.no/" TargetMode="External"/><Relationship Id="rId5577" Type="http://schemas.openxmlformats.org/officeDocument/2006/relationships/hyperlink" Target="http://tiotak.se/" TargetMode="External"/><Relationship Id="rId6628" Type="http://schemas.openxmlformats.org/officeDocument/2006/relationships/hyperlink" Target="http://fairinvestments.se/" TargetMode="External"/><Relationship Id="rId8050" Type="http://schemas.openxmlformats.org/officeDocument/2006/relationships/hyperlink" Target="https://myinteriorpalace.com/feng-shui-fundamentals-for-your-home-what-it-is-and-how-you-do-it/" TargetMode="External"/><Relationship Id="rId9101" Type="http://schemas.openxmlformats.org/officeDocument/2006/relationships/hyperlink" Target="http://spelklubben.se/" TargetMode="External"/><Relationship Id="rId11031" Type="http://schemas.openxmlformats.org/officeDocument/2006/relationships/hyperlink" Target="https://www.ykkoslohja.fi/sohva-on-kodin-paras-laakekuuri/" TargetMode="External"/><Relationship Id="rId4660" Type="http://schemas.openxmlformats.org/officeDocument/2006/relationships/hyperlink" Target="https://ledarsidorna.se/regulativa-utmaningar-for-tobaksfria-nikotinprodukter-i-europa/" TargetMode="External"/><Relationship Id="rId5711" Type="http://schemas.openxmlformats.org/officeDocument/2006/relationships/hyperlink" Target="https://passioneffect.se/hur-konst-kan-forandra-ett-rum-designideer-for-att-skapa-unika-hem/" TargetMode="External"/><Relationship Id="rId3262" Type="http://schemas.openxmlformats.org/officeDocument/2006/relationships/hyperlink" Target="https://www.pokerplay.se/recension-och-guide-till-spelklubben/" TargetMode="External"/><Relationship Id="rId4313" Type="http://schemas.openxmlformats.org/officeDocument/2006/relationships/hyperlink" Target="https://www.tryggbil.se/" TargetMode="External"/><Relationship Id="rId7883" Type="http://schemas.openxmlformats.org/officeDocument/2006/relationships/hyperlink" Target="http://seniorrabatt.se/" TargetMode="External"/><Relationship Id="rId183" Type="http://schemas.openxmlformats.org/officeDocument/2006/relationships/hyperlink" Target="http://bigbenstandup.com/" TargetMode="External"/><Relationship Id="rId6485" Type="http://schemas.openxmlformats.org/officeDocument/2006/relationships/hyperlink" Target="https://www.executiveeffect.se/professionella-inkassotjanster-en-nyckel-till-effektivitet-och-strategisk-utveckling/" TargetMode="External"/><Relationship Id="rId7536" Type="http://schemas.openxmlformats.org/officeDocument/2006/relationships/hyperlink" Target="http://nettotobak.com/" TargetMode="External"/><Relationship Id="rId8934" Type="http://schemas.openxmlformats.org/officeDocument/2006/relationships/hyperlink" Target="https://technobark.com/best-dog-gps-trackers/" TargetMode="External"/><Relationship Id="rId10864" Type="http://schemas.openxmlformats.org/officeDocument/2006/relationships/hyperlink" Target="http://stockholms-rorvvs.se/" TargetMode="External"/><Relationship Id="rId11915" Type="http://schemas.openxmlformats.org/officeDocument/2006/relationships/hyperlink" Target="https://www.nui.nu/2023/09/26/hur-du-forbattrar-din-handelsupplevelse-pa-aktiemarknaden/" TargetMode="External"/><Relationship Id="rId5087" Type="http://schemas.openxmlformats.org/officeDocument/2006/relationships/hyperlink" Target="https://www.anasayfa.se/nar-elen-slutar-fungera-hemma" TargetMode="External"/><Relationship Id="rId6138" Type="http://schemas.openxmlformats.org/officeDocument/2006/relationships/hyperlink" Target="https://www.nodepositbonus.cc/bonuses/40-free-chip-at-betwhale/" TargetMode="External"/><Relationship Id="rId10517" Type="http://schemas.openxmlformats.org/officeDocument/2006/relationships/hyperlink" Target="http://startmotor.se/" TargetMode="External"/><Relationship Id="rId12689" Type="http://schemas.openxmlformats.org/officeDocument/2006/relationships/hyperlink" Target="https://www.rusta.com/se/sv/hem--inredning/mattor/" TargetMode="External"/><Relationship Id="rId1697" Type="http://schemas.openxmlformats.org/officeDocument/2006/relationships/hyperlink" Target="http://aretrotale.com/" TargetMode="External"/><Relationship Id="rId2748" Type="http://schemas.openxmlformats.org/officeDocument/2006/relationships/hyperlink" Target="https://meetingroom.se/" TargetMode="External"/><Relationship Id="rId4170" Type="http://schemas.openxmlformats.org/officeDocument/2006/relationships/hyperlink" Target="https://conclean.se/produkter/minireningsverk/" TargetMode="External"/><Relationship Id="rId5221" Type="http://schemas.openxmlformats.org/officeDocument/2006/relationships/hyperlink" Target="https://www.medguru.se/hur-stress-kan-paverka-din-munhalsa-vad-du-kan-gora-for-att-skydda-dina-tander/" TargetMode="External"/><Relationship Id="rId8791" Type="http://schemas.openxmlformats.org/officeDocument/2006/relationships/hyperlink" Target="https://www.dagensfastigheter.se/20250425/12815/det-forsta-du-vill-gora-nar-du-flyttar-i-din-nya-bostad" TargetMode="External"/><Relationship Id="rId9842" Type="http://schemas.openxmlformats.org/officeDocument/2006/relationships/hyperlink" Target="https://www.lilla-varlden.se/" TargetMode="External"/><Relationship Id="rId56" Type="http://schemas.openxmlformats.org/officeDocument/2006/relationships/hyperlink" Target="https://www.talentedladiesclub.com/articles/get-up-stand-up-and-own-it-seven-tips-for-self-development/" TargetMode="External"/><Relationship Id="rId1831" Type="http://schemas.openxmlformats.org/officeDocument/2006/relationships/hyperlink" Target="https://alexbyggkonsult.se/" TargetMode="External"/><Relationship Id="rId7393" Type="http://schemas.openxmlformats.org/officeDocument/2006/relationships/hyperlink" Target="https://mockfjards.se/att-byta-fonster" TargetMode="External"/><Relationship Id="rId8444" Type="http://schemas.openxmlformats.org/officeDocument/2006/relationships/hyperlink" Target="https://www.washingtontimes.com/sponsored/sustainable-roofing-options-eco-friendly-materials-practices-home/" TargetMode="External"/><Relationship Id="rId10374" Type="http://schemas.openxmlformats.org/officeDocument/2006/relationships/hyperlink" Target="https://www.kungaslottet.se/sv/mobile/" TargetMode="External"/><Relationship Id="rId11425" Type="http://schemas.openxmlformats.org/officeDocument/2006/relationships/hyperlink" Target="https://www.lansfast.se/maklare/sodermanland/nykoping/" TargetMode="External"/><Relationship Id="rId11772" Type="http://schemas.openxmlformats.org/officeDocument/2006/relationships/hyperlink" Target="http://yagya.com/" TargetMode="External"/><Relationship Id="rId12823" Type="http://schemas.openxmlformats.org/officeDocument/2006/relationships/hyperlink" Target="https://rakennajahalvalla.fi/talosi-autotallin-paivitys-nain-nostat-talosi-arvoa-oikealla-autotallin-ovella/" TargetMode="External"/><Relationship Id="rId7046" Type="http://schemas.openxmlformats.org/officeDocument/2006/relationships/hyperlink" Target="https://thinkofgames.com/level-up-your-focus-how-gaming-helps-you-master-mental-skills/" TargetMode="External"/><Relationship Id="rId10027" Type="http://schemas.openxmlformats.org/officeDocument/2006/relationships/hyperlink" Target="http://videoslots.com/" TargetMode="External"/><Relationship Id="rId12199" Type="http://schemas.openxmlformats.org/officeDocument/2006/relationships/hyperlink" Target="https://industrimagasinet.se/patagonias-framgang-med-fair-investment/" TargetMode="External"/><Relationship Id="rId577" Type="http://schemas.openxmlformats.org/officeDocument/2006/relationships/hyperlink" Target="http://sufracofinebrands.com/" TargetMode="External"/><Relationship Id="rId2258" Type="http://schemas.openxmlformats.org/officeDocument/2006/relationships/hyperlink" Target="https://www.triwa.com/watches-for-men" TargetMode="External"/><Relationship Id="rId3656" Type="http://schemas.openxmlformats.org/officeDocument/2006/relationships/hyperlink" Target="https://www.filmdistrictdubai.com/blogs/the-global-surge-of-nicotine-pouches-redefining-smokeless-tobacco" TargetMode="External"/><Relationship Id="rId4707" Type="http://schemas.openxmlformats.org/officeDocument/2006/relationships/hyperlink" Target="https://tiotak.se/byta-tak-ekonomibyggnad/" TargetMode="External"/><Relationship Id="rId3309" Type="http://schemas.openxmlformats.org/officeDocument/2006/relationships/hyperlink" Target="https://www.interiorguiden.se/ar-solceller-vart-att-satsa-pa" TargetMode="External"/><Relationship Id="rId6879" Type="http://schemas.openxmlformats.org/officeDocument/2006/relationships/hyperlink" Target="http://spelklubben.se/" TargetMode="External"/><Relationship Id="rId12680" Type="http://schemas.openxmlformats.org/officeDocument/2006/relationships/hyperlink" Target="https://arctic.se/se/forsakringslosningar/svensksolenergi/" TargetMode="External"/><Relationship Id="rId9352" Type="http://schemas.openxmlformats.org/officeDocument/2006/relationships/hyperlink" Target="https://www.zmarta.se/tips-rad/om-lan/snabblan-guide" TargetMode="External"/><Relationship Id="rId11282" Type="http://schemas.openxmlformats.org/officeDocument/2006/relationships/hyperlink" Target="http://dieselkraft.se/" TargetMode="External"/><Relationship Id="rId12333" Type="http://schemas.openxmlformats.org/officeDocument/2006/relationships/hyperlink" Target="https://varmlandsbygden.se/partner/den-vasentliga-rollen-av-skraddarsydda-tandvardsbehandlingar-for-en-halsosam-mun-och-tandhalsa/" TargetMode="External"/><Relationship Id="rId711" Type="http://schemas.openxmlformats.org/officeDocument/2006/relationships/hyperlink" Target="http://toyota-forklifts.se/" TargetMode="External"/><Relationship Id="rId1341" Type="http://schemas.openxmlformats.org/officeDocument/2006/relationships/hyperlink" Target="https://www.foyen.se/affarsomraden/fastighet/" TargetMode="External"/><Relationship Id="rId5962" Type="http://schemas.openxmlformats.org/officeDocument/2006/relationships/hyperlink" Target="https://www.coface.no/" TargetMode="External"/><Relationship Id="rId9005" Type="http://schemas.openxmlformats.org/officeDocument/2006/relationships/hyperlink" Target="https://leaptodigital.com/roofing-crm" TargetMode="External"/><Relationship Id="rId4564" Type="http://schemas.openxmlformats.org/officeDocument/2006/relationships/hyperlink" Target="https://edgehyllie.se/jourelektriker-fran-joureliten-din-raddare-i-noden/" TargetMode="External"/><Relationship Id="rId5615" Type="http://schemas.openxmlformats.org/officeDocument/2006/relationships/hyperlink" Target="http://kleer.se/" TargetMode="External"/><Relationship Id="rId3166" Type="http://schemas.openxmlformats.org/officeDocument/2006/relationships/hyperlink" Target="https://hedgehog.se/darfor-ska-barn-borsta-tanderna" TargetMode="External"/><Relationship Id="rId4217" Type="http://schemas.openxmlformats.org/officeDocument/2006/relationships/hyperlink" Target="https://hedgehog.se/tandimplantat-sa-gar-det-till" TargetMode="External"/><Relationship Id="rId6389" Type="http://schemas.openxmlformats.org/officeDocument/2006/relationships/hyperlink" Target="https://www.coface.fi/luottovakuutus" TargetMode="External"/><Relationship Id="rId7787" Type="http://schemas.openxmlformats.org/officeDocument/2006/relationships/hyperlink" Target="https://tryggbil.se/" TargetMode="External"/><Relationship Id="rId8838" Type="http://schemas.openxmlformats.org/officeDocument/2006/relationships/hyperlink" Target="http://startmotor.se/" TargetMode="External"/><Relationship Id="rId10768" Type="http://schemas.openxmlformats.org/officeDocument/2006/relationships/hyperlink" Target="https://gratisinfo.se/sakerhet-som-en-del-av-en-trygg-livsstil/" TargetMode="External"/><Relationship Id="rId11819" Type="http://schemas.openxmlformats.org/officeDocument/2006/relationships/hyperlink" Target="https://markets.vontobel.com/nb-no" TargetMode="External"/><Relationship Id="rId12190" Type="http://schemas.openxmlformats.org/officeDocument/2006/relationships/hyperlink" Target="https://handlaomhem.se/tre-projekt-for-dig-som-vill-forbereda-din-villa-for-sommaren/" TargetMode="External"/><Relationship Id="rId13241" Type="http://schemas.openxmlformats.org/officeDocument/2006/relationships/hyperlink" Target="https://skaparum.se/effektivitet-och-hallbarhet-i-marin-och-industrimotorer-for-byggbranschen/" TargetMode="External"/><Relationship Id="rId2999" Type="http://schemas.openxmlformats.org/officeDocument/2006/relationships/hyperlink" Target="https://e-ciggbolaget.se/e-cigaretter/pod-system/pod-kit/voom-bar-engangs-e-cigarett/" TargetMode="External"/><Relationship Id="rId3300" Type="http://schemas.openxmlformats.org/officeDocument/2006/relationships/hyperlink" Target="https://www.vatterchallenge.se/" TargetMode="External"/><Relationship Id="rId6870" Type="http://schemas.openxmlformats.org/officeDocument/2006/relationships/hyperlink" Target="http://godies.fi/" TargetMode="External"/><Relationship Id="rId7921" Type="http://schemas.openxmlformats.org/officeDocument/2006/relationships/hyperlink" Target="https://casinorus.se/blogg/vad-ar-gameshows-och-varfor-vaxer-intresset/" TargetMode="External"/><Relationship Id="rId221" Type="http://schemas.openxmlformats.org/officeDocument/2006/relationships/hyperlink" Target="https://traningskort.se/" TargetMode="External"/><Relationship Id="rId5472" Type="http://schemas.openxmlformats.org/officeDocument/2006/relationships/hyperlink" Target="https://mynicco.com/" TargetMode="External"/><Relationship Id="rId6523" Type="http://schemas.openxmlformats.org/officeDocument/2006/relationships/hyperlink" Target="https://bronx.com/fun-places-in-the-bronx-where-you-can-play-games-and-connect-with-friends/" TargetMode="External"/><Relationship Id="rId10902" Type="http://schemas.openxmlformats.org/officeDocument/2006/relationships/hyperlink" Target="https://mynicco.com/" TargetMode="External"/><Relationship Id="rId4074" Type="http://schemas.openxmlformats.org/officeDocument/2006/relationships/hyperlink" Target="https://veganmage.se/darfor-anlitar-jag-en-maklare" TargetMode="External"/><Relationship Id="rId5125" Type="http://schemas.openxmlformats.org/officeDocument/2006/relationships/hyperlink" Target="http://tandea.se/" TargetMode="External"/><Relationship Id="rId8695" Type="http://schemas.openxmlformats.org/officeDocument/2006/relationships/hyperlink" Target="http://skidvalla.se/" TargetMode="External"/><Relationship Id="rId9746" Type="http://schemas.openxmlformats.org/officeDocument/2006/relationships/hyperlink" Target="https://luurituki.fi/sovellukset-jotka-saavat-elamasi-jarjestykseen-jotta-aikaa-jaa-muille-asioille/" TargetMode="External"/><Relationship Id="rId7297" Type="http://schemas.openxmlformats.org/officeDocument/2006/relationships/hyperlink" Target="https://se.linkedin.com/company/fair-investments-sweden-ab" TargetMode="External"/><Relationship Id="rId8348" Type="http://schemas.openxmlformats.org/officeDocument/2006/relationships/hyperlink" Target="http://glassfactory.fi/" TargetMode="External"/><Relationship Id="rId10278" Type="http://schemas.openxmlformats.org/officeDocument/2006/relationships/hyperlink" Target="http://kleer.se/" TargetMode="External"/><Relationship Id="rId11676" Type="http://schemas.openxmlformats.org/officeDocument/2006/relationships/hyperlink" Target="https://markets.vontobel.com/sv-se/produkter/leverage/knock-out-warrant-open-end" TargetMode="External"/><Relationship Id="rId12727" Type="http://schemas.openxmlformats.org/officeDocument/2006/relationships/hyperlink" Target="https://herravdelningen.se/service-och-reparationer-av-din-bil-for-man-i-tyreso/" TargetMode="External"/><Relationship Id="rId1735" Type="http://schemas.openxmlformats.org/officeDocument/2006/relationships/hyperlink" Target="https://e-ciggbolaget.se/e-cigaretter/" TargetMode="External"/><Relationship Id="rId11329" Type="http://schemas.openxmlformats.org/officeDocument/2006/relationships/hyperlink" Target="https://www.linkedin.com/company/fair-investments-sweden-ab/?originalSubdomain=se" TargetMode="External"/><Relationship Id="rId4958" Type="http://schemas.openxmlformats.org/officeDocument/2006/relationships/hyperlink" Target="http://fairinvestments.se/" TargetMode="External"/><Relationship Id="rId11810" Type="http://schemas.openxmlformats.org/officeDocument/2006/relationships/hyperlink" Target="https://www.creditsafe.com/dk/da/kredit-risiko/kreditrapporter/kreditvurdering.html" TargetMode="External"/><Relationship Id="rId6380" Type="http://schemas.openxmlformats.org/officeDocument/2006/relationships/hyperlink" Target="https://mynicco.com/" TargetMode="External"/><Relationship Id="rId7431" Type="http://schemas.openxmlformats.org/officeDocument/2006/relationships/hyperlink" Target="https://www.kingsizemag.se/konst/aspirerande-forfattare-har-ar-en-checklista-for-dig/" TargetMode="External"/><Relationship Id="rId10412" Type="http://schemas.openxmlformats.org/officeDocument/2006/relationships/hyperlink" Target="https://www.mrvegas.com/sv/welcome-bonus/" TargetMode="External"/><Relationship Id="rId2990" Type="http://schemas.openxmlformats.org/officeDocument/2006/relationships/hyperlink" Target="https://tryggvi.se/lan-med-creditsafe/" TargetMode="External"/><Relationship Id="rId6033" Type="http://schemas.openxmlformats.org/officeDocument/2006/relationships/hyperlink" Target="http://www.kolla.tv/" TargetMode="External"/><Relationship Id="rId12584" Type="http://schemas.openxmlformats.org/officeDocument/2006/relationships/hyperlink" Target="https://www.morebyggen.se/" TargetMode="External"/><Relationship Id="rId962" Type="http://schemas.openxmlformats.org/officeDocument/2006/relationships/hyperlink" Target="http://blugiallo.se/" TargetMode="External"/><Relationship Id="rId1592" Type="http://schemas.openxmlformats.org/officeDocument/2006/relationships/hyperlink" Target="https://www.facebook.com/fairinvestmentsswedenAB/" TargetMode="External"/><Relationship Id="rId2643" Type="http://schemas.openxmlformats.org/officeDocument/2006/relationships/hyperlink" Target="http://fairinvestments.se/" TargetMode="External"/><Relationship Id="rId9256" Type="http://schemas.openxmlformats.org/officeDocument/2006/relationships/hyperlink" Target="http://sakraror.se/" TargetMode="External"/><Relationship Id="rId11186" Type="http://schemas.openxmlformats.org/officeDocument/2006/relationships/hyperlink" Target="https://www.adligo.io/" TargetMode="External"/><Relationship Id="rId12237" Type="http://schemas.openxmlformats.org/officeDocument/2006/relationships/hyperlink" Target="https://blugiallo.se/tagg/brollop/" TargetMode="External"/><Relationship Id="rId615" Type="http://schemas.openxmlformats.org/officeDocument/2006/relationships/hyperlink" Target="http://arctic.se/" TargetMode="External"/><Relationship Id="rId1245" Type="http://schemas.openxmlformats.org/officeDocument/2006/relationships/hyperlink" Target="http://rehabgrossisten.com/" TargetMode="External"/><Relationship Id="rId4468" Type="http://schemas.openxmlformats.org/officeDocument/2006/relationships/hyperlink" Target="https://sundmans.se/vad-ar-skillnaden-mellan-skalfasader-tandregleringar-och-tandimplantat/" TargetMode="External"/><Relationship Id="rId5866" Type="http://schemas.openxmlformats.org/officeDocument/2006/relationships/hyperlink" Target="https://tiotak.se/byta-tak-maskinhall/" TargetMode="External"/><Relationship Id="rId6917" Type="http://schemas.openxmlformats.org/officeDocument/2006/relationships/hyperlink" Target="http://purakliniken.se/" TargetMode="External"/><Relationship Id="rId5519" Type="http://schemas.openxmlformats.org/officeDocument/2006/relationships/hyperlink" Target="https://www.tandea.se/" TargetMode="External"/><Relationship Id="rId11320" Type="http://schemas.openxmlformats.org/officeDocument/2006/relationships/hyperlink" Target="https://www.linkedin.com/company/fair-investments-sweden-ab?originalSubdomain=se" TargetMode="External"/><Relationship Id="rId3551" Type="http://schemas.openxmlformats.org/officeDocument/2006/relationships/hyperlink" Target="https://cannabislight.se/kategori/cbd-olja-extrakt/" TargetMode="External"/><Relationship Id="rId4602" Type="http://schemas.openxmlformats.org/officeDocument/2006/relationships/hyperlink" Target="https://hazard.se/casino/cherry-com-oppnar-sveriges-nyaste-livecasino/" TargetMode="External"/><Relationship Id="rId12094" Type="http://schemas.openxmlformats.org/officeDocument/2006/relationships/hyperlink" Target="https://schjodt.com/expertise/rekonstruktion-insolvens" TargetMode="External"/><Relationship Id="rId13145" Type="http://schemas.openxmlformats.org/officeDocument/2006/relationships/hyperlink" Target="https://byggnytt.nu/bygga-en-brygga-i-tra-regler-istryck-och-dimensioner/" TargetMode="External"/><Relationship Id="rId472" Type="http://schemas.openxmlformats.org/officeDocument/2006/relationships/hyperlink" Target="https://ecommunity.se/upptack-fordelarna-med-teakolja/" TargetMode="External"/><Relationship Id="rId2153" Type="http://schemas.openxmlformats.org/officeDocument/2006/relationships/hyperlink" Target="http://sundsvallbergvarme.se/" TargetMode="External"/><Relationship Id="rId3204" Type="http://schemas.openxmlformats.org/officeDocument/2006/relationships/hyperlink" Target="https://www.filippa-k.com/se/sv/dam/ready-to-wear/kavajer" TargetMode="External"/><Relationship Id="rId6774" Type="http://schemas.openxmlformats.org/officeDocument/2006/relationships/hyperlink" Target="https://www.racestuff.se/hitta-ratt-bilverkstad-i-tyreso-for-din-bils-basta-prestanda" TargetMode="External"/><Relationship Id="rId7825" Type="http://schemas.openxmlformats.org/officeDocument/2006/relationships/hyperlink" Target="http://mockfjards.se/" TargetMode="External"/><Relationship Id="rId125" Type="http://schemas.openxmlformats.org/officeDocument/2006/relationships/hyperlink" Target="https://blugiallo.com/" TargetMode="External"/><Relationship Id="rId5376" Type="http://schemas.openxmlformats.org/officeDocument/2006/relationships/hyperlink" Target="https://www.cherry.com/sv/live-casino" TargetMode="External"/><Relationship Id="rId6427" Type="http://schemas.openxmlformats.org/officeDocument/2006/relationships/hyperlink" Target="http://rusta.se/" TargetMode="External"/><Relationship Id="rId10806" Type="http://schemas.openxmlformats.org/officeDocument/2006/relationships/hyperlink" Target="https://www.reco.se/fair-investments-sweden-ab" TargetMode="External"/><Relationship Id="rId5029" Type="http://schemas.openxmlformats.org/officeDocument/2006/relationships/hyperlink" Target="http://spelklubben.se/" TargetMode="External"/><Relationship Id="rId8599" Type="http://schemas.openxmlformats.org/officeDocument/2006/relationships/hyperlink" Target="https://veganbeauty.se/perioral-dermatit-och-dess-paverkan-pa-din-skonhet/" TargetMode="External"/><Relationship Id="rId9997" Type="http://schemas.openxmlformats.org/officeDocument/2006/relationships/hyperlink" Target="https://www.goruma.de/service/reise-und-verbrauchertipps/tropische-fruechte-im-garten-anpflanzen" TargetMode="External"/><Relationship Id="rId12978" Type="http://schemas.openxmlformats.org/officeDocument/2006/relationships/hyperlink" Target="https://ljudia.se/artiklar/gemenskap/" TargetMode="External"/><Relationship Id="rId1986" Type="http://schemas.openxmlformats.org/officeDocument/2006/relationships/hyperlink" Target="http://lemontree.se/" TargetMode="External"/><Relationship Id="rId1639" Type="http://schemas.openxmlformats.org/officeDocument/2006/relationships/hyperlink" Target="https://advancepointcap.com/emergency-loan/" TargetMode="External"/><Relationship Id="rId3061" Type="http://schemas.openxmlformats.org/officeDocument/2006/relationships/hyperlink" Target="https://elavtaldirekt.se/basta-elbolaget/" TargetMode="External"/><Relationship Id="rId5510" Type="http://schemas.openxmlformats.org/officeDocument/2006/relationships/hyperlink" Target="http://startmotor.se/" TargetMode="External"/><Relationship Id="rId4112" Type="http://schemas.openxmlformats.org/officeDocument/2006/relationships/hyperlink" Target="http://alfa.se/" TargetMode="External"/><Relationship Id="rId7682" Type="http://schemas.openxmlformats.org/officeDocument/2006/relationships/hyperlink" Target="https://sakraror.se/vara-tjanster/allman-service-vvs/vvs-i-sollentuna/" TargetMode="External"/><Relationship Id="rId8733" Type="http://schemas.openxmlformats.org/officeDocument/2006/relationships/hyperlink" Target="https://invozio.com/" TargetMode="External"/><Relationship Id="rId10663" Type="http://schemas.openxmlformats.org/officeDocument/2006/relationships/hyperlink" Target="https://digitaliserad.nu/blogg/finansieringskallor-for-tech%e2%80%91startups-i-sverige/" TargetMode="External"/><Relationship Id="rId11714" Type="http://schemas.openxmlformats.org/officeDocument/2006/relationships/hyperlink" Target="http://vontabel.com/" TargetMode="External"/><Relationship Id="rId6284" Type="http://schemas.openxmlformats.org/officeDocument/2006/relationships/hyperlink" Target="https://hemresa.se/resor-for-den-aldre-generationen-upptack-varlden-efter-55/" TargetMode="External"/><Relationship Id="rId7335" Type="http://schemas.openxmlformats.org/officeDocument/2006/relationships/hyperlink" Target="http://dryft.se/" TargetMode="External"/><Relationship Id="rId10316" Type="http://schemas.openxmlformats.org/officeDocument/2006/relationships/hyperlink" Target="http://michaelofrisorerna.se/" TargetMode="External"/><Relationship Id="rId2894" Type="http://schemas.openxmlformats.org/officeDocument/2006/relationships/hyperlink" Target="http://elavtaldirekt.se/" TargetMode="External"/><Relationship Id="rId12488" Type="http://schemas.openxmlformats.org/officeDocument/2006/relationships/hyperlink" Target="https://twitter.com/" TargetMode="External"/><Relationship Id="rId866" Type="http://schemas.openxmlformats.org/officeDocument/2006/relationships/hyperlink" Target="https://techchannel.se/detta-kan-man-tanka-pa-nar-man-ska-inreda-ett-kontor/" TargetMode="External"/><Relationship Id="rId1496" Type="http://schemas.openxmlformats.org/officeDocument/2006/relationships/hyperlink" Target="https://emilyandblair.com/emergency-business-loans/" TargetMode="External"/><Relationship Id="rId2547" Type="http://schemas.openxmlformats.org/officeDocument/2006/relationships/hyperlink" Target="https://tiotak.se/byta-tak-ekonomibyggnad/" TargetMode="External"/><Relationship Id="rId3945" Type="http://schemas.openxmlformats.org/officeDocument/2006/relationships/hyperlink" Target="https://www.favorreklambyra.se/taklagsfest-ar-kul" TargetMode="External"/><Relationship Id="rId519" Type="http://schemas.openxmlformats.org/officeDocument/2006/relationships/hyperlink" Target="https://industrimagasinet.se/4-tips-for-att-gora-din-arbetsdag-effektivare/" TargetMode="External"/><Relationship Id="rId1149" Type="http://schemas.openxmlformats.org/officeDocument/2006/relationships/hyperlink" Target="https://kamagraquees.nu/att-na-hogre-hojder-maximerad-avkastning-vardefull-konsulttjanst-och-portfoljskydd/" TargetMode="External"/><Relationship Id="rId5020" Type="http://schemas.openxmlformats.org/officeDocument/2006/relationships/hyperlink" Target="http://spelklubben.se/" TargetMode="External"/><Relationship Id="rId7192" Type="http://schemas.openxmlformats.org/officeDocument/2006/relationships/hyperlink" Target="http://aerius.se/" TargetMode="External"/><Relationship Id="rId8590" Type="http://schemas.openxmlformats.org/officeDocument/2006/relationships/hyperlink" Target="https://www.nykommun.se/2025/04/15/7-hantverksyrken-med-god-framtidsutsikt-som-inte-kraver-hogskoleutbildning/" TargetMode="External"/><Relationship Id="rId9641" Type="http://schemas.openxmlformats.org/officeDocument/2006/relationships/hyperlink" Target="https://www.startmotor.se/batmotordelar" TargetMode="External"/><Relationship Id="rId11571" Type="http://schemas.openxmlformats.org/officeDocument/2006/relationships/hyperlink" Target="http://sufracofinebrands.com/" TargetMode="External"/><Relationship Id="rId12622" Type="http://schemas.openxmlformats.org/officeDocument/2006/relationships/hyperlink" Target="https://www.epidemicsound.com/music/" TargetMode="External"/><Relationship Id="rId1630" Type="http://schemas.openxmlformats.org/officeDocument/2006/relationships/hyperlink" Target="http://triwa.com/" TargetMode="External"/><Relationship Id="rId8243" Type="http://schemas.openxmlformats.org/officeDocument/2006/relationships/hyperlink" Target="https://www.mueritzportal.de/news/gewaechshaus-tipps-zum-saisonstart.html" TargetMode="External"/><Relationship Id="rId10173" Type="http://schemas.openxmlformats.org/officeDocument/2006/relationships/hyperlink" Target="https://www.maklarringen.se/upptack-maklarringen/bostadsjuridik-ekonomi/det-har-maste-du-tanka-bort-nar-du-ar-pa-lagenhetsvisning" TargetMode="External"/><Relationship Id="rId11224" Type="http://schemas.openxmlformats.org/officeDocument/2006/relationships/hyperlink" Target="http://chronos.se/" TargetMode="External"/><Relationship Id="rId4853" Type="http://schemas.openxmlformats.org/officeDocument/2006/relationships/hyperlink" Target="https://filmguide.nu/2024/08/16/de-10-basta-casino-och-las-vegas-filmerna/" TargetMode="External"/><Relationship Id="rId5904" Type="http://schemas.openxmlformats.org/officeDocument/2006/relationships/hyperlink" Target="https://www.acnespecialisten.se/acne.php" TargetMode="External"/><Relationship Id="rId3455" Type="http://schemas.openxmlformats.org/officeDocument/2006/relationships/hyperlink" Target="http://w3solenergi.se/" TargetMode="External"/><Relationship Id="rId4506" Type="http://schemas.openxmlformats.org/officeDocument/2006/relationships/hyperlink" Target="https://www.startmotor.se/kategori/generatorer" TargetMode="External"/><Relationship Id="rId13049" Type="http://schemas.openxmlformats.org/officeDocument/2006/relationships/hyperlink" Target="https://familjehogtider.se/5-hogtider-som-inte-ar-hogtider-men-som-borde-vara-det/" TargetMode="External"/><Relationship Id="rId376" Type="http://schemas.openxmlformats.org/officeDocument/2006/relationships/hyperlink" Target="https://kvinnan.se/bra-saker-att-tanka-pa-innan-man-tar-hem-ett-barn-fran-bb/" TargetMode="External"/><Relationship Id="rId2057" Type="http://schemas.openxmlformats.org/officeDocument/2006/relationships/hyperlink" Target="http://fairinvestments.se/" TargetMode="External"/><Relationship Id="rId3108" Type="http://schemas.openxmlformats.org/officeDocument/2006/relationships/hyperlink" Target="https://www.mariatand.se/" TargetMode="External"/><Relationship Id="rId6678" Type="http://schemas.openxmlformats.org/officeDocument/2006/relationships/hyperlink" Target="https://www.peaccounting.se/var-tjanst/bokforingsprogram/" TargetMode="External"/><Relationship Id="rId7729" Type="http://schemas.openxmlformats.org/officeDocument/2006/relationships/hyperlink" Target="http://chattanoogarehab.com/" TargetMode="External"/><Relationship Id="rId9151" Type="http://schemas.openxmlformats.org/officeDocument/2006/relationships/hyperlink" Target="https://nothing2hide.net/latest/what-to-know-about-eco-friendly-water-container-options/" TargetMode="External"/><Relationship Id="rId1140" Type="http://schemas.openxmlformats.org/officeDocument/2006/relationships/hyperlink" Target="https://firmify.se/distansutbildning-utvecklingen-av-larande-i-den-digitala-tidsaldern/" TargetMode="External"/><Relationship Id="rId11081" Type="http://schemas.openxmlformats.org/officeDocument/2006/relationships/hyperlink" Target="http://spelklubben.se/" TargetMode="External"/><Relationship Id="rId12132" Type="http://schemas.openxmlformats.org/officeDocument/2006/relationships/hyperlink" Target="https://www.vont.se/to-go/0-mg-ml" TargetMode="External"/><Relationship Id="rId510" Type="http://schemas.openxmlformats.org/officeDocument/2006/relationships/hyperlink" Target="http://schjodt.com/" TargetMode="External"/><Relationship Id="rId5761" Type="http://schemas.openxmlformats.org/officeDocument/2006/relationships/hyperlink" Target="https://bbml.se/totalrenovering/" TargetMode="External"/><Relationship Id="rId6812" Type="http://schemas.openxmlformats.org/officeDocument/2006/relationships/hyperlink" Target="http://svenskafonster.se/aluminiumfonster" TargetMode="External"/><Relationship Id="rId4363" Type="http://schemas.openxmlformats.org/officeDocument/2006/relationships/hyperlink" Target="http://spelklubben.se/" TargetMode="External"/><Relationship Id="rId5414" Type="http://schemas.openxmlformats.org/officeDocument/2006/relationships/hyperlink" Target="http://aretrotale.com/" TargetMode="External"/><Relationship Id="rId8984" Type="http://schemas.openxmlformats.org/officeDocument/2006/relationships/hyperlink" Target="https://www.tandlakare.se/stad/stockholm/" TargetMode="External"/><Relationship Id="rId4016" Type="http://schemas.openxmlformats.org/officeDocument/2006/relationships/hyperlink" Target="https://www.svenskrallycross.se/" TargetMode="External"/><Relationship Id="rId7586" Type="http://schemas.openxmlformats.org/officeDocument/2006/relationships/hyperlink" Target="http://nodepositbonus.cc/" TargetMode="External"/><Relationship Id="rId8637" Type="http://schemas.openxmlformats.org/officeDocument/2006/relationships/hyperlink" Target="http://hund.se/" TargetMode="External"/><Relationship Id="rId10567" Type="http://schemas.openxmlformats.org/officeDocument/2006/relationships/hyperlink" Target="https://mynicco.com/" TargetMode="External"/><Relationship Id="rId11965" Type="http://schemas.openxmlformats.org/officeDocument/2006/relationships/hyperlink" Target="http://ledkungen.se/" TargetMode="External"/><Relationship Id="rId6188" Type="http://schemas.openxmlformats.org/officeDocument/2006/relationships/hyperlink" Target="https://eyexcon.com/reimagining-office-breaks-practical-tips-for-boosting-wellness-and-productivity/" TargetMode="External"/><Relationship Id="rId7239" Type="http://schemas.openxmlformats.org/officeDocument/2006/relationships/hyperlink" Target="https://www.dagensnaringsliv.se/20250120/276268/vad-betyder-business-casual-2025-har-kostymen-en-plats-i-business-casual" TargetMode="External"/><Relationship Id="rId11618" Type="http://schemas.openxmlformats.org/officeDocument/2006/relationships/hyperlink" Target="http://villarelining.se/" TargetMode="External"/><Relationship Id="rId13040" Type="http://schemas.openxmlformats.org/officeDocument/2006/relationships/hyperlink" Target="https://www.kleer.se/byt-till-kleer/jamforelse-ekonomilosning/" TargetMode="External"/><Relationship Id="rId2798" Type="http://schemas.openxmlformats.org/officeDocument/2006/relationships/hyperlink" Target="https://www.spelklubben.se/sv" TargetMode="External"/><Relationship Id="rId3849" Type="http://schemas.openxmlformats.org/officeDocument/2006/relationships/hyperlink" Target="http://e-ciggbolaget.se/" TargetMode="External"/><Relationship Id="rId5271" Type="http://schemas.openxmlformats.org/officeDocument/2006/relationships/hyperlink" Target="https://hampabonden.se/" TargetMode="External"/><Relationship Id="rId7720" Type="http://schemas.openxmlformats.org/officeDocument/2006/relationships/hyperlink" Target="http://svenskiptv.com/" TargetMode="External"/><Relationship Id="rId10701" Type="http://schemas.openxmlformats.org/officeDocument/2006/relationships/hyperlink" Target="https://www.diabit.se/hitta-tandlakaren-som-passar-dig/" TargetMode="External"/><Relationship Id="rId6322" Type="http://schemas.openxmlformats.org/officeDocument/2006/relationships/hyperlink" Target="https://cateringfabriken.se/" TargetMode="External"/><Relationship Id="rId9892" Type="http://schemas.openxmlformats.org/officeDocument/2006/relationships/hyperlink" Target="https://www.offthemrkt.com/lifestyle/going-big-in-smaller-spaces-how-area-rugs-can-beautify-and-expand-living" TargetMode="External"/><Relationship Id="rId12873" Type="http://schemas.openxmlformats.org/officeDocument/2006/relationships/hyperlink" Target="http://willabgarden.de/" TargetMode="External"/><Relationship Id="rId1881" Type="http://schemas.openxmlformats.org/officeDocument/2006/relationships/hyperlink" Target="http://aretrotale.com/" TargetMode="External"/><Relationship Id="rId2932" Type="http://schemas.openxmlformats.org/officeDocument/2006/relationships/hyperlink" Target="https://www.tandea.se/" TargetMode="External"/><Relationship Id="rId8494" Type="http://schemas.openxmlformats.org/officeDocument/2006/relationships/hyperlink" Target="https://tvohjelmat.com/elokuvia-joissa-on-upeita-puutarhoja-taydellista-inspiraatiota-kevaaseen/" TargetMode="External"/><Relationship Id="rId9545" Type="http://schemas.openxmlformats.org/officeDocument/2006/relationships/hyperlink" Target="http://maklarringen.se/" TargetMode="External"/><Relationship Id="rId11475" Type="http://schemas.openxmlformats.org/officeDocument/2006/relationships/hyperlink" Target="https://nem.health/" TargetMode="External"/><Relationship Id="rId12526" Type="http://schemas.openxmlformats.org/officeDocument/2006/relationships/hyperlink" Target="https://gentlemanexperten.se/frigor-tid-med-ratt-investering/" TargetMode="External"/><Relationship Id="rId904" Type="http://schemas.openxmlformats.org/officeDocument/2006/relationships/hyperlink" Target="https://b&#229;tstart.se/flytbryggor-och-brotillbehor/" TargetMode="External"/><Relationship Id="rId1534" Type="http://schemas.openxmlformats.org/officeDocument/2006/relationships/hyperlink" Target="http://happysocks.com/" TargetMode="External"/><Relationship Id="rId7096" Type="http://schemas.openxmlformats.org/officeDocument/2006/relationships/hyperlink" Target="http://upplevelse.com/" TargetMode="External"/><Relationship Id="rId8147" Type="http://schemas.openxmlformats.org/officeDocument/2006/relationships/hyperlink" Target="https://retrohus.se/sa-valjer-du-ratt-matta-for-ditt-hem-tips-och-ideer/" TargetMode="External"/><Relationship Id="rId10077" Type="http://schemas.openxmlformats.org/officeDocument/2006/relationships/hyperlink" Target="http://michaelofrisorerna.se/" TargetMode="External"/><Relationship Id="rId11128" Type="http://schemas.openxmlformats.org/officeDocument/2006/relationships/hyperlink" Target="https://www.lilla-varlden.se/collections/barnstolar" TargetMode="External"/><Relationship Id="rId4757" Type="http://schemas.openxmlformats.org/officeDocument/2006/relationships/hyperlink" Target="https://www.nordiskaprojekt.se/2024/07/25/digitalisering-och-halsa/" TargetMode="External"/><Relationship Id="rId3359" Type="http://schemas.openxmlformats.org/officeDocument/2006/relationships/hyperlink" Target="https://pontechmarina.com/se/flytbrygga/" TargetMode="External"/><Relationship Id="rId5808" Type="http://schemas.openxmlformats.org/officeDocument/2006/relationships/hyperlink" Target="https://alltombarnfamiljen.se/hundfoder-tips-for-att-halla-din-fyrbenta-familjemedlem-frisk/" TargetMode="External"/><Relationship Id="rId7230" Type="http://schemas.openxmlformats.org/officeDocument/2006/relationships/hyperlink" Target="https://mockfjards.se/" TargetMode="External"/><Relationship Id="rId10211" Type="http://schemas.openxmlformats.org/officeDocument/2006/relationships/hyperlink" Target="https://joinstriveon.com/" TargetMode="External"/><Relationship Id="rId3840" Type="http://schemas.openxmlformats.org/officeDocument/2006/relationships/hyperlink" Target="http://e-ciggbolaget.se/" TargetMode="External"/><Relationship Id="rId9055" Type="http://schemas.openxmlformats.org/officeDocument/2006/relationships/hyperlink" Target="https://www.allaannonser.se/samarb-rormokare-diy.html" TargetMode="External"/><Relationship Id="rId12383" Type="http://schemas.openxmlformats.org/officeDocument/2006/relationships/hyperlink" Target="https://www.dejavubok.se/tips-for-dig-med-dalig-ekonomi" TargetMode="External"/><Relationship Id="rId761" Type="http://schemas.openxmlformats.org/officeDocument/2006/relationships/hyperlink" Target="https://viekonomi.se/" TargetMode="External"/><Relationship Id="rId1391" Type="http://schemas.openxmlformats.org/officeDocument/2006/relationships/hyperlink" Target="http://happysocks.com/" TargetMode="External"/><Relationship Id="rId2442" Type="http://schemas.openxmlformats.org/officeDocument/2006/relationships/hyperlink" Target="https://ultranordic.se/aroma-king-engangs-vape-en-djupdykning-i-enastaende-smak-och-prestanda/" TargetMode="External"/><Relationship Id="rId12036" Type="http://schemas.openxmlformats.org/officeDocument/2006/relationships/hyperlink" Target="https://eciggshoppen.se/" TargetMode="External"/><Relationship Id="rId414" Type="http://schemas.openxmlformats.org/officeDocument/2006/relationships/hyperlink" Target="https://blugiallo.com/custom-tailored/clothes/tuxedo/" TargetMode="External"/><Relationship Id="rId1044" Type="http://schemas.openxmlformats.org/officeDocument/2006/relationships/hyperlink" Target="http://happysocks.com/" TargetMode="External"/><Relationship Id="rId5665" Type="http://schemas.openxmlformats.org/officeDocument/2006/relationships/hyperlink" Target="https://webbkrysset.se/blogg/bettingslang-vad-betyder-orden-egentligen/" TargetMode="External"/><Relationship Id="rId6716" Type="http://schemas.openxmlformats.org/officeDocument/2006/relationships/hyperlink" Target="https://swedenlongstay.se/sv/foretagsbostader" TargetMode="External"/><Relationship Id="rId4267" Type="http://schemas.openxmlformats.org/officeDocument/2006/relationships/hyperlink" Target="http://snusnetto.se/" TargetMode="External"/><Relationship Id="rId5318" Type="http://schemas.openxmlformats.org/officeDocument/2006/relationships/hyperlink" Target="https://www.bethard.com/sv/sports" TargetMode="External"/><Relationship Id="rId8888" Type="http://schemas.openxmlformats.org/officeDocument/2006/relationships/hyperlink" Target="https://svenskafonster.se/altandorr" TargetMode="External"/><Relationship Id="rId9939" Type="http://schemas.openxmlformats.org/officeDocument/2006/relationships/hyperlink" Target="https://www.formel1.se/upptack-varlden-av-f1-betting/" TargetMode="External"/><Relationship Id="rId11869" Type="http://schemas.openxmlformats.org/officeDocument/2006/relationships/hyperlink" Target="https://www.cialisnz.nu/2023/09/25/att-putsa-fonster-for-ett-vackrare-hem/" TargetMode="External"/><Relationship Id="rId1928" Type="http://schemas.openxmlformats.org/officeDocument/2006/relationships/hyperlink" Target="http://haxan.se/" TargetMode="External"/><Relationship Id="rId3350" Type="http://schemas.openxmlformats.org/officeDocument/2006/relationships/hyperlink" Target="https://kamagraquees.nu/mariatorgets-tandlakarmottagning-forstklassiga-munhalsotjanster-pa-sodermalm/" TargetMode="External"/><Relationship Id="rId13291" Type="http://schemas.openxmlformats.org/officeDocument/2006/relationships/hyperlink" Target="https://miljonhuset.se/hallbara-stadtjanster-for-ett-halsosamt-boende-i-stockholm/" TargetMode="External"/><Relationship Id="rId271" Type="http://schemas.openxmlformats.org/officeDocument/2006/relationships/hyperlink" Target="http://askskinfo.com/" TargetMode="External"/><Relationship Id="rId3003" Type="http://schemas.openxmlformats.org/officeDocument/2006/relationships/hyperlink" Target="http://spelklubben.se/" TargetMode="External"/><Relationship Id="rId4401" Type="http://schemas.openxmlformats.org/officeDocument/2006/relationships/hyperlink" Target="https://fairinvestments.se/" TargetMode="External"/><Relationship Id="rId7971" Type="http://schemas.openxmlformats.org/officeDocument/2006/relationships/hyperlink" Target="https://www.spelklubben.se/sv/betting" TargetMode="External"/><Relationship Id="rId10952" Type="http://schemas.openxmlformats.org/officeDocument/2006/relationships/hyperlink" Target="https://www.spelklubben.se/" TargetMode="External"/><Relationship Id="rId6573" Type="http://schemas.openxmlformats.org/officeDocument/2006/relationships/hyperlink" Target="https://www.dagensnaringsliv.se/20241203/274991/vad-ar-gamification-spelifiering-och-hur-forandrar-det-foretagsvarlden" TargetMode="External"/><Relationship Id="rId7624" Type="http://schemas.openxmlformats.org/officeDocument/2006/relationships/hyperlink" Target="https://arctic.se/se/forsakringslosningar/svensksolenergi/" TargetMode="External"/><Relationship Id="rId10605" Type="http://schemas.openxmlformats.org/officeDocument/2006/relationships/hyperlink" Target="https://www.videoslots.com/" TargetMode="External"/><Relationship Id="rId5175" Type="http://schemas.openxmlformats.org/officeDocument/2006/relationships/hyperlink" Target="https://www.fysiopodden.se/" TargetMode="External"/><Relationship Id="rId6226" Type="http://schemas.openxmlformats.org/officeDocument/2006/relationships/hyperlink" Target="https://www.dagensinfrastruktur.se/2024/11/18/sa-paverkar-sveriges-infrastruktur-mojligheterna-till-korkort-fran-vagutformning-till-trafiksakerhet/" TargetMode="External"/><Relationship Id="rId9796" Type="http://schemas.openxmlformats.org/officeDocument/2006/relationships/hyperlink" Target="https://www.startmotor.se/fordon/reservdelar-bat/volvo-penta" TargetMode="External"/><Relationship Id="rId12777" Type="http://schemas.openxmlformats.org/officeDocument/2006/relationships/hyperlink" Target="https://johannanordstrom.se/quiet-luxury/" TargetMode="External"/><Relationship Id="rId1785" Type="http://schemas.openxmlformats.org/officeDocument/2006/relationships/hyperlink" Target="https://alltomnorrtalje.se/cbd-olja-och-cbd-hampaolja-en-analys-om-likheter-och-skillnader/" TargetMode="External"/><Relationship Id="rId2836" Type="http://schemas.openxmlformats.org/officeDocument/2006/relationships/hyperlink" Target="http://spelklubben.se/" TargetMode="External"/><Relationship Id="rId8398" Type="http://schemas.openxmlformats.org/officeDocument/2006/relationships/hyperlink" Target="https://www.djungeltrumman.se/nojesliv-i-stockholm-en-balans-mellan-upplevelser-och-kostnader/" TargetMode="External"/><Relationship Id="rId9449" Type="http://schemas.openxmlformats.org/officeDocument/2006/relationships/hyperlink" Target="https://www.reseledaren.nu/tips-for-tandvard-pa-resande-fot/" TargetMode="External"/><Relationship Id="rId11379" Type="http://schemas.openxmlformats.org/officeDocument/2006/relationships/hyperlink" Target="https://haxan.se/products/propplosare" TargetMode="External"/><Relationship Id="rId808" Type="http://schemas.openxmlformats.org/officeDocument/2006/relationships/hyperlink" Target="https://smartkonstruktion.se/detta-ska-man-tanka-pa-nar-man-ska-bygga-en-brygga/" TargetMode="External"/><Relationship Id="rId1438" Type="http://schemas.openxmlformats.org/officeDocument/2006/relationships/hyperlink" Target="https://svenskasnapsvisor.se/" TargetMode="External"/><Relationship Id="rId7481" Type="http://schemas.openxmlformats.org/officeDocument/2006/relationships/hyperlink" Target="https://www.techloy.com/the-new-and-innovative-technologies-in-treating-chronic-pain/" TargetMode="External"/><Relationship Id="rId9930" Type="http://schemas.openxmlformats.org/officeDocument/2006/relationships/hyperlink" Target="https://www.transportnet.se/lb-article/181648/darfor-ar-sjovagen-popularast-for-frakt-sarskilt-nar-effektivitet-star-i-fokus" TargetMode="External"/><Relationship Id="rId11860" Type="http://schemas.openxmlformats.org/officeDocument/2006/relationships/hyperlink" Target="https://www.villa-sverige.se/2023/09/25/klassisk-arkitektur-en-tidlos-skatt-i-byggnadskonstens-varld/" TargetMode="External"/><Relationship Id="rId12911" Type="http://schemas.openxmlformats.org/officeDocument/2006/relationships/hyperlink" Target="https://www.videoslots.com/sv/" TargetMode="External"/><Relationship Id="rId6083" Type="http://schemas.openxmlformats.org/officeDocument/2006/relationships/hyperlink" Target="https://fairinvestments.se/om-oss/vara-forvaltare/" TargetMode="External"/><Relationship Id="rId7134" Type="http://schemas.openxmlformats.org/officeDocument/2006/relationships/hyperlink" Target="https://bygginformation.se/byta-tak-pa-maskinhallar-en-komplett-guide/" TargetMode="External"/><Relationship Id="rId8532" Type="http://schemas.openxmlformats.org/officeDocument/2006/relationships/hyperlink" Target="https://www.gigwise.com/sonic-sensory-hacks-how-to-stay-energized-for-festivals-late-night-gigs/" TargetMode="External"/><Relationship Id="rId10462" Type="http://schemas.openxmlformats.org/officeDocument/2006/relationships/hyperlink" Target="http://kungaslottet.se/" TargetMode="External"/><Relationship Id="rId11513" Type="http://schemas.openxmlformats.org/officeDocument/2006/relationships/hyperlink" Target="https://www.robomarkets.com/se/" TargetMode="External"/><Relationship Id="rId10115" Type="http://schemas.openxmlformats.org/officeDocument/2006/relationships/hyperlink" Target="http://comfydence.se/" TargetMode="External"/><Relationship Id="rId2693" Type="http://schemas.openxmlformats.org/officeDocument/2006/relationships/hyperlink" Target="https://happycasino.se/casino" TargetMode="External"/><Relationship Id="rId3744" Type="http://schemas.openxmlformats.org/officeDocument/2006/relationships/hyperlink" Target="https://www.wermland.nu/darfor-ska-du-skaffa-solceller" TargetMode="External"/><Relationship Id="rId12287" Type="http://schemas.openxmlformats.org/officeDocument/2006/relationships/hyperlink" Target="https://sparsajten.se/aktier/aktiehandel-for-sparande-och-tillvaxt/" TargetMode="External"/><Relationship Id="rId665" Type="http://schemas.openxmlformats.org/officeDocument/2006/relationships/hyperlink" Target="http://happysocks.com/" TargetMode="External"/><Relationship Id="rId1295" Type="http://schemas.openxmlformats.org/officeDocument/2006/relationships/hyperlink" Target="https://now.nu/utbildning-i-projektledning-pa-distans-framtiden-for-flexibel-kompetensutveckling/" TargetMode="External"/><Relationship Id="rId2346" Type="http://schemas.openxmlformats.org/officeDocument/2006/relationships/hyperlink" Target="https://aretrotale.com/" TargetMode="External"/><Relationship Id="rId6967" Type="http://schemas.openxmlformats.org/officeDocument/2006/relationships/hyperlink" Target="http://mockfjards.se/" TargetMode="External"/><Relationship Id="rId318" Type="http://schemas.openxmlformats.org/officeDocument/2006/relationships/hyperlink" Target="https://arctic.se/se/produktsidor/hjartstartare/" TargetMode="External"/><Relationship Id="rId5569" Type="http://schemas.openxmlformats.org/officeDocument/2006/relationships/hyperlink" Target="http://lansfast.se/" TargetMode="External"/><Relationship Id="rId9440" Type="http://schemas.openxmlformats.org/officeDocument/2006/relationships/hyperlink" Target="http://hajper.com/" TargetMode="External"/><Relationship Id="rId8042" Type="http://schemas.openxmlformats.org/officeDocument/2006/relationships/hyperlink" Target="http://spelklubben.se/" TargetMode="External"/><Relationship Id="rId11370" Type="http://schemas.openxmlformats.org/officeDocument/2006/relationships/hyperlink" Target="https://www.linkedin.com/company/fair-investments-sweden-ab/?originalSubdomain=se" TargetMode="External"/><Relationship Id="rId12421" Type="http://schemas.openxmlformats.org/officeDocument/2006/relationships/hyperlink" Target="https://tommytappar.se/?p=249" TargetMode="External"/><Relationship Id="rId11023" Type="http://schemas.openxmlformats.org/officeDocument/2006/relationships/hyperlink" Target="https://yourgild.com/" TargetMode="External"/><Relationship Id="rId4652" Type="http://schemas.openxmlformats.org/officeDocument/2006/relationships/hyperlink" Target="https://nyheteridag.se/ny-teknik-och-halsa-hur-innovationer-forandrar-vart-dagliga-liv/" TargetMode="External"/><Relationship Id="rId5703" Type="http://schemas.openxmlformats.org/officeDocument/2006/relationships/hyperlink" Target="https://eventeffect.se/nikotin-och-tobaksindustrins-utveckling-de-senaste-15-aren/" TargetMode="External"/><Relationship Id="rId13195" Type="http://schemas.openxmlformats.org/officeDocument/2006/relationships/hyperlink" Target="http://kamux.fi/" TargetMode="External"/><Relationship Id="rId175" Type="http://schemas.openxmlformats.org/officeDocument/2006/relationships/hyperlink" Target="https://www.frii.se/hogt-blodtryck-okar-risken-for-diabetes-typ-2/" TargetMode="External"/><Relationship Id="rId3254" Type="http://schemas.openxmlformats.org/officeDocument/2006/relationships/hyperlink" Target="https://www.campsite.se/artiklar/happycasino-fortrollande-underhallning-med-sakerhet/" TargetMode="External"/><Relationship Id="rId4305" Type="http://schemas.openxmlformats.org/officeDocument/2006/relationships/hyperlink" Target="http://tiotak.se/" TargetMode="External"/><Relationship Id="rId7875" Type="http://schemas.openxmlformats.org/officeDocument/2006/relationships/hyperlink" Target="http://chattanoogarehab.com/" TargetMode="External"/><Relationship Id="rId8926" Type="http://schemas.openxmlformats.org/officeDocument/2006/relationships/hyperlink" Target="http://myownwater.com/" TargetMode="External"/><Relationship Id="rId10856" Type="http://schemas.openxmlformats.org/officeDocument/2006/relationships/hyperlink" Target="https://passioneffect.se/foretagskultur-som-syns-vikten-av-identitet-och-varumarke/" TargetMode="External"/><Relationship Id="rId6477" Type="http://schemas.openxmlformats.org/officeDocument/2006/relationships/hyperlink" Target="https://eventeffect.se/sverige-som-ledande-aktor-inom-affiliate-marketing-en-guide-till-branschens-framgangsfaktorer/" TargetMode="External"/><Relationship Id="rId7528" Type="http://schemas.openxmlformats.org/officeDocument/2006/relationships/hyperlink" Target="https://ekonomistart.se/fair-investments-forsok-att-demokratisera-investeringsmarknaden/" TargetMode="External"/><Relationship Id="rId10509" Type="http://schemas.openxmlformats.org/officeDocument/2006/relationships/hyperlink" Target="http://minifinder.se/" TargetMode="External"/><Relationship Id="rId11907" Type="http://schemas.openxmlformats.org/officeDocument/2006/relationships/hyperlink" Target="https://sufracofinebrands.com/kategori/sopset" TargetMode="External"/><Relationship Id="rId5079" Type="http://schemas.openxmlformats.org/officeDocument/2006/relationships/hyperlink" Target="http://aretrotale.com/" TargetMode="External"/><Relationship Id="rId1689" Type="http://schemas.openxmlformats.org/officeDocument/2006/relationships/hyperlink" Target="https://www.lenkeguiden.no/hvordan-vaske-sko-i-vaskemaskin/" TargetMode="External"/><Relationship Id="rId5560" Type="http://schemas.openxmlformats.org/officeDocument/2006/relationships/hyperlink" Target="http://pontonhamnar.se/" TargetMode="External"/><Relationship Id="rId4162" Type="http://schemas.openxmlformats.org/officeDocument/2006/relationships/hyperlink" Target="https://www.oslo.com/blog/2024/06/25/utforsk-den-norske-fjellheimen-et-paradis-fotturister/" TargetMode="External"/><Relationship Id="rId5213" Type="http://schemas.openxmlformats.org/officeDocument/2006/relationships/hyperlink" Target="https://bigbenstandup.com/svensk-stand-up/svenska-komiker/tomas-bonderud" TargetMode="External"/><Relationship Id="rId6611" Type="http://schemas.openxmlformats.org/officeDocument/2006/relationships/hyperlink" Target="https://www.spelklubben.se/sv/live-casino" TargetMode="External"/><Relationship Id="rId8783" Type="http://schemas.openxmlformats.org/officeDocument/2006/relationships/hyperlink" Target="https://kruunukaluste.fi/kauppa/puutarhakalusteet-ulkokalusteet-ja-terassikalusteet/" TargetMode="External"/><Relationship Id="rId9834" Type="http://schemas.openxmlformats.org/officeDocument/2006/relationships/hyperlink" Target="http://sesec.se/" TargetMode="External"/><Relationship Id="rId11764" Type="http://schemas.openxmlformats.org/officeDocument/2006/relationships/hyperlink" Target="https://yagya.com/" TargetMode="External"/><Relationship Id="rId12815" Type="http://schemas.openxmlformats.org/officeDocument/2006/relationships/hyperlink" Target="https://turner.fi/teollisuusovet/" TargetMode="External"/><Relationship Id="rId48" Type="http://schemas.openxmlformats.org/officeDocument/2006/relationships/hyperlink" Target="https://ljusgrossisten.se/belysningsfakta/sockelguide/" TargetMode="External"/><Relationship Id="rId1823" Type="http://schemas.openxmlformats.org/officeDocument/2006/relationships/hyperlink" Target="http://notyfile.se/sv" TargetMode="External"/><Relationship Id="rId7385" Type="http://schemas.openxmlformats.org/officeDocument/2006/relationships/hyperlink" Target="http://himala.ai/" TargetMode="External"/><Relationship Id="rId8436" Type="http://schemas.openxmlformats.org/officeDocument/2006/relationships/hyperlink" Target="https://fintechzoom.com/business/tech/cybersecurity/essential-cybersecurity-measures/" TargetMode="External"/><Relationship Id="rId10366" Type="http://schemas.openxmlformats.org/officeDocument/2006/relationships/hyperlink" Target="http://cherry.com/" TargetMode="External"/><Relationship Id="rId11417" Type="http://schemas.openxmlformats.org/officeDocument/2006/relationships/hyperlink" Target="http://lansfast.se/" TargetMode="External"/><Relationship Id="rId3995" Type="http://schemas.openxmlformats.org/officeDocument/2006/relationships/hyperlink" Target="https://restate.se/ombildning-till-bostadsratt/" TargetMode="External"/><Relationship Id="rId7038" Type="http://schemas.openxmlformats.org/officeDocument/2006/relationships/hyperlink" Target="https://www.amazon.com/stores/page/A25C2F67-D612-4EBD-9B59-6A7A7830240F" TargetMode="External"/><Relationship Id="rId10019" Type="http://schemas.openxmlformats.org/officeDocument/2006/relationships/hyperlink" Target="http://minifinder.se/" TargetMode="External"/><Relationship Id="rId2597" Type="http://schemas.openxmlformats.org/officeDocument/2006/relationships/hyperlink" Target="http://saneringscompaniet.se/" TargetMode="External"/><Relationship Id="rId3648" Type="http://schemas.openxmlformats.org/officeDocument/2006/relationships/hyperlink" Target="https://finansplassen.no/lan" TargetMode="External"/><Relationship Id="rId569" Type="http://schemas.openxmlformats.org/officeDocument/2006/relationships/hyperlink" Target="https://dindromvilla.se/gar-du-i-saljtankar-har-ar-tipsen-som-sakerstaller-en-lyckad-forsaljning/" TargetMode="External"/><Relationship Id="rId1199" Type="http://schemas.openxmlformats.org/officeDocument/2006/relationships/hyperlink" Target="http://blugiallo.com/" TargetMode="External"/><Relationship Id="rId5070" Type="http://schemas.openxmlformats.org/officeDocument/2006/relationships/hyperlink" Target="http://aaatak.se/" TargetMode="External"/><Relationship Id="rId6121" Type="http://schemas.openxmlformats.org/officeDocument/2006/relationships/hyperlink" Target="https://sosugary.com/celebrity-beauty-trends-in-2025-a-glimpse-into-the-future/" TargetMode="External"/><Relationship Id="rId9691" Type="http://schemas.openxmlformats.org/officeDocument/2006/relationships/hyperlink" Target="https://www.invozio.com/" TargetMode="External"/><Relationship Id="rId10500" Type="http://schemas.openxmlformats.org/officeDocument/2006/relationships/hyperlink" Target="http://rusta.se/" TargetMode="External"/><Relationship Id="rId8293" Type="http://schemas.openxmlformats.org/officeDocument/2006/relationships/hyperlink" Target="https://www.yohan.no/norsk-film-pa-dine-premisser" TargetMode="External"/><Relationship Id="rId9344" Type="http://schemas.openxmlformats.org/officeDocument/2006/relationships/hyperlink" Target="https://www.dagensinfrastruktur.se/2025/05/26/sakerhetssektorn-gar-som-taget/" TargetMode="External"/><Relationship Id="rId12672" Type="http://schemas.openxmlformats.org/officeDocument/2006/relationships/hyperlink" Target="http://megariches.com/" TargetMode="External"/><Relationship Id="rId1680" Type="http://schemas.openxmlformats.org/officeDocument/2006/relationships/hyperlink" Target="https://advancepointcap.com/blog/same-day-smb-loan/" TargetMode="External"/><Relationship Id="rId2731" Type="http://schemas.openxmlformats.org/officeDocument/2006/relationships/hyperlink" Target="http://distansinstitutet.se/" TargetMode="External"/><Relationship Id="rId11274" Type="http://schemas.openxmlformats.org/officeDocument/2006/relationships/hyperlink" Target="https://bossingsbilservice.se/motoroptimering-vad-ar-det-och-hur-fungerar-det/" TargetMode="External"/><Relationship Id="rId12325" Type="http://schemas.openxmlformats.org/officeDocument/2006/relationships/hyperlink" Target="https://carpcon.se/" TargetMode="External"/><Relationship Id="rId703" Type="http://schemas.openxmlformats.org/officeDocument/2006/relationships/hyperlink" Target="https://toyota-forklifts.se/vara-truckar/motviktstruck-el/" TargetMode="External"/><Relationship Id="rId1333" Type="http://schemas.openxmlformats.org/officeDocument/2006/relationships/hyperlink" Target="http://robomarkets.com/" TargetMode="External"/><Relationship Id="rId5954" Type="http://schemas.openxmlformats.org/officeDocument/2006/relationships/hyperlink" Target="http://acnespecialisten.se/" TargetMode="External"/><Relationship Id="rId4556" Type="http://schemas.openxmlformats.org/officeDocument/2006/relationships/hyperlink" Target="https://formtrappan.se/" TargetMode="External"/><Relationship Id="rId5607" Type="http://schemas.openxmlformats.org/officeDocument/2006/relationships/hyperlink" Target="https://ptbyelin.se/vad-ar-e-cigaretter-en-guide-for-nyborjare/" TargetMode="External"/><Relationship Id="rId13099" Type="http://schemas.openxmlformats.org/officeDocument/2006/relationships/hyperlink" Target="http://mrvegas.com/" TargetMode="External"/><Relationship Id="rId3158" Type="http://schemas.openxmlformats.org/officeDocument/2006/relationships/hyperlink" Target="http://w3elsolenergi.se/" TargetMode="External"/><Relationship Id="rId4209" Type="http://schemas.openxmlformats.org/officeDocument/2006/relationships/hyperlink" Target="https://www.cdg.io/services/virtual-ciso/" TargetMode="External"/><Relationship Id="rId7779" Type="http://schemas.openxmlformats.org/officeDocument/2006/relationships/hyperlink" Target="http://nettotobak.com/" TargetMode="External"/><Relationship Id="rId10010" Type="http://schemas.openxmlformats.org/officeDocument/2006/relationships/hyperlink" Target="http://lsb.se/" TargetMode="External"/><Relationship Id="rId12182" Type="http://schemas.openxmlformats.org/officeDocument/2006/relationships/hyperlink" Target="https://sufracofinebrands.com/kategori/torrborste" TargetMode="External"/><Relationship Id="rId560" Type="http://schemas.openxmlformats.org/officeDocument/2006/relationships/hyperlink" Target="https://gladafamiljer.se/gor-stadningen-roligare-med-dessa-tips/" TargetMode="External"/><Relationship Id="rId1190" Type="http://schemas.openxmlformats.org/officeDocument/2006/relationships/hyperlink" Target="http://tiotak.se/" TargetMode="External"/><Relationship Id="rId2241" Type="http://schemas.openxmlformats.org/officeDocument/2006/relationships/hyperlink" Target="https://distansinstitutet.se/distansutbildningar/pedagogik/vardbitrade/" TargetMode="External"/><Relationship Id="rId13233" Type="http://schemas.openxmlformats.org/officeDocument/2006/relationships/hyperlink" Target="https://www.rusta.com/se/sv/hem--inredning/mattor/" TargetMode="External"/><Relationship Id="rId213" Type="http://schemas.openxmlformats.org/officeDocument/2006/relationships/hyperlink" Target="https://www.askskinfo.com/browse/?brand=CETAPHIL" TargetMode="External"/><Relationship Id="rId6862" Type="http://schemas.openxmlformats.org/officeDocument/2006/relationships/hyperlink" Target="https://www.filmtopp.se/annat/fem-sevarda-filmer-om-game-shows" TargetMode="External"/><Relationship Id="rId7913" Type="http://schemas.openxmlformats.org/officeDocument/2006/relationships/hyperlink" Target="http://hajper.com/" TargetMode="External"/><Relationship Id="rId4066" Type="http://schemas.openxmlformats.org/officeDocument/2006/relationships/hyperlink" Target="http://snusnetto.se/" TargetMode="External"/><Relationship Id="rId5464" Type="http://schemas.openxmlformats.org/officeDocument/2006/relationships/hyperlink" Target="http://cdg.io/" TargetMode="External"/><Relationship Id="rId6515" Type="http://schemas.openxmlformats.org/officeDocument/2006/relationships/hyperlink" Target="http://nodepositbonus.cc/" TargetMode="External"/><Relationship Id="rId5117" Type="http://schemas.openxmlformats.org/officeDocument/2006/relationships/hyperlink" Target="https://www.barkarbyflygklubb.se/forbered-ditt-hem-infor-forsaljning" TargetMode="External"/><Relationship Id="rId8687" Type="http://schemas.openxmlformats.org/officeDocument/2006/relationships/hyperlink" Target="https://mittvitahus.se/akustiska-losningar-for-ett-behagligare-boende/" TargetMode="External"/><Relationship Id="rId9738" Type="http://schemas.openxmlformats.org/officeDocument/2006/relationships/hyperlink" Target="https://www.chattanoogarehab.com/us/" TargetMode="External"/><Relationship Id="rId11668" Type="http://schemas.openxmlformats.org/officeDocument/2006/relationships/hyperlink" Target="http://vontabel.com/" TargetMode="External"/><Relationship Id="rId12719" Type="http://schemas.openxmlformats.org/officeDocument/2006/relationships/hyperlink" Target="https://tiotak.se/" TargetMode="External"/><Relationship Id="rId1727" Type="http://schemas.openxmlformats.org/officeDocument/2006/relationships/hyperlink" Target="http://e-ciggbolaget.se/" TargetMode="External"/><Relationship Id="rId7289" Type="http://schemas.openxmlformats.org/officeDocument/2006/relationships/hyperlink" Target="http://fairinvestments.se/" TargetMode="External"/><Relationship Id="rId13090" Type="http://schemas.openxmlformats.org/officeDocument/2006/relationships/hyperlink" Target="https://pc-concept.nu/gamingbelysning-2025/" TargetMode="External"/><Relationship Id="rId3899" Type="http://schemas.openxmlformats.org/officeDocument/2006/relationships/hyperlink" Target="http://www.purakliniken.se/" TargetMode="External"/><Relationship Id="rId4200" Type="http://schemas.openxmlformats.org/officeDocument/2006/relationships/hyperlink" Target="https://www.vont.se/vitt-snus" TargetMode="External"/><Relationship Id="rId7770" Type="http://schemas.openxmlformats.org/officeDocument/2006/relationships/hyperlink" Target="http://svenskafonster.se/" TargetMode="External"/><Relationship Id="rId6372" Type="http://schemas.openxmlformats.org/officeDocument/2006/relationships/hyperlink" Target="https://usawire.com/what-to-keep-in-mind-when-considering-private-label-bottled-water/" TargetMode="External"/><Relationship Id="rId7423" Type="http://schemas.openxmlformats.org/officeDocument/2006/relationships/hyperlink" Target="https://www.chattanoogarehab.com/us/hot-cold/hot-cold-packs" TargetMode="External"/><Relationship Id="rId8821" Type="http://schemas.openxmlformats.org/officeDocument/2006/relationships/hyperlink" Target="https://www.saleseffect.se/belysning-och-reflektion-knepen-som-far-dig-att-handla-nar-du-inte-tankt-det/" TargetMode="External"/><Relationship Id="rId10751" Type="http://schemas.openxmlformats.org/officeDocument/2006/relationships/hyperlink" Target="https://www.swedoffice.se/kategori/49902-kopieringspapper" TargetMode="External"/><Relationship Id="rId11802" Type="http://schemas.openxmlformats.org/officeDocument/2006/relationships/hyperlink" Target="https://eventeffect.se/en-omfattande-guide-till-effektiv-vw-service-underhall-och-expertis/" TargetMode="External"/><Relationship Id="rId6025" Type="http://schemas.openxmlformats.org/officeDocument/2006/relationships/hyperlink" Target="https://www.michaelofrisorerna.se/" TargetMode="External"/><Relationship Id="rId10404" Type="http://schemas.openxmlformats.org/officeDocument/2006/relationships/hyperlink" Target="http://videoslots.com/" TargetMode="External"/><Relationship Id="rId2982" Type="http://schemas.openxmlformats.org/officeDocument/2006/relationships/hyperlink" Target="http://elavtaldirekt.se/" TargetMode="External"/><Relationship Id="rId8197" Type="http://schemas.openxmlformats.org/officeDocument/2006/relationships/hyperlink" Target="http://sesec.se/" TargetMode="External"/><Relationship Id="rId9595" Type="http://schemas.openxmlformats.org/officeDocument/2006/relationships/hyperlink" Target="http://nettotobak.com/" TargetMode="External"/><Relationship Id="rId12576" Type="http://schemas.openxmlformats.org/officeDocument/2006/relationships/hyperlink" Target="http://w3elsolenergi.se/" TargetMode="External"/><Relationship Id="rId954" Type="http://schemas.openxmlformats.org/officeDocument/2006/relationships/hyperlink" Target="https://dailyiowan.com/2023/07/06/3-key-pieces-for-a-functional-and-fashionable-wardrobe/" TargetMode="External"/><Relationship Id="rId1584" Type="http://schemas.openxmlformats.org/officeDocument/2006/relationships/hyperlink" Target="http://oconnors.se/" TargetMode="External"/><Relationship Id="rId2635" Type="http://schemas.openxmlformats.org/officeDocument/2006/relationships/hyperlink" Target="https://www.illervanner.se/5-sommarjobb-som-kan-bli-en-karriar" TargetMode="External"/><Relationship Id="rId9248" Type="http://schemas.openxmlformats.org/officeDocument/2006/relationships/hyperlink" Target="https://swedenlongstay.se/sv/foretagsbostader" TargetMode="External"/><Relationship Id="rId11178" Type="http://schemas.openxmlformats.org/officeDocument/2006/relationships/hyperlink" Target="http://lansfast.se/" TargetMode="External"/><Relationship Id="rId12229" Type="http://schemas.openxmlformats.org/officeDocument/2006/relationships/hyperlink" Target="https://ledkungen.se/" TargetMode="External"/><Relationship Id="rId607" Type="http://schemas.openxmlformats.org/officeDocument/2006/relationships/hyperlink" Target="https://blommar.nu/b/fina-blommor-som-gor-underverk-for-hyn/" TargetMode="External"/><Relationship Id="rId1237" Type="http://schemas.openxmlformats.org/officeDocument/2006/relationships/hyperlink" Target="http://happysocks.com/" TargetMode="External"/><Relationship Id="rId5858" Type="http://schemas.openxmlformats.org/officeDocument/2006/relationships/hyperlink" Target="http://tandea.se/" TargetMode="External"/><Relationship Id="rId6909" Type="http://schemas.openxmlformats.org/officeDocument/2006/relationships/hyperlink" Target="https://www.djungeltrumman.se/mode-som-sjalvuttryck-nagra-exempel/" TargetMode="External"/><Relationship Id="rId7280" Type="http://schemas.openxmlformats.org/officeDocument/2006/relationships/hyperlink" Target="http://svenskafonster.se/" TargetMode="External"/><Relationship Id="rId8331" Type="http://schemas.openxmlformats.org/officeDocument/2006/relationships/hyperlink" Target="https://www.transportochlogistik.se/20250327/20950/varldens-viktigaste-handelsleder-och-vad-som-hander-om-de-blockeras" TargetMode="External"/><Relationship Id="rId10261" Type="http://schemas.openxmlformats.org/officeDocument/2006/relationships/hyperlink" Target="https://www.nordicknots.com/us/custom-rugs" TargetMode="External"/><Relationship Id="rId12710" Type="http://schemas.openxmlformats.org/officeDocument/2006/relationships/hyperlink" Target="https://www.swedoffice.se/" TargetMode="External"/><Relationship Id="rId11312" Type="http://schemas.openxmlformats.org/officeDocument/2006/relationships/hyperlink" Target="http://fairinvestments.se/" TargetMode="External"/><Relationship Id="rId2492" Type="http://schemas.openxmlformats.org/officeDocument/2006/relationships/hyperlink" Target="https://moveitmama.se/vad-gor-en-socialpedagog" TargetMode="External"/><Relationship Id="rId3890" Type="http://schemas.openxmlformats.org/officeDocument/2006/relationships/hyperlink" Target="https://www.vont.se/to-go" TargetMode="External"/><Relationship Id="rId4941" Type="http://schemas.openxmlformats.org/officeDocument/2006/relationships/hyperlink" Target="https://casinoviking.io/sv/blogg/en-djupgaende-recension-av-bethard-en-komplett-spelupplevelse/" TargetMode="External"/><Relationship Id="rId464" Type="http://schemas.openxmlformats.org/officeDocument/2006/relationships/hyperlink" Target="https://www.executiveeffect.se/blugiallo-ratt-klader-for-styrelsemotet/" TargetMode="External"/><Relationship Id="rId1094" Type="http://schemas.openxmlformats.org/officeDocument/2006/relationships/hyperlink" Target="http://robomarkets.com/" TargetMode="External"/><Relationship Id="rId2145" Type="http://schemas.openxmlformats.org/officeDocument/2006/relationships/hyperlink" Target="https://www.gymnasiade.com/fair-investments-vad-ar-det" TargetMode="External"/><Relationship Id="rId3543" Type="http://schemas.openxmlformats.org/officeDocument/2006/relationships/hyperlink" Target="http://e-ciggbolaget.se/" TargetMode="External"/><Relationship Id="rId12086" Type="http://schemas.openxmlformats.org/officeDocument/2006/relationships/hyperlink" Target="http://villarelining.se/" TargetMode="External"/><Relationship Id="rId13137" Type="http://schemas.openxmlformats.org/officeDocument/2006/relationships/hyperlink" Target="https://morsdagpresent.se/en-overraskning-i-morsdagspresent/" TargetMode="External"/><Relationship Id="rId117" Type="http://schemas.openxmlformats.org/officeDocument/2006/relationships/hyperlink" Target="https://www.kopbarnvagn.se/sv/artiklar/barnvagnar/marke-2/bugaboo/index.html" TargetMode="External"/><Relationship Id="rId6766" Type="http://schemas.openxmlformats.org/officeDocument/2006/relationships/hyperlink" Target="https://aktiewiki.se/fonder-for-nyborjare/" TargetMode="External"/><Relationship Id="rId7817" Type="http://schemas.openxmlformats.org/officeDocument/2006/relationships/hyperlink" Target="https://www.nyaprojekt.se/2025/02/24/effektiva-byggmaskiner-teknik-underhall-framtidens-utmaningar/" TargetMode="External"/><Relationship Id="rId5368" Type="http://schemas.openxmlformats.org/officeDocument/2006/relationships/hyperlink" Target="https://www.xpublishing.se/" TargetMode="External"/><Relationship Id="rId6419" Type="http://schemas.openxmlformats.org/officeDocument/2006/relationships/hyperlink" Target="https://valutor.nu/valutamarknadens-inverkan-pa-globala-investeringar/" TargetMode="External"/><Relationship Id="rId9989" Type="http://schemas.openxmlformats.org/officeDocument/2006/relationships/hyperlink" Target="https://technomeow.com/best-self-cleaning-litter-boxes-this-year/" TargetMode="External"/><Relationship Id="rId12220" Type="http://schemas.openxmlformats.org/officeDocument/2006/relationships/hyperlink" Target="https://twitter.com/i/flow/login?redirect_after_login=/FairInvSwe" TargetMode="External"/><Relationship Id="rId1978" Type="http://schemas.openxmlformats.org/officeDocument/2006/relationships/hyperlink" Target="http://haxan.se/" TargetMode="External"/><Relationship Id="rId4451" Type="http://schemas.openxmlformats.org/officeDocument/2006/relationships/hyperlink" Target="https://www.lansfast.se/maklare/stockholm/taby-danderyd/" TargetMode="External"/><Relationship Id="rId5502" Type="http://schemas.openxmlformats.org/officeDocument/2006/relationships/hyperlink" Target="https://clab.fi/autokaupan-abc-nain-onnistut-auton-hankinnassa/" TargetMode="External"/><Relationship Id="rId6900" Type="http://schemas.openxmlformats.org/officeDocument/2006/relationships/hyperlink" Target="https://www.totallystockholm.se/den-svarkorda-huvudstaden-ar-det-vart-att-ta-korkort-har/" TargetMode="External"/><Relationship Id="rId3053" Type="http://schemas.openxmlformats.org/officeDocument/2006/relationships/hyperlink" Target="https://mestrock.se/upptack-spelklubben/" TargetMode="External"/><Relationship Id="rId4104" Type="http://schemas.openxmlformats.org/officeDocument/2006/relationships/hyperlink" Target="http://spelklubben.se/" TargetMode="External"/><Relationship Id="rId6276" Type="http://schemas.openxmlformats.org/officeDocument/2006/relationships/hyperlink" Target="https://www.lansfast.se/maklare/sodermanland/trosa/" TargetMode="External"/><Relationship Id="rId7674" Type="http://schemas.openxmlformats.org/officeDocument/2006/relationships/hyperlink" Target="https://miljonhuset.se/foretagsboende-en-smart-losning-for-proffs-pa-resande-fot/" TargetMode="External"/><Relationship Id="rId8725" Type="http://schemas.openxmlformats.org/officeDocument/2006/relationships/hyperlink" Target="http://dbet.com/" TargetMode="External"/><Relationship Id="rId10655" Type="http://schemas.openxmlformats.org/officeDocument/2006/relationships/hyperlink" Target="http://kvarnx.com/" TargetMode="External"/><Relationship Id="rId11706" Type="http://schemas.openxmlformats.org/officeDocument/2006/relationships/hyperlink" Target="https://kone-osake.fi/markkinoiden-suunnan-ennustaminen-ja-bull-bear-sertifikaatit/" TargetMode="External"/><Relationship Id="rId7327" Type="http://schemas.openxmlformats.org/officeDocument/2006/relationships/hyperlink" Target="http://ataraxiavardcentral.se/" TargetMode="External"/><Relationship Id="rId10308" Type="http://schemas.openxmlformats.org/officeDocument/2006/relationships/hyperlink" Target="https://powerkvinna.se/att-hitta-den-ratta-tandlakaren-i-goteborg-for-kvinnor/" TargetMode="External"/><Relationship Id="rId2886" Type="http://schemas.openxmlformats.org/officeDocument/2006/relationships/hyperlink" Target="https://karjal.fi/online-kasino-mukanasi-kaikkialla/" TargetMode="External"/><Relationship Id="rId3937" Type="http://schemas.openxmlformats.org/officeDocument/2006/relationships/hyperlink" Target="https://cannabislight.se/" TargetMode="External"/><Relationship Id="rId9499" Type="http://schemas.openxmlformats.org/officeDocument/2006/relationships/hyperlink" Target="http://hajper.com/" TargetMode="External"/><Relationship Id="rId858" Type="http://schemas.openxmlformats.org/officeDocument/2006/relationships/hyperlink" Target="https://www.fibre2fashion.com/industry-article/9659/the-great-benefits-of-a-colourful-sock" TargetMode="External"/><Relationship Id="rId1488" Type="http://schemas.openxmlformats.org/officeDocument/2006/relationships/hyperlink" Target="http://aretrotale.com/" TargetMode="External"/><Relationship Id="rId2539" Type="http://schemas.openxmlformats.org/officeDocument/2006/relationships/hyperlink" Target="https://www.swedoffice.se/kategori/69602-gaffelparm-trarygg" TargetMode="External"/><Relationship Id="rId6410" Type="http://schemas.openxmlformats.org/officeDocument/2006/relationships/hyperlink" Target="http://mrnicco.com/" TargetMode="External"/><Relationship Id="rId9980" Type="http://schemas.openxmlformats.org/officeDocument/2006/relationships/hyperlink" Target="https://www.myownwater.com/aluminum-water-bottles" TargetMode="External"/><Relationship Id="rId5012" Type="http://schemas.openxmlformats.org/officeDocument/2006/relationships/hyperlink" Target="https://www.tungt.no/lb-article/180744/baerekraftige-turer-friluftsopplevelser-med-god-samvittighet" TargetMode="External"/><Relationship Id="rId8582" Type="http://schemas.openxmlformats.org/officeDocument/2006/relationships/hyperlink" Target="http://dbet.com/" TargetMode="External"/><Relationship Id="rId9633" Type="http://schemas.openxmlformats.org/officeDocument/2006/relationships/hyperlink" Target="https://www.inredningsnyheter.se/20250526/20092/sa-far-du-din-personliga-stil-i-vardagen" TargetMode="External"/><Relationship Id="rId12961" Type="http://schemas.openxmlformats.org/officeDocument/2006/relationships/hyperlink" Target="http://merchoteket.se/" TargetMode="External"/><Relationship Id="rId7184" Type="http://schemas.openxmlformats.org/officeDocument/2006/relationships/hyperlink" Target="http://skidvalla.se/" TargetMode="External"/><Relationship Id="rId8235" Type="http://schemas.openxmlformats.org/officeDocument/2006/relationships/hyperlink" Target="http://axofinans.se/" TargetMode="External"/><Relationship Id="rId11563" Type="http://schemas.openxmlformats.org/officeDocument/2006/relationships/hyperlink" Target="https://isla.se/" TargetMode="External"/><Relationship Id="rId12614" Type="http://schemas.openxmlformats.org/officeDocument/2006/relationships/hyperlink" Target="https://bettingsyndikatet.se/" TargetMode="External"/><Relationship Id="rId1622" Type="http://schemas.openxmlformats.org/officeDocument/2006/relationships/hyperlink" Target="https://laxrecept.se/flytbryggor-fran-kravspecifikation-till-leverans-och-montering/" TargetMode="External"/><Relationship Id="rId10165" Type="http://schemas.openxmlformats.org/officeDocument/2006/relationships/hyperlink" Target="https://www.nettotobak.com/zyn/" TargetMode="External"/><Relationship Id="rId11216" Type="http://schemas.openxmlformats.org/officeDocument/2006/relationships/hyperlink" Target="https://blugiallo.se/guider/brollopsguide-akt-ett-vem/" TargetMode="External"/><Relationship Id="rId3794" Type="http://schemas.openxmlformats.org/officeDocument/2006/relationships/hyperlink" Target="http://lansfast.se/" TargetMode="External"/><Relationship Id="rId4845" Type="http://schemas.openxmlformats.org/officeDocument/2006/relationships/hyperlink" Target="https://www.cherry.com/sv/live-casino/game-shows" TargetMode="External"/><Relationship Id="rId2396" Type="http://schemas.openxmlformats.org/officeDocument/2006/relationships/hyperlink" Target="http://e-ciggbolaget.se/" TargetMode="External"/><Relationship Id="rId3447" Type="http://schemas.openxmlformats.org/officeDocument/2006/relationships/hyperlink" Target="https://www.favorreklambyra.se/utmaningen-i-att-hitta-ett-bra-byggforetag-i-stockholm" TargetMode="External"/><Relationship Id="rId368" Type="http://schemas.openxmlformats.org/officeDocument/2006/relationships/hyperlink" Target="https://www.creditsafe.com/dk/da.html" TargetMode="External"/><Relationship Id="rId2049" Type="http://schemas.openxmlformats.org/officeDocument/2006/relationships/hyperlink" Target="https://www.kadesign.se/ta-vara-pa-solens-energi" TargetMode="External"/><Relationship Id="rId9490" Type="http://schemas.openxmlformats.org/officeDocument/2006/relationships/hyperlink" Target="http://filippa-k.com/se/sv/" TargetMode="External"/><Relationship Id="rId12471" Type="http://schemas.openxmlformats.org/officeDocument/2006/relationships/hyperlink" Target="http://fairinvestments.se/" TargetMode="External"/><Relationship Id="rId2530" Type="http://schemas.openxmlformats.org/officeDocument/2006/relationships/hyperlink" Target="https://hemplybalance.se/cbd-hampaoljor/" TargetMode="External"/><Relationship Id="rId8092" Type="http://schemas.openxmlformats.org/officeDocument/2006/relationships/hyperlink" Target="https://www.sarasotamagazine.com/advantagepoint/2025/03/beyond-the-bottle-unexpected-ways-to-use-sriracha-in-your-sarasota-kitchen" TargetMode="External"/><Relationship Id="rId9143" Type="http://schemas.openxmlformats.org/officeDocument/2006/relationships/hyperlink" Target="https://aretrotale.com/" TargetMode="External"/><Relationship Id="rId11073" Type="http://schemas.openxmlformats.org/officeDocument/2006/relationships/hyperlink" Target="https://bilverkstad.eu/fran-bil-till-bat-batterivard-for-varje-fard/" TargetMode="External"/><Relationship Id="rId12124" Type="http://schemas.openxmlformats.org/officeDocument/2006/relationships/hyperlink" Target="https://www.hausbautipps24.de/hausbau/bauweise/klimaschutz/nachhaltigkeit-im-eigenheim-praktische-tipps-fuer-umweltbewusstes-wohnen.html" TargetMode="External"/><Relationship Id="rId502" Type="http://schemas.openxmlformats.org/officeDocument/2006/relationships/hyperlink" Target="https://konsumtionen.se/sa-gor-du-dig-redo-for-varen/" TargetMode="External"/><Relationship Id="rId1132" Type="http://schemas.openxmlformats.org/officeDocument/2006/relationships/hyperlink" Target="https://www.frii.se/isaks-trafikskola-i-eskilstuna-en-vag-till-sakerhet-och-framgang/" TargetMode="External"/><Relationship Id="rId4355" Type="http://schemas.openxmlformats.org/officeDocument/2006/relationships/hyperlink" Target="https://www.spelklubben.se/sv/betting" TargetMode="External"/><Relationship Id="rId5753" Type="http://schemas.openxmlformats.org/officeDocument/2006/relationships/hyperlink" Target="https://jessicasmaleriostad.se/vikten-av-certifierade-hantverkare-vid-renoveringar/" TargetMode="External"/><Relationship Id="rId6804" Type="http://schemas.openxmlformats.org/officeDocument/2006/relationships/hyperlink" Target="http://everynightstudios.com/" TargetMode="External"/><Relationship Id="rId4008" Type="http://schemas.openxmlformats.org/officeDocument/2006/relationships/hyperlink" Target="https://www.snusnetto.se/tobaksfritt-snus/" TargetMode="External"/><Relationship Id="rId5406" Type="http://schemas.openxmlformats.org/officeDocument/2006/relationships/hyperlink" Target="https://www.a-cat.se/" TargetMode="External"/><Relationship Id="rId8976" Type="http://schemas.openxmlformats.org/officeDocument/2006/relationships/hyperlink" Target="https://glassfactory.fi/sv/collections/extra-large" TargetMode="External"/><Relationship Id="rId11957" Type="http://schemas.openxmlformats.org/officeDocument/2006/relationships/hyperlink" Target="https://www.daniellastoja.se/2023/09/27/sa-gor-du-smarta-investeringar-en-guide-till-rattvisa-och-lonsamma-val/" TargetMode="External"/><Relationship Id="rId7578" Type="http://schemas.openxmlformats.org/officeDocument/2006/relationships/hyperlink" Target="https://nordicknots.com/us/rugs" TargetMode="External"/><Relationship Id="rId8629" Type="http://schemas.openxmlformats.org/officeDocument/2006/relationships/hyperlink" Target="https://finansonline.se/effektiv-kapitalforvaltning-for-langsiktig-avkastning/" TargetMode="External"/><Relationship Id="rId10559" Type="http://schemas.openxmlformats.org/officeDocument/2006/relationships/hyperlink" Target="https://wellio.se/produktkategori/vassleprotein/" TargetMode="External"/><Relationship Id="rId13032" Type="http://schemas.openxmlformats.org/officeDocument/2006/relationships/hyperlink" Target="http://dbet.com/" TargetMode="External"/><Relationship Id="rId2040" Type="http://schemas.openxmlformats.org/officeDocument/2006/relationships/hyperlink" Target="https://www.leaderbergslagen.se/" TargetMode="External"/><Relationship Id="rId6661" Type="http://schemas.openxmlformats.org/officeDocument/2006/relationships/hyperlink" Target="https://www.mariatand.se/" TargetMode="External"/><Relationship Id="rId7712" Type="http://schemas.openxmlformats.org/officeDocument/2006/relationships/hyperlink" Target="https://alltombeauty.se/vardcentralens-engagemang-for-skonhet-och-halsa-i-spanga-tensta/" TargetMode="External"/><Relationship Id="rId5263" Type="http://schemas.openxmlformats.org/officeDocument/2006/relationships/hyperlink" Target="http://tiotak.se/" TargetMode="External"/><Relationship Id="rId6314" Type="http://schemas.openxmlformats.org/officeDocument/2006/relationships/hyperlink" Target="http://swedenlongstay.se/" TargetMode="External"/><Relationship Id="rId8486" Type="http://schemas.openxmlformats.org/officeDocument/2006/relationships/hyperlink" Target="https://kruunukaluste.fi/kauppa/puutarhakalusteet-ulkokalusteet-ja-terassikalusteet/" TargetMode="External"/><Relationship Id="rId9884" Type="http://schemas.openxmlformats.org/officeDocument/2006/relationships/hyperlink" Target="http://yourgild.com/" TargetMode="External"/><Relationship Id="rId12865" Type="http://schemas.openxmlformats.org/officeDocument/2006/relationships/hyperlink" Target="https://betterthisworld.com/latest-news/does-owning-a-pet-retain-cognitive-decline/" TargetMode="External"/><Relationship Id="rId98" Type="http://schemas.openxmlformats.org/officeDocument/2006/relationships/hyperlink" Target="https://b&#228;stf&#246;rs&#228;kringar.se/villaforsakring/" TargetMode="External"/><Relationship Id="rId1873" Type="http://schemas.openxmlformats.org/officeDocument/2006/relationships/hyperlink" Target="https://mammagruppen.se/att-uppratthalla-en-god-munhalsa-under-graviditeten/" TargetMode="External"/><Relationship Id="rId2924" Type="http://schemas.openxmlformats.org/officeDocument/2006/relationships/hyperlink" Target="https://lifehacking.se/naturligt-valbefinnande-med-sveriges-basta-cbd-produkter/" TargetMode="External"/><Relationship Id="rId7088" Type="http://schemas.openxmlformats.org/officeDocument/2006/relationships/hyperlink" Target="http://petster.se/" TargetMode="External"/><Relationship Id="rId8139" Type="http://schemas.openxmlformats.org/officeDocument/2006/relationships/hyperlink" Target="http://hund.se/" TargetMode="External"/><Relationship Id="rId9537" Type="http://schemas.openxmlformats.org/officeDocument/2006/relationships/hyperlink" Target="https://www.indoorprofessional.se/" TargetMode="External"/><Relationship Id="rId11467" Type="http://schemas.openxmlformats.org/officeDocument/2006/relationships/hyperlink" Target="https://svalan.se/bygga-en-tradgardspool-skapa-den-perfekta-oasen-for-trevliga-somrar-hemma/" TargetMode="External"/><Relationship Id="rId12518" Type="http://schemas.openxmlformats.org/officeDocument/2006/relationships/hyperlink" Target="https://www.affarsvarlden.se/native/spetsig-fond-hittar-globala-vinnare" TargetMode="External"/><Relationship Id="rId1526" Type="http://schemas.openxmlformats.org/officeDocument/2006/relationships/hyperlink" Target="https://livsfakta.se/parmar-som-en-oundganglig-del-av-dokumenthantering/" TargetMode="External"/><Relationship Id="rId10069" Type="http://schemas.openxmlformats.org/officeDocument/2006/relationships/hyperlink" Target="https://thecastle.nu/fran-ide-till-succe-vikten-av-malgruppsanpassning/" TargetMode="External"/><Relationship Id="rId3698" Type="http://schemas.openxmlformats.org/officeDocument/2006/relationships/hyperlink" Target="https://lookwhatmomfound.com/2024/05/exploring-professional-matchmaking-services-enhancing-private-life-and-business-connections.html" TargetMode="External"/><Relationship Id="rId4749" Type="http://schemas.openxmlformats.org/officeDocument/2006/relationships/hyperlink" Target="https://www.allabolag.se/5568169626/bokslut" TargetMode="External"/><Relationship Id="rId8620" Type="http://schemas.openxmlformats.org/officeDocument/2006/relationships/hyperlink" Target="https://dinfinans.se/maximera-din-avkastning-med-en-langsiktig-investeringsstrategi/" TargetMode="External"/><Relationship Id="rId10550" Type="http://schemas.openxmlformats.org/officeDocument/2006/relationships/hyperlink" Target="https://comfydence.se/collections/menstrosor" TargetMode="External"/><Relationship Id="rId6171" Type="http://schemas.openxmlformats.org/officeDocument/2006/relationships/hyperlink" Target="http://aretrotale.com/" TargetMode="External"/><Relationship Id="rId7222" Type="http://schemas.openxmlformats.org/officeDocument/2006/relationships/hyperlink" Target="http://mrnicco.com/" TargetMode="External"/><Relationship Id="rId10203" Type="http://schemas.openxmlformats.org/officeDocument/2006/relationships/hyperlink" Target="https://leaptodigital.com/roofing-crm" TargetMode="External"/><Relationship Id="rId11601" Type="http://schemas.openxmlformats.org/officeDocument/2006/relationships/hyperlink" Target="https://eciggshoppen.se/skapandet-av-en-produktiv-och-valfungerande-kontorsmiljo-genom-kontorsmaterial/" TargetMode="External"/><Relationship Id="rId2781" Type="http://schemas.openxmlformats.org/officeDocument/2006/relationships/hyperlink" Target="http://spelklubben.se/" TargetMode="External"/><Relationship Id="rId9394" Type="http://schemas.openxmlformats.org/officeDocument/2006/relationships/hyperlink" Target="http://spelklubben.se/" TargetMode="External"/><Relationship Id="rId753" Type="http://schemas.openxmlformats.org/officeDocument/2006/relationships/hyperlink" Target="http://tiotak.se/" TargetMode="External"/><Relationship Id="rId1383" Type="http://schemas.openxmlformats.org/officeDocument/2006/relationships/hyperlink" Target="https://rehabgrossisten.com/" TargetMode="External"/><Relationship Id="rId2434" Type="http://schemas.openxmlformats.org/officeDocument/2006/relationships/hyperlink" Target="https://www.alfa.no/collections/sikkerhet-vernesko" TargetMode="External"/><Relationship Id="rId3832" Type="http://schemas.openxmlformats.org/officeDocument/2006/relationships/hyperlink" Target="https://www.bathav.se/maximal-avkoppling-pa-havet/" TargetMode="External"/><Relationship Id="rId9047" Type="http://schemas.openxmlformats.org/officeDocument/2006/relationships/hyperlink" Target="https://gonorthshop.com/products/pots-and-pans-cooking-kitchen-set" TargetMode="External"/><Relationship Id="rId12028" Type="http://schemas.openxmlformats.org/officeDocument/2006/relationships/hyperlink" Target="https://swedenvirtualreality.se/sa-fungerar-vapes-en-djupgaende-titt-pa-elektroniska-cigaretter/" TargetMode="External"/><Relationship Id="rId12375" Type="http://schemas.openxmlformats.org/officeDocument/2006/relationships/hyperlink" Target="https://notyfile.se/sv/" TargetMode="External"/><Relationship Id="rId406" Type="http://schemas.openxmlformats.org/officeDocument/2006/relationships/hyperlink" Target="http://askskinfo.com/" TargetMode="External"/><Relationship Id="rId1036" Type="http://schemas.openxmlformats.org/officeDocument/2006/relationships/hyperlink" Target="https://www.prettyprogressive.com/expert-tips-for-finding-the-best-socks-for-women/" TargetMode="External"/><Relationship Id="rId5657" Type="http://schemas.openxmlformats.org/officeDocument/2006/relationships/hyperlink" Target="https://www.cherry.com/sv" TargetMode="External"/><Relationship Id="rId6708" Type="http://schemas.openxmlformats.org/officeDocument/2006/relationships/hyperlink" Target="https://ekstromgaray.se/skicka-in-manus/" TargetMode="External"/><Relationship Id="rId4259" Type="http://schemas.openxmlformats.org/officeDocument/2006/relationships/hyperlink" Target="https://wetravel.nu/upptack-sundsvall-evenemang-sevardheter-mycket-mer/" TargetMode="External"/><Relationship Id="rId8130" Type="http://schemas.openxmlformats.org/officeDocument/2006/relationships/hyperlink" Target="http://lansfast.se/" TargetMode="External"/><Relationship Id="rId10060" Type="http://schemas.openxmlformats.org/officeDocument/2006/relationships/hyperlink" Target="https://www.utemagasinet.se/partner/7-spannande-aventyr-pa-semestern-fran-fjallvandring-till-fotboll/" TargetMode="External"/><Relationship Id="rId11111" Type="http://schemas.openxmlformats.org/officeDocument/2006/relationships/hyperlink" Target="https://www.videoslots.com/sv/casino/" TargetMode="External"/><Relationship Id="rId4740" Type="http://schemas.openxmlformats.org/officeDocument/2006/relationships/hyperlink" Target="https://fairinvestments.se/" TargetMode="External"/><Relationship Id="rId13283" Type="http://schemas.openxmlformats.org/officeDocument/2006/relationships/hyperlink" Target="http://sahlstenskincare.se/" TargetMode="External"/><Relationship Id="rId2291" Type="http://schemas.openxmlformats.org/officeDocument/2006/relationships/hyperlink" Target="https://www.tarelugnt.se/ratt-maklare-gor-forsaljningen-till-en-barnlek" TargetMode="External"/><Relationship Id="rId3342" Type="http://schemas.openxmlformats.org/officeDocument/2006/relationships/hyperlink" Target="https://www.freckeus.se/" TargetMode="External"/><Relationship Id="rId263" Type="http://schemas.openxmlformats.org/officeDocument/2006/relationships/hyperlink" Target="https://swedenvirtualreality.se/ar-vr-en-energislukande-teknik/" TargetMode="External"/><Relationship Id="rId6565" Type="http://schemas.openxmlformats.org/officeDocument/2006/relationships/hyperlink" Target="https://www.vont.se/to-go/0-mg-ml" TargetMode="External"/><Relationship Id="rId7963" Type="http://schemas.openxmlformats.org/officeDocument/2006/relationships/hyperlink" Target="https://www.saleseffect.se/wp-admin/post.php?post=20962&amp;action=edit" TargetMode="External"/><Relationship Id="rId10944" Type="http://schemas.openxmlformats.org/officeDocument/2006/relationships/hyperlink" Target="https://www.tandlakare.se/stad/stockholm/" TargetMode="External"/><Relationship Id="rId5167" Type="http://schemas.openxmlformats.org/officeDocument/2006/relationships/hyperlink" Target="https://hbel.se/" TargetMode="External"/><Relationship Id="rId6218" Type="http://schemas.openxmlformats.org/officeDocument/2006/relationships/hyperlink" Target="https://www.entreprenad.com/lb-article/180981/karriarmojligheter-for-entreprenorer-att-bygga-en-framtid-inom-finans-och-investeringar" TargetMode="External"/><Relationship Id="rId7616" Type="http://schemas.openxmlformats.org/officeDocument/2006/relationships/hyperlink" Target="http://acnespecialisten.se/" TargetMode="External"/><Relationship Id="rId9788" Type="http://schemas.openxmlformats.org/officeDocument/2006/relationships/hyperlink" Target="http://rusta.se/" TargetMode="External"/><Relationship Id="rId12769" Type="http://schemas.openxmlformats.org/officeDocument/2006/relationships/hyperlink" Target="https://www.cherry.com/sv" TargetMode="External"/><Relationship Id="rId1777" Type="http://schemas.openxmlformats.org/officeDocument/2006/relationships/hyperlink" Target="https://beautymama.se/skonhet-och-tandlakare-en-synergi-for-valbefinnande-pa-sodermalm/" TargetMode="External"/><Relationship Id="rId2828" Type="http://schemas.openxmlformats.org/officeDocument/2006/relationships/hyperlink" Target="https://www.foodiebag.se/" TargetMode="External"/><Relationship Id="rId4250" Type="http://schemas.openxmlformats.org/officeDocument/2006/relationships/hyperlink" Target="https://fashionista.se/every-night-studios-grafisk-design-produktion-av-tryck-brodyr-for-foretag/" TargetMode="External"/><Relationship Id="rId5301" Type="http://schemas.openxmlformats.org/officeDocument/2006/relationships/hyperlink" Target="https://www.lansfast.se/maklare/sodermanland/trosa/" TargetMode="External"/><Relationship Id="rId8871" Type="http://schemas.openxmlformats.org/officeDocument/2006/relationships/hyperlink" Target="http://bus4you.se/" TargetMode="External"/><Relationship Id="rId9922" Type="http://schemas.openxmlformats.org/officeDocument/2006/relationships/hyperlink" Target="https://glassfactory.fi/sv/collections/speglar-med-belysning" TargetMode="External"/><Relationship Id="rId7473" Type="http://schemas.openxmlformats.org/officeDocument/2006/relationships/hyperlink" Target="https://www.bethard.com/sv/sports" TargetMode="External"/><Relationship Id="rId8524" Type="http://schemas.openxmlformats.org/officeDocument/2006/relationships/hyperlink" Target="https://mockfjards.se/att-byta-fonster" TargetMode="External"/><Relationship Id="rId11852" Type="http://schemas.openxmlformats.org/officeDocument/2006/relationships/hyperlink" Target="https://www.creditsafe.com/dk/da/kredit-risiko/kreditrapporter/kreditvurdering.html" TargetMode="External"/><Relationship Id="rId12903" Type="http://schemas.openxmlformats.org/officeDocument/2006/relationships/hyperlink" Target="http://dbet.com/" TargetMode="External"/><Relationship Id="rId1911" Type="http://schemas.openxmlformats.org/officeDocument/2006/relationships/hyperlink" Target="https://www.spoors.health/" TargetMode="External"/><Relationship Id="rId6075" Type="http://schemas.openxmlformats.org/officeDocument/2006/relationships/hyperlink" Target="http://ekstromgaray.se/" TargetMode="External"/><Relationship Id="rId7126" Type="http://schemas.openxmlformats.org/officeDocument/2006/relationships/hyperlink" Target="https://familjeradgivaren.se/familjetandvard-pa-mariatorget-trygg-och-professionell-tandvard-for-hela-familjen/" TargetMode="External"/><Relationship Id="rId10454" Type="http://schemas.openxmlformats.org/officeDocument/2006/relationships/hyperlink" Target="https://www.dagenshandel.se/lb-article/181805/varfor-selfiespegeln-ar-arets-hetaste-affarsverktyg" TargetMode="External"/><Relationship Id="rId11505" Type="http://schemas.openxmlformats.org/officeDocument/2006/relationships/hyperlink" Target="http://robomarkets.com/" TargetMode="External"/><Relationship Id="rId9298" Type="http://schemas.openxmlformats.org/officeDocument/2006/relationships/hyperlink" Target="http://tandea.se/tandvard/akut-tandvard-stockholm/" TargetMode="External"/><Relationship Id="rId10107" Type="http://schemas.openxmlformats.org/officeDocument/2006/relationships/hyperlink" Target="https://www.swesub.nu/filmkunskap/internationella-filmer-och-serier-som-bygger-pa-svenska-ideer/" TargetMode="External"/><Relationship Id="rId1287" Type="http://schemas.openxmlformats.org/officeDocument/2006/relationships/hyperlink" Target="https://distansinstitutet.se/distansutbildningar/kommunikation/" TargetMode="External"/><Relationship Id="rId2685" Type="http://schemas.openxmlformats.org/officeDocument/2006/relationships/hyperlink" Target="http://alfa.no/" TargetMode="External"/><Relationship Id="rId3736" Type="http://schemas.openxmlformats.org/officeDocument/2006/relationships/hyperlink" Target="https://www.branschradet-vilma.se/" TargetMode="External"/><Relationship Id="rId12279" Type="http://schemas.openxmlformats.org/officeDocument/2006/relationships/hyperlink" Target="https://www.frii.se/viktiga-tips-for-effektivt-fastighetsagande/" TargetMode="External"/><Relationship Id="rId657" Type="http://schemas.openxmlformats.org/officeDocument/2006/relationships/hyperlink" Target="https://faa.dk/annoncoerbetaltindhold/antallet-af-konkurser-stiger-hvad-kan-din-virksomhed-goere-for-ikke-at-blive-en-del-af-statistikken" TargetMode="External"/><Relationship Id="rId2338" Type="http://schemas.openxmlformats.org/officeDocument/2006/relationships/hyperlink" Target="http://aretrotale.com/" TargetMode="External"/><Relationship Id="rId6959" Type="http://schemas.openxmlformats.org/officeDocument/2006/relationships/hyperlink" Target="https://www.svenskbyggtidning.se/2024/12/21/skillnaden-mellan-ljudisolering-och-ljudabsorption/" TargetMode="External"/><Relationship Id="rId12760" Type="http://schemas.openxmlformats.org/officeDocument/2006/relationships/hyperlink" Target="https://lyxpresenten.se/standup-comedy-en-upplevelse-av-skratt-och-gemenskap-i-sverige/" TargetMode="External"/><Relationship Id="rId8381" Type="http://schemas.openxmlformats.org/officeDocument/2006/relationships/hyperlink" Target="http://di.se/brandstudio/fair-investments/fair-investments-vi-tar-bara-betalt-for-verkliga-resultat-det-tjanar-alla-pa/" TargetMode="External"/><Relationship Id="rId9432" Type="http://schemas.openxmlformats.org/officeDocument/2006/relationships/hyperlink" Target="http://mrvegas.com/" TargetMode="External"/><Relationship Id="rId11362" Type="http://schemas.openxmlformats.org/officeDocument/2006/relationships/hyperlink" Target="http://fairinvestments.se/" TargetMode="External"/><Relationship Id="rId12413" Type="http://schemas.openxmlformats.org/officeDocument/2006/relationships/hyperlink" Target="https://www.foyen.se/om-oss/vara-kontor/foyen-i-stockholm/" TargetMode="External"/><Relationship Id="rId1421" Type="http://schemas.openxmlformats.org/officeDocument/2006/relationships/hyperlink" Target="https://www.vont.se/" TargetMode="External"/><Relationship Id="rId4991" Type="http://schemas.openxmlformats.org/officeDocument/2006/relationships/hyperlink" Target="https://www.verkstaderna.se/lb-article/180717/investeringsmojligheter-inom-infrastruktur" TargetMode="External"/><Relationship Id="rId8034" Type="http://schemas.openxmlformats.org/officeDocument/2006/relationships/hyperlink" Target="https://www.sportochfritidsnyheter.se/20250228/4180/snus-arbetskultur-en-inblick-i-svenska-stader" TargetMode="External"/><Relationship Id="rId11015" Type="http://schemas.openxmlformats.org/officeDocument/2006/relationships/hyperlink" Target="https://lifeloving.co.uk/creative-themes-for-your-next-dinner-party/" TargetMode="External"/><Relationship Id="rId3593" Type="http://schemas.openxmlformats.org/officeDocument/2006/relationships/hyperlink" Target="https://www.alfa.no/pages/hvilken-fjellsko-skal-jeg-velge" TargetMode="External"/><Relationship Id="rId4644" Type="http://schemas.openxmlformats.org/officeDocument/2006/relationships/hyperlink" Target="https://www.di.se/brandstudio/fair-investments/fair-investments-vi-tar-bara-betalt-for-verkliga-resultat-det-tjanar-alla-pa/" TargetMode="External"/><Relationship Id="rId13187" Type="http://schemas.openxmlformats.org/officeDocument/2006/relationships/hyperlink" Target="https://www.on-magazine.co.uk/stuff/gaming/build-a-mini-vegas-at-home/" TargetMode="External"/><Relationship Id="rId2195" Type="http://schemas.openxmlformats.org/officeDocument/2006/relationships/hyperlink" Target="https://www.tryggbil.se/" TargetMode="External"/><Relationship Id="rId3246" Type="http://schemas.openxmlformats.org/officeDocument/2006/relationships/hyperlink" Target="https://www.merinfo.se/foretag/Fair-Investments-Sweden-AB-5568169626/2k3576i-kqah" TargetMode="External"/><Relationship Id="rId167" Type="http://schemas.openxmlformats.org/officeDocument/2006/relationships/hyperlink" Target="https://veckodag.nu/tarotkort-arets-julklapp/" TargetMode="External"/><Relationship Id="rId7867" Type="http://schemas.openxmlformats.org/officeDocument/2006/relationships/hyperlink" Target="http://svenskiptv.com/" TargetMode="External"/><Relationship Id="rId8918" Type="http://schemas.openxmlformats.org/officeDocument/2006/relationships/hyperlink" Target="https://disquantified.org/offline-romance-the-secret-ingredient-were-missing-online/" TargetMode="External"/><Relationship Id="rId10848" Type="http://schemas.openxmlformats.org/officeDocument/2006/relationships/hyperlink" Target="https://www.chattanoogarehab.com/us/hot-cold/hot-cold-packs" TargetMode="External"/><Relationship Id="rId6469" Type="http://schemas.openxmlformats.org/officeDocument/2006/relationships/hyperlink" Target="https://cateringfabriken.se/" TargetMode="External"/><Relationship Id="rId12270" Type="http://schemas.openxmlformats.org/officeDocument/2006/relationships/hyperlink" Target="http://askskinfo.com/" TargetMode="External"/><Relationship Id="rId6950" Type="http://schemas.openxmlformats.org/officeDocument/2006/relationships/hyperlink" Target="https://www.nyaprojekt.se/2024/12/21/effektiv-administration-i-byggprojekt-verktygen-och-strategierna-som-gor-skillnad/" TargetMode="External"/><Relationship Id="rId301" Type="http://schemas.openxmlformats.org/officeDocument/2006/relationships/hyperlink" Target="https://virensbabysim.se/att-tanka-pa-vid-val-av-barnvagn/" TargetMode="External"/><Relationship Id="rId5552" Type="http://schemas.openxmlformats.org/officeDocument/2006/relationships/hyperlink" Target="http://cherry.com/" TargetMode="External"/><Relationship Id="rId6603" Type="http://schemas.openxmlformats.org/officeDocument/2006/relationships/hyperlink" Target="https://filmparadiset.se/2024/11/20/klassiska-filmer-gambling-och-vad-som-utmarker-dem/" TargetMode="External"/><Relationship Id="rId4154" Type="http://schemas.openxmlformats.org/officeDocument/2006/relationships/hyperlink" Target="https://www.alfa.no/pages/hvilken-tursko-skal-jeg-vel" TargetMode="External"/><Relationship Id="rId5205" Type="http://schemas.openxmlformats.org/officeDocument/2006/relationships/hyperlink" Target="http://alfa.no/" TargetMode="External"/><Relationship Id="rId8775" Type="http://schemas.openxmlformats.org/officeDocument/2006/relationships/hyperlink" Target="http://bethard.com/" TargetMode="External"/><Relationship Id="rId7377" Type="http://schemas.openxmlformats.org/officeDocument/2006/relationships/hyperlink" Target="https://www.coface.fi/luottovakuutus" TargetMode="External"/><Relationship Id="rId8428" Type="http://schemas.openxmlformats.org/officeDocument/2006/relationships/hyperlink" Target="http://spelklubben.se/sv/live-casino/game-shows" TargetMode="External"/><Relationship Id="rId9826" Type="http://schemas.openxmlformats.org/officeDocument/2006/relationships/hyperlink" Target="https://tryggbil.se/" TargetMode="External"/><Relationship Id="rId11756" Type="http://schemas.openxmlformats.org/officeDocument/2006/relationships/hyperlink" Target="https://whatsnew2day.com/guide-to-buying-horse-riding-breeches/" TargetMode="External"/><Relationship Id="rId12807" Type="http://schemas.openxmlformats.org/officeDocument/2006/relationships/hyperlink" Target="http://mrvegas.com/" TargetMode="External"/><Relationship Id="rId1815" Type="http://schemas.openxmlformats.org/officeDocument/2006/relationships/hyperlink" Target="https://sek-converter.se/en-ny-varld-av-forsaljningsmojligheter-for-saljare/" TargetMode="External"/><Relationship Id="rId10358" Type="http://schemas.openxmlformats.org/officeDocument/2006/relationships/hyperlink" Target="https://www.fri-kopenskap.se/lb-article/181803/vilken-matta-ar-du-ute-efter-en-guide-till-ratt-val-for-ditt-hem" TargetMode="External"/><Relationship Id="rId11409" Type="http://schemas.openxmlformats.org/officeDocument/2006/relationships/hyperlink" Target="https://nutidshuset.se/dags-for-homestyling-har-ar-knepen-som-okar-chanserna-for-en-lyckad-bostadsforsaljning/" TargetMode="External"/><Relationship Id="rId3987" Type="http://schemas.openxmlformats.org/officeDocument/2006/relationships/hyperlink" Target="https://www.reco.se/fair-investments-sweden-ab" TargetMode="External"/><Relationship Id="rId2589" Type="http://schemas.openxmlformats.org/officeDocument/2006/relationships/hyperlink" Target="https://www.skogkattklubbenbirka.se/djur-far-illa-av-cigarettrok" TargetMode="External"/><Relationship Id="rId6460" Type="http://schemas.openxmlformats.org/officeDocument/2006/relationships/hyperlink" Target="https://www.sportochfritidsnyheter.se/20241129/4079/onlinecasinons-sponsring-av-sport-mojligheter-och-utmaningar" TargetMode="External"/><Relationship Id="rId7511" Type="http://schemas.openxmlformats.org/officeDocument/2006/relationships/hyperlink" Target="https://www.nsab.se/iptv-den-nya-normen-for-tv-tittande-i-svenska-hem" TargetMode="External"/><Relationship Id="rId5062" Type="http://schemas.openxmlformats.org/officeDocument/2006/relationships/hyperlink" Target="https://hampabonden.se/" TargetMode="External"/><Relationship Id="rId6113" Type="http://schemas.openxmlformats.org/officeDocument/2006/relationships/hyperlink" Target="https://bokforingsprogram24.se/automatiserad-bokforing-med-pe-accounting-insyn-och-kontroll-utan-krangel/" TargetMode="External"/><Relationship Id="rId9683" Type="http://schemas.openxmlformats.org/officeDocument/2006/relationships/hyperlink" Target="https://www.spelklubben.se/sv/casino" TargetMode="External"/><Relationship Id="rId1672" Type="http://schemas.openxmlformats.org/officeDocument/2006/relationships/hyperlink" Target="http://advancepointcap.com/" TargetMode="External"/><Relationship Id="rId2723" Type="http://schemas.openxmlformats.org/officeDocument/2006/relationships/hyperlink" Target="https://www.schmack.se/den-ultimata-vapen" TargetMode="External"/><Relationship Id="rId8285" Type="http://schemas.openxmlformats.org/officeDocument/2006/relationships/hyperlink" Target="http://kleer.se/" TargetMode="External"/><Relationship Id="rId9336" Type="http://schemas.openxmlformats.org/officeDocument/2006/relationships/hyperlink" Target="https://www.svenskbyggtidning.se/2025/05/26/hur-var-kroppsliga-fysik-paverkas-av-var-omgivning/" TargetMode="External"/><Relationship Id="rId11266" Type="http://schemas.openxmlformats.org/officeDocument/2006/relationships/hyperlink" Target="https://www.dieselkraft.se/" TargetMode="External"/><Relationship Id="rId12317" Type="http://schemas.openxmlformats.org/officeDocument/2006/relationships/hyperlink" Target="https://varmlandsbygden.se/partner/aco-decennier-av-hudvardsinnovation/" TargetMode="External"/><Relationship Id="rId12664" Type="http://schemas.openxmlformats.org/officeDocument/2006/relationships/hyperlink" Target="https://www.executiveeffect.se/hur-du-vinner-rummet-nar-du-forklarar-spelregler/" TargetMode="External"/><Relationship Id="rId1325" Type="http://schemas.openxmlformats.org/officeDocument/2006/relationships/hyperlink" Target="https://bloggfamiljen.se/?p=369" TargetMode="External"/><Relationship Id="rId3497" Type="http://schemas.openxmlformats.org/officeDocument/2006/relationships/hyperlink" Target="https://luckycasino.com/sv/" TargetMode="External"/><Relationship Id="rId4895" Type="http://schemas.openxmlformats.org/officeDocument/2006/relationships/hyperlink" Target="https://www.nojesnytthelsingborg.se/2024/08/22/helsingborgs-if-chanser-till-allsvenskt-avancemang-i-host/" TargetMode="External"/><Relationship Id="rId5946" Type="http://schemas.openxmlformats.org/officeDocument/2006/relationships/hyperlink" Target="https://www.habit.se/lb-article/180901/skonhetsbehandlingar-som-trendar-skalfasader-som-ett-populart-val" TargetMode="External"/><Relationship Id="rId31" Type="http://schemas.openxmlformats.org/officeDocument/2006/relationships/hyperlink" Target="http://havstomt.se/" TargetMode="External"/><Relationship Id="rId2099" Type="http://schemas.openxmlformats.org/officeDocument/2006/relationships/hyperlink" Target="http://rehabgrossisten.com/" TargetMode="External"/><Relationship Id="rId4548" Type="http://schemas.openxmlformats.org/officeDocument/2006/relationships/hyperlink" Target="http://e-ciggbolaget.se/" TargetMode="External"/><Relationship Id="rId7021" Type="http://schemas.openxmlformats.org/officeDocument/2006/relationships/hyperlink" Target="https://&#248;rsted-aktie.dk/nordnet/" TargetMode="External"/><Relationship Id="rId11400" Type="http://schemas.openxmlformats.org/officeDocument/2006/relationships/hyperlink" Target="http://kopbarnvagn.se/" TargetMode="External"/><Relationship Id="rId10002" Type="http://schemas.openxmlformats.org/officeDocument/2006/relationships/hyperlink" Target="http://mrvegas.com/" TargetMode="External"/><Relationship Id="rId2580" Type="http://schemas.openxmlformats.org/officeDocument/2006/relationships/hyperlink" Target="http://arctic.se/" TargetMode="External"/><Relationship Id="rId3631" Type="http://schemas.openxmlformats.org/officeDocument/2006/relationships/hyperlink" Target="http://spelklubben.se/" TargetMode="External"/><Relationship Id="rId9193" Type="http://schemas.openxmlformats.org/officeDocument/2006/relationships/hyperlink" Target="https://manligmodell.se/varda-din-bil-som-en-riktig-man-med-kvalitetsprodukter/" TargetMode="External"/><Relationship Id="rId12174" Type="http://schemas.openxmlformats.org/officeDocument/2006/relationships/hyperlink" Target="http://schjodt.com/" TargetMode="External"/><Relationship Id="rId13225" Type="http://schemas.openxmlformats.org/officeDocument/2006/relationships/hyperlink" Target="http://arctic.se/" TargetMode="External"/><Relationship Id="rId552" Type="http://schemas.openxmlformats.org/officeDocument/2006/relationships/hyperlink" Target="https://www.linkedin.com/company/fair-investments-sweden-ab/?originalSubdomain=se" TargetMode="External"/><Relationship Id="rId1182" Type="http://schemas.openxmlformats.org/officeDocument/2006/relationships/hyperlink" Target="https://kamagraquees.nu/kontorsmaterial-en-djupdykning-i-arbetets-hjarta/" TargetMode="External"/><Relationship Id="rId2233" Type="http://schemas.openxmlformats.org/officeDocument/2006/relationships/hyperlink" Target="http://distansinstitutet.se/" TargetMode="External"/><Relationship Id="rId6854" Type="http://schemas.openxmlformats.org/officeDocument/2006/relationships/hyperlink" Target="https://www.fejmtv.se/iptv-framtidens-flexibla-tv-losning" TargetMode="External"/><Relationship Id="rId205" Type="http://schemas.openxmlformats.org/officeDocument/2006/relationships/hyperlink" Target="https://andrashop.se/b/vinyl-laminatgolv-eller-heltackningsmatta-i-barnrummet/" TargetMode="External"/><Relationship Id="rId5456" Type="http://schemas.openxmlformats.org/officeDocument/2006/relationships/hyperlink" Target="https://www.sydkoster.se/" TargetMode="External"/><Relationship Id="rId6507" Type="http://schemas.openxmlformats.org/officeDocument/2006/relationships/hyperlink" Target="https://www.saleseffect.se/hur-ratt-investeringsfonder-kan-forbattra-foretagens-forsaljningsresultat/" TargetMode="External"/><Relationship Id="rId7905" Type="http://schemas.openxmlformats.org/officeDocument/2006/relationships/hyperlink" Target="https://pedrovazpaulo.com/what-executives-can-learn-from-gps-dog-fences/" TargetMode="External"/><Relationship Id="rId4058" Type="http://schemas.openxmlformats.org/officeDocument/2006/relationships/hyperlink" Target="http://fairinvestments.se/" TargetMode="External"/><Relationship Id="rId5109" Type="http://schemas.openxmlformats.org/officeDocument/2006/relationships/hyperlink" Target="http://foyen.se/" TargetMode="External"/><Relationship Id="rId8679" Type="http://schemas.openxmlformats.org/officeDocument/2006/relationships/hyperlink" Target="https://sakraror.se/" TargetMode="External"/><Relationship Id="rId1719" Type="http://schemas.openxmlformats.org/officeDocument/2006/relationships/hyperlink" Target="https://finansfeber.se/subventionerad-tandvard-for-svenska-ungdomar/" TargetMode="External"/><Relationship Id="rId13082" Type="http://schemas.openxmlformats.org/officeDocument/2006/relationships/hyperlink" Target="https://www.kungaslottet.se/casino/" TargetMode="External"/><Relationship Id="rId2090" Type="http://schemas.openxmlformats.org/officeDocument/2006/relationships/hyperlink" Target="http://fairinvestments.se/" TargetMode="External"/><Relationship Id="rId3141" Type="http://schemas.openxmlformats.org/officeDocument/2006/relationships/hyperlink" Target="http://conclean.se/" TargetMode="External"/><Relationship Id="rId7762" Type="http://schemas.openxmlformats.org/officeDocument/2006/relationships/hyperlink" Target="https://www.grontsamhallsbyggande.se/2025/02/20/flytande-stader-ska-radda-oss-fran-stigande-hav/" TargetMode="External"/><Relationship Id="rId8813" Type="http://schemas.openxmlformats.org/officeDocument/2006/relationships/hyperlink" Target="https://www.executiveeffect.se/behover-din-verksamhet-hjalp-av-en-trafikansvarig-konsult/" TargetMode="External"/><Relationship Id="rId6364" Type="http://schemas.openxmlformats.org/officeDocument/2006/relationships/hyperlink" Target="https://www.cdg.io/services/virtual-ciso/" TargetMode="External"/><Relationship Id="rId7415" Type="http://schemas.openxmlformats.org/officeDocument/2006/relationships/hyperlink" Target="http://technobark.com/" TargetMode="External"/><Relationship Id="rId10743" Type="http://schemas.openxmlformats.org/officeDocument/2006/relationships/hyperlink" Target="https://hobbydelar.se/marina-motorer-som-hobbyn-mojligheter-och-tips-for-entusiaster/" TargetMode="External"/><Relationship Id="rId6017" Type="http://schemas.openxmlformats.org/officeDocument/2006/relationships/hyperlink" Target="http://swedenlongstay.se/" TargetMode="External"/><Relationship Id="rId9587" Type="http://schemas.openxmlformats.org/officeDocument/2006/relationships/hyperlink" Target="https://www.grontsamhallsbyggande.se/2025/05/26/klimatsmarta-losningar-i-hemmet/" TargetMode="External"/><Relationship Id="rId1576" Type="http://schemas.openxmlformats.org/officeDocument/2006/relationships/hyperlink" Target="https://makeachange.se/skadeverkstad-i-tyreso-en-omfattande-oversikt/" TargetMode="External"/><Relationship Id="rId2974" Type="http://schemas.openxmlformats.org/officeDocument/2006/relationships/hyperlink" Target="https://citynavigator.se/frunk-bar-en-revolution-inom-engangs-e-cigaretter/" TargetMode="External"/><Relationship Id="rId8189" Type="http://schemas.openxmlformats.org/officeDocument/2006/relationships/hyperlink" Target="https://adventuregurun.se/upplev-skidsasongen-med-ratt-skidvalla-och-utrustning/" TargetMode="External"/><Relationship Id="rId12568" Type="http://schemas.openxmlformats.org/officeDocument/2006/relationships/hyperlink" Target="http://veterinarklinikenbirsta.se/" TargetMode="External"/><Relationship Id="rId946" Type="http://schemas.openxmlformats.org/officeDocument/2006/relationships/hyperlink" Target="https://www.happysocks.com/us/collection/socks-for-men?utm_source=AffiliateWindow&amp;utm_medium=Affiliate&amp;utm_content=Skimlinks&amp;utm_campaign=Sweden&amp;zanpid=8619_1688458929_1f17a1c3e7810af927eb0c2a654b96ff" TargetMode="External"/><Relationship Id="rId1229" Type="http://schemas.openxmlformats.org/officeDocument/2006/relationships/hyperlink" Target="https://www.alfa.no/" TargetMode="External"/><Relationship Id="rId2627" Type="http://schemas.openxmlformats.org/officeDocument/2006/relationships/hyperlink" Target="https://www.inmygarden.se/radda-ditt-gamla-avlopp" TargetMode="External"/><Relationship Id="rId5100" Type="http://schemas.openxmlformats.org/officeDocument/2006/relationships/hyperlink" Target="http://seniorrabatt.se/" TargetMode="External"/><Relationship Id="rId4799" Type="http://schemas.openxmlformats.org/officeDocument/2006/relationships/hyperlink" Target="https://herravdelningen.se/kryptovalutor-en-revolution-inom-finansvarlden/" TargetMode="External"/><Relationship Id="rId8670" Type="http://schemas.openxmlformats.org/officeDocument/2006/relationships/hyperlink" Target="https://hobbyrummet.se/papper-av-hog-kvalitet-for-kreativa-hobbyer/" TargetMode="External"/><Relationship Id="rId9721" Type="http://schemas.openxmlformats.org/officeDocument/2006/relationships/hyperlink" Target="http://nordicknots.com/" TargetMode="External"/><Relationship Id="rId11651" Type="http://schemas.openxmlformats.org/officeDocument/2006/relationships/hyperlink" Target="http://vontabel.com/" TargetMode="External"/><Relationship Id="rId12702" Type="http://schemas.openxmlformats.org/officeDocument/2006/relationships/hyperlink" Target="https://nybyggdahus.se/flexibla-foretagsbostader-for-langsiktiga-projekt-i-sverige/" TargetMode="External"/><Relationship Id="rId1710" Type="http://schemas.openxmlformats.org/officeDocument/2006/relationships/hyperlink" Target="https://www.totallystockholm.se/rokning-och-battre-nikotinalternativ/" TargetMode="External"/><Relationship Id="rId7272" Type="http://schemas.openxmlformats.org/officeDocument/2006/relationships/hyperlink" Target="https://www.dagensnaringsliv.se/20250122/276359/trott-pa-sena-betalningar-sa-sakrar-du-din-likviditet" TargetMode="External"/><Relationship Id="rId8323" Type="http://schemas.openxmlformats.org/officeDocument/2006/relationships/hyperlink" Target="https://pezcyclingnews.com/newswire/non-invasive-therapies-to-treat-chronic-pain-from-cycling-injuries/" TargetMode="External"/><Relationship Id="rId10253" Type="http://schemas.openxmlformats.org/officeDocument/2006/relationships/hyperlink" Target="http://himala.ai/" TargetMode="External"/><Relationship Id="rId11304" Type="http://schemas.openxmlformats.org/officeDocument/2006/relationships/hyperlink" Target="https://valutor.nu/" TargetMode="External"/><Relationship Id="rId3882" Type="http://schemas.openxmlformats.org/officeDocument/2006/relationships/hyperlink" Target="https://www.merinfo.se/foretag/Fair-Investments-Sweden-AB-5568169626/2k3576i-kqah" TargetMode="External"/><Relationship Id="rId4933" Type="http://schemas.openxmlformats.org/officeDocument/2006/relationships/hyperlink" Target="https://soartzy.com/tavlor/" TargetMode="External"/><Relationship Id="rId2484" Type="http://schemas.openxmlformats.org/officeDocument/2006/relationships/hyperlink" Target="http://e-ciggbolaget.se/" TargetMode="External"/><Relationship Id="rId3535" Type="http://schemas.openxmlformats.org/officeDocument/2006/relationships/hyperlink" Target="https://varmlandsbygden.se/partner/alfa-forstahandsvalet-for-hogkvalitativa-slitstarka-bekvama-fritidsskor-for-herr/" TargetMode="External"/><Relationship Id="rId9097" Type="http://schemas.openxmlformats.org/officeDocument/2006/relationships/hyperlink" Target="https://himala.ai/" TargetMode="External"/><Relationship Id="rId12078" Type="http://schemas.openxmlformats.org/officeDocument/2006/relationships/hyperlink" Target="https://www.democratiefestival.nu/2023/10/20/halla-ditt-nya-hem-rent-en-nyborjarguide-for-hemagare/" TargetMode="External"/><Relationship Id="rId13129" Type="http://schemas.openxmlformats.org/officeDocument/2006/relationships/hyperlink" Target="https://www.essexmagazine.co.uk/2025/10/how-to-learn-a-new-language-on-the-go/" TargetMode="External"/><Relationship Id="rId456" Type="http://schemas.openxmlformats.org/officeDocument/2006/relationships/hyperlink" Target="http://kopbarnvagn.se/" TargetMode="External"/><Relationship Id="rId1086" Type="http://schemas.openxmlformats.org/officeDocument/2006/relationships/hyperlink" Target="https://jetshopfree.se/nikotinfria-vapes-en-utforskning-av-e-cigaretternas-halsosammare-alternativ/" TargetMode="External"/><Relationship Id="rId2137" Type="http://schemas.openxmlformats.org/officeDocument/2006/relationships/hyperlink" Target="https://www.tryggbil.se/" TargetMode="External"/><Relationship Id="rId109" Type="http://schemas.openxmlformats.org/officeDocument/2006/relationships/hyperlink" Target="http://chronos.se/" TargetMode="External"/><Relationship Id="rId6758" Type="http://schemas.openxmlformats.org/officeDocument/2006/relationships/hyperlink" Target="https://www.joureliten.se/jour-elektriker/" TargetMode="External"/><Relationship Id="rId7809" Type="http://schemas.openxmlformats.org/officeDocument/2006/relationships/hyperlink" Target="https://www.myownwater.com/" TargetMode="External"/><Relationship Id="rId8180" Type="http://schemas.openxmlformats.org/officeDocument/2006/relationships/hyperlink" Target="http://tkw.se/" TargetMode="External"/><Relationship Id="rId9231" Type="http://schemas.openxmlformats.org/officeDocument/2006/relationships/hyperlink" Target="https://www.rusta.com/se/sv/hem--inredning/mattor/" TargetMode="External"/><Relationship Id="rId11161" Type="http://schemas.openxmlformats.org/officeDocument/2006/relationships/hyperlink" Target="https://bigbenstandup.com/" TargetMode="External"/><Relationship Id="rId12212" Type="http://schemas.openxmlformats.org/officeDocument/2006/relationships/hyperlink" Target="http://hemplybalance.com/" TargetMode="External"/><Relationship Id="rId1220" Type="http://schemas.openxmlformats.org/officeDocument/2006/relationships/hyperlink" Target="http://schjodt.com/" TargetMode="External"/><Relationship Id="rId4790" Type="http://schemas.openxmlformats.org/officeDocument/2006/relationships/hyperlink" Target="http://aretrotale.com/" TargetMode="External"/><Relationship Id="rId5841" Type="http://schemas.openxmlformats.org/officeDocument/2006/relationships/hyperlink" Target="http://rehabgrossisten.com/" TargetMode="External"/><Relationship Id="rId3392" Type="http://schemas.openxmlformats.org/officeDocument/2006/relationships/hyperlink" Target="http://norteam.se/" TargetMode="External"/><Relationship Id="rId4443" Type="http://schemas.openxmlformats.org/officeDocument/2006/relationships/hyperlink" Target="https://www.heteknik.se/" TargetMode="External"/><Relationship Id="rId3045" Type="http://schemas.openxmlformats.org/officeDocument/2006/relationships/hyperlink" Target="http://spelklubben.se/" TargetMode="External"/><Relationship Id="rId7666" Type="http://schemas.openxmlformats.org/officeDocument/2006/relationships/hyperlink" Target="https://fritidsaktivitet.se/hitta-ratt-batmotordelar-for-dina-hobbyprojekt/" TargetMode="External"/><Relationship Id="rId8717" Type="http://schemas.openxmlformats.org/officeDocument/2006/relationships/hyperlink" Target="https://beautymama.se/professionell-hudvard-i-stockholm-behandlingar-som-forandrar-huden/" TargetMode="External"/><Relationship Id="rId10994" Type="http://schemas.openxmlformats.org/officeDocument/2006/relationships/hyperlink" Target="https://www.lsb.se/privatlan" TargetMode="External"/><Relationship Id="rId6268" Type="http://schemas.openxmlformats.org/officeDocument/2006/relationships/hyperlink" Target="http://joureliten.se/" TargetMode="External"/><Relationship Id="rId7319" Type="http://schemas.openxmlformats.org/officeDocument/2006/relationships/hyperlink" Target="https://www.uochd.se/lb-article/181173/guide-startmotorer-allt-du-behover-veta-for-att-halla-fordonet-i-toppskick" TargetMode="External"/><Relationship Id="rId10647" Type="http://schemas.openxmlformats.org/officeDocument/2006/relationships/hyperlink" Target="http://kvarnx.com/" TargetMode="External"/><Relationship Id="rId13120" Type="http://schemas.openxmlformats.org/officeDocument/2006/relationships/hyperlink" Target="https://golfp&#229;tv.se/blogg/golfens-filmfoto/" TargetMode="External"/><Relationship Id="rId100" Type="http://schemas.openxmlformats.org/officeDocument/2006/relationships/hyperlink" Target="https://hustillsalu.se/" TargetMode="External"/><Relationship Id="rId2878" Type="http://schemas.openxmlformats.org/officeDocument/2006/relationships/hyperlink" Target="https://e-ciggbolaget.se/e-cigaretter/engangs-vape/panther-bar/?hr-page=%7B%22product_count%22%3A24%7D" TargetMode="External"/><Relationship Id="rId3929" Type="http://schemas.openxmlformats.org/officeDocument/2006/relationships/hyperlink" Target="https://x.com/i/flow/login?redirect_after_login=%2FFairInvSwe" TargetMode="External"/><Relationship Id="rId7800" Type="http://schemas.openxmlformats.org/officeDocument/2006/relationships/hyperlink" Target="http://upplevelse.com/" TargetMode="External"/><Relationship Id="rId5351" Type="http://schemas.openxmlformats.org/officeDocument/2006/relationships/hyperlink" Target="https://www.sportochfritidsnyheter.se/20241001/3994/5-tips-dig-som-inte-vill-missa-ett-enda-sportevenemang" TargetMode="External"/><Relationship Id="rId6402" Type="http://schemas.openxmlformats.org/officeDocument/2006/relationships/hyperlink" Target="https://megapersonal.pro/the-science-of-spice-how-heat-in-food-affects-your-brain-mood-and-health/" TargetMode="External"/><Relationship Id="rId9972" Type="http://schemas.openxmlformats.org/officeDocument/2006/relationships/hyperlink" Target="http://myownwater.com/" TargetMode="External"/><Relationship Id="rId1961" Type="http://schemas.openxmlformats.org/officeDocument/2006/relationships/hyperlink" Target="https://www.vont.se/nicotine-pouches" TargetMode="External"/><Relationship Id="rId5004" Type="http://schemas.openxmlformats.org/officeDocument/2006/relationships/hyperlink" Target="https://www.spolarent.se/stamspolning-stockholm/" TargetMode="External"/><Relationship Id="rId8574" Type="http://schemas.openxmlformats.org/officeDocument/2006/relationships/hyperlink" Target="http://mockfjards.se/" TargetMode="External"/><Relationship Id="rId9625" Type="http://schemas.openxmlformats.org/officeDocument/2006/relationships/hyperlink" Target="https://www.lsb.se/privatlan" TargetMode="External"/><Relationship Id="rId11555" Type="http://schemas.openxmlformats.org/officeDocument/2006/relationships/hyperlink" Target="https://sufracofinebrands.com/" TargetMode="External"/><Relationship Id="rId12606" Type="http://schemas.openxmlformats.org/officeDocument/2006/relationships/hyperlink" Target="https://www.lsb.se/" TargetMode="External"/><Relationship Id="rId12953" Type="http://schemas.openxmlformats.org/officeDocument/2006/relationships/hyperlink" Target="https://eventeffect.se/2025-ett-rekord-ar-for-evenemang-som-behover-storre-sakerhet-2026/" TargetMode="External"/><Relationship Id="rId1614" Type="http://schemas.openxmlformats.org/officeDocument/2006/relationships/hyperlink" Target="http://ritty.se/" TargetMode="External"/><Relationship Id="rId7176" Type="http://schemas.openxmlformats.org/officeDocument/2006/relationships/hyperlink" Target="https://www.purakliniken.se/estetisk-tandvard/skalfasader/" TargetMode="External"/><Relationship Id="rId8227" Type="http://schemas.openxmlformats.org/officeDocument/2006/relationships/hyperlink" Target="https://www.sarasotamagazine.com/advantagepoint/2025/03/wave-goodbye-to-pain-how-shock-wave-therapy-can-transform-your-life" TargetMode="External"/><Relationship Id="rId10157" Type="http://schemas.openxmlformats.org/officeDocument/2006/relationships/hyperlink" Target="http://chattanoogarehab.com/" TargetMode="External"/><Relationship Id="rId11208" Type="http://schemas.openxmlformats.org/officeDocument/2006/relationships/hyperlink" Target="https://fashionsizzle.com/2022/09/12/guide-where-to-find-inspiration-for-must-have-items-for-fall/" TargetMode="External"/><Relationship Id="rId3786" Type="http://schemas.openxmlformats.org/officeDocument/2006/relationships/hyperlink" Target="http://freckeus.se/" TargetMode="External"/><Relationship Id="rId2388" Type="http://schemas.openxmlformats.org/officeDocument/2006/relationships/hyperlink" Target="https://www.albatrosssegel.se/" TargetMode="External"/><Relationship Id="rId3439" Type="http://schemas.openxmlformats.org/officeDocument/2006/relationships/hyperlink" Target="https://www.alvtorpet.se/" TargetMode="External"/><Relationship Id="rId4837" Type="http://schemas.openxmlformats.org/officeDocument/2006/relationships/hyperlink" Target="http://sakraror.se/" TargetMode="External"/><Relationship Id="rId7310" Type="http://schemas.openxmlformats.org/officeDocument/2006/relationships/hyperlink" Target="https://www.executiveeffect.se/vad-ar-fair-investments/" TargetMode="External"/><Relationship Id="rId3920" Type="http://schemas.openxmlformats.org/officeDocument/2006/relationships/hyperlink" Target="https://www.spelklubben.se/sv/casino" TargetMode="External"/><Relationship Id="rId8084" Type="http://schemas.openxmlformats.org/officeDocument/2006/relationships/hyperlink" Target="https://finest.se/varfor-du-bor-valja-ett-svenskt-natcasino/" TargetMode="External"/><Relationship Id="rId9482" Type="http://schemas.openxmlformats.org/officeDocument/2006/relationships/hyperlink" Target="https://fotbollsthlm.se/uncategorized/stammer-bilden-av-stockholmsklubbarnas-supporters/" TargetMode="External"/><Relationship Id="rId12463" Type="http://schemas.openxmlformats.org/officeDocument/2006/relationships/hyperlink" Target="https://podradio.nu/fair-investments-for-en-rattvis-kapitalforvaltning/" TargetMode="External"/><Relationship Id="rId841" Type="http://schemas.openxmlformats.org/officeDocument/2006/relationships/hyperlink" Target="https://www.happysocks.com/us/collection/dressed" TargetMode="External"/><Relationship Id="rId1471" Type="http://schemas.openxmlformats.org/officeDocument/2006/relationships/hyperlink" Target="https://www.smartbusinessdaily.com/alternative-business-lending-options/" TargetMode="External"/><Relationship Id="rId2522" Type="http://schemas.openxmlformats.org/officeDocument/2006/relationships/hyperlink" Target="https://carpcon.se/fonsterbyte/" TargetMode="External"/><Relationship Id="rId9135" Type="http://schemas.openxmlformats.org/officeDocument/2006/relationships/hyperlink" Target="https://undergrowthgames.com/how-gamers-balance-focus-habits-and-play/" TargetMode="External"/><Relationship Id="rId11065" Type="http://schemas.openxmlformats.org/officeDocument/2006/relationships/hyperlink" Target="https://www.zmarta.se/" TargetMode="External"/><Relationship Id="rId12116" Type="http://schemas.openxmlformats.org/officeDocument/2006/relationships/hyperlink" Target="https://bytevarsity.com/choosing-the-perfect-watch-a-comprehensive-guide-to-match-your-style-and-needs/" TargetMode="External"/><Relationship Id="rId1124" Type="http://schemas.openxmlformats.org/officeDocument/2006/relationships/hyperlink" Target="https://www.happysocks.com/us/collection/socks-for-men" TargetMode="External"/><Relationship Id="rId4694" Type="http://schemas.openxmlformats.org/officeDocument/2006/relationships/hyperlink" Target="http://lansfast.se/" TargetMode="External"/><Relationship Id="rId5745" Type="http://schemas.openxmlformats.org/officeDocument/2006/relationships/hyperlink" Target="https://www.cherry.com/sv/live-casino" TargetMode="External"/><Relationship Id="rId3296" Type="http://schemas.openxmlformats.org/officeDocument/2006/relationships/hyperlink" Target="http://lansfast.se/" TargetMode="External"/><Relationship Id="rId4347" Type="http://schemas.openxmlformats.org/officeDocument/2006/relationships/hyperlink" Target="http://spelklubben.se/" TargetMode="External"/><Relationship Id="rId8968" Type="http://schemas.openxmlformats.org/officeDocument/2006/relationships/hyperlink" Target="http://rusta.se/" TargetMode="External"/><Relationship Id="rId10898" Type="http://schemas.openxmlformats.org/officeDocument/2006/relationships/hyperlink" Target="https://www.thesportsbank.net/the-bank/nicotine-pouches-a-smoke-free-option-for-peak-performance/" TargetMode="External"/><Relationship Id="rId11949" Type="http://schemas.openxmlformats.org/officeDocument/2006/relationships/hyperlink" Target="https://www.oconnors.se/" TargetMode="External"/><Relationship Id="rId3430" Type="http://schemas.openxmlformats.org/officeDocument/2006/relationships/hyperlink" Target="https://tiotak.se/byta-tak-ekonomibyggnad/" TargetMode="External"/><Relationship Id="rId13024" Type="http://schemas.openxmlformats.org/officeDocument/2006/relationships/hyperlink" Target="http://minifinder.se/" TargetMode="External"/><Relationship Id="rId351" Type="http://schemas.openxmlformats.org/officeDocument/2006/relationships/hyperlink" Target="http://arctic.se/" TargetMode="External"/><Relationship Id="rId2032" Type="http://schemas.openxmlformats.org/officeDocument/2006/relationships/hyperlink" Target="https://www.affarsvarlden.se/native/spetsig-fond-hittar-globala-vinnare" TargetMode="External"/><Relationship Id="rId6653" Type="http://schemas.openxmlformats.org/officeDocument/2006/relationships/hyperlink" Target="http://bigbenstandup.com/" TargetMode="External"/><Relationship Id="rId7704" Type="http://schemas.openxmlformats.org/officeDocument/2006/relationships/hyperlink" Target="https://alltombeauty.se/sa-valjer-du-ratt-tandlakare-i-stockholm-for-en-vackrare-leende/" TargetMode="External"/><Relationship Id="rId5255" Type="http://schemas.openxmlformats.org/officeDocument/2006/relationships/hyperlink" Target="http://cdg.io/" TargetMode="External"/><Relationship Id="rId6306" Type="http://schemas.openxmlformats.org/officeDocument/2006/relationships/hyperlink" Target="http://ekstromgaray.se/" TargetMode="External"/><Relationship Id="rId9876" Type="http://schemas.openxmlformats.org/officeDocument/2006/relationships/hyperlink" Target="https://tvohjelmat.com/mita-sina-katsot-tana-iltana-tassa-vinkkeja-parhaista-ohjelmista/" TargetMode="External"/><Relationship Id="rId1865" Type="http://schemas.openxmlformats.org/officeDocument/2006/relationships/hyperlink" Target="http://lansfast.se/" TargetMode="External"/><Relationship Id="rId8478" Type="http://schemas.openxmlformats.org/officeDocument/2006/relationships/hyperlink" Target="http://bethard.com/" TargetMode="External"/><Relationship Id="rId9529" Type="http://schemas.openxmlformats.org/officeDocument/2006/relationships/hyperlink" Target="http://maklarringen.se/" TargetMode="External"/><Relationship Id="rId12857" Type="http://schemas.openxmlformats.org/officeDocument/2006/relationships/hyperlink" Target="https://www.myownwater.com/aluminum-water-bottles" TargetMode="External"/><Relationship Id="rId1518" Type="http://schemas.openxmlformats.org/officeDocument/2006/relationships/hyperlink" Target="https://fashionablymale.net/2023/10/03/styling-mens-dress-socks-for-a-stylish-outfit/" TargetMode="External"/><Relationship Id="rId2916" Type="http://schemas.openxmlformats.org/officeDocument/2006/relationships/hyperlink" Target="https://www.lfc.se/nyheter/56264/utforska-den-spannande-varlden-av-luckycasino" TargetMode="External"/><Relationship Id="rId11459" Type="http://schemas.openxmlformats.org/officeDocument/2006/relationships/hyperlink" Target="https://ljusgrossisten.se/" TargetMode="External"/><Relationship Id="rId11940" Type="http://schemas.openxmlformats.org/officeDocument/2006/relationships/hyperlink" Target="https://www.isakstrafikskola.se/" TargetMode="External"/><Relationship Id="rId6163" Type="http://schemas.openxmlformats.org/officeDocument/2006/relationships/hyperlink" Target="https://kvinnamedsmak.se/" TargetMode="External"/><Relationship Id="rId7561" Type="http://schemas.openxmlformats.org/officeDocument/2006/relationships/hyperlink" Target="https://www.chattanoogarehab.com/blog/introducing-the-chattanooga-variable-muscle-stimulation-vms-white-paper/" TargetMode="External"/><Relationship Id="rId8612" Type="http://schemas.openxmlformats.org/officeDocument/2006/relationships/hyperlink" Target="https://cdbilvardsprodukter.se/" TargetMode="External"/><Relationship Id="rId10542" Type="http://schemas.openxmlformats.org/officeDocument/2006/relationships/hyperlink" Target="https://www.saleseffect.se/skapa-starkare-band-pa-jobbet-med-en-upplevelse-som-gava/" TargetMode="External"/><Relationship Id="rId7214" Type="http://schemas.openxmlformats.org/officeDocument/2006/relationships/hyperlink" Target="https://vackerhud.se/tandimplantat-och-skonhet-en-guide-till-stralande-leende/" TargetMode="External"/><Relationship Id="rId2773" Type="http://schemas.openxmlformats.org/officeDocument/2006/relationships/hyperlink" Target="https://koordinater.se/artiklar/happycasino-erbjuder-smidig-och-spannande-spelunderhallning-online.aspx" TargetMode="External"/><Relationship Id="rId3824" Type="http://schemas.openxmlformats.org/officeDocument/2006/relationships/hyperlink" Target="https://www.medalgon.se/" TargetMode="External"/><Relationship Id="rId9386" Type="http://schemas.openxmlformats.org/officeDocument/2006/relationships/hyperlink" Target="https://www.lsb.se/" TargetMode="External"/><Relationship Id="rId12367" Type="http://schemas.openxmlformats.org/officeDocument/2006/relationships/hyperlink" Target="http://ritty.se/" TargetMode="External"/><Relationship Id="rId745" Type="http://schemas.openxmlformats.org/officeDocument/2006/relationships/hyperlink" Target="https://egenvilla.se/drommer-du-om-att-kopa-en-egen-villa-detta-ska-du-tanka-pa/" TargetMode="External"/><Relationship Id="rId1375" Type="http://schemas.openxmlformats.org/officeDocument/2006/relationships/hyperlink" Target="http://fairinvestments.se/" TargetMode="External"/><Relationship Id="rId2426" Type="http://schemas.openxmlformats.org/officeDocument/2006/relationships/hyperlink" Target="http://distansinstitutet.se/" TargetMode="External"/><Relationship Id="rId5996" Type="http://schemas.openxmlformats.org/officeDocument/2006/relationships/hyperlink" Target="https://dailyemerald.com/153244/promotedposts/campus-connections-boosting-mental-health-through-events/" TargetMode="External"/><Relationship Id="rId9039" Type="http://schemas.openxmlformats.org/officeDocument/2006/relationships/hyperlink" Target="http://technobark.com/" TargetMode="External"/><Relationship Id="rId81" Type="http://schemas.openxmlformats.org/officeDocument/2006/relationships/hyperlink" Target="https://allnewsmagazine.com/benefits-of-having-tailoring-jeans/" TargetMode="External"/><Relationship Id="rId1028" Type="http://schemas.openxmlformats.org/officeDocument/2006/relationships/hyperlink" Target="https://www.happysocks.com/us/collection/dressed" TargetMode="External"/><Relationship Id="rId4598" Type="http://schemas.openxmlformats.org/officeDocument/2006/relationships/hyperlink" Target="http://tandea.se/" TargetMode="External"/><Relationship Id="rId5649" Type="http://schemas.openxmlformats.org/officeDocument/2006/relationships/hyperlink" Target="http://cherry.com/" TargetMode="External"/><Relationship Id="rId9520" Type="http://schemas.openxmlformats.org/officeDocument/2006/relationships/hyperlink" Target="http://svenskafonster.se/" TargetMode="External"/><Relationship Id="rId7071" Type="http://schemas.openxmlformats.org/officeDocument/2006/relationships/hyperlink" Target="http://spelklubben.se/" TargetMode="External"/><Relationship Id="rId8122" Type="http://schemas.openxmlformats.org/officeDocument/2006/relationships/hyperlink" Target="https://investeringer.se/skraddarsydda-investeringstjanster-for-maximal-avkastning-och-trygghet/" TargetMode="External"/><Relationship Id="rId11450" Type="http://schemas.openxmlformats.org/officeDocument/2006/relationships/hyperlink" Target="https://www.lansfast.se/maklare/sodermanland/nykoping/" TargetMode="External"/><Relationship Id="rId12501" Type="http://schemas.openxmlformats.org/officeDocument/2006/relationships/hyperlink" Target="http://sundsvallbergvarme.se/" TargetMode="External"/><Relationship Id="rId10052" Type="http://schemas.openxmlformats.org/officeDocument/2006/relationships/hyperlink" Target="https://www.megariches.com/sv/" TargetMode="External"/><Relationship Id="rId11103" Type="http://schemas.openxmlformats.org/officeDocument/2006/relationships/hyperlink" Target="http://lsb.se/" TargetMode="External"/><Relationship Id="rId3681" Type="http://schemas.openxmlformats.org/officeDocument/2006/relationships/hyperlink" Target="https://www.alpenkarpatenkorridor.at/naturschutz-fur-die-alpen-und-karpaten" TargetMode="External"/><Relationship Id="rId4732" Type="http://schemas.openxmlformats.org/officeDocument/2006/relationships/hyperlink" Target="http://spelklubben.se/" TargetMode="External"/><Relationship Id="rId13275" Type="http://schemas.openxmlformats.org/officeDocument/2006/relationships/hyperlink" Target="http://sesec.se/" TargetMode="External"/><Relationship Id="rId2283" Type="http://schemas.openxmlformats.org/officeDocument/2006/relationships/hyperlink" Target="https://distansinstitutet.se/distansutbildningar/pedagogik/vardbitrade/" TargetMode="External"/><Relationship Id="rId3334" Type="http://schemas.openxmlformats.org/officeDocument/2006/relationships/hyperlink" Target="http://aaatak.se/" TargetMode="External"/><Relationship Id="rId7955" Type="http://schemas.openxmlformats.org/officeDocument/2006/relationships/hyperlink" Target="http://cateringfabriken.se/" TargetMode="External"/><Relationship Id="rId255" Type="http://schemas.openxmlformats.org/officeDocument/2006/relationships/hyperlink" Target="https://galamagazine.se/tips-pa-roliga-aktiviteter-i-stockholm/" TargetMode="External"/><Relationship Id="rId6557" Type="http://schemas.openxmlformats.org/officeDocument/2006/relationships/hyperlink" Target="https://www.energieffektivabyggnader.se/" TargetMode="External"/><Relationship Id="rId7608" Type="http://schemas.openxmlformats.org/officeDocument/2006/relationships/hyperlink" Target="http://rusta.se/" TargetMode="External"/><Relationship Id="rId10936" Type="http://schemas.openxmlformats.org/officeDocument/2006/relationships/hyperlink" Target="https://www.willabgarden.de/gewachshauser/" TargetMode="External"/><Relationship Id="rId5159" Type="http://schemas.openxmlformats.org/officeDocument/2006/relationships/hyperlink" Target="http://e-ciggbolaget.se/" TargetMode="External"/><Relationship Id="rId9030" Type="http://schemas.openxmlformats.org/officeDocument/2006/relationships/hyperlink" Target="http://lsb.se/" TargetMode="External"/><Relationship Id="rId12011" Type="http://schemas.openxmlformats.org/officeDocument/2006/relationships/hyperlink" Target="https://rvpr.se/forbered-ditt-hem-for-vintern-tips-och-trix/" TargetMode="External"/><Relationship Id="rId1769" Type="http://schemas.openxmlformats.org/officeDocument/2006/relationships/hyperlink" Target="https://trevligahem.se/den-ultimata-losningen-for-miljovanlig-silverputsning/" TargetMode="External"/><Relationship Id="rId3191" Type="http://schemas.openxmlformats.org/officeDocument/2006/relationships/hyperlink" Target="https://www.reco.se/fair-investments-sweden-ab" TargetMode="External"/><Relationship Id="rId4242" Type="http://schemas.openxmlformats.org/officeDocument/2006/relationships/hyperlink" Target="https://www.hvvs.se/" TargetMode="External"/><Relationship Id="rId5640" Type="http://schemas.openxmlformats.org/officeDocument/2006/relationships/hyperlink" Target="http://kvarnx.com/" TargetMode="External"/><Relationship Id="rId8863" Type="http://schemas.openxmlformats.org/officeDocument/2006/relationships/hyperlink" Target="https://formotorbikes.com/riding-the-california-pacific-coast-highway-enjoying-the-scenic-views-safely/" TargetMode="External"/><Relationship Id="rId9914" Type="http://schemas.openxmlformats.org/officeDocument/2006/relationships/hyperlink" Target="http://svenskalasjouren.se/" TargetMode="External"/><Relationship Id="rId10793" Type="http://schemas.openxmlformats.org/officeDocument/2006/relationships/hyperlink" Target="http://maklarringen.se/" TargetMode="External"/><Relationship Id="rId11844" Type="http://schemas.openxmlformats.org/officeDocument/2006/relationships/hyperlink" Target="http://askskinfo.com/all-i-am-beauty" TargetMode="External"/><Relationship Id="rId1903" Type="http://schemas.openxmlformats.org/officeDocument/2006/relationships/hyperlink" Target="https://www.naringslivetfb.se/" TargetMode="External"/><Relationship Id="rId7465" Type="http://schemas.openxmlformats.org/officeDocument/2006/relationships/hyperlink" Target="http://spelklubben.se/" TargetMode="External"/><Relationship Id="rId8516" Type="http://schemas.openxmlformats.org/officeDocument/2006/relationships/hyperlink" Target="https://glassfactory.fi/sv/collections/led-mirrors-1" TargetMode="External"/><Relationship Id="rId10446" Type="http://schemas.openxmlformats.org/officeDocument/2006/relationships/hyperlink" Target="https://www.rusta.com/sv-se/hem-och-inredning/belysning" TargetMode="External"/><Relationship Id="rId6067" Type="http://schemas.openxmlformats.org/officeDocument/2006/relationships/hyperlink" Target="http://fairinvestments.se/" TargetMode="External"/><Relationship Id="rId7118" Type="http://schemas.openxmlformats.org/officeDocument/2006/relationships/hyperlink" Target="http://standupsverige.se/" TargetMode="External"/><Relationship Id="rId996" Type="http://schemas.openxmlformats.org/officeDocument/2006/relationships/hyperlink" Target="http://distansinstitutet.se/" TargetMode="External"/><Relationship Id="rId2677" Type="http://schemas.openxmlformats.org/officeDocument/2006/relationships/hyperlink" Target="https://agentinteractive.se/en-djupdykning-i-vapes-aterfyllbara-eller-engangsvapes/" TargetMode="External"/><Relationship Id="rId3728" Type="http://schemas.openxmlformats.org/officeDocument/2006/relationships/hyperlink" Target="http://mariatand.se/" TargetMode="External"/><Relationship Id="rId649" Type="http://schemas.openxmlformats.org/officeDocument/2006/relationships/hyperlink" Target="https://www.happysocks.com/us/collection/socks-for-men" TargetMode="External"/><Relationship Id="rId1279" Type="http://schemas.openxmlformats.org/officeDocument/2006/relationships/hyperlink" Target="http://distansinstitutet.se/" TargetMode="External"/><Relationship Id="rId5150" Type="http://schemas.openxmlformats.org/officeDocument/2006/relationships/hyperlink" Target="http://arctic.se/" TargetMode="External"/><Relationship Id="rId6201" Type="http://schemas.openxmlformats.org/officeDocument/2006/relationships/hyperlink" Target="https://www.fotboll.com/betting/odds" TargetMode="External"/><Relationship Id="rId8373" Type="http://schemas.openxmlformats.org/officeDocument/2006/relationships/hyperlink" Target="http://rusta.se/" TargetMode="External"/><Relationship Id="rId9771" Type="http://schemas.openxmlformats.org/officeDocument/2006/relationships/hyperlink" Target="https://www.lansfast.se/maklare/sodermanland/trosa/" TargetMode="External"/><Relationship Id="rId12752" Type="http://schemas.openxmlformats.org/officeDocument/2006/relationships/hyperlink" Target="https://finns.se/foretagstjanster/kontorsstadning/" TargetMode="External"/><Relationship Id="rId1760" Type="http://schemas.openxmlformats.org/officeDocument/2006/relationships/hyperlink" Target="http://alfa.no/" TargetMode="External"/><Relationship Id="rId2811" Type="http://schemas.openxmlformats.org/officeDocument/2006/relationships/hyperlink" Target="https://www.kingsizemag.se/okategoriserat/spelklubben-det-nya-ansvarsfulla-online-casinot-i-sverige/" TargetMode="External"/><Relationship Id="rId8026" Type="http://schemas.openxmlformats.org/officeDocument/2006/relationships/hyperlink" Target="https://luurituki.fi/sosiaalisen-median-trendit-miten-ne-vaikuttavat-meihin/" TargetMode="External"/><Relationship Id="rId9424" Type="http://schemas.openxmlformats.org/officeDocument/2006/relationships/hyperlink" Target="http://newst.se/battre-villkor-och-ranterabatt-men-manga-vagar-inte-pruta-pa-lan/" TargetMode="External"/><Relationship Id="rId11354" Type="http://schemas.openxmlformats.org/officeDocument/2006/relationships/hyperlink" Target="https://www.braf&#246;retagsl&#229;n.se/vontobel-markets-en-oversikt-over-onlinehandelsplattformen-och-investeringar-med-havstang/" TargetMode="External"/><Relationship Id="rId12405" Type="http://schemas.openxmlformats.org/officeDocument/2006/relationships/hyperlink" Target="http://lansfast.se/" TargetMode="External"/><Relationship Id="rId1413" Type="http://schemas.openxmlformats.org/officeDocument/2006/relationships/hyperlink" Target="https://sipski.se/" TargetMode="External"/><Relationship Id="rId4983" Type="http://schemas.openxmlformats.org/officeDocument/2006/relationships/hyperlink" Target="https://www.spelklubben.se/sv/betting" TargetMode="External"/><Relationship Id="rId11007" Type="http://schemas.openxmlformats.org/officeDocument/2006/relationships/hyperlink" Target="https://sporth&#228;nt.se/hur-ar-en-bra-tranare-enligt-idrottspsykologi/" TargetMode="External"/><Relationship Id="rId3585" Type="http://schemas.openxmlformats.org/officeDocument/2006/relationships/hyperlink" Target="http://lsb.se/" TargetMode="External"/><Relationship Id="rId4636" Type="http://schemas.openxmlformats.org/officeDocument/2006/relationships/hyperlink" Target="https://pontechmarina.com/se/flytbrygga/vagbrytare/" TargetMode="External"/><Relationship Id="rId13179" Type="http://schemas.openxmlformats.org/officeDocument/2006/relationships/hyperlink" Target="https://www.hajper.com/sv/sportsbook" TargetMode="External"/><Relationship Id="rId2187" Type="http://schemas.openxmlformats.org/officeDocument/2006/relationships/hyperlink" Target="http://e-ciggbolaget.se/" TargetMode="External"/><Relationship Id="rId3238" Type="http://schemas.openxmlformats.org/officeDocument/2006/relationships/hyperlink" Target="http://arctic.se/" TargetMode="External"/><Relationship Id="rId7859" Type="http://schemas.openxmlformats.org/officeDocument/2006/relationships/hyperlink" Target="https://podcasts.nu/blogg/5-poddar-som-hjalper-dig-forverkliga-dina-husprojekt-och-de-basta-avsnitten-2025" TargetMode="External"/><Relationship Id="rId159" Type="http://schemas.openxmlformats.org/officeDocument/2006/relationships/hyperlink" Target="https://www.kopbarnvagn.se/sv/artiklar/bugaboo/index.html" TargetMode="External"/><Relationship Id="rId9281" Type="http://schemas.openxmlformats.org/officeDocument/2006/relationships/hyperlink" Target="https://www.tandlakare.se/stad/stockholm/" TargetMode="External"/><Relationship Id="rId1270" Type="http://schemas.openxmlformats.org/officeDocument/2006/relationships/hyperlink" Target="http://distansinstitutet.se/" TargetMode="External"/><Relationship Id="rId12262" Type="http://schemas.openxmlformats.org/officeDocument/2006/relationships/hyperlink" Target="http://triwa.com/" TargetMode="External"/><Relationship Id="rId13313" Type="http://schemas.openxmlformats.org/officeDocument/2006/relationships/hyperlink" Target="http://videoslots.com/" TargetMode="External"/><Relationship Id="rId640" Type="http://schemas.openxmlformats.org/officeDocument/2006/relationships/hyperlink" Target="https://blugiallo.com/clothing-inspiration/the-fresco-suit-a-reason-to-love-high-twist-wool/" TargetMode="External"/><Relationship Id="rId2321" Type="http://schemas.openxmlformats.org/officeDocument/2006/relationships/hyperlink" Target="https://ingelaclarin.se/studera-pedagogik-pa-distans" TargetMode="External"/><Relationship Id="rId5891" Type="http://schemas.openxmlformats.org/officeDocument/2006/relationships/hyperlink" Target="https://lyckligalotta.se/e-cigaretter-en-guide-till-en-halsosammare-livsstil/" TargetMode="External"/><Relationship Id="rId6942" Type="http://schemas.openxmlformats.org/officeDocument/2006/relationships/hyperlink" Target="https://oljedroppen.se/produkt-kategori/bilprodukter/motorolja/" TargetMode="External"/><Relationship Id="rId4493" Type="http://schemas.openxmlformats.org/officeDocument/2006/relationships/hyperlink" Target="https://novamedtech.se/knaskydd-knastod-anvandningsomraden-fordelar/" TargetMode="External"/><Relationship Id="rId5544" Type="http://schemas.openxmlformats.org/officeDocument/2006/relationships/hyperlink" Target="https://kasinoguide.com/" TargetMode="External"/><Relationship Id="rId3095" Type="http://schemas.openxmlformats.org/officeDocument/2006/relationships/hyperlink" Target="https://dinlokalabokhandel.se/he-teknik-skapare-av-oforglomliga-foretagsevent-i-visby/" TargetMode="External"/><Relationship Id="rId4146" Type="http://schemas.openxmlformats.org/officeDocument/2006/relationships/hyperlink" Target="http://kvarnx.com/" TargetMode="External"/><Relationship Id="rId8767" Type="http://schemas.openxmlformats.org/officeDocument/2006/relationships/hyperlink" Target="https://dreamfilm.se/blogg/gameshows-en-ny-fas-for-direktsand-underhallning/" TargetMode="External"/><Relationship Id="rId9818" Type="http://schemas.openxmlformats.org/officeDocument/2006/relationships/hyperlink" Target="http://tiotak.se/" TargetMode="External"/><Relationship Id="rId10697" Type="http://schemas.openxmlformats.org/officeDocument/2006/relationships/hyperlink" Target="https://www.upplevelse.com/" TargetMode="External"/><Relationship Id="rId1807" Type="http://schemas.openxmlformats.org/officeDocument/2006/relationships/hyperlink" Target="https://bigbenstandup.com/svensk-stand-up/svenska-komiker/tomas-bonderud" TargetMode="External"/><Relationship Id="rId7369" Type="http://schemas.openxmlformats.org/officeDocument/2006/relationships/hyperlink" Target="http://chattanoogarehab.com/" TargetMode="External"/><Relationship Id="rId11748" Type="http://schemas.openxmlformats.org/officeDocument/2006/relationships/hyperlink" Target="https://yagya.com/" TargetMode="External"/><Relationship Id="rId13170" Type="http://schemas.openxmlformats.org/officeDocument/2006/relationships/hyperlink" Target="https://www.tandlakare.se/stad/stockholm/" TargetMode="External"/><Relationship Id="rId150" Type="http://schemas.openxmlformats.org/officeDocument/2006/relationships/hyperlink" Target="https://b&#228;stf&#246;rs&#228;kringar.se/villaforsakring/" TargetMode="External"/><Relationship Id="rId3979" Type="http://schemas.openxmlformats.org/officeDocument/2006/relationships/hyperlink" Target="https://www.norteam.se/tjanster" TargetMode="External"/><Relationship Id="rId6452" Type="http://schemas.openxmlformats.org/officeDocument/2006/relationships/hyperlink" Target="https://www.cherry.com/sv/casino" TargetMode="External"/><Relationship Id="rId7850" Type="http://schemas.openxmlformats.org/officeDocument/2006/relationships/hyperlink" Target="https://alltomnorrtalje.se/norrtaljes-narhet-till-sveriges-tandmecka-en-bussresa-bort-till-ett-battre-leende/" TargetMode="External"/><Relationship Id="rId8901" Type="http://schemas.openxmlformats.org/officeDocument/2006/relationships/hyperlink" Target="https://leaptodigital.com/roofing-crm" TargetMode="External"/><Relationship Id="rId10831" Type="http://schemas.openxmlformats.org/officeDocument/2006/relationships/hyperlink" Target="http://lsb.se/" TargetMode="External"/><Relationship Id="rId5054" Type="http://schemas.openxmlformats.org/officeDocument/2006/relationships/hyperlink" Target="https://www.snusnetto.se/nyheter/" TargetMode="External"/><Relationship Id="rId6105" Type="http://schemas.openxmlformats.org/officeDocument/2006/relationships/hyperlink" Target="https://www.chattanoogarehab.com/us/clinical-electrotherapy/electrical-stimulation" TargetMode="External"/><Relationship Id="rId7503" Type="http://schemas.openxmlformats.org/officeDocument/2006/relationships/hyperlink" Target="http://kamux.fi/" TargetMode="External"/><Relationship Id="rId9675" Type="http://schemas.openxmlformats.org/officeDocument/2006/relationships/hyperlink" Target="http://minifinder.se/" TargetMode="External"/><Relationship Id="rId12656" Type="http://schemas.openxmlformats.org/officeDocument/2006/relationships/hyperlink" Target="https://www.epidemicsound.com/es/music/" TargetMode="External"/><Relationship Id="rId1664" Type="http://schemas.openxmlformats.org/officeDocument/2006/relationships/hyperlink" Target="https://dittnettsted.com/slik-fjerner-du-vond-lukt-fra-sko/" TargetMode="External"/><Relationship Id="rId2715" Type="http://schemas.openxmlformats.org/officeDocument/2006/relationships/hyperlink" Target="https://everydaytourist.ca/globe-trekking-international-travel/5haj5shfrusxawxk4fjpq4yj9rx0bt" TargetMode="External"/><Relationship Id="rId8277" Type="http://schemas.openxmlformats.org/officeDocument/2006/relationships/hyperlink" Target="http://bus4you.se/" TargetMode="External"/><Relationship Id="rId9328" Type="http://schemas.openxmlformats.org/officeDocument/2006/relationships/hyperlink" Target="https://www.sportochfritidsnyheter.se/20250623/4291/vind-i-seglen-segling-hobbyn-alla-vill-prova-2025" TargetMode="External"/><Relationship Id="rId11258" Type="http://schemas.openxmlformats.org/officeDocument/2006/relationships/hyperlink" Target="http://dieselkraft.se/" TargetMode="External"/><Relationship Id="rId12309" Type="http://schemas.openxmlformats.org/officeDocument/2006/relationships/hyperlink" Target="https://lyckligtliv.se/reishi-svampen-en-djupdykning-i-dess-halsofordelar/" TargetMode="External"/><Relationship Id="rId1317" Type="http://schemas.openxmlformats.org/officeDocument/2006/relationships/hyperlink" Target="https://www.robomarkets.com/se/" TargetMode="External"/><Relationship Id="rId4887" Type="http://schemas.openxmlformats.org/officeDocument/2006/relationships/hyperlink" Target="https://www.spelklubben.se/sv/betting/" TargetMode="External"/><Relationship Id="rId5938" Type="http://schemas.openxmlformats.org/officeDocument/2006/relationships/hyperlink" Target="https://news.cision.com/se/fair-investments" TargetMode="External"/><Relationship Id="rId23" Type="http://schemas.openxmlformats.org/officeDocument/2006/relationships/hyperlink" Target="https://savethefuture.se/5-skal-till-varfor-du-bor-anvanda-ekologiska-stadprodukter/" TargetMode="External"/><Relationship Id="rId3489" Type="http://schemas.openxmlformats.org/officeDocument/2006/relationships/hyperlink" Target="http://e-ciggbolaget.se/" TargetMode="External"/><Relationship Id="rId7360" Type="http://schemas.openxmlformats.org/officeDocument/2006/relationships/hyperlink" Target="https://tsf7.com/%D8%A7%D9%84%D8%AD%D9%8A%D8%A7%D8%A9-%D8%A7%D9%84%D8%AE%D8%A7%D9%84%D9%8A%D8%A9-%D9%85%D9%86-%D8%A7%D9%84%D8%AA%D9%88%D8%AA%D8%B1-%D9%83%D9%8A%D9%81%D9%8A%D8%A9-%D8%A8%D9%86%D8%A7%D8%A1-%D8%B1%D9%88/" TargetMode="External"/><Relationship Id="rId8411" Type="http://schemas.openxmlformats.org/officeDocument/2006/relationships/hyperlink" Target="https://iptvnorge.is/" TargetMode="External"/><Relationship Id="rId7013" Type="http://schemas.openxmlformats.org/officeDocument/2006/relationships/hyperlink" Target="https://igjerstad.no/hva-du-bor-vite-om-inkasso/" TargetMode="External"/><Relationship Id="rId10341" Type="http://schemas.openxmlformats.org/officeDocument/2006/relationships/hyperlink" Target="https://www.spelklubben.se/sv/casino" TargetMode="External"/><Relationship Id="rId3970" Type="http://schemas.openxmlformats.org/officeDocument/2006/relationships/hyperlink" Target="https://www.lansfast.se/maklare/stockholm/taby-danderyd/" TargetMode="External"/><Relationship Id="rId9185" Type="http://schemas.openxmlformats.org/officeDocument/2006/relationships/hyperlink" Target="https://aerius.se/tjanster/ftx-system/" TargetMode="External"/><Relationship Id="rId891" Type="http://schemas.openxmlformats.org/officeDocument/2006/relationships/hyperlink" Target="http://creditsafe.se/" TargetMode="External"/><Relationship Id="rId2572" Type="http://schemas.openxmlformats.org/officeDocument/2006/relationships/hyperlink" Target="https://www.sitartmag.com/danderyd-en-juvel-pa-fastighetsmarknaden" TargetMode="External"/><Relationship Id="rId3623" Type="http://schemas.openxmlformats.org/officeDocument/2006/relationships/hyperlink" Target="https://www.safsenlogi.se/" TargetMode="External"/><Relationship Id="rId12166" Type="http://schemas.openxmlformats.org/officeDocument/2006/relationships/hyperlink" Target="https://herrprylar.se/en-djupdykning-i-alternativet-till-traditionell-rokning/" TargetMode="External"/><Relationship Id="rId13217" Type="http://schemas.openxmlformats.org/officeDocument/2006/relationships/hyperlink" Target="https://www.welshcountry.co.uk/entertainment-infrastructure-and-ethics-in-the-digital-era/" TargetMode="External"/><Relationship Id="rId544" Type="http://schemas.openxmlformats.org/officeDocument/2006/relationships/hyperlink" Target="http://chronos.se/" TargetMode="External"/><Relationship Id="rId1174" Type="http://schemas.openxmlformats.org/officeDocument/2006/relationships/hyperlink" Target="https://pontechmarina.com/se/flytbrygga/" TargetMode="External"/><Relationship Id="rId2225" Type="http://schemas.openxmlformats.org/officeDocument/2006/relationships/hyperlink" Target="https://www.tronderjycken.se/" TargetMode="External"/><Relationship Id="rId5795" Type="http://schemas.openxmlformats.org/officeDocument/2006/relationships/hyperlink" Target="http://tiotak.se/" TargetMode="External"/><Relationship Id="rId6846" Type="http://schemas.openxmlformats.org/officeDocument/2006/relationships/hyperlink" Target="http://vardagsfrid.se/" TargetMode="External"/><Relationship Id="rId4397" Type="http://schemas.openxmlformats.org/officeDocument/2006/relationships/hyperlink" Target="https://livsstilsbloggen.se/hur-bolagsinformation-kan-hjalpa-dig-att-fatta-battre-beslut/" TargetMode="External"/><Relationship Id="rId5448" Type="http://schemas.openxmlformats.org/officeDocument/2006/relationships/hyperlink" Target="https://www.vaken.se/fran-tandblekning-till-skalfasader-vad-ar-det-basta-valet-for-dig/" TargetMode="External"/><Relationship Id="rId12300" Type="http://schemas.openxmlformats.org/officeDocument/2006/relationships/hyperlink" Target="https://www.villarelining.se/" TargetMode="External"/><Relationship Id="rId11999" Type="http://schemas.openxmlformats.org/officeDocument/2006/relationships/hyperlink" Target="https://www.executiveeffect.se/fastighetsjuridik-en-djupdykning-i-lagar-och-rattigheter-inom-fastighetsbranschen/" TargetMode="External"/><Relationship Id="rId3480" Type="http://schemas.openxmlformats.org/officeDocument/2006/relationships/hyperlink" Target="https://www.filippa-k.com/se/sv/dam/ready-to-wear/toppar" TargetMode="External"/><Relationship Id="rId4531" Type="http://schemas.openxmlformats.org/officeDocument/2006/relationships/hyperlink" Target="https://stockholmextra.se/upptack-fordelarna-med-regelbunden-bilservice-en-guide-for-bilagare-i-stockholm/" TargetMode="External"/><Relationship Id="rId13074" Type="http://schemas.openxmlformats.org/officeDocument/2006/relationships/hyperlink" Target="http://tryggbil.se/" TargetMode="External"/><Relationship Id="rId2082" Type="http://schemas.openxmlformats.org/officeDocument/2006/relationships/hyperlink" Target="https://www.reco.se/fair-investments-sweden-ab" TargetMode="External"/><Relationship Id="rId3133" Type="http://schemas.openxmlformats.org/officeDocument/2006/relationships/hyperlink" Target="https://serviceteknikerkarlstad.se/alvtorpet-en-vagledande-forebild-inom-fastighetsforvaltning-trivsel-i-solleftea/" TargetMode="External"/><Relationship Id="rId7754" Type="http://schemas.openxmlformats.org/officeDocument/2006/relationships/hyperlink" Target="https://www.dagensinfrastruktur.se/2025/02/20/nar-det-brinner-och-rasar-har-forsakringar-nagonsin-varit-viktigare/" TargetMode="External"/><Relationship Id="rId8805" Type="http://schemas.openxmlformats.org/officeDocument/2006/relationships/hyperlink" Target="https://www.startmotor.se/fordon/reservdelar-bat/volvo-penta" TargetMode="External"/><Relationship Id="rId10735" Type="http://schemas.openxmlformats.org/officeDocument/2006/relationships/hyperlink" Target="https://www.rusta.com/se/sv/hem--inredning/mattor/" TargetMode="External"/><Relationship Id="rId6356" Type="http://schemas.openxmlformats.org/officeDocument/2006/relationships/hyperlink" Target="http://pontonhamnar.se/" TargetMode="External"/><Relationship Id="rId7407" Type="http://schemas.openxmlformats.org/officeDocument/2006/relationships/hyperlink" Target="https://www.executiveeffect.se/6-vanliga-orsaker-till-stromavbrott-hur-du-kan-forbereda-dig/" TargetMode="External"/><Relationship Id="rId2966" Type="http://schemas.openxmlformats.org/officeDocument/2006/relationships/hyperlink" Target="https://faktainfo.se/e-ciggbolaget-revolutionerar-e-cigarettindustrin-med-ett-oovertraffat-utbud/" TargetMode="External"/><Relationship Id="rId6009" Type="http://schemas.openxmlformats.org/officeDocument/2006/relationships/hyperlink" Target="http://cdg.io/" TargetMode="External"/><Relationship Id="rId9579" Type="http://schemas.openxmlformats.org/officeDocument/2006/relationships/hyperlink" Target="https://www.kungaslottet.se/sv/mobile/" TargetMode="External"/><Relationship Id="rId938" Type="http://schemas.openxmlformats.org/officeDocument/2006/relationships/hyperlink" Target="http://happysocks.com/" TargetMode="External"/><Relationship Id="rId1568" Type="http://schemas.openxmlformats.org/officeDocument/2006/relationships/hyperlink" Target="https://distansinstitutet.se/distansutbildningar/inredning/" TargetMode="External"/><Relationship Id="rId2619" Type="http://schemas.openxmlformats.org/officeDocument/2006/relationships/hyperlink" Target="https://distansinstitutet.se/distansutbildningar/pedagogik/vardbitrade/" TargetMode="External"/><Relationship Id="rId4041" Type="http://schemas.openxmlformats.org/officeDocument/2006/relationships/hyperlink" Target="http://rehabgrossisten.com/" TargetMode="External"/><Relationship Id="rId8662" Type="http://schemas.openxmlformats.org/officeDocument/2006/relationships/hyperlink" Target="https://beautyagenten.se/att-na-din-skonhetsideal-genom-medicinsk-viktnedgang-och-hallbara-halsoval/" TargetMode="External"/><Relationship Id="rId11990" Type="http://schemas.openxmlformats.org/officeDocument/2006/relationships/hyperlink" Target="https://www.vont.se/" TargetMode="External"/><Relationship Id="rId7264" Type="http://schemas.openxmlformats.org/officeDocument/2006/relationships/hyperlink" Target="http://mobot.com/" TargetMode="External"/><Relationship Id="rId8315" Type="http://schemas.openxmlformats.org/officeDocument/2006/relationships/hyperlink" Target="https://www.etrender.se/navigera-ratt-i-foretags-tjansteutbudet-online-som-investerare/" TargetMode="External"/><Relationship Id="rId9713" Type="http://schemas.openxmlformats.org/officeDocument/2006/relationships/hyperlink" Target="https://www.hometextilestoday.com/contributor-content/scandinavian-rugs-redefining-modern-interior-design/" TargetMode="External"/><Relationship Id="rId10592" Type="http://schemas.openxmlformats.org/officeDocument/2006/relationships/hyperlink" Target="https://www.talkandroid.com/511740-best-pet-tracking-features-on-android/" TargetMode="External"/><Relationship Id="rId11643" Type="http://schemas.openxmlformats.org/officeDocument/2006/relationships/hyperlink" Target="https://osakekoulu.com/sijoittamisen-ala-muuttuu-koko-ajan/" TargetMode="External"/><Relationship Id="rId1702" Type="http://schemas.openxmlformats.org/officeDocument/2006/relationships/hyperlink" Target="https://fashiongtonpost.com/essentials-to-find-treasures-when-second-hand-shopping/" TargetMode="External"/><Relationship Id="rId10245" Type="http://schemas.openxmlformats.org/officeDocument/2006/relationships/hyperlink" Target="https://marketsherald.com/small-business-big-questions-finding-the-right-insurance-policy/" TargetMode="External"/><Relationship Id="rId3874" Type="http://schemas.openxmlformats.org/officeDocument/2006/relationships/hyperlink" Target="http://fairinvestments.se/" TargetMode="External"/><Relationship Id="rId4925" Type="http://schemas.openxmlformats.org/officeDocument/2006/relationships/hyperlink" Target="https://www.bethard.com/sv/sports/live/fotboll" TargetMode="External"/><Relationship Id="rId9089" Type="http://schemas.openxmlformats.org/officeDocument/2006/relationships/hyperlink" Target="http://dryft.se/" TargetMode="External"/><Relationship Id="rId795" Type="http://schemas.openxmlformats.org/officeDocument/2006/relationships/hyperlink" Target="http://happysocks.com/" TargetMode="External"/><Relationship Id="rId2476" Type="http://schemas.openxmlformats.org/officeDocument/2006/relationships/hyperlink" Target="https://statens-dataforum.no/2024/02/03/hvordan-vaske-hvite-sko/" TargetMode="External"/><Relationship Id="rId3527" Type="http://schemas.openxmlformats.org/officeDocument/2006/relationships/hyperlink" Target="https://www.spelklubben.se/sv" TargetMode="External"/><Relationship Id="rId448" Type="http://schemas.openxmlformats.org/officeDocument/2006/relationships/hyperlink" Target="https://sflcn.com/navigating-supply-chain-disruptions-emergency-business-loans-for-mitigating-supplier-issues/" TargetMode="External"/><Relationship Id="rId1078" Type="http://schemas.openxmlformats.org/officeDocument/2006/relationships/hyperlink" Target="https://edgehyllie.se/maklare-i-nykoping-din-guide-till-framgangsrika-fastighetsaffarer/" TargetMode="External"/><Relationship Id="rId2129" Type="http://schemas.openxmlformats.org/officeDocument/2006/relationships/hyperlink" Target="https://www.bergscykling.se/maxa-uthallighet-med-reishi" TargetMode="External"/><Relationship Id="rId5699" Type="http://schemas.openxmlformats.org/officeDocument/2006/relationships/hyperlink" Target="http://kvarnx.com/" TargetMode="External"/><Relationship Id="rId6000" Type="http://schemas.openxmlformats.org/officeDocument/2006/relationships/hyperlink" Target="http://kamux.fi/" TargetMode="External"/><Relationship Id="rId9570" Type="http://schemas.openxmlformats.org/officeDocument/2006/relationships/hyperlink" Target="https://www.djungeltrumman.se/utomlandskansla-i-sverige-5-platser-du-maste-besoka/" TargetMode="External"/><Relationship Id="rId8172" Type="http://schemas.openxmlformats.org/officeDocument/2006/relationships/hyperlink" Target="https://hemforalla.se/viktigheten-av-professionella-vvs-tjanster-for-ditt-hem-i-taby/" TargetMode="External"/><Relationship Id="rId9223" Type="http://schemas.openxmlformats.org/officeDocument/2006/relationships/hyperlink" Target="http://kleer.se/" TargetMode="External"/><Relationship Id="rId11153" Type="http://schemas.openxmlformats.org/officeDocument/2006/relationships/hyperlink" Target="http://schjodt.com/" TargetMode="External"/><Relationship Id="rId12551" Type="http://schemas.openxmlformats.org/officeDocument/2006/relationships/hyperlink" Target="https://www.mcforsakring.nu/2023/09/25/omvardnad-for-dina-lurviga-vanner-i-sundsvall/" TargetMode="External"/><Relationship Id="rId1212" Type="http://schemas.openxmlformats.org/officeDocument/2006/relationships/hyperlink" Target="https://dinlokalabokhandel.se/vaping-som-globalt-fenomen-utforskning-av-en-kulturell-och-halsorelaterad-revolution/" TargetMode="External"/><Relationship Id="rId2610" Type="http://schemas.openxmlformats.org/officeDocument/2006/relationships/hyperlink" Target="https://www.sveafaktura.se/tre-satt-att-fa-dina-pengar-att-vaxa" TargetMode="External"/><Relationship Id="rId12204" Type="http://schemas.openxmlformats.org/officeDocument/2006/relationships/hyperlink" Target="http://fairinvestments.se/" TargetMode="External"/><Relationship Id="rId4782" Type="http://schemas.openxmlformats.org/officeDocument/2006/relationships/hyperlink" Target="http://fairinvestments.se/" TargetMode="External"/><Relationship Id="rId5833" Type="http://schemas.openxmlformats.org/officeDocument/2006/relationships/hyperlink" Target="http://mariatand.se/" TargetMode="External"/><Relationship Id="rId3037" Type="http://schemas.openxmlformats.org/officeDocument/2006/relationships/hyperlink" Target="https://www.spelklubben.se/sv/casino" TargetMode="External"/><Relationship Id="rId3384" Type="http://schemas.openxmlformats.org/officeDocument/2006/relationships/hyperlink" Target="https://internettricks.se/en-oas-av-variation-gemenskap-inom-online-spelvarlden-hos-spelklubben/" TargetMode="External"/><Relationship Id="rId4435" Type="http://schemas.openxmlformats.org/officeDocument/2006/relationships/hyperlink" Target="http://conclean.se/" TargetMode="External"/><Relationship Id="rId10986" Type="http://schemas.openxmlformats.org/officeDocument/2006/relationships/hyperlink" Target="https://www.videoslots.com/sv/" TargetMode="External"/><Relationship Id="rId7658" Type="http://schemas.openxmlformats.org/officeDocument/2006/relationships/hyperlink" Target="https://www.rusta.com/se/sv/hem--inredning/mattor/" TargetMode="External"/><Relationship Id="rId8709" Type="http://schemas.openxmlformats.org/officeDocument/2006/relationships/hyperlink" Target="https://byggbalans.se/byggbranschen-och-vikten-av-tydlig-kommunikation-pa-svenska/" TargetMode="External"/><Relationship Id="rId10639" Type="http://schemas.openxmlformats.org/officeDocument/2006/relationships/hyperlink" Target="https://intomoda.fi/koti/unelmakodin-rahoitus/" TargetMode="External"/><Relationship Id="rId9080" Type="http://schemas.openxmlformats.org/officeDocument/2006/relationships/hyperlink" Target="http://spelklubben.se/" TargetMode="External"/><Relationship Id="rId12061" Type="http://schemas.openxmlformats.org/officeDocument/2006/relationships/hyperlink" Target="https://www.askskinfo.com/varumarke/skinome" TargetMode="External"/><Relationship Id="rId13112" Type="http://schemas.openxmlformats.org/officeDocument/2006/relationships/hyperlink" Target="https://ekonomikunskap.se/fran-buffert-till-borsen-sa-vaxer-pengarna-pa-riktigt/" TargetMode="External"/><Relationship Id="rId2120" Type="http://schemas.openxmlformats.org/officeDocument/2006/relationships/hyperlink" Target="http://freckeus.se/" TargetMode="External"/><Relationship Id="rId5690" Type="http://schemas.openxmlformats.org/officeDocument/2006/relationships/hyperlink" Target="http://cherry.com/" TargetMode="External"/><Relationship Id="rId6741" Type="http://schemas.openxmlformats.org/officeDocument/2006/relationships/hyperlink" Target="https://aerius.se/tjanster/ftx-system/" TargetMode="External"/><Relationship Id="rId4292" Type="http://schemas.openxmlformats.org/officeDocument/2006/relationships/hyperlink" Target="http://spelklubben.se/" TargetMode="External"/><Relationship Id="rId5343" Type="http://schemas.openxmlformats.org/officeDocument/2006/relationships/hyperlink" Target="https://pontechmarina.com/se/flytbrygga/vagbrytare/" TargetMode="External"/><Relationship Id="rId9964" Type="http://schemas.openxmlformats.org/officeDocument/2006/relationships/hyperlink" Target="https://www.thewrongwayhome.com/can-travel-help-men-improve-their-love-life/" TargetMode="External"/><Relationship Id="rId11894" Type="http://schemas.openxmlformats.org/officeDocument/2006/relationships/hyperlink" Target="https://www.indlaeg.nu/2023/09/26/agandet-av-ett-hus-vikten-av-rorinspektion/" TargetMode="External"/><Relationship Id="rId12945" Type="http://schemas.openxmlformats.org/officeDocument/2006/relationships/hyperlink" Target="https://www.lsb.se/privatlan" TargetMode="External"/><Relationship Id="rId1953" Type="http://schemas.openxmlformats.org/officeDocument/2006/relationships/hyperlink" Target="https://www.spoors.health/" TargetMode="External"/><Relationship Id="rId7168" Type="http://schemas.openxmlformats.org/officeDocument/2006/relationships/hyperlink" Target="https://www.startmotor.se/kategori/bilbatteri" TargetMode="External"/><Relationship Id="rId8566" Type="http://schemas.openxmlformats.org/officeDocument/2006/relationships/hyperlink" Target="https://whatstrending.com/trending-interior-design-styles-for-minimalism-lovers/" TargetMode="External"/><Relationship Id="rId9617" Type="http://schemas.openxmlformats.org/officeDocument/2006/relationships/hyperlink" Target="http://nettotobak.com/" TargetMode="External"/><Relationship Id="rId10496" Type="http://schemas.openxmlformats.org/officeDocument/2006/relationships/hyperlink" Target="https://www.metrotimes.com/contributor-news/why-crm-platforms-are-making-waves-in-the-roofing-industry-40083709" TargetMode="External"/><Relationship Id="rId11547" Type="http://schemas.openxmlformats.org/officeDocument/2006/relationships/hyperlink" Target="https://stilero.se/pc/badrum/" TargetMode="External"/><Relationship Id="rId1606" Type="http://schemas.openxmlformats.org/officeDocument/2006/relationships/hyperlink" Target="https://optioneronline.se/distansutbildning-en-nyckel-till-framtidens-arbetsmarknad/" TargetMode="External"/><Relationship Id="rId8219" Type="http://schemas.openxmlformats.org/officeDocument/2006/relationships/hyperlink" Target="https://svenskiptv.com/hur-fungerar-iptv-kom-igang/" TargetMode="External"/><Relationship Id="rId10149" Type="http://schemas.openxmlformats.org/officeDocument/2006/relationships/hyperlink" Target="https://www.praktisktbatagande.se/partner/sa-valjer-du-ratt-privatlan-for-att-kopa-bat-undvik-fallgroparna" TargetMode="External"/><Relationship Id="rId3778" Type="http://schemas.openxmlformats.org/officeDocument/2006/relationships/hyperlink" Target="https://luxuryspa.se/stockholm-for-livsnjutare-mat-kultur-och-valmaende/" TargetMode="External"/><Relationship Id="rId4829" Type="http://schemas.openxmlformats.org/officeDocument/2006/relationships/hyperlink" Target="https://www.dagenshultsfred.se/nyheter/-/e/304311/fight-or-flight-sa-funkar-din-kropp-i-stressade-lagen/?desktop=true" TargetMode="External"/><Relationship Id="rId8700" Type="http://schemas.openxmlformats.org/officeDocument/2006/relationships/hyperlink" Target="https://beautyforyou.se/vikten-av-ett-vackert-leende-och-ratt-tandlakare-i-goteborg/" TargetMode="External"/><Relationship Id="rId699" Type="http://schemas.openxmlformats.org/officeDocument/2006/relationships/hyperlink" Target="https://industrimagasinet.se/detta-ska-man-tanka-pa-om-man-vill-starta-ett-eget-foretag/" TargetMode="External"/><Relationship Id="rId6251" Type="http://schemas.openxmlformats.org/officeDocument/2006/relationships/hyperlink" Target="https://manligmagi.se/volkswagen-service-for-man-varfor-det-ar-viktigt-att-ta-hand-om-din-bil/" TargetMode="External"/><Relationship Id="rId7302" Type="http://schemas.openxmlformats.org/officeDocument/2006/relationships/hyperlink" Target="https://www.swedoffice.se/" TargetMode="External"/><Relationship Id="rId10630" Type="http://schemas.openxmlformats.org/officeDocument/2006/relationships/hyperlink" Target="http://videoslots.com/" TargetMode="External"/><Relationship Id="rId9474" Type="http://schemas.openxmlformats.org/officeDocument/2006/relationships/hyperlink" Target="https://invozio.com/fakturera-som-privatperson_egenanstalld" TargetMode="External"/><Relationship Id="rId2861" Type="http://schemas.openxmlformats.org/officeDocument/2006/relationships/hyperlink" Target="https://www.hookedonnature.se/" TargetMode="External"/><Relationship Id="rId3912" Type="http://schemas.openxmlformats.org/officeDocument/2006/relationships/hyperlink" Target="http://tandea.se/" TargetMode="External"/><Relationship Id="rId8076" Type="http://schemas.openxmlformats.org/officeDocument/2006/relationships/hyperlink" Target="http://dryft.se/" TargetMode="External"/><Relationship Id="rId9127" Type="http://schemas.openxmlformats.org/officeDocument/2006/relationships/hyperlink" Target="https://mynicco.com/" TargetMode="External"/><Relationship Id="rId12455" Type="http://schemas.openxmlformats.org/officeDocument/2006/relationships/hyperlink" Target="http://m6bygg.se/" TargetMode="External"/><Relationship Id="rId833" Type="http://schemas.openxmlformats.org/officeDocument/2006/relationships/hyperlink" Target="https://www.forfest.se/" TargetMode="External"/><Relationship Id="rId1116" Type="http://schemas.openxmlformats.org/officeDocument/2006/relationships/hyperlink" Target="http://happysocks.com/" TargetMode="External"/><Relationship Id="rId1463" Type="http://schemas.openxmlformats.org/officeDocument/2006/relationships/hyperlink" Target="https://markets.vontobel.com/da-dk" TargetMode="External"/><Relationship Id="rId2514" Type="http://schemas.openxmlformats.org/officeDocument/2006/relationships/hyperlink" Target="https://haxan.se/blogs/news/putsa-fonster-som-proffs" TargetMode="External"/><Relationship Id="rId11057" Type="http://schemas.openxmlformats.org/officeDocument/2006/relationships/hyperlink" Target="https://www.northtracker.com/korjournal/" TargetMode="External"/><Relationship Id="rId12108" Type="http://schemas.openxmlformats.org/officeDocument/2006/relationships/hyperlink" Target="https://www.webbonline.se/2023/10/27/reishi-svampens-halsofordelar-en-djupdykning-i-naturens-mirakel/" TargetMode="External"/><Relationship Id="rId4686" Type="http://schemas.openxmlformats.org/officeDocument/2006/relationships/hyperlink" Target="https://rikedomen.se/investera-i-solceller-ett-smart-satt-att-spara-tjana-pengar/" TargetMode="External"/><Relationship Id="rId5737" Type="http://schemas.openxmlformats.org/officeDocument/2006/relationships/hyperlink" Target="http://spelklubben.se/" TargetMode="External"/><Relationship Id="rId3288" Type="http://schemas.openxmlformats.org/officeDocument/2006/relationships/hyperlink" Target="https://www.favorreklambyra.se/de-hetaste-yrkena-just-nu-spotlight-pa-upphandlare" TargetMode="External"/><Relationship Id="rId4339" Type="http://schemas.openxmlformats.org/officeDocument/2006/relationships/hyperlink" Target="https://www.gameelite.se/utvecklingen-av-online-slots/" TargetMode="External"/><Relationship Id="rId8210" Type="http://schemas.openxmlformats.org/officeDocument/2006/relationships/hyperlink" Target="http://tandea.se/" TargetMode="External"/><Relationship Id="rId10140" Type="http://schemas.openxmlformats.org/officeDocument/2006/relationships/hyperlink" Target="https://ecommunity.se/redovisningsbranschen-i-forandring-automatisering-och-radgivning-i-fokus/" TargetMode="External"/><Relationship Id="rId690" Type="http://schemas.openxmlformats.org/officeDocument/2006/relationships/hyperlink" Target="https://www.tryggbil.se/" TargetMode="External"/><Relationship Id="rId2371" Type="http://schemas.openxmlformats.org/officeDocument/2006/relationships/hyperlink" Target="https://www.vont.se/to-go" TargetMode="External"/><Relationship Id="rId3422" Type="http://schemas.openxmlformats.org/officeDocument/2006/relationships/hyperlink" Target="http://sundsvallbergvarme.se/" TargetMode="External"/><Relationship Id="rId4820" Type="http://schemas.openxmlformats.org/officeDocument/2006/relationships/hyperlink" Target="http://alfa.no/" TargetMode="External"/><Relationship Id="rId13016" Type="http://schemas.openxmlformats.org/officeDocument/2006/relationships/hyperlink" Target="https://www.di.se/brandstudio/lan-spar-bank/lan-spar-bank-tar-klivet-in-pa-bolan/" TargetMode="External"/><Relationship Id="rId343" Type="http://schemas.openxmlformats.org/officeDocument/2006/relationships/hyperlink" Target="https://www.kopbarnvagn.se/sv/artiklar/bugaboo-donkey-5-twin.html" TargetMode="External"/><Relationship Id="rId2024" Type="http://schemas.openxmlformats.org/officeDocument/2006/relationships/hyperlink" Target="http://triwa.com/" TargetMode="External"/><Relationship Id="rId6992" Type="http://schemas.openxmlformats.org/officeDocument/2006/relationships/hyperlink" Target="https://heysugarmagazine.se/" TargetMode="External"/><Relationship Id="rId4196" Type="http://schemas.openxmlformats.org/officeDocument/2006/relationships/hyperlink" Target="http://m6bygg.se/" TargetMode="External"/><Relationship Id="rId5247" Type="http://schemas.openxmlformats.org/officeDocument/2006/relationships/hyperlink" Target="https://www.americanfootballinternational.com/how-the-igaming-industry-has-affected-american-football/" TargetMode="External"/><Relationship Id="rId5594" Type="http://schemas.openxmlformats.org/officeDocument/2006/relationships/hyperlink" Target="https://www.rusta.com/se/sv/fritid/husdjur/hund/hundfoder/" TargetMode="External"/><Relationship Id="rId6645" Type="http://schemas.openxmlformats.org/officeDocument/2006/relationships/hyperlink" Target="http://snusnetto.se/" TargetMode="External"/><Relationship Id="rId9868" Type="http://schemas.openxmlformats.org/officeDocument/2006/relationships/hyperlink" Target="https://leaptodigital.com/roofing-crm" TargetMode="External"/><Relationship Id="rId11798" Type="http://schemas.openxmlformats.org/officeDocument/2006/relationships/hyperlink" Target="http://foyen.se/" TargetMode="External"/><Relationship Id="rId12849" Type="http://schemas.openxmlformats.org/officeDocument/2006/relationships/hyperlink" Target="http://arctic.se/" TargetMode="External"/><Relationship Id="rId1857" Type="http://schemas.openxmlformats.org/officeDocument/2006/relationships/hyperlink" Target="https://savethefuture.se/bergvarme-den-rena-vinsten-for-miljo-och-ekonomi/" TargetMode="External"/><Relationship Id="rId2908" Type="http://schemas.openxmlformats.org/officeDocument/2006/relationships/hyperlink" Target="http://glitnor.com/" TargetMode="External"/><Relationship Id="rId4330" Type="http://schemas.openxmlformats.org/officeDocument/2006/relationships/hyperlink" Target="https://makeachange.se/vetenskapen-bakom-vaping-vad-sager-forskningen-om-halsoeffekterna/" TargetMode="External"/><Relationship Id="rId8951" Type="http://schemas.openxmlformats.org/officeDocument/2006/relationships/hyperlink" Target="https://www.tandea.se/kliniker/haninge/" TargetMode="External"/><Relationship Id="rId7553" Type="http://schemas.openxmlformats.org/officeDocument/2006/relationships/hyperlink" Target="http://technobark.com/" TargetMode="External"/><Relationship Id="rId8604" Type="http://schemas.openxmlformats.org/officeDocument/2006/relationships/hyperlink" Target="http://arctic.se/" TargetMode="External"/><Relationship Id="rId10881" Type="http://schemas.openxmlformats.org/officeDocument/2006/relationships/hyperlink" Target="http://sakraror.se/" TargetMode="External"/><Relationship Id="rId11932" Type="http://schemas.openxmlformats.org/officeDocument/2006/relationships/hyperlink" Target="http://bigbenstandup.com/" TargetMode="External"/><Relationship Id="rId6155" Type="http://schemas.openxmlformats.org/officeDocument/2006/relationships/hyperlink" Target="https://www.spelklubben.se/sv/betting" TargetMode="External"/><Relationship Id="rId7206" Type="http://schemas.openxmlformats.org/officeDocument/2006/relationships/hyperlink" Target="https://vardagsfrid.se/hemstadning/stockholm" TargetMode="External"/><Relationship Id="rId10534" Type="http://schemas.openxmlformats.org/officeDocument/2006/relationships/hyperlink" Target="https://www.spelklubben.se/sv/responsible-gaming" TargetMode="External"/><Relationship Id="rId9378" Type="http://schemas.openxmlformats.org/officeDocument/2006/relationships/hyperlink" Target="https://www.bethard.com/sv/sports" TargetMode="External"/><Relationship Id="rId2765" Type="http://schemas.openxmlformats.org/officeDocument/2006/relationships/hyperlink" Target="http://luckycasino.com/en/" TargetMode="External"/><Relationship Id="rId3816" Type="http://schemas.openxmlformats.org/officeDocument/2006/relationships/hyperlink" Target="https://oljudsthlm.se/adblue-i-lastbilar-en-grundlig-genomgang/" TargetMode="External"/><Relationship Id="rId12359" Type="http://schemas.openxmlformats.org/officeDocument/2006/relationships/hyperlink" Target="http://vont.co/de" TargetMode="External"/><Relationship Id="rId737" Type="http://schemas.openxmlformats.org/officeDocument/2006/relationships/hyperlink" Target="https://andaraprofessionals.teamtailor.com/jobs/2387837-investeringsradgivare-till-fair-investments" TargetMode="External"/><Relationship Id="rId1367" Type="http://schemas.openxmlformats.org/officeDocument/2006/relationships/hyperlink" Target="https://www.reviewgorilla.co.no/blog/vinterens-forste-skitur-derfor-ma-du-velge-riktig-fottoy/" TargetMode="External"/><Relationship Id="rId2418" Type="http://schemas.openxmlformats.org/officeDocument/2006/relationships/hyperlink" Target="http://lemontree.se/" TargetMode="External"/><Relationship Id="rId5988" Type="http://schemas.openxmlformats.org/officeDocument/2006/relationships/hyperlink" Target="https://pley.gg/news/role-mental-toughness-cs2-how-stay-calm-under-pressure" TargetMode="External"/><Relationship Id="rId73" Type="http://schemas.openxmlformats.org/officeDocument/2006/relationships/hyperlink" Target="https://hustillsalu.se/" TargetMode="External"/><Relationship Id="rId8461" Type="http://schemas.openxmlformats.org/officeDocument/2006/relationships/hyperlink" Target="http://mobot.com/" TargetMode="External"/><Relationship Id="rId9512" Type="http://schemas.openxmlformats.org/officeDocument/2006/relationships/hyperlink" Target="https://mockfjards.se/fonster" TargetMode="External"/><Relationship Id="rId10391" Type="http://schemas.openxmlformats.org/officeDocument/2006/relationships/hyperlink" Target="https://duochjobbet.se/boende-som-passar-jobbet/" TargetMode="External"/><Relationship Id="rId11442" Type="http://schemas.openxmlformats.org/officeDocument/2006/relationships/hyperlink" Target="http://lansfast.se/" TargetMode="External"/><Relationship Id="rId12840" Type="http://schemas.openxmlformats.org/officeDocument/2006/relationships/hyperlink" Target="http://mynicco.com/" TargetMode="External"/><Relationship Id="rId1501" Type="http://schemas.openxmlformats.org/officeDocument/2006/relationships/hyperlink" Target="https://bolagshistorik.se/kontorets-ryggrad-vardet-av-att-valja-ratt-kontorsmaterial/" TargetMode="External"/><Relationship Id="rId7063" Type="http://schemas.openxmlformats.org/officeDocument/2006/relationships/hyperlink" Target="https://www.varsity.co.uk/sponsored/the-art-of-thrifting-finding-hidden-gems-online" TargetMode="External"/><Relationship Id="rId8114" Type="http://schemas.openxmlformats.org/officeDocument/2006/relationships/hyperlink" Target="https://cdbilvardsprodukter.se/" TargetMode="External"/><Relationship Id="rId10044" Type="http://schemas.openxmlformats.org/officeDocument/2006/relationships/hyperlink" Target="http://merchoteket.se/" TargetMode="External"/><Relationship Id="rId594" Type="http://schemas.openxmlformats.org/officeDocument/2006/relationships/hyperlink" Target="https://roligapresenttips.se/unna-dig-sjalv-en-omtanksam-present-det-fortjanar-du/" TargetMode="External"/><Relationship Id="rId2275" Type="http://schemas.openxmlformats.org/officeDocument/2006/relationships/hyperlink" Target="http://tiotak.se/" TargetMode="External"/><Relationship Id="rId3326" Type="http://schemas.openxmlformats.org/officeDocument/2006/relationships/hyperlink" Target="https://gutten.no/lan-og-renteokninger-nokkeloverveielser-for-du-tar-opp-lan/" TargetMode="External"/><Relationship Id="rId3673" Type="http://schemas.openxmlformats.org/officeDocument/2006/relationships/hyperlink" Target="https://shellkonto.nu/investeringens-hornstenar" TargetMode="External"/><Relationship Id="rId4724" Type="http://schemas.openxmlformats.org/officeDocument/2006/relationships/hyperlink" Target="https://www.nordiskaprojekt.se/2024/07/25/industrins-digitala-transformation-med-ai-och-innovativa-losningar/" TargetMode="External"/><Relationship Id="rId13267" Type="http://schemas.openxmlformats.org/officeDocument/2006/relationships/hyperlink" Target="http://tryggbil.se/" TargetMode="External"/><Relationship Id="rId247" Type="http://schemas.openxmlformats.org/officeDocument/2006/relationships/hyperlink" Target="https://poolstart.se/hur-du-kan-halla-dina-tramobler-nya-med-teakolja/" TargetMode="External"/><Relationship Id="rId6896" Type="http://schemas.openxmlformats.org/officeDocument/2006/relationships/hyperlink" Target="http://acnespecialisten.se/" TargetMode="External"/><Relationship Id="rId7947" Type="http://schemas.openxmlformats.org/officeDocument/2006/relationships/hyperlink" Target="http://rusta.se/" TargetMode="External"/><Relationship Id="rId10928" Type="http://schemas.openxmlformats.org/officeDocument/2006/relationships/hyperlink" Target="http://technobark.com/" TargetMode="External"/><Relationship Id="rId5498" Type="http://schemas.openxmlformats.org/officeDocument/2006/relationships/hyperlink" Target="http://kamux.fi/" TargetMode="External"/><Relationship Id="rId6549" Type="http://schemas.openxmlformats.org/officeDocument/2006/relationships/hyperlink" Target="http://cwinz.com/" TargetMode="External"/><Relationship Id="rId12350" Type="http://schemas.openxmlformats.org/officeDocument/2006/relationships/hyperlink" Target="http://triwa.com/" TargetMode="External"/><Relationship Id="rId9022" Type="http://schemas.openxmlformats.org/officeDocument/2006/relationships/hyperlink" Target="https://www.expressen.se/brandstudio/mockfjards/sveriges-kanske-mest-underskattade-investering-vi-upplevde-direkt-en-enorm-skillnad/" TargetMode="External"/><Relationship Id="rId12003" Type="http://schemas.openxmlformats.org/officeDocument/2006/relationships/hyperlink" Target="https://arctic.se/se/produktsidor/hjartstartare/" TargetMode="External"/><Relationship Id="rId1011" Type="http://schemas.openxmlformats.org/officeDocument/2006/relationships/hyperlink" Target="http://distansinstitutet.se/" TargetMode="External"/><Relationship Id="rId4581" Type="http://schemas.openxmlformats.org/officeDocument/2006/relationships/hyperlink" Target="http://arctic.se/" TargetMode="External"/><Relationship Id="rId5632" Type="http://schemas.openxmlformats.org/officeDocument/2006/relationships/hyperlink" Target="https://webbkrysset.se/blogg/bettingslang-vad-betyder-orden-egentligen/" TargetMode="External"/><Relationship Id="rId3183" Type="http://schemas.openxmlformats.org/officeDocument/2006/relationships/hyperlink" Target="http://norteam.se/" TargetMode="External"/><Relationship Id="rId4234" Type="http://schemas.openxmlformats.org/officeDocument/2006/relationships/hyperlink" Target="http://carpcon.se/" TargetMode="External"/><Relationship Id="rId7457" Type="http://schemas.openxmlformats.org/officeDocument/2006/relationships/hyperlink" Target="https://www.totallyorebro.se/uncategorized/behover-du-tillstand-for-ditt-husdjur/" TargetMode="External"/><Relationship Id="rId8855" Type="http://schemas.openxmlformats.org/officeDocument/2006/relationships/hyperlink" Target="https://www.willabgarden.de/gewachshauser/" TargetMode="External"/><Relationship Id="rId9906" Type="http://schemas.openxmlformats.org/officeDocument/2006/relationships/hyperlink" Target="https://www.etlehti.fi/blogit/vinkkeja/vinkkeja-unelmiesi-kodin-loytamiseen-lainoja-vertaamalla" TargetMode="External"/><Relationship Id="rId10785" Type="http://schemas.openxmlformats.org/officeDocument/2006/relationships/hyperlink" Target="https://industrimagasinet.se/professionell-kontorsstadning-ger-foretag-en-renare-arbetsmiljo-i-goteborg/" TargetMode="External"/><Relationship Id="rId11836" Type="http://schemas.openxmlformats.org/officeDocument/2006/relationships/hyperlink" Target="http://haxan.se/" TargetMode="External"/><Relationship Id="rId6059" Type="http://schemas.openxmlformats.org/officeDocument/2006/relationships/hyperlink" Target="https://www.tidningen.se/annons/allt-fler-soker-sig-utomlands-for-jobb/" TargetMode="External"/><Relationship Id="rId8508" Type="http://schemas.openxmlformats.org/officeDocument/2006/relationships/hyperlink" Target="http://startmotor.se/" TargetMode="External"/><Relationship Id="rId10438" Type="http://schemas.openxmlformats.org/officeDocument/2006/relationships/hyperlink" Target="http://startmotor.se/" TargetMode="External"/><Relationship Id="rId988" Type="http://schemas.openxmlformats.org/officeDocument/2006/relationships/hyperlink" Target="https://www.alfa.no/collections/fjellskisko" TargetMode="External"/><Relationship Id="rId2669" Type="http://schemas.openxmlformats.org/officeDocument/2006/relationships/hyperlink" Target="https://distansinstitutet.se/distansutbildningar/pedagogik/vardbitrade/" TargetMode="External"/><Relationship Id="rId6540" Type="http://schemas.openxmlformats.org/officeDocument/2006/relationships/hyperlink" Target="http://clearfuze.com/" TargetMode="External"/><Relationship Id="rId4091" Type="http://schemas.openxmlformats.org/officeDocument/2006/relationships/hyperlink" Target="http://fairinvestments.se/" TargetMode="External"/><Relationship Id="rId5142" Type="http://schemas.openxmlformats.org/officeDocument/2006/relationships/hyperlink" Target="https://casinopie.com/exactly-what-is-shaping-and-driving-the-future-of-igaming/" TargetMode="External"/><Relationship Id="rId9763" Type="http://schemas.openxmlformats.org/officeDocument/2006/relationships/hyperlink" Target="http://arctic.se/" TargetMode="External"/><Relationship Id="rId8365" Type="http://schemas.openxmlformats.org/officeDocument/2006/relationships/hyperlink" Target="https://svenskiptv.com/hur-fungerar-iptv-kom-igang/" TargetMode="External"/><Relationship Id="rId9416" Type="http://schemas.openxmlformats.org/officeDocument/2006/relationships/hyperlink" Target="https://www.megariches.com/mobile/" TargetMode="External"/><Relationship Id="rId10295" Type="http://schemas.openxmlformats.org/officeDocument/2006/relationships/hyperlink" Target="https://kundkarma.se/viktigheten-av-ratt-kontorsmaterial-for-foretagets-framgang/" TargetMode="External"/><Relationship Id="rId11693" Type="http://schemas.openxmlformats.org/officeDocument/2006/relationships/hyperlink" Target="https://outokumpu-osake.fi/kaupankaynti-minifutuureilla-bull-ja-bear-sertifikaateilla-ja-unlimited-turboilla/" TargetMode="External"/><Relationship Id="rId12744" Type="http://schemas.openxmlformats.org/officeDocument/2006/relationships/hyperlink" Target="https://www.lilla-varlden.se/" TargetMode="External"/><Relationship Id="rId1405" Type="http://schemas.openxmlformats.org/officeDocument/2006/relationships/hyperlink" Target="https://blugiallo.se/herrklader/klader/kostymbyxor/" TargetMode="External"/><Relationship Id="rId1752" Type="http://schemas.openxmlformats.org/officeDocument/2006/relationships/hyperlink" Target="https://ledarsidorna.se/fa-battre-fokus-pa-ditt-hemmakontor/" TargetMode="External"/><Relationship Id="rId2803" Type="http://schemas.openxmlformats.org/officeDocument/2006/relationships/hyperlink" Target="http://spelklubben.se/" TargetMode="External"/><Relationship Id="rId8018" Type="http://schemas.openxmlformats.org/officeDocument/2006/relationships/hyperlink" Target="https://pt-media.org/2025/02/24/pienten-yritysten-haasteet-ja-tyokalut-talouden-turvaamiseksi/" TargetMode="External"/><Relationship Id="rId11346" Type="http://schemas.openxmlformats.org/officeDocument/2006/relationships/hyperlink" Target="https://www.facebook.com/fairinvestmentsswedenAB/" TargetMode="External"/><Relationship Id="rId4975" Type="http://schemas.openxmlformats.org/officeDocument/2006/relationships/hyperlink" Target="https://www.bethard.com/sv/sports" TargetMode="External"/><Relationship Id="rId498" Type="http://schemas.openxmlformats.org/officeDocument/2006/relationships/hyperlink" Target="http://creditsafe.se/" TargetMode="External"/><Relationship Id="rId2179" Type="http://schemas.openxmlformats.org/officeDocument/2006/relationships/hyperlink" Target="https://www.lansfast.se/maklare/stockholm/taby-danderyd/" TargetMode="External"/><Relationship Id="rId3577" Type="http://schemas.openxmlformats.org/officeDocument/2006/relationships/hyperlink" Target="https://www.webwill.se/planera-for-framtiden-investera-smart" TargetMode="External"/><Relationship Id="rId4628" Type="http://schemas.openxmlformats.org/officeDocument/2006/relationships/hyperlink" Target="http://spelklubben.se/" TargetMode="External"/><Relationship Id="rId6050" Type="http://schemas.openxmlformats.org/officeDocument/2006/relationships/hyperlink" Target="https://www.svenskbyggtidning.se/2024/10/28/det-kritiska-behovet-av-jourelektriker/" TargetMode="External"/><Relationship Id="rId7101" Type="http://schemas.openxmlformats.org/officeDocument/2006/relationships/hyperlink" Target="http://tandea.se/" TargetMode="External"/><Relationship Id="rId2660" Type="http://schemas.openxmlformats.org/officeDocument/2006/relationships/hyperlink" Target="https://www.tidernaslandskap.se/en-nystart-vid-40" TargetMode="External"/><Relationship Id="rId3711" Type="http://schemas.openxmlformats.org/officeDocument/2006/relationships/hyperlink" Target="https://www.filippa-k.com/se/sv/dam/ready-to-wear/toppar" TargetMode="External"/><Relationship Id="rId9273" Type="http://schemas.openxmlformats.org/officeDocument/2006/relationships/hyperlink" Target="http://tkw.se/" TargetMode="External"/><Relationship Id="rId12254" Type="http://schemas.openxmlformats.org/officeDocument/2006/relationships/hyperlink" Target="https://ledarsidorna.se/inredningstips-for-ett-trivsamt-kontor/" TargetMode="External"/><Relationship Id="rId13305" Type="http://schemas.openxmlformats.org/officeDocument/2006/relationships/hyperlink" Target="http://tkw.se/" TargetMode="External"/><Relationship Id="rId632" Type="http://schemas.openxmlformats.org/officeDocument/2006/relationships/hyperlink" Target="https://aksjeskole.com/noen-gode-tips-for-investering/" TargetMode="External"/><Relationship Id="rId1262" Type="http://schemas.openxmlformats.org/officeDocument/2006/relationships/hyperlink" Target="https://blugiallo.se/tagg/brollop/" TargetMode="External"/><Relationship Id="rId2313" Type="http://schemas.openxmlformats.org/officeDocument/2006/relationships/hyperlink" Target="https://www.uebermorgenmagazin.de/entspannen-ohne-zigaretten" TargetMode="External"/><Relationship Id="rId4485" Type="http://schemas.openxmlformats.org/officeDocument/2006/relationships/hyperlink" Target="https://pontechmarina.com/se/flytbrygga/" TargetMode="External"/><Relationship Id="rId5536" Type="http://schemas.openxmlformats.org/officeDocument/2006/relationships/hyperlink" Target="https://navx.store/fi/" TargetMode="External"/><Relationship Id="rId5883" Type="http://schemas.openxmlformats.org/officeDocument/2006/relationships/hyperlink" Target="https://e-ciggbolaget.se/vitt-snus/" TargetMode="External"/><Relationship Id="rId6934" Type="http://schemas.openxmlformats.org/officeDocument/2006/relationships/hyperlink" Target="https://www.kanalgratis.se/sv/jiggar-med-riggar" TargetMode="External"/><Relationship Id="rId3087" Type="http://schemas.openxmlformats.org/officeDocument/2006/relationships/hyperlink" Target="https://bigbenstandup.com/svensk-stand-up/svenska-komiker/tomas-bonderud" TargetMode="External"/><Relationship Id="rId4138" Type="http://schemas.openxmlformats.org/officeDocument/2006/relationships/hyperlink" Target="http://snusnetto.se/" TargetMode="External"/><Relationship Id="rId8759" Type="http://schemas.openxmlformats.org/officeDocument/2006/relationships/hyperlink" Target="https://www.dbet.com/" TargetMode="External"/><Relationship Id="rId10689" Type="http://schemas.openxmlformats.org/officeDocument/2006/relationships/hyperlink" Target="https://www.spelklubben.se/sv/live-casino/blackjack" TargetMode="External"/><Relationship Id="rId13162" Type="http://schemas.openxmlformats.org/officeDocument/2006/relationships/hyperlink" Target="https://sandudden.se/kick-off/" TargetMode="External"/><Relationship Id="rId2170" Type="http://schemas.openxmlformats.org/officeDocument/2006/relationships/hyperlink" Target="https://www.hvvs.se/" TargetMode="External"/><Relationship Id="rId3221" Type="http://schemas.openxmlformats.org/officeDocument/2006/relationships/hyperlink" Target="https://www.yogastudiostockholm.se/10-saker-maklare-sager-och-vad-det-betyder" TargetMode="External"/><Relationship Id="rId6791" Type="http://schemas.openxmlformats.org/officeDocument/2006/relationships/hyperlink" Target="https://passioneffect.se/vagar-till-framgang-hur-intensivkurs-for-korkort-kan-lyfta-din-karriar/" TargetMode="External"/><Relationship Id="rId7842" Type="http://schemas.openxmlformats.org/officeDocument/2006/relationships/hyperlink" Target="http://purakliniken.se/" TargetMode="External"/><Relationship Id="rId8" Type="http://schemas.openxmlformats.org/officeDocument/2006/relationships/hyperlink" Target="https://www.industritorget.se/nyheter/de+b%c3%a4sta+reng%c3%b6ringsshy%3bprodukterna+p%c3%a5+marknaden/33814/?tobs=true" TargetMode="External"/><Relationship Id="rId142" Type="http://schemas.openxmlformats.org/officeDocument/2006/relationships/hyperlink" Target="https://revrise.se/tips-och-tricks/trevliga-resmaal-for-en-weekendresa/" TargetMode="External"/><Relationship Id="rId5393" Type="http://schemas.openxmlformats.org/officeDocument/2006/relationships/hyperlink" Target="https://www.slaktforskarnashus.se/" TargetMode="External"/><Relationship Id="rId6444" Type="http://schemas.openxmlformats.org/officeDocument/2006/relationships/hyperlink" Target="https://kilander-racing.se/tillforlitlighet-i-racingbilkomponenter/" TargetMode="External"/><Relationship Id="rId10823" Type="http://schemas.openxmlformats.org/officeDocument/2006/relationships/hyperlink" Target="https://tryggbil.se/" TargetMode="External"/><Relationship Id="rId5046" Type="http://schemas.openxmlformats.org/officeDocument/2006/relationships/hyperlink" Target="http://svenskaeljouren.se/" TargetMode="External"/><Relationship Id="rId9667" Type="http://schemas.openxmlformats.org/officeDocument/2006/relationships/hyperlink" Target="https://www.nykommun.se/2025/06/02/allt-fler-fritidshus-saljs-i-sverige/" TargetMode="External"/><Relationship Id="rId12995" Type="http://schemas.openxmlformats.org/officeDocument/2006/relationships/hyperlink" Target="http://megariches.com/" TargetMode="External"/><Relationship Id="rId8269" Type="http://schemas.openxmlformats.org/officeDocument/2006/relationships/hyperlink" Target="http://ekstromgaray.se/" TargetMode="External"/><Relationship Id="rId11597" Type="http://schemas.openxmlformats.org/officeDocument/2006/relationships/hyperlink" Target="https://sufracofinebrands.com/kategori/varumarken-compagnie-de-provence" TargetMode="External"/><Relationship Id="rId12648" Type="http://schemas.openxmlformats.org/officeDocument/2006/relationships/hyperlink" Target="http://lsb.se/" TargetMode="External"/><Relationship Id="rId1656" Type="http://schemas.openxmlformats.org/officeDocument/2006/relationships/hyperlink" Target="https://www.alltjanstsala.se/2023/10/27/cbd-olja-i-sverige-en-vaxande-trend-med-halsosamma-fordelar/" TargetMode="External"/><Relationship Id="rId2707" Type="http://schemas.openxmlformats.org/officeDocument/2006/relationships/hyperlink" Target="http://glitnor.com/" TargetMode="External"/><Relationship Id="rId10199" Type="http://schemas.openxmlformats.org/officeDocument/2006/relationships/hyperlink" Target="http://violamilano.com/" TargetMode="External"/><Relationship Id="rId1309" Type="http://schemas.openxmlformats.org/officeDocument/2006/relationships/hyperlink" Target="http://happysocks.com/" TargetMode="External"/><Relationship Id="rId4879" Type="http://schemas.openxmlformats.org/officeDocument/2006/relationships/hyperlink" Target="https://www.kvarnx.com/sv" TargetMode="External"/><Relationship Id="rId8750" Type="http://schemas.openxmlformats.org/officeDocument/2006/relationships/hyperlink" Target="https://www.spelklubben.se/sv/casino" TargetMode="External"/><Relationship Id="rId9801" Type="http://schemas.openxmlformats.org/officeDocument/2006/relationships/hyperlink" Target="https://swedenlongstay.se/sv/foretagsbostader" TargetMode="External"/><Relationship Id="rId10680" Type="http://schemas.openxmlformats.org/officeDocument/2006/relationships/hyperlink" Target="https://www.stockholmsbyggnyheter.se/20250805/6554/vvs-systemens-utveckling-i-stockholm-en-jamforelse-mellan-stadsdelar-fororter" TargetMode="External"/><Relationship Id="rId11731" Type="http://schemas.openxmlformats.org/officeDocument/2006/relationships/hyperlink" Target="http://yagya.com/" TargetMode="External"/><Relationship Id="rId15" Type="http://schemas.openxmlformats.org/officeDocument/2006/relationships/hyperlink" Target="https://haxan.se/" TargetMode="External"/><Relationship Id="rId7352" Type="http://schemas.openxmlformats.org/officeDocument/2006/relationships/hyperlink" Target="https://mynicco.com/" TargetMode="External"/><Relationship Id="rId8403" Type="http://schemas.openxmlformats.org/officeDocument/2006/relationships/hyperlink" Target="http://michaelofrisorerna.se/" TargetMode="External"/><Relationship Id="rId10333" Type="http://schemas.openxmlformats.org/officeDocument/2006/relationships/hyperlink" Target="http://megariches.com/" TargetMode="External"/><Relationship Id="rId7005" Type="http://schemas.openxmlformats.org/officeDocument/2006/relationships/hyperlink" Target="https://www.chattanoogarehab.com/blog/introducing-the-chattanooga-variable-muscle-stimulation-vms-white-paper/" TargetMode="External"/><Relationship Id="rId883" Type="http://schemas.openxmlformats.org/officeDocument/2006/relationships/hyperlink" Target="http://toyota-forklifts.se/" TargetMode="External"/><Relationship Id="rId2564" Type="http://schemas.openxmlformats.org/officeDocument/2006/relationships/hyperlink" Target="https://downloadcentral.no/news/l%C3%A5ne-penger-en-veiledning-til-%C3%A5-navigere-i-l%C3%A5nemarkedet/1048" TargetMode="External"/><Relationship Id="rId3615" Type="http://schemas.openxmlformats.org/officeDocument/2006/relationships/hyperlink" Target="https://m6bygg.se/totalentreprenad-stockholm/" TargetMode="External"/><Relationship Id="rId3962" Type="http://schemas.openxmlformats.org/officeDocument/2006/relationships/hyperlink" Target="http://fairinvestments.se/" TargetMode="External"/><Relationship Id="rId9177" Type="http://schemas.openxmlformats.org/officeDocument/2006/relationships/hyperlink" Target="http://gonorthshop.com/" TargetMode="External"/><Relationship Id="rId12158" Type="http://schemas.openxmlformats.org/officeDocument/2006/relationships/hyperlink" Target="http://tiotak.se/" TargetMode="External"/><Relationship Id="rId536" Type="http://schemas.openxmlformats.org/officeDocument/2006/relationships/hyperlink" Target="https://nem.health/" TargetMode="External"/><Relationship Id="rId1166" Type="http://schemas.openxmlformats.org/officeDocument/2006/relationships/hyperlink" Target="https://lemontree.se/tjanster/testautomatisering/" TargetMode="External"/><Relationship Id="rId2217" Type="http://schemas.openxmlformats.org/officeDocument/2006/relationships/hyperlink" Target="https://www.annonsparken.se/nar-det-ar-dags-att-serva-bilen" TargetMode="External"/><Relationship Id="rId13209" Type="http://schemas.openxmlformats.org/officeDocument/2006/relationships/hyperlink" Target="https://www.kungaslottet.se/sv/mobile/" TargetMode="External"/><Relationship Id="rId4389" Type="http://schemas.openxmlformats.org/officeDocument/2006/relationships/hyperlink" Target="https://www.merinfo.se/foretag/Fair-Investments-Sweden-AB-5568169626/2k3576i-kqah" TargetMode="External"/><Relationship Id="rId5787" Type="http://schemas.openxmlformats.org/officeDocument/2006/relationships/hyperlink" Target="https://www.lansfast.se/maklare/sodermanland/trosa/" TargetMode="External"/><Relationship Id="rId6838" Type="http://schemas.openxmlformats.org/officeDocument/2006/relationships/hyperlink" Target="http://cdbilvardsprodukter.se/" TargetMode="External"/><Relationship Id="rId8260" Type="http://schemas.openxmlformats.org/officeDocument/2006/relationships/hyperlink" Target="http://tandea.se/" TargetMode="External"/><Relationship Id="rId9311" Type="http://schemas.openxmlformats.org/officeDocument/2006/relationships/hyperlink" Target="https://bokahandyman.se/handyman" TargetMode="External"/><Relationship Id="rId10190" Type="http://schemas.openxmlformats.org/officeDocument/2006/relationships/hyperlink" Target="http://videoslots.com/" TargetMode="External"/><Relationship Id="rId11241" Type="http://schemas.openxmlformats.org/officeDocument/2006/relationships/hyperlink" Target="https://conclean.se/produkter/minireningsverk/" TargetMode="External"/><Relationship Id="rId1300" Type="http://schemas.openxmlformats.org/officeDocument/2006/relationships/hyperlink" Target="http://lansfast.se/" TargetMode="External"/><Relationship Id="rId4870" Type="http://schemas.openxmlformats.org/officeDocument/2006/relationships/hyperlink" Target="http://cherry.com/" TargetMode="External"/><Relationship Id="rId5921" Type="http://schemas.openxmlformats.org/officeDocument/2006/relationships/hyperlink" Target="https://bygg-appen.se/bygga/steg-for-steg-guide-till-en-lyckad-badrumsrenovering" TargetMode="External"/><Relationship Id="rId3472" Type="http://schemas.openxmlformats.org/officeDocument/2006/relationships/hyperlink" Target="https://www.djungeltrumman.se/smarta-halsoval-som-betalar-sig-i-langden/" TargetMode="External"/><Relationship Id="rId4523" Type="http://schemas.openxmlformats.org/officeDocument/2006/relationships/hyperlink" Target="https://tiotak.se/byta-tak-ekonomibyggnad/" TargetMode="External"/><Relationship Id="rId13066" Type="http://schemas.openxmlformats.org/officeDocument/2006/relationships/hyperlink" Target="https://www.carliabil.se/miljovanlig-hantering-av-uttjanta-bildelar/" TargetMode="External"/><Relationship Id="rId393" Type="http://schemas.openxmlformats.org/officeDocument/2006/relationships/hyperlink" Target="https://www.frii.se/dessa-skonhetsrutinernoch-produkter-gor-att-du-ar-redo-for-varen/" TargetMode="External"/><Relationship Id="rId2074" Type="http://schemas.openxmlformats.org/officeDocument/2006/relationships/hyperlink" Target="http://fairinvestments.se/" TargetMode="External"/><Relationship Id="rId3125" Type="http://schemas.openxmlformats.org/officeDocument/2006/relationships/hyperlink" Target="https://tiotak.se/plattak/plattak-med-solceller/" TargetMode="External"/><Relationship Id="rId6695" Type="http://schemas.openxmlformats.org/officeDocument/2006/relationships/hyperlink" Target="https://brapojke.se/solenoider-for-startmotorer-en-komplett-guide-for-man/" TargetMode="External"/><Relationship Id="rId7746" Type="http://schemas.openxmlformats.org/officeDocument/2006/relationships/hyperlink" Target="https://www.transportnet.se/lb-article/181235/moderniseringen-av-fordonstrafiken-till-arlanda-effektivare-och-gronare-resor" TargetMode="External"/><Relationship Id="rId5297" Type="http://schemas.openxmlformats.org/officeDocument/2006/relationships/hyperlink" Target="https://www.innovationskontorett.se/" TargetMode="External"/><Relationship Id="rId6348" Type="http://schemas.openxmlformats.org/officeDocument/2006/relationships/hyperlink" Target="http://kvarnx.com/" TargetMode="External"/><Relationship Id="rId10727" Type="http://schemas.openxmlformats.org/officeDocument/2006/relationships/hyperlink" Target="https://familjeportalen.se/vikten-av-att-inkludera-hunden-i-familjelivet/" TargetMode="External"/><Relationship Id="rId12899" Type="http://schemas.openxmlformats.org/officeDocument/2006/relationships/hyperlink" Target="http://spelayatzy.se/" TargetMode="External"/><Relationship Id="rId13200" Type="http://schemas.openxmlformats.org/officeDocument/2006/relationships/hyperlink" Target="http://kamux.fi/" TargetMode="External"/><Relationship Id="rId2958" Type="http://schemas.openxmlformats.org/officeDocument/2006/relationships/hyperlink" Target="https://www.spelklubben.se/sv/casino" TargetMode="External"/><Relationship Id="rId4380" Type="http://schemas.openxmlformats.org/officeDocument/2006/relationships/hyperlink" Target="https://www.reco.se/fair-investments-sweden-ab" TargetMode="External"/><Relationship Id="rId5431" Type="http://schemas.openxmlformats.org/officeDocument/2006/relationships/hyperlink" Target="http://cdg.io/" TargetMode="External"/><Relationship Id="rId4033" Type="http://schemas.openxmlformats.org/officeDocument/2006/relationships/hyperlink" Target="https://www.totalengagement.org/embracing-vintage-and-retro-fashion-a-timeless-trend-on-social-media" TargetMode="External"/><Relationship Id="rId8654" Type="http://schemas.openxmlformats.org/officeDocument/2006/relationships/hyperlink" Target="https://villahagen.se/belysningens-roll-i-att-forvandla-ditt-hem-till-en-inbjudande-plats/" TargetMode="External"/><Relationship Id="rId9705" Type="http://schemas.openxmlformats.org/officeDocument/2006/relationships/hyperlink" Target="https://www.dagensfastigheter.se/20250701/12984/varfor-stockholms-bostadsmarknad-fortsatter-vara-ratt-investering" TargetMode="External"/><Relationship Id="rId10584" Type="http://schemas.openxmlformats.org/officeDocument/2006/relationships/hyperlink" Target="https://www.myownwater.com/aluminum-water-bottles" TargetMode="External"/><Relationship Id="rId11982" Type="http://schemas.openxmlformats.org/officeDocument/2006/relationships/hyperlink" Target="https://www.norrkopingshistoria.se/" TargetMode="External"/><Relationship Id="rId7256" Type="http://schemas.openxmlformats.org/officeDocument/2006/relationships/hyperlink" Target="http://mobot.com/" TargetMode="External"/><Relationship Id="rId8307" Type="http://schemas.openxmlformats.org/officeDocument/2006/relationships/hyperlink" Target="http://fairinvestments.se/" TargetMode="External"/><Relationship Id="rId10237" Type="http://schemas.openxmlformats.org/officeDocument/2006/relationships/hyperlink" Target="https://www.lilla-varlden.se/collections/barnvagnar" TargetMode="External"/><Relationship Id="rId11635" Type="http://schemas.openxmlformats.org/officeDocument/2006/relationships/hyperlink" Target="https://markets.vontobel.com/sv-se/produkter/leverage/bull-bear-certifikat" TargetMode="External"/><Relationship Id="rId3866" Type="http://schemas.openxmlformats.org/officeDocument/2006/relationships/hyperlink" Target="https://www.bilforsakringjamfor.se/5-tips-sa-vardefallet-pa-bilen-minskar/" TargetMode="External"/><Relationship Id="rId4917" Type="http://schemas.openxmlformats.org/officeDocument/2006/relationships/hyperlink" Target="https://www.kingsizemag.se/okategoriserat/guldstriden-i-fotbollsallsvenskan-vilka-lag-star-starkast-infor-hostsasongen/" TargetMode="External"/><Relationship Id="rId787" Type="http://schemas.openxmlformats.org/officeDocument/2006/relationships/hyperlink" Target="http://happysocks.com/" TargetMode="External"/><Relationship Id="rId2468" Type="http://schemas.openxmlformats.org/officeDocument/2006/relationships/hyperlink" Target="https://e-ciggbolaget.se/e-cigaretter/engangs-vape/?hr-page=%7B%22product_count%22%3A24%7D" TargetMode="External"/><Relationship Id="rId3519" Type="http://schemas.openxmlformats.org/officeDocument/2006/relationships/hyperlink" Target="http://tandea.se/" TargetMode="External"/><Relationship Id="rId12890" Type="http://schemas.openxmlformats.org/officeDocument/2006/relationships/hyperlink" Target="https://laexaminer.com/the-benefits-of-electrical-stimulation-for-pain-management/" TargetMode="External"/><Relationship Id="rId9562" Type="http://schemas.openxmlformats.org/officeDocument/2006/relationships/hyperlink" Target="http://hund.se/hundgodis" TargetMode="External"/><Relationship Id="rId11492" Type="http://schemas.openxmlformats.org/officeDocument/2006/relationships/hyperlink" Target="https://www.robomarkets.com/se/" TargetMode="External"/><Relationship Id="rId12543" Type="http://schemas.openxmlformats.org/officeDocument/2006/relationships/hyperlink" Target="https://ecommunity.se/vikten-av-att-anvanda-veganska-stadprodukter-for-en-hallbar-framtid/" TargetMode="External"/><Relationship Id="rId921" Type="http://schemas.openxmlformats.org/officeDocument/2006/relationships/hyperlink" Target="https://www.happysocks.com/us/collection/socks-for-men" TargetMode="External"/><Relationship Id="rId1551" Type="http://schemas.openxmlformats.org/officeDocument/2006/relationships/hyperlink" Target="https://advancepointcap.com/emergency-loan/" TargetMode="External"/><Relationship Id="rId2602" Type="http://schemas.openxmlformats.org/officeDocument/2006/relationships/hyperlink" Target="https://www.allabolag.se/5568169626/bokslut" TargetMode="External"/><Relationship Id="rId8164" Type="http://schemas.openxmlformats.org/officeDocument/2006/relationships/hyperlink" Target="https://bolagsekonomen.se/effektiva-bostadslosningar-for-foretagets-anstallda/" TargetMode="External"/><Relationship Id="rId9215" Type="http://schemas.openxmlformats.org/officeDocument/2006/relationships/hyperlink" Target="https://www.lansfast.se/maklare/sodermanland/trosa/" TargetMode="External"/><Relationship Id="rId10094" Type="http://schemas.openxmlformats.org/officeDocument/2006/relationships/hyperlink" Target="http://ekstromgaray.se/" TargetMode="External"/><Relationship Id="rId11145" Type="http://schemas.openxmlformats.org/officeDocument/2006/relationships/hyperlink" Target="https://www.swedoffice.se/" TargetMode="External"/><Relationship Id="rId1204" Type="http://schemas.openxmlformats.org/officeDocument/2006/relationships/hyperlink" Target="http://tryggbil.se/" TargetMode="External"/><Relationship Id="rId4774" Type="http://schemas.openxmlformats.org/officeDocument/2006/relationships/hyperlink" Target="http://tryggbil.se/" TargetMode="External"/><Relationship Id="rId5825" Type="http://schemas.openxmlformats.org/officeDocument/2006/relationships/hyperlink" Target="https://industrimagasinet.se/tvistlosning-i-naringslivet/" TargetMode="External"/><Relationship Id="rId3376" Type="http://schemas.openxmlformats.org/officeDocument/2006/relationships/hyperlink" Target="http://spelklubben.se/" TargetMode="External"/><Relationship Id="rId4427" Type="http://schemas.openxmlformats.org/officeDocument/2006/relationships/hyperlink" Target="https://l&#246;pskola.nu/blogg/gor-aldrig-kompromissar-med-kvaliteten-pa-dina-frtidsskor/" TargetMode="External"/><Relationship Id="rId297" Type="http://schemas.openxmlformats.org/officeDocument/2006/relationships/hyperlink" Target="http://haxan.se/" TargetMode="External"/><Relationship Id="rId3029" Type="http://schemas.openxmlformats.org/officeDocument/2006/relationships/hyperlink" Target="https://s-automation.se/revolutionen-for-arbetsplats-och-kontorslosningar-awaio/" TargetMode="External"/><Relationship Id="rId6599" Type="http://schemas.openxmlformats.org/officeDocument/2006/relationships/hyperlink" Target="https://tv24.se/tips/klassiska-jackpot-ogonblick-i-tv-de-vann-storvinsterna" TargetMode="External"/><Relationship Id="rId7997" Type="http://schemas.openxmlformats.org/officeDocument/2006/relationships/hyperlink" Target="https://www.chattanoogarehab.com/us/clinical-electrotherapy/electrical-stimulation" TargetMode="External"/><Relationship Id="rId10978" Type="http://schemas.openxmlformats.org/officeDocument/2006/relationships/hyperlink" Target="http://distansinstitutet.se/" TargetMode="External"/><Relationship Id="rId9072" Type="http://schemas.openxmlformats.org/officeDocument/2006/relationships/hyperlink" Target="http://michaelofrisorerna.se/" TargetMode="External"/><Relationship Id="rId3510" Type="http://schemas.openxmlformats.org/officeDocument/2006/relationships/hyperlink" Target="http://glitnor.com/" TargetMode="External"/><Relationship Id="rId12053" Type="http://schemas.openxmlformats.org/officeDocument/2006/relationships/hyperlink" Target="http://robomarkets.com/" TargetMode="External"/><Relationship Id="rId13104" Type="http://schemas.openxmlformats.org/officeDocument/2006/relationships/hyperlink" Target="https://nordicknots.com/us/rugs" TargetMode="External"/><Relationship Id="rId431" Type="http://schemas.openxmlformats.org/officeDocument/2006/relationships/hyperlink" Target="https://calbizjournal.com/fast-track-financing-how-same-day-business-loans-keep-your-business-moving/" TargetMode="External"/><Relationship Id="rId1061" Type="http://schemas.openxmlformats.org/officeDocument/2006/relationships/hyperlink" Target="https://financefinder.se/foretagsrekonstruktion-och-ekonomisk-radgivning-en-vag-till-overlevnad-nar-foretaget-star-i-ekonomiska-svarigheter/" TargetMode="External"/><Relationship Id="rId2112" Type="http://schemas.openxmlformats.org/officeDocument/2006/relationships/hyperlink" Target="https://www.gadgetgirl.se/bygg-din-trygghet" TargetMode="External"/><Relationship Id="rId5682" Type="http://schemas.openxmlformats.org/officeDocument/2006/relationships/hyperlink" Target="https://presenttipsaren.nu/prispressarens-guide-for-presenter-hitta-de-basta-erbjudandena/" TargetMode="External"/><Relationship Id="rId6733" Type="http://schemas.openxmlformats.org/officeDocument/2006/relationships/hyperlink" Target="https://guideboken.se/hundleksaker-och-tillbehor-tips-for-hundagare/" TargetMode="External"/><Relationship Id="rId4284" Type="http://schemas.openxmlformats.org/officeDocument/2006/relationships/hyperlink" Target="https://www.mariatand.se/" TargetMode="External"/><Relationship Id="rId5335" Type="http://schemas.openxmlformats.org/officeDocument/2006/relationships/hyperlink" Target="https://preferensaktier.com/investera-i-kryptovalutor-hosten-2024-vad-du-bor-veta/" TargetMode="External"/><Relationship Id="rId9956" Type="http://schemas.openxmlformats.org/officeDocument/2006/relationships/hyperlink" Target="http://turner.fi/" TargetMode="External"/><Relationship Id="rId8558" Type="http://schemas.openxmlformats.org/officeDocument/2006/relationships/hyperlink" Target="https://whatstrending.com/lifestyle-changes-to-help-men-maintain-a-happy-romantic-relationship/" TargetMode="External"/><Relationship Id="rId9609" Type="http://schemas.openxmlformats.org/officeDocument/2006/relationships/hyperlink" Target="https://www.husohem.se/partner/jobba-hemifran-med-klass-en-guide-for-livsnjutaren/" TargetMode="External"/><Relationship Id="rId11886" Type="http://schemas.openxmlformats.org/officeDocument/2006/relationships/hyperlink" Target="http://tryggbil.se/" TargetMode="External"/><Relationship Id="rId12937" Type="http://schemas.openxmlformats.org/officeDocument/2006/relationships/hyperlink" Target="http://mrvegas.com/" TargetMode="External"/><Relationship Id="rId1945" Type="http://schemas.openxmlformats.org/officeDocument/2006/relationships/hyperlink" Target="https://notyfile.se/" TargetMode="External"/><Relationship Id="rId10488" Type="http://schemas.openxmlformats.org/officeDocument/2006/relationships/hyperlink" Target="https://thecastle.nu/framtidens-vvs-bransch/" TargetMode="External"/><Relationship Id="rId11539" Type="http://schemas.openxmlformats.org/officeDocument/2006/relationships/hyperlink" Target="https://sufracofinebrands.com/" TargetMode="External"/><Relationship Id="rId3020" Type="http://schemas.openxmlformats.org/officeDocument/2006/relationships/hyperlink" Target="https://foraldraguiden.se/filippa-k-ledande-inom-medveten-konsumtion/" TargetMode="External"/><Relationship Id="rId6590" Type="http://schemas.openxmlformats.org/officeDocument/2006/relationships/hyperlink" Target="https://www.kingsizemag.se/okategoriserat/hip-hop-modet-och-skraddarsydda-kostymer-fran-gatan-till-galan/" TargetMode="External"/><Relationship Id="rId7641" Type="http://schemas.openxmlformats.org/officeDocument/2006/relationships/hyperlink" Target="https://hemforalla.se/hur-man-varderar-sin-bostad-infor-forsaljning/" TargetMode="External"/><Relationship Id="rId10622" Type="http://schemas.openxmlformats.org/officeDocument/2006/relationships/hyperlink" Target="https://retailtechinnovationhub.com/home/2025/7/29/personalised-loyalty-programmes-reward-casino-fans" TargetMode="External"/><Relationship Id="rId5192" Type="http://schemas.openxmlformats.org/officeDocument/2006/relationships/hyperlink" Target="https://www.webugglandesign.se/" TargetMode="External"/><Relationship Id="rId6243" Type="http://schemas.openxmlformats.org/officeDocument/2006/relationships/hyperlink" Target="https://www.swedoffice.se/" TargetMode="External"/><Relationship Id="rId12794" Type="http://schemas.openxmlformats.org/officeDocument/2006/relationships/hyperlink" Target="http://tandea.se/" TargetMode="External"/><Relationship Id="rId2853" Type="http://schemas.openxmlformats.org/officeDocument/2006/relationships/hyperlink" Target="https://haligonia.ca/how-to-get-started-with-sports-betting-299167/" TargetMode="External"/><Relationship Id="rId3904" Type="http://schemas.openxmlformats.org/officeDocument/2006/relationships/hyperlink" Target="https://www.smileproduktionsbyra.se/" TargetMode="External"/><Relationship Id="rId9466" Type="http://schemas.openxmlformats.org/officeDocument/2006/relationships/hyperlink" Target="https://www.kleer.se/lonesystem/" TargetMode="External"/><Relationship Id="rId11396" Type="http://schemas.openxmlformats.org/officeDocument/2006/relationships/hyperlink" Target="https://lifehacking.se/" TargetMode="External"/><Relationship Id="rId12447" Type="http://schemas.openxmlformats.org/officeDocument/2006/relationships/hyperlink" Target="http://alvtorpet.se/" TargetMode="External"/><Relationship Id="rId825" Type="http://schemas.openxmlformats.org/officeDocument/2006/relationships/hyperlink" Target="https://rehabgrossisten.com/" TargetMode="External"/><Relationship Id="rId1455" Type="http://schemas.openxmlformats.org/officeDocument/2006/relationships/hyperlink" Target="http://fairinvestments.se/" TargetMode="External"/><Relationship Id="rId2506" Type="http://schemas.openxmlformats.org/officeDocument/2006/relationships/hyperlink" Target="http://arctic.se/" TargetMode="External"/><Relationship Id="rId8068" Type="http://schemas.openxmlformats.org/officeDocument/2006/relationships/hyperlink" Target="https://www.totallystockholm.se/strukturera-organisera-ditt-arbete-dina-personliga-papper/" TargetMode="External"/><Relationship Id="rId9119" Type="http://schemas.openxmlformats.org/officeDocument/2006/relationships/hyperlink" Target="https://bundesliga.se/betting-odds/" TargetMode="External"/><Relationship Id="rId11049" Type="http://schemas.openxmlformats.org/officeDocument/2006/relationships/hyperlink" Target="https://tosiasiat.fi/mita-tekee-kryptovaluutoista-hyvan-sijoituksen/" TargetMode="External"/><Relationship Id="rId1108" Type="http://schemas.openxmlformats.org/officeDocument/2006/relationships/hyperlink" Target="https://www.foyen.se/" TargetMode="External"/><Relationship Id="rId4678" Type="http://schemas.openxmlformats.org/officeDocument/2006/relationships/hyperlink" Target="http://cannabislight.se/" TargetMode="External"/><Relationship Id="rId5729" Type="http://schemas.openxmlformats.org/officeDocument/2006/relationships/hyperlink" Target="https://www.forsakringen.se/" TargetMode="External"/><Relationship Id="rId7151" Type="http://schemas.openxmlformats.org/officeDocument/2006/relationships/hyperlink" Target="http://foyen.se/" TargetMode="External"/><Relationship Id="rId8202" Type="http://schemas.openxmlformats.org/officeDocument/2006/relationships/hyperlink" Target="https://bolagshistorik.se/effektiva-markarbeten-for-entreprenorer-i-stockholm/" TargetMode="External"/><Relationship Id="rId9600" Type="http://schemas.openxmlformats.org/officeDocument/2006/relationships/hyperlink" Target="https://svenskafonster.se/fonster" TargetMode="External"/><Relationship Id="rId11530" Type="http://schemas.openxmlformats.org/officeDocument/2006/relationships/hyperlink" Target="https://veckomagasinet.com/kanner-ni-till-drottning-marie-antoinette/" TargetMode="External"/><Relationship Id="rId10132" Type="http://schemas.openxmlformats.org/officeDocument/2006/relationships/hyperlink" Target="https://www.kungaslottet.se/" TargetMode="External"/><Relationship Id="rId3761" Type="http://schemas.openxmlformats.org/officeDocument/2006/relationships/hyperlink" Target="https://carpcon.se/fonsterbyte/" TargetMode="External"/><Relationship Id="rId4812" Type="http://schemas.openxmlformats.org/officeDocument/2006/relationships/hyperlink" Target="https://gardets.nu/optimera-din-bathamn-med-hallbara-brygglosningar/" TargetMode="External"/><Relationship Id="rId682" Type="http://schemas.openxmlformats.org/officeDocument/2006/relationships/hyperlink" Target="https://blugiallo.se/tagg/brollop/" TargetMode="External"/><Relationship Id="rId2363" Type="http://schemas.openxmlformats.org/officeDocument/2006/relationships/hyperlink" Target="https://www.cattisb.se/viktigt-pa-riktigt" TargetMode="External"/><Relationship Id="rId3414" Type="http://schemas.openxmlformats.org/officeDocument/2006/relationships/hyperlink" Target="https://www.commedica.com/behover-man-en-maklare" TargetMode="External"/><Relationship Id="rId6984" Type="http://schemas.openxmlformats.org/officeDocument/2006/relationships/hyperlink" Target="https://prokrastinera.se/ozempic-fran-diabetesbehandling-till-hjalp-vid-viktnedgang/" TargetMode="External"/><Relationship Id="rId13008" Type="http://schemas.openxmlformats.org/officeDocument/2006/relationships/hyperlink" Target="https://www.mrvegas.com/sv/" TargetMode="External"/><Relationship Id="rId335" Type="http://schemas.openxmlformats.org/officeDocument/2006/relationships/hyperlink" Target="https://haxan.se/" TargetMode="External"/><Relationship Id="rId2016" Type="http://schemas.openxmlformats.org/officeDocument/2006/relationships/hyperlink" Target="https://amandajnsn.se/" TargetMode="External"/><Relationship Id="rId5586" Type="http://schemas.openxmlformats.org/officeDocument/2006/relationships/hyperlink" Target="http://aaatak.se/" TargetMode="External"/><Relationship Id="rId6637" Type="http://schemas.openxmlformats.org/officeDocument/2006/relationships/hyperlink" Target="https://www.rusta.com/sv-se/hem-och-inredning/mattor" TargetMode="External"/><Relationship Id="rId4188" Type="http://schemas.openxmlformats.org/officeDocument/2006/relationships/hyperlink" Target="https://www.alfa.no/pages/hvilken-fjellsko-skal-jeg-velge" TargetMode="External"/><Relationship Id="rId5239" Type="http://schemas.openxmlformats.org/officeDocument/2006/relationships/hyperlink" Target="http://everynightstudios.com/" TargetMode="External"/><Relationship Id="rId9110" Type="http://schemas.openxmlformats.org/officeDocument/2006/relationships/hyperlink" Target="https://presenttipsaren.nu/ge-bort-sant-som-faktiskt-anvands-11-praktiska-presenter/" TargetMode="External"/><Relationship Id="rId11040" Type="http://schemas.openxmlformats.org/officeDocument/2006/relationships/hyperlink" Target="https://diginyt.fi/bitcoinin-infrastruktuuri-vankka-ja-hyvaksi-todettu-vai-hauras-kokeilu/" TargetMode="External"/><Relationship Id="rId1849" Type="http://schemas.openxmlformats.org/officeDocument/2006/relationships/hyperlink" Target="https://pontonhamnar.se/" TargetMode="External"/><Relationship Id="rId5720" Type="http://schemas.openxmlformats.org/officeDocument/2006/relationships/hyperlink" Target="http://kamux.fi/" TargetMode="External"/><Relationship Id="rId192" Type="http://schemas.openxmlformats.org/officeDocument/2006/relationships/hyperlink" Target="http://ljusgrossisten.se/" TargetMode="External"/><Relationship Id="rId3271" Type="http://schemas.openxmlformats.org/officeDocument/2006/relationships/hyperlink" Target="https://www.swedoffice.se/kategori/49902-kopieringspapper" TargetMode="External"/><Relationship Id="rId4322" Type="http://schemas.openxmlformats.org/officeDocument/2006/relationships/hyperlink" Target="https://www.spelklubben.se/sv/betting" TargetMode="External"/><Relationship Id="rId7892" Type="http://schemas.openxmlformats.org/officeDocument/2006/relationships/hyperlink" Target="http://glassfactory.fi/" TargetMode="External"/><Relationship Id="rId8943" Type="http://schemas.openxmlformats.org/officeDocument/2006/relationships/hyperlink" Target="https://willabgarden.de/" TargetMode="External"/><Relationship Id="rId10873" Type="http://schemas.openxmlformats.org/officeDocument/2006/relationships/hyperlink" Target="https://influencereffect.se/mikroinfluencers-med-makroeffekt-sa-ska-du-som-marknadsforare-tanka/" TargetMode="External"/><Relationship Id="rId6494" Type="http://schemas.openxmlformats.org/officeDocument/2006/relationships/hyperlink" Target="http://kanalgratis.se/" TargetMode="External"/><Relationship Id="rId7545" Type="http://schemas.openxmlformats.org/officeDocument/2006/relationships/hyperlink" Target="http://arctic.se/" TargetMode="External"/><Relationship Id="rId10526" Type="http://schemas.openxmlformats.org/officeDocument/2006/relationships/hyperlink" Target="http://epidemicsounds.com/" TargetMode="External"/><Relationship Id="rId11924" Type="http://schemas.openxmlformats.org/officeDocument/2006/relationships/hyperlink" Target="https://www.bitcoincircuit.se/2023/09/26/aktietips-inom-online-trading-en-guide-till-framgang/" TargetMode="External"/><Relationship Id="rId5096" Type="http://schemas.openxmlformats.org/officeDocument/2006/relationships/hyperlink" Target="https://nem.health/vo2-max-indikator-for-livslangd-och-kardiovaskular-halsa/" TargetMode="External"/><Relationship Id="rId6147" Type="http://schemas.openxmlformats.org/officeDocument/2006/relationships/hyperlink" Target="https://www.coface.fi/" TargetMode="External"/><Relationship Id="rId12698" Type="http://schemas.openxmlformats.org/officeDocument/2006/relationships/hyperlink" Target="https://www.startmotor.se/fordon/reservdelar-bat/volvo-penta" TargetMode="External"/><Relationship Id="rId729" Type="http://schemas.openxmlformats.org/officeDocument/2006/relationships/hyperlink" Target="http://fairinvestments.se/" TargetMode="External"/><Relationship Id="rId1359" Type="http://schemas.openxmlformats.org/officeDocument/2006/relationships/hyperlink" Target="https://conclean.se/produkter/minireningsverk/" TargetMode="External"/><Relationship Id="rId2757" Type="http://schemas.openxmlformats.org/officeDocument/2006/relationships/hyperlink" Target="https://www.augustsurfcafe.se/surfing-i-sverige" TargetMode="External"/><Relationship Id="rId3808" Type="http://schemas.openxmlformats.org/officeDocument/2006/relationships/hyperlink" Target="https://tiotak.se/byta-tak-ekonomibyggnad/" TargetMode="External"/><Relationship Id="rId5230" Type="http://schemas.openxmlformats.org/officeDocument/2006/relationships/hyperlink" Target="http://tiotak.se/" TargetMode="External"/><Relationship Id="rId9851" Type="http://schemas.openxmlformats.org/officeDocument/2006/relationships/hyperlink" Target="http://cdbilvardsprodukter.se/" TargetMode="External"/><Relationship Id="rId11781" Type="http://schemas.openxmlformats.org/officeDocument/2006/relationships/hyperlink" Target="http://robomarkets.com/" TargetMode="External"/><Relationship Id="rId12832" Type="http://schemas.openxmlformats.org/officeDocument/2006/relationships/hyperlink" Target="https://kaupanmenestys.fi/sohva-tarinankertojana-miten-sohvat-kertovat-myymalan-tuotemerkkitarinan/" TargetMode="External"/><Relationship Id="rId65" Type="http://schemas.openxmlformats.org/officeDocument/2006/relationships/hyperlink" Target="https://halmstadextra.se/" TargetMode="External"/><Relationship Id="rId1840" Type="http://schemas.openxmlformats.org/officeDocument/2006/relationships/hyperlink" Target="https://www.tandea.se/" TargetMode="External"/><Relationship Id="rId8453" Type="http://schemas.openxmlformats.org/officeDocument/2006/relationships/hyperlink" Target="https://www.sarasotamagazine.com/advantagepoint/2025/03/eco-friendly-hosting-tips-for-your-next-sarasota-get-together" TargetMode="External"/><Relationship Id="rId9504" Type="http://schemas.openxmlformats.org/officeDocument/2006/relationships/hyperlink" Target="http://upplevelse.com/presentkort" TargetMode="External"/><Relationship Id="rId10383" Type="http://schemas.openxmlformats.org/officeDocument/2006/relationships/hyperlink" Target="https://www.bethard.com/sv/sports/fotboll" TargetMode="External"/><Relationship Id="rId11434" Type="http://schemas.openxmlformats.org/officeDocument/2006/relationships/hyperlink" Target="https://uppsalabostad.se/hitta-ratt-fastighetsmaklare-i-nykoping/" TargetMode="External"/><Relationship Id="rId7055" Type="http://schemas.openxmlformats.org/officeDocument/2006/relationships/hyperlink" Target="https://programminginsider.com/content-personalization-how-data-is-changing-the-viewer-experience/" TargetMode="External"/><Relationship Id="rId8106" Type="http://schemas.openxmlformats.org/officeDocument/2006/relationships/hyperlink" Target="http://arctic.se/" TargetMode="External"/><Relationship Id="rId10036" Type="http://schemas.openxmlformats.org/officeDocument/2006/relationships/hyperlink" Target="https://www.di.se/brandstudio/upplevelse/sverige-vill-ga-om-danmark-i-turistkampen/" TargetMode="External"/><Relationship Id="rId3665" Type="http://schemas.openxmlformats.org/officeDocument/2006/relationships/hyperlink" Target="https://www.skanerunt.nu/" TargetMode="External"/><Relationship Id="rId4716" Type="http://schemas.openxmlformats.org/officeDocument/2006/relationships/hyperlink" Target="https://www.tryggbil.se/" TargetMode="External"/><Relationship Id="rId13259" Type="http://schemas.openxmlformats.org/officeDocument/2006/relationships/hyperlink" Target="https://barabyggare.se/professionella-vvs-tjanster-och-hur-du-utnyttjar-rot-och-rut-avdrag-i-stockholm/" TargetMode="External"/><Relationship Id="rId586" Type="http://schemas.openxmlformats.org/officeDocument/2006/relationships/hyperlink" Target="https://dindromvilla.se/sa-kan-du-spara-pengar-vid-en-renovering/" TargetMode="External"/><Relationship Id="rId2267" Type="http://schemas.openxmlformats.org/officeDocument/2006/relationships/hyperlink" Target="https://www.triwa.com/watches-for-men" TargetMode="External"/><Relationship Id="rId3318" Type="http://schemas.openxmlformats.org/officeDocument/2006/relationships/hyperlink" Target="https://carpcon.se/fonsterbyte/" TargetMode="External"/><Relationship Id="rId6888" Type="http://schemas.openxmlformats.org/officeDocument/2006/relationships/hyperlink" Target="http://hemplybalance.com/" TargetMode="External"/><Relationship Id="rId239" Type="http://schemas.openxmlformats.org/officeDocument/2006/relationships/hyperlink" Target="https://blugiallo.com/" TargetMode="External"/><Relationship Id="rId7939" Type="http://schemas.openxmlformats.org/officeDocument/2006/relationships/hyperlink" Target="https://eventeffect.se/sma-detaljer-som-lyfter-helhetsupplevelsen/" TargetMode="External"/><Relationship Id="rId9361" Type="http://schemas.openxmlformats.org/officeDocument/2006/relationships/hyperlink" Target="http://videoslots.com/" TargetMode="External"/><Relationship Id="rId9014" Type="http://schemas.openxmlformats.org/officeDocument/2006/relationships/hyperlink" Target="https://www.expressen.se/brandstudio/upplevelse-com/fran-angestprov-till-folkfest-sa-har-studenten-forandrats-genom-tiderna/" TargetMode="External"/><Relationship Id="rId11291" Type="http://schemas.openxmlformats.org/officeDocument/2006/relationships/hyperlink" Target="http://fairinvestments.se/" TargetMode="External"/><Relationship Id="rId12342" Type="http://schemas.openxmlformats.org/officeDocument/2006/relationships/hyperlink" Target="https://dindromvilla.se/den-revolutionerande-effektiviteten-hos-minireningsverk/" TargetMode="External"/><Relationship Id="rId720" Type="http://schemas.openxmlformats.org/officeDocument/2006/relationships/hyperlink" Target="http://fairinvestments.se/" TargetMode="External"/><Relationship Id="rId1350" Type="http://schemas.openxmlformats.org/officeDocument/2006/relationships/hyperlink" Target="https://lemontree.se/tjanster/testautomatisering/" TargetMode="External"/><Relationship Id="rId2401" Type="http://schemas.openxmlformats.org/officeDocument/2006/relationships/hyperlink" Target="https://e-ciggbolaget.se/e-cigaretter/engangs-vape/?hr-page=%7B%22product_count%22%3A24%7D" TargetMode="External"/><Relationship Id="rId5971" Type="http://schemas.openxmlformats.org/officeDocument/2006/relationships/hyperlink" Target="https://www.wrestlingattitude.com/2024/10/how-hydration-powers-wrestler-training-routines.html" TargetMode="External"/><Relationship Id="rId1003" Type="http://schemas.openxmlformats.org/officeDocument/2006/relationships/hyperlink" Target="https://jetshopfree.se/studera-pedagogik-pa-distans-pedagogik-utbildning-for-framtidens-larare/" TargetMode="External"/><Relationship Id="rId4573" Type="http://schemas.openxmlformats.org/officeDocument/2006/relationships/hyperlink" Target="https://anwire.org/why-companies-should-consider-a-virtual-ciso/" TargetMode="External"/><Relationship Id="rId5624" Type="http://schemas.openxmlformats.org/officeDocument/2006/relationships/hyperlink" Target="http://aretrotale.com/" TargetMode="External"/><Relationship Id="rId3175" Type="http://schemas.openxmlformats.org/officeDocument/2006/relationships/hyperlink" Target="https://www.skyblues.se/smart-spel" TargetMode="External"/><Relationship Id="rId4226" Type="http://schemas.openxmlformats.org/officeDocument/2006/relationships/hyperlink" Target="https://www.joomlaforeningen.se/" TargetMode="External"/><Relationship Id="rId7796" Type="http://schemas.openxmlformats.org/officeDocument/2006/relationships/hyperlink" Target="https://technobark.com/best-dog-gps-trackers/" TargetMode="External"/><Relationship Id="rId8847" Type="http://schemas.openxmlformats.org/officeDocument/2006/relationships/hyperlink" Target="http://rusta.se/" TargetMode="External"/><Relationship Id="rId6398" Type="http://schemas.openxmlformats.org/officeDocument/2006/relationships/hyperlink" Target="https://eestinen.fi/2025/01/sahkoautoon-vaihtamisen-hyodyt/" TargetMode="External"/><Relationship Id="rId7449" Type="http://schemas.openxmlformats.org/officeDocument/2006/relationships/hyperlink" Target="https://www.rusta.com/sv-se/fritid/husdjur/hundfoder" TargetMode="External"/><Relationship Id="rId10777" Type="http://schemas.openxmlformats.org/officeDocument/2006/relationships/hyperlink" Target="https://powerkvinna.se/att-valja-ratt-produkter-for-ditt-barn-en-guide-for-moderna-mammor/" TargetMode="External"/><Relationship Id="rId11828" Type="http://schemas.openxmlformats.org/officeDocument/2006/relationships/hyperlink" Target="https://blugiallo.com/tailoring-guides/peak-lapels-vs-notch-lapels-the-guide/" TargetMode="External"/><Relationship Id="rId13250" Type="http://schemas.openxmlformats.org/officeDocument/2006/relationships/hyperlink" Target="https://swedenlongstay.se/sv/foretagsbostader/stockholm/" TargetMode="External"/><Relationship Id="rId230" Type="http://schemas.openxmlformats.org/officeDocument/2006/relationships/hyperlink" Target="https://www.frii.se/hudvardsmarke-som-haller-hoga-standarden/" TargetMode="External"/><Relationship Id="rId7930" Type="http://schemas.openxmlformats.org/officeDocument/2006/relationships/hyperlink" Target="https://tr&#228;dg&#229;rdsstart.se/sa-tar-du-hand-om-dina-vaxter-aret-runt/" TargetMode="External"/><Relationship Id="rId10911" Type="http://schemas.openxmlformats.org/officeDocument/2006/relationships/hyperlink" Target="https://businessleben.de/nachfrage-nach-waermepumpen" TargetMode="External"/><Relationship Id="rId4083" Type="http://schemas.openxmlformats.org/officeDocument/2006/relationships/hyperlink" Target="https://ekonomistart.se/sveriges-mest-blankade-aktier/" TargetMode="External"/><Relationship Id="rId5481" Type="http://schemas.openxmlformats.org/officeDocument/2006/relationships/hyperlink" Target="https://podradio.nu/att-anlagga-en-flytbrygga-en-praktisk-guide/" TargetMode="External"/><Relationship Id="rId6532" Type="http://schemas.openxmlformats.org/officeDocument/2006/relationships/hyperlink" Target="https://jammerbugtposten.dk/hvad-sker-der-naar-regningen-ryger-i-inkasso/" TargetMode="External"/><Relationship Id="rId5134" Type="http://schemas.openxmlformats.org/officeDocument/2006/relationships/hyperlink" Target="https://www.nordelia.se/framtiden-for-vaping-hur-ser-den-ut" TargetMode="External"/><Relationship Id="rId9755" Type="http://schemas.openxmlformats.org/officeDocument/2006/relationships/hyperlink" Target="https://www.gilbertsunnews.com/affiliate_content/how-digital-coaching-platforms-are-enabling-athletes-to-improve/article_8ab5e316-3d55-47a8-be0c-f89c300d47e7.html" TargetMode="External"/><Relationship Id="rId11685" Type="http://schemas.openxmlformats.org/officeDocument/2006/relationships/hyperlink" Target="https://markets.vontobel.com/fi-fi/tuotteet/viputuotteet/bull-biear-sertifikaatti/DE000VP4YPH0" TargetMode="External"/><Relationship Id="rId12736" Type="http://schemas.openxmlformats.org/officeDocument/2006/relationships/hyperlink" Target="http://michaelofrisorerna.se/" TargetMode="External"/><Relationship Id="rId1744" Type="http://schemas.openxmlformats.org/officeDocument/2006/relationships/hyperlink" Target="https://beautymama.se/aterfa-ditt-leende-med-tandimplantat/" TargetMode="External"/><Relationship Id="rId8357" Type="http://schemas.openxmlformats.org/officeDocument/2006/relationships/hyperlink" Target="http://technobark.com/" TargetMode="External"/><Relationship Id="rId9408" Type="http://schemas.openxmlformats.org/officeDocument/2006/relationships/hyperlink" Target="https://www.rusta.com/sv-se/fritid/husdjur/hundfoder" TargetMode="External"/><Relationship Id="rId10287" Type="http://schemas.openxmlformats.org/officeDocument/2006/relationships/hyperlink" Target="http://startmotor.se/" TargetMode="External"/><Relationship Id="rId11338" Type="http://schemas.openxmlformats.org/officeDocument/2006/relationships/hyperlink" Target="http://fairinvestments.se/" TargetMode="External"/><Relationship Id="rId4967" Type="http://schemas.openxmlformats.org/officeDocument/2006/relationships/hyperlink" Target="http://rusta.se/" TargetMode="External"/><Relationship Id="rId3569" Type="http://schemas.openxmlformats.org/officeDocument/2006/relationships/hyperlink" Target="https://distansinstitutet.se/distansutbildningar/ekonomi/ekonomiassistent/" TargetMode="External"/><Relationship Id="rId7440" Type="http://schemas.openxmlformats.org/officeDocument/2006/relationships/hyperlink" Target="https://www.kingsizemag.se/okategoriserat/fa-looken-uppna-influencer-frisyren-som-dominerar-sociala-medier/" TargetMode="External"/><Relationship Id="rId6042" Type="http://schemas.openxmlformats.org/officeDocument/2006/relationships/hyperlink" Target="http://rusta.se/" TargetMode="External"/><Relationship Id="rId10421" Type="http://schemas.openxmlformats.org/officeDocument/2006/relationships/hyperlink" Target="http://tandea.se/" TargetMode="External"/><Relationship Id="rId12593" Type="http://schemas.openxmlformats.org/officeDocument/2006/relationships/hyperlink" Target="https://www.sandiegoreader.com/contributor/readernews/why-small-business-insurance-is-essential-for-small-business-success/" TargetMode="External"/><Relationship Id="rId971" Type="http://schemas.openxmlformats.org/officeDocument/2006/relationships/hyperlink" Target="http://villarelining.se/" TargetMode="External"/><Relationship Id="rId2652" Type="http://schemas.openxmlformats.org/officeDocument/2006/relationships/hyperlink" Target="https://www.saleseffect.se/prisvard-cb" TargetMode="External"/><Relationship Id="rId3703" Type="http://schemas.openxmlformats.org/officeDocument/2006/relationships/hyperlink" Target="http://filippa-k.com/se/sv/" TargetMode="External"/><Relationship Id="rId9265" Type="http://schemas.openxmlformats.org/officeDocument/2006/relationships/hyperlink" Target="http://tiotak.se/" TargetMode="External"/><Relationship Id="rId11195" Type="http://schemas.openxmlformats.org/officeDocument/2006/relationships/hyperlink" Target="http://blugiallo.com/" TargetMode="External"/><Relationship Id="rId12246" Type="http://schemas.openxmlformats.org/officeDocument/2006/relationships/hyperlink" Target="https://www.robomarkets.com/se/forex-trading/trading/isk/" TargetMode="External"/><Relationship Id="rId624" Type="http://schemas.openxmlformats.org/officeDocument/2006/relationships/hyperlink" Target="https://www.happysocks.com/us/collection/dressed?utm_source=AffiliateWindow&amp;utm_medium=Affiliate&amp;utm_content=yieldkit&amp;utm_campaign=Sweden&amp;zanpid=8619_1682330348_1af33c5ee780917088d33e8cdf6ff801" TargetMode="External"/><Relationship Id="rId1254" Type="http://schemas.openxmlformats.org/officeDocument/2006/relationships/hyperlink" Target="https://advancepointcap.com/blog/same-day-smb-loan/" TargetMode="External"/><Relationship Id="rId2305" Type="http://schemas.openxmlformats.org/officeDocument/2006/relationships/hyperlink" Target="https://www.annonsparken.se/forsakra-solcellerna" TargetMode="External"/><Relationship Id="rId5875" Type="http://schemas.openxmlformats.org/officeDocument/2006/relationships/hyperlink" Target="https://gladjeraketen.se/engangs-vape-och-dess-paverkan-pa-livsstil/" TargetMode="External"/><Relationship Id="rId6926" Type="http://schemas.openxmlformats.org/officeDocument/2006/relationships/hyperlink" Target="http://tigerofsweden.com/" TargetMode="External"/><Relationship Id="rId4477" Type="http://schemas.openxmlformats.org/officeDocument/2006/relationships/hyperlink" Target="https://nem.health/vo2-max-indikator-for-livslangd-och-kardiovaskular-halsa/" TargetMode="External"/><Relationship Id="rId5528" Type="http://schemas.openxmlformats.org/officeDocument/2006/relationships/hyperlink" Target="https://sakraror.se/" TargetMode="External"/><Relationship Id="rId3079" Type="http://schemas.openxmlformats.org/officeDocument/2006/relationships/hyperlink" Target="https://p2catering.se/quality-hotel-sundsvall-deras-restaurang-q-bar-en-oas-for-mat-musik-gemenskap/" TargetMode="External"/><Relationship Id="rId8001" Type="http://schemas.openxmlformats.org/officeDocument/2006/relationships/hyperlink" Target="http://nordicknots.com/" TargetMode="External"/><Relationship Id="rId481" Type="http://schemas.openxmlformats.org/officeDocument/2006/relationships/hyperlink" Target="https://ecommunity.se/upptack-magin-med-dr-ceuracles-hudvardsprodukter/" TargetMode="External"/><Relationship Id="rId2162" Type="http://schemas.openxmlformats.org/officeDocument/2006/relationships/hyperlink" Target="https://www.schmack.se/att-driva-foretag-i-sverige" TargetMode="External"/><Relationship Id="rId3560" Type="http://schemas.openxmlformats.org/officeDocument/2006/relationships/hyperlink" Target="https://www.vaken.se/fairinvestments-forvaltning-for-alla-andamal-for-riktiga-resultat/" TargetMode="External"/><Relationship Id="rId4611" Type="http://schemas.openxmlformats.org/officeDocument/2006/relationships/hyperlink" Target="http://spelklubben.se/" TargetMode="External"/><Relationship Id="rId13154" Type="http://schemas.openxmlformats.org/officeDocument/2006/relationships/hyperlink" Target="http://mrvegas.com/" TargetMode="External"/><Relationship Id="rId134" Type="http://schemas.openxmlformats.org/officeDocument/2006/relationships/hyperlink" Target="https://laxrecept.se/vad-ar-langtidssocker/" TargetMode="External"/><Relationship Id="rId3213" Type="http://schemas.openxmlformats.org/officeDocument/2006/relationships/hyperlink" Target="https://www.startmotor.se/kategori/generatorer" TargetMode="External"/><Relationship Id="rId6783" Type="http://schemas.openxmlformats.org/officeDocument/2006/relationships/hyperlink" Target="http://svenskafonster.se/altandorr" TargetMode="External"/><Relationship Id="rId7834" Type="http://schemas.openxmlformats.org/officeDocument/2006/relationships/hyperlink" Target="https://kopa-hus.se/har-du-koll-pa-undersokningsplikten-vad-du-som-kopare-maste-ha-koll-pa-nar-du-koper-hus-eller-bostadsratt/" TargetMode="External"/><Relationship Id="rId10815" Type="http://schemas.openxmlformats.org/officeDocument/2006/relationships/hyperlink" Target="https://www.linkedin.com/company/fair-investments-sweden-ab/" TargetMode="External"/><Relationship Id="rId5385" Type="http://schemas.openxmlformats.org/officeDocument/2006/relationships/hyperlink" Target="https://www.snusnetto.se/velo/" TargetMode="External"/><Relationship Id="rId6436" Type="http://schemas.openxmlformats.org/officeDocument/2006/relationships/hyperlink" Target="https://svenskalasjouren.se/" TargetMode="External"/><Relationship Id="rId1995" Type="http://schemas.openxmlformats.org/officeDocument/2006/relationships/hyperlink" Target="http://mariatand.se/" TargetMode="External"/><Relationship Id="rId5038" Type="http://schemas.openxmlformats.org/officeDocument/2006/relationships/hyperlink" Target="http://snusnetto.se/" TargetMode="External"/><Relationship Id="rId9659" Type="http://schemas.openxmlformats.org/officeDocument/2006/relationships/hyperlink" Target="https://www.lilla-varlden.se/collections/barnvagnar" TargetMode="External"/><Relationship Id="rId11589" Type="http://schemas.openxmlformats.org/officeDocument/2006/relationships/hyperlink" Target="http://sufracofinebrands.com/" TargetMode="External"/><Relationship Id="rId12987" Type="http://schemas.openxmlformats.org/officeDocument/2006/relationships/hyperlink" Target="https://balansekonomi.se/10-saker-som-faktiskt-ar-helt-gratis/" TargetMode="External"/><Relationship Id="rId1648" Type="http://schemas.openxmlformats.org/officeDocument/2006/relationships/hyperlink" Target="https://www.triwa.com/sv/time-for-solar" TargetMode="External"/><Relationship Id="rId3070" Type="http://schemas.openxmlformats.org/officeDocument/2006/relationships/hyperlink" Target="https://renbyggbransch.nu/hvvs-uppsalas-ledande-rormokare-vvs-tjanster-for-hallbar-komfort/" TargetMode="External"/><Relationship Id="rId4121" Type="http://schemas.openxmlformats.org/officeDocument/2006/relationships/hyperlink" Target="https://filmeye.se/fem-serienyheter-att-se-fram-emot-i-host-2024/" TargetMode="External"/><Relationship Id="rId6293" Type="http://schemas.openxmlformats.org/officeDocument/2006/relationships/hyperlink" Target="https://beautyagenten.se/skonhetstips-for-en-stralande-hy/" TargetMode="External"/><Relationship Id="rId7691" Type="http://schemas.openxmlformats.org/officeDocument/2006/relationships/hyperlink" Target="http://tkw.se/" TargetMode="External"/><Relationship Id="rId8742" Type="http://schemas.openxmlformats.org/officeDocument/2006/relationships/hyperlink" Target="https://www.nykommun.se/2025/04/13/de-vanligaste-hudbesvaren-i-sverige/" TargetMode="External"/><Relationship Id="rId10672" Type="http://schemas.openxmlformats.org/officeDocument/2006/relationships/hyperlink" Target="https://leaptodigital.com/roofing-crm" TargetMode="External"/><Relationship Id="rId11723" Type="http://schemas.openxmlformats.org/officeDocument/2006/relationships/hyperlink" Target="https://yagya.com/" TargetMode="External"/><Relationship Id="rId7344" Type="http://schemas.openxmlformats.org/officeDocument/2006/relationships/hyperlink" Target="http://svenskiptv.com/" TargetMode="External"/><Relationship Id="rId10325" Type="http://schemas.openxmlformats.org/officeDocument/2006/relationships/hyperlink" Target="https://kvinnan.se/vikten-av-professionell-hudvard-for-kvinnor-i-stockholm/" TargetMode="External"/><Relationship Id="rId3954" Type="http://schemas.openxmlformats.org/officeDocument/2006/relationships/hyperlink" Target="https://www.bonusbay.se/" TargetMode="External"/><Relationship Id="rId12497" Type="http://schemas.openxmlformats.org/officeDocument/2006/relationships/hyperlink" Target="https://reveljens.se/" TargetMode="External"/><Relationship Id="rId875" Type="http://schemas.openxmlformats.org/officeDocument/2006/relationships/hyperlink" Target="https://www.creditsafe.com/dk/da/kredit-risiko/kreditrapporter/kreditvurdering.html" TargetMode="External"/><Relationship Id="rId2556" Type="http://schemas.openxmlformats.org/officeDocument/2006/relationships/hyperlink" Target="https://www.f17-flygdag2014.se/varlden-fran-ovan" TargetMode="External"/><Relationship Id="rId3607" Type="http://schemas.openxmlformats.org/officeDocument/2006/relationships/hyperlink" Target="http://fairinvestments.se/" TargetMode="External"/><Relationship Id="rId9169" Type="http://schemas.openxmlformats.org/officeDocument/2006/relationships/hyperlink" Target="https://esnachricht.de/klimafreundliche-methoden-fur-den-eigenen-anbau/" TargetMode="External"/><Relationship Id="rId11099" Type="http://schemas.openxmlformats.org/officeDocument/2006/relationships/hyperlink" Target="https://www.mrvegas.com/sv/" TargetMode="External"/><Relationship Id="rId528" Type="http://schemas.openxmlformats.org/officeDocument/2006/relationships/hyperlink" Target="https://toyota-forklifts.se/vara-truckar/plocktruckar/" TargetMode="External"/><Relationship Id="rId1158" Type="http://schemas.openxmlformats.org/officeDocument/2006/relationships/hyperlink" Target="http://tandea.se/" TargetMode="External"/><Relationship Id="rId2209" Type="http://schemas.openxmlformats.org/officeDocument/2006/relationships/hyperlink" Target="https://pontechmarina.com/se/flytbrygga/vagbrytare/" TargetMode="External"/><Relationship Id="rId5779" Type="http://schemas.openxmlformats.org/officeDocument/2006/relationships/hyperlink" Target="http://upplevelse.com/" TargetMode="External"/><Relationship Id="rId9650" Type="http://schemas.openxmlformats.org/officeDocument/2006/relationships/hyperlink" Target="http://svenskafonster.se/" TargetMode="External"/><Relationship Id="rId8252" Type="http://schemas.openxmlformats.org/officeDocument/2006/relationships/hyperlink" Target="https://www.wergeland2008.no/litteratur-gjennom-nye-medier" TargetMode="External"/><Relationship Id="rId9303" Type="http://schemas.openxmlformats.org/officeDocument/2006/relationships/hyperlink" Target="http://spelklubben.se/" TargetMode="External"/><Relationship Id="rId11580" Type="http://schemas.openxmlformats.org/officeDocument/2006/relationships/hyperlink" Target="http://sufracofinebrands.com/" TargetMode="External"/><Relationship Id="rId12631" Type="http://schemas.openxmlformats.org/officeDocument/2006/relationships/hyperlink" Target="https://eventeffect.se/sa-skapar-du-engagerande-hybrid-event/" TargetMode="External"/><Relationship Id="rId10182" Type="http://schemas.openxmlformats.org/officeDocument/2006/relationships/hyperlink" Target="https://thesource.com/2025/07/02/italian-menswear/" TargetMode="External"/><Relationship Id="rId11233" Type="http://schemas.openxmlformats.org/officeDocument/2006/relationships/hyperlink" Target="http://chronos.se/" TargetMode="External"/><Relationship Id="rId4862" Type="http://schemas.openxmlformats.org/officeDocument/2006/relationships/hyperlink" Target="https://b&#228;st-odds.se/sveriges-storsta-guldhopp-i-os-2024-armand-duplantis/" TargetMode="External"/><Relationship Id="rId5913" Type="http://schemas.openxmlformats.org/officeDocument/2006/relationships/hyperlink" Target="http://spelklubben.se/" TargetMode="External"/><Relationship Id="rId3464" Type="http://schemas.openxmlformats.org/officeDocument/2006/relationships/hyperlink" Target="https://arctic.se/se/forsakringslosningar/svensksolenergi/" TargetMode="External"/><Relationship Id="rId4515" Type="http://schemas.openxmlformats.org/officeDocument/2006/relationships/hyperlink" Target="http://tandea.se/" TargetMode="External"/><Relationship Id="rId13058" Type="http://schemas.openxmlformats.org/officeDocument/2006/relationships/hyperlink" Target="https://himala.ai/" TargetMode="External"/><Relationship Id="rId385" Type="http://schemas.openxmlformats.org/officeDocument/2006/relationships/hyperlink" Target="https://toyota-forklifts.se/vara-truckar/motviktstruck-el/" TargetMode="External"/><Relationship Id="rId2066" Type="http://schemas.openxmlformats.org/officeDocument/2006/relationships/hyperlink" Target="https://aretrotale.com/" TargetMode="External"/><Relationship Id="rId3117" Type="http://schemas.openxmlformats.org/officeDocument/2006/relationships/hyperlink" Target="http://pontonhamnar.se/" TargetMode="External"/><Relationship Id="rId6687" Type="http://schemas.openxmlformats.org/officeDocument/2006/relationships/hyperlink" Target="https://www.lansfast.se/maklare/sodermanland/trosa/" TargetMode="External"/><Relationship Id="rId7738" Type="http://schemas.openxmlformats.org/officeDocument/2006/relationships/hyperlink" Target="https://allwomenstalk.com/eco-friendly-fitness-sustainable-gear/" TargetMode="External"/><Relationship Id="rId5289" Type="http://schemas.openxmlformats.org/officeDocument/2006/relationships/hyperlink" Target="https://everynightstudios.com/" TargetMode="External"/><Relationship Id="rId9160" Type="http://schemas.openxmlformats.org/officeDocument/2006/relationships/hyperlink" Target="https://nothing2hide.net/latest/comparing-traditional-and-high-tech-approaches-to-pet-containment/" TargetMode="External"/><Relationship Id="rId10719" Type="http://schemas.openxmlformats.org/officeDocument/2006/relationships/hyperlink" Target="https://www.maklarringen.se/maklare-regioner/region-stockholm" TargetMode="External"/><Relationship Id="rId11090" Type="http://schemas.openxmlformats.org/officeDocument/2006/relationships/hyperlink" Target="https://www.megariches.com/sv/welcome-bonus/" TargetMode="External"/><Relationship Id="rId12141" Type="http://schemas.openxmlformats.org/officeDocument/2006/relationships/hyperlink" Target="https://foraldraguiden.se/nikotinfri-vape-den-senaste-trenden-inom-vaping/" TargetMode="External"/><Relationship Id="rId2200" Type="http://schemas.openxmlformats.org/officeDocument/2006/relationships/hyperlink" Target="https://ledkungen.se/" TargetMode="External"/><Relationship Id="rId1899" Type="http://schemas.openxmlformats.org/officeDocument/2006/relationships/hyperlink" Target="http://distansinstitutet.se/" TargetMode="External"/><Relationship Id="rId4372" Type="http://schemas.openxmlformats.org/officeDocument/2006/relationships/hyperlink" Target="http://fairinvestments.se/" TargetMode="External"/><Relationship Id="rId5770" Type="http://schemas.openxmlformats.org/officeDocument/2006/relationships/hyperlink" Target="https://www.bethard.com/sv/sports/esports" TargetMode="External"/><Relationship Id="rId6821" Type="http://schemas.openxmlformats.org/officeDocument/2006/relationships/hyperlink" Target="https://www.damfotboll.com/nyheter/bloggar/hur-bra-ar-egentligen-det-svenska-damlandslaget-jamfort-med-herrarna" TargetMode="External"/><Relationship Id="rId4025" Type="http://schemas.openxmlformats.org/officeDocument/2006/relationships/hyperlink" Target="http://spelklubben.se/" TargetMode="External"/><Relationship Id="rId5423" Type="http://schemas.openxmlformats.org/officeDocument/2006/relationships/hyperlink" Target="http://ekstromgaray.se/" TargetMode="External"/><Relationship Id="rId8993" Type="http://schemas.openxmlformats.org/officeDocument/2006/relationships/hyperlink" Target="https://www.zmarta.fi/" TargetMode="External"/><Relationship Id="rId11974" Type="http://schemas.openxmlformats.org/officeDocument/2006/relationships/hyperlink" Target="https://finansbureauet.dk/3-essentielle-overvejelser-til-at-vaelge-den-rigtige-forretningspartner.127438.html" TargetMode="External"/><Relationship Id="rId7595" Type="http://schemas.openxmlformats.org/officeDocument/2006/relationships/hyperlink" Target="http://nordicknots.com/" TargetMode="External"/><Relationship Id="rId8646" Type="http://schemas.openxmlformats.org/officeDocument/2006/relationships/hyperlink" Target="https://www.purakliniken.se/estetisk-tandvard/skalfasader/" TargetMode="External"/><Relationship Id="rId10576" Type="http://schemas.openxmlformats.org/officeDocument/2006/relationships/hyperlink" Target="http://arctic.se/" TargetMode="External"/><Relationship Id="rId11627" Type="http://schemas.openxmlformats.org/officeDocument/2006/relationships/hyperlink" Target="https://markets.vontobel.com/sv-se/produkter" TargetMode="External"/><Relationship Id="rId6197" Type="http://schemas.openxmlformats.org/officeDocument/2006/relationships/hyperlink" Target="https://sakraror.se/vara-tjanster/allman-service-vvs/rormokare/" TargetMode="External"/><Relationship Id="rId7248" Type="http://schemas.openxmlformats.org/officeDocument/2006/relationships/hyperlink" Target="https://www.webwill.se/allt-du-behover-veta-om-iptv" TargetMode="External"/><Relationship Id="rId10229" Type="http://schemas.openxmlformats.org/officeDocument/2006/relationships/hyperlink" Target="https://yourgild.com/" TargetMode="External"/><Relationship Id="rId3858" Type="http://schemas.openxmlformats.org/officeDocument/2006/relationships/hyperlink" Target="https://www.spelklubben.se/sv/casino" TargetMode="External"/><Relationship Id="rId4909" Type="http://schemas.openxmlformats.org/officeDocument/2006/relationships/hyperlink" Target="http://cherry.com/" TargetMode="External"/><Relationship Id="rId779" Type="http://schemas.openxmlformats.org/officeDocument/2006/relationships/hyperlink" Target="https://digitalglobaltimes.com/complete-your-wardrobe-with-the-best-socks/" TargetMode="External"/><Relationship Id="rId5280" Type="http://schemas.openxmlformats.org/officeDocument/2006/relationships/hyperlink" Target="https://www.cherry.com/sv/casino" TargetMode="External"/><Relationship Id="rId6331" Type="http://schemas.openxmlformats.org/officeDocument/2006/relationships/hyperlink" Target="http://everynightstudios.com/" TargetMode="External"/><Relationship Id="rId10710" Type="http://schemas.openxmlformats.org/officeDocument/2006/relationships/hyperlink" Target="https://www.spelklubben.se/sv/" TargetMode="External"/><Relationship Id="rId12882" Type="http://schemas.openxmlformats.org/officeDocument/2006/relationships/hyperlink" Target="https://esportare.se/ovrigt/designens-omen-siffror-tecken-och-sma-ritualer-i-var-visuella-kultur" TargetMode="External"/><Relationship Id="rId1890" Type="http://schemas.openxmlformats.org/officeDocument/2006/relationships/hyperlink" Target="https://www.lansfast.se/maklare/stockholm/taby-danderyd/" TargetMode="External"/><Relationship Id="rId2941" Type="http://schemas.openxmlformats.org/officeDocument/2006/relationships/hyperlink" Target="http://finansplassen.no/" TargetMode="External"/><Relationship Id="rId8156" Type="http://schemas.openxmlformats.org/officeDocument/2006/relationships/hyperlink" Target="https://manligmagi.se/hur-man-kan-bli-battre-pa-att-kommunicera-pa-svenska/" TargetMode="External"/><Relationship Id="rId9207" Type="http://schemas.openxmlformats.org/officeDocument/2006/relationships/hyperlink" Target="http://fairinvestments.se/" TargetMode="External"/><Relationship Id="rId9554" Type="http://schemas.openxmlformats.org/officeDocument/2006/relationships/hyperlink" Target="http://dbet.com/" TargetMode="External"/><Relationship Id="rId11484" Type="http://schemas.openxmlformats.org/officeDocument/2006/relationships/hyperlink" Target="https://nem.health/" TargetMode="External"/><Relationship Id="rId12535" Type="http://schemas.openxmlformats.org/officeDocument/2006/relationships/hyperlink" Target="http://filippa-k.com/se/sv/" TargetMode="External"/><Relationship Id="rId913" Type="http://schemas.openxmlformats.org/officeDocument/2006/relationships/hyperlink" Target="http://blugiallo.com/" TargetMode="External"/><Relationship Id="rId1543" Type="http://schemas.openxmlformats.org/officeDocument/2006/relationships/hyperlink" Target="http://happysocks.com/" TargetMode="External"/><Relationship Id="rId10086" Type="http://schemas.openxmlformats.org/officeDocument/2006/relationships/hyperlink" Target="http://fairinvestments.se/" TargetMode="External"/><Relationship Id="rId11137" Type="http://schemas.openxmlformats.org/officeDocument/2006/relationships/hyperlink" Target="https://pontonhamnar.se/produkter/flytbrygga/" TargetMode="External"/><Relationship Id="rId4766" Type="http://schemas.openxmlformats.org/officeDocument/2006/relationships/hyperlink" Target="https://www.svenskbyggtidning.se/2024/07/25/effektiv-projektledning-inom-byggbranschen-nyckeln-till-framgang/" TargetMode="External"/><Relationship Id="rId5817" Type="http://schemas.openxmlformats.org/officeDocument/2006/relationships/hyperlink" Target="https://www.peaccounting.se/var-tjanst/bokforingsprogram/" TargetMode="External"/><Relationship Id="rId3368" Type="http://schemas.openxmlformats.org/officeDocument/2006/relationships/hyperlink" Target="https://www.anasayfa.se/fornybar-kraft-ar-vagen-att-ga" TargetMode="External"/><Relationship Id="rId4419" Type="http://schemas.openxmlformats.org/officeDocument/2006/relationships/hyperlink" Target="https://www.tandea.se/" TargetMode="External"/><Relationship Id="rId7989" Type="http://schemas.openxmlformats.org/officeDocument/2006/relationships/hyperlink" Target="https://mynicco.com/" TargetMode="External"/><Relationship Id="rId10220" Type="http://schemas.openxmlformats.org/officeDocument/2006/relationships/hyperlink" Target="https://gpser.se/produkter/gps-tracker/" TargetMode="External"/><Relationship Id="rId289" Type="http://schemas.openxmlformats.org/officeDocument/2006/relationships/hyperlink" Target="http://haxan.se/" TargetMode="External"/><Relationship Id="rId12392" Type="http://schemas.openxmlformats.org/officeDocument/2006/relationships/hyperlink" Target="https://www.freckeus.se/" TargetMode="External"/><Relationship Id="rId770" Type="http://schemas.openxmlformats.org/officeDocument/2006/relationships/hyperlink" Target="https://evigliv.se/vill-du-sluta-roka-da-kan-en-vape-vara-nagonting-att-titta-narmare-pa/" TargetMode="External"/><Relationship Id="rId2451" Type="http://schemas.openxmlformats.org/officeDocument/2006/relationships/hyperlink" Target="https://www.sydkoster.se/" TargetMode="External"/><Relationship Id="rId4900" Type="http://schemas.openxmlformats.org/officeDocument/2006/relationships/hyperlink" Target="https://www.spelklubben.se/sv/casino" TargetMode="External"/><Relationship Id="rId9064" Type="http://schemas.openxmlformats.org/officeDocument/2006/relationships/hyperlink" Target="https://www.stockholmsbyggnyheter.se/20250509/6477/fran-budget-till-lyx-sa-mycket-kostar-renoveringsmaterialen" TargetMode="External"/><Relationship Id="rId12045" Type="http://schemas.openxmlformats.org/officeDocument/2006/relationships/hyperlink" Target="https://matratzen-held.de/wie-du-ohne-druck-schnell-einschlaefst/" TargetMode="External"/><Relationship Id="rId423" Type="http://schemas.openxmlformats.org/officeDocument/2006/relationships/hyperlink" Target="http://elmarknad.se/" TargetMode="External"/><Relationship Id="rId1053" Type="http://schemas.openxmlformats.org/officeDocument/2006/relationships/hyperlink" Target="http://robomarkets.com/" TargetMode="External"/><Relationship Id="rId2104" Type="http://schemas.openxmlformats.org/officeDocument/2006/relationships/hyperlink" Target="https://ritty.se/hyr-kassa/" TargetMode="External"/><Relationship Id="rId3502" Type="http://schemas.openxmlformats.org/officeDocument/2006/relationships/hyperlink" Target="https://alltomnorrtalje.se/utforska-friheten-med-vont-to-go-den-ultimata-engangsvapen/" TargetMode="External"/><Relationship Id="rId5674" Type="http://schemas.openxmlformats.org/officeDocument/2006/relationships/hyperlink" Target="https://pontonhamnar.se/" TargetMode="External"/><Relationship Id="rId6725" Type="http://schemas.openxmlformats.org/officeDocument/2006/relationships/hyperlink" Target="http://everynightstudios.com/" TargetMode="External"/><Relationship Id="rId4276" Type="http://schemas.openxmlformats.org/officeDocument/2006/relationships/hyperlink" Target="http://storgruppen.se/" TargetMode="External"/><Relationship Id="rId5327" Type="http://schemas.openxmlformats.org/officeDocument/2006/relationships/hyperlink" Target="https://www.zmarta.se/lana-pengar/privatlan" TargetMode="External"/><Relationship Id="rId8897" Type="http://schemas.openxmlformats.org/officeDocument/2006/relationships/hyperlink" Target="http://minifinder.se/" TargetMode="External"/><Relationship Id="rId9948" Type="http://schemas.openxmlformats.org/officeDocument/2006/relationships/hyperlink" Target="http://kamux.fi/" TargetMode="External"/><Relationship Id="rId11878" Type="http://schemas.openxmlformats.org/officeDocument/2006/relationships/hyperlink" Target="https://www.begagnadiphone.nu/2023/09/25/hjartat-av-jordbruket-ekonomibyggnad/" TargetMode="External"/><Relationship Id="rId1937" Type="http://schemas.openxmlformats.org/officeDocument/2006/relationships/hyperlink" Target="http://arctic.se/" TargetMode="External"/><Relationship Id="rId7499" Type="http://schemas.openxmlformats.org/officeDocument/2006/relationships/hyperlink" Target="https://www.ykkoslohja.fi/pohjoismaista-kauneutta-ja-luonnon-voimaa-nobe-nordic-beauty-tuotteet-tarkastelussa/" TargetMode="External"/><Relationship Id="rId12929" Type="http://schemas.openxmlformats.org/officeDocument/2006/relationships/hyperlink" Target="https://villalivet.se/allmant/trygghetstekniken-i-hemmet-for-aldre/" TargetMode="External"/><Relationship Id="rId4410" Type="http://schemas.openxmlformats.org/officeDocument/2006/relationships/hyperlink" Target="https://arctic.se/se/forsakringslosningar/svensksolenergi/" TargetMode="External"/><Relationship Id="rId280" Type="http://schemas.openxmlformats.org/officeDocument/2006/relationships/hyperlink" Target="http://askskinfo.com/" TargetMode="External"/><Relationship Id="rId3012" Type="http://schemas.openxmlformats.org/officeDocument/2006/relationships/hyperlink" Target="http://spelklubben.se/" TargetMode="External"/><Relationship Id="rId6582" Type="http://schemas.openxmlformats.org/officeDocument/2006/relationships/hyperlink" Target="http://purakliniken.se/" TargetMode="External"/><Relationship Id="rId7980" Type="http://schemas.openxmlformats.org/officeDocument/2006/relationships/hyperlink" Target="https://www.petster.se/hast/" TargetMode="External"/><Relationship Id="rId10961" Type="http://schemas.openxmlformats.org/officeDocument/2006/relationships/hyperlink" Target="https://www.newst.se/inflyttad-och-klar-sa-satter-du-stilen-med-sma-medel/" TargetMode="External"/><Relationship Id="rId5184" Type="http://schemas.openxmlformats.org/officeDocument/2006/relationships/hyperlink" Target="https://www.svenskrallycross.se/" TargetMode="External"/><Relationship Id="rId6235" Type="http://schemas.openxmlformats.org/officeDocument/2006/relationships/hyperlink" Target="https://veganbeauty.se/tandvard-och-skonhet-hur-ett-vackert-leende-forandrar-ditt-utseende/" TargetMode="External"/><Relationship Id="rId7633" Type="http://schemas.openxmlformats.org/officeDocument/2006/relationships/hyperlink" Target="https://cdbilvardsprodukter.se/" TargetMode="External"/><Relationship Id="rId10614" Type="http://schemas.openxmlformats.org/officeDocument/2006/relationships/hyperlink" Target="https://www.megariches.com/mobile/" TargetMode="External"/><Relationship Id="rId12786" Type="http://schemas.openxmlformats.org/officeDocument/2006/relationships/hyperlink" Target="https://influencereffect.se/algoritmen-alskar-sport-sa-jobbar-kreatorer-med-tempo-takt-och-ton/" TargetMode="External"/><Relationship Id="rId1794" Type="http://schemas.openxmlformats.org/officeDocument/2006/relationships/hyperlink" Target="https://bygghuddinge.se/en-komplett-guide-till-att-byta-tak-pa-ekonomibyggnader-taklaggarens-expertprocess/" TargetMode="External"/><Relationship Id="rId2845" Type="http://schemas.openxmlformats.org/officeDocument/2006/relationships/hyperlink" Target="https://luckycasino.com/sv/games-lobby/slots" TargetMode="External"/><Relationship Id="rId9458" Type="http://schemas.openxmlformats.org/officeDocument/2006/relationships/hyperlink" Target="http://upplevelse.com/" TargetMode="External"/><Relationship Id="rId11388" Type="http://schemas.openxmlformats.org/officeDocument/2006/relationships/hyperlink" Target="https://haxan.se/" TargetMode="External"/><Relationship Id="rId12439" Type="http://schemas.openxmlformats.org/officeDocument/2006/relationships/hyperlink" Target="https://lammetochbrodet.se/?p=351" TargetMode="External"/><Relationship Id="rId817" Type="http://schemas.openxmlformats.org/officeDocument/2006/relationships/hyperlink" Target="http://askskinfo.com/" TargetMode="External"/><Relationship Id="rId1447" Type="http://schemas.openxmlformats.org/officeDocument/2006/relationships/hyperlink" Target="https://www.executiveeffect.se/5-rehabiliteringsverktyg-for-ditt-kna/" TargetMode="External"/><Relationship Id="rId7490" Type="http://schemas.openxmlformats.org/officeDocument/2006/relationships/hyperlink" Target="https://www.techloy.com/cybersecurity-a-critical-priority-for-modern-businesses/" TargetMode="External"/><Relationship Id="rId8541" Type="http://schemas.openxmlformats.org/officeDocument/2006/relationships/hyperlink" Target="https://livepositively.com/tips-to-choose-the-best-rug-for-your-living-room/" TargetMode="External"/><Relationship Id="rId12920" Type="http://schemas.openxmlformats.org/officeDocument/2006/relationships/hyperlink" Target="https://www.spelklubben.se/sv/casino" TargetMode="External"/><Relationship Id="rId6092" Type="http://schemas.openxmlformats.org/officeDocument/2006/relationships/hyperlink" Target="https://www.chattanoogarehab.com/shock-wave-rpw" TargetMode="External"/><Relationship Id="rId7143" Type="http://schemas.openxmlformats.org/officeDocument/2006/relationships/hyperlink" Target="https://hemmabyggt.se/vvs-tjanster-for-ditt-byggprojekt/" TargetMode="External"/><Relationship Id="rId10124" Type="http://schemas.openxmlformats.org/officeDocument/2006/relationships/hyperlink" Target="http://rusta.se/" TargetMode="External"/><Relationship Id="rId10471" Type="http://schemas.openxmlformats.org/officeDocument/2006/relationships/hyperlink" Target="http://indoorprofessional.se/" TargetMode="External"/><Relationship Id="rId11522" Type="http://schemas.openxmlformats.org/officeDocument/2006/relationships/hyperlink" Target="https://schjodt.com/expertise/rekonstruktion-insolvens" TargetMode="External"/><Relationship Id="rId3753" Type="http://schemas.openxmlformats.org/officeDocument/2006/relationships/hyperlink" Target="https://www.linnestudenterna.se/" TargetMode="External"/><Relationship Id="rId4804" Type="http://schemas.openxmlformats.org/officeDocument/2006/relationships/hyperlink" Target="https://www.kvarnx.com/sv/kryptovalutor" TargetMode="External"/><Relationship Id="rId12296" Type="http://schemas.openxmlformats.org/officeDocument/2006/relationships/hyperlink" Target="https://hemsidor24.se/artiklar/revolutionen-inom-avloppsreparation/" TargetMode="External"/><Relationship Id="rId674" Type="http://schemas.openxmlformats.org/officeDocument/2006/relationships/hyperlink" Target="http://blugiallo.com/" TargetMode="External"/><Relationship Id="rId2355" Type="http://schemas.openxmlformats.org/officeDocument/2006/relationships/hyperlink" Target="https://distansinstitutet.se/distansutbildningar/pedagogik/vardbitrade/" TargetMode="External"/><Relationship Id="rId3406" Type="http://schemas.openxmlformats.org/officeDocument/2006/relationships/hyperlink" Target="https://eventeffect.se/farorna-med-asbest-en-tyst-hot-mot-halsa-och-sakerhet/" TargetMode="External"/><Relationship Id="rId6976" Type="http://schemas.openxmlformats.org/officeDocument/2006/relationships/hyperlink" Target="https://ekonomistart.se/kreditforsakringar-ar-det-en-investering-eller-en-kostnad-for-ditt-foretag/" TargetMode="External"/><Relationship Id="rId327" Type="http://schemas.openxmlformats.org/officeDocument/2006/relationships/hyperlink" Target="http://chronos.se/" TargetMode="External"/><Relationship Id="rId2008" Type="http://schemas.openxmlformats.org/officeDocument/2006/relationships/hyperlink" Target="https://www.mariatand.se/" TargetMode="External"/><Relationship Id="rId5578" Type="http://schemas.openxmlformats.org/officeDocument/2006/relationships/hyperlink" Target="https://nordinary.se/diy-vs-professionell-taklaggning-nar-ar-det-vart-att-anlita-en-expert/" TargetMode="External"/><Relationship Id="rId6629" Type="http://schemas.openxmlformats.org/officeDocument/2006/relationships/hyperlink" Target="http://fairinvestments.se/" TargetMode="External"/><Relationship Id="rId12430" Type="http://schemas.openxmlformats.org/officeDocument/2006/relationships/hyperlink" Target="https://serviceteknikerkarlstad.se/?p=394" TargetMode="External"/><Relationship Id="rId8051" Type="http://schemas.openxmlformats.org/officeDocument/2006/relationships/hyperlink" Target="https://nordicknots.com/us/rugs" TargetMode="External"/><Relationship Id="rId9102" Type="http://schemas.openxmlformats.org/officeDocument/2006/relationships/hyperlink" Target="https://news55.se/livsstil/kultur-noje/teknik-socialt-spelande-och-nya-format-sa-utvecklas-live-casinon-2025/" TargetMode="External"/><Relationship Id="rId11032" Type="http://schemas.openxmlformats.org/officeDocument/2006/relationships/hyperlink" Target="https://kruunukaluste.fi/kauppa/sohvat/" TargetMode="External"/><Relationship Id="rId4661" Type="http://schemas.openxmlformats.org/officeDocument/2006/relationships/hyperlink" Target="https://www.nettotobak.com/all-white-portion/" TargetMode="External"/><Relationship Id="rId3263" Type="http://schemas.openxmlformats.org/officeDocument/2006/relationships/hyperlink" Target="https://www.spelklubben.se/sv/casino" TargetMode="External"/><Relationship Id="rId4314" Type="http://schemas.openxmlformats.org/officeDocument/2006/relationships/hyperlink" Target="http://w3solenergi.se/" TargetMode="External"/><Relationship Id="rId5712" Type="http://schemas.openxmlformats.org/officeDocument/2006/relationships/hyperlink" Target="https://soartzy.com/" TargetMode="External"/><Relationship Id="rId184" Type="http://schemas.openxmlformats.org/officeDocument/2006/relationships/hyperlink" Target="https://www.frii.se/stockholms-basta-stand-up/" TargetMode="External"/><Relationship Id="rId7884" Type="http://schemas.openxmlformats.org/officeDocument/2006/relationships/hyperlink" Target="https://www.otsnews.co.uk/how-seniors-can-enjoy-life-to-the-fullest/" TargetMode="External"/><Relationship Id="rId8935" Type="http://schemas.openxmlformats.org/officeDocument/2006/relationships/hyperlink" Target="http://technobark.com/" TargetMode="External"/><Relationship Id="rId10865" Type="http://schemas.openxmlformats.org/officeDocument/2006/relationships/hyperlink" Target="https://eventeffect.se/det-osynliga-hantverket-som-far-eventet-att-flyta/" TargetMode="External"/><Relationship Id="rId11916" Type="http://schemas.openxmlformats.org/officeDocument/2006/relationships/hyperlink" Target="https://www.robomarkets.com/se/" TargetMode="External"/><Relationship Id="rId5088" Type="http://schemas.openxmlformats.org/officeDocument/2006/relationships/hyperlink" Target="https://hbel.se/eltjanster-i-stockholm/" TargetMode="External"/><Relationship Id="rId6139" Type="http://schemas.openxmlformats.org/officeDocument/2006/relationships/hyperlink" Target="http://nodepositbonus.cc/" TargetMode="External"/><Relationship Id="rId6486" Type="http://schemas.openxmlformats.org/officeDocument/2006/relationships/hyperlink" Target="https://www.coface.se/inkasso" TargetMode="External"/><Relationship Id="rId7537" Type="http://schemas.openxmlformats.org/officeDocument/2006/relationships/hyperlink" Target="https://passioneffect.se/vitt-snus-pa-vag-mot-dominans-en-fjardedel-av-den-svenska-nikotinmarknaden-ar-vit/" TargetMode="External"/><Relationship Id="rId10518" Type="http://schemas.openxmlformats.org/officeDocument/2006/relationships/hyperlink" Target="https://tolvmannabacken.se/sa-paverkas-batterier-i-sno-sjo/" TargetMode="External"/><Relationship Id="rId1698" Type="http://schemas.openxmlformats.org/officeDocument/2006/relationships/hyperlink" Target="https://www.fashion-mommy.com/how-to-spot-the-best-vintage-items/" TargetMode="External"/><Relationship Id="rId2749" Type="http://schemas.openxmlformats.org/officeDocument/2006/relationships/hyperlink" Target="https://www.swedoffice.se/kategori/69602-gaffelparm-trarygg" TargetMode="External"/><Relationship Id="rId6620" Type="http://schemas.openxmlformats.org/officeDocument/2006/relationships/hyperlink" Target="http://cherry.com/" TargetMode="External"/><Relationship Id="rId4171" Type="http://schemas.openxmlformats.org/officeDocument/2006/relationships/hyperlink" Target="http://fairinvestments.se/" TargetMode="External"/><Relationship Id="rId5222" Type="http://schemas.openxmlformats.org/officeDocument/2006/relationships/hyperlink" Target="https://www.mariatand.se/" TargetMode="External"/><Relationship Id="rId8792" Type="http://schemas.openxmlformats.org/officeDocument/2006/relationships/hyperlink" Target="https://aerius.se/vad-kostar-det-att-installera-en-badrumsflakt/" TargetMode="External"/><Relationship Id="rId57" Type="http://schemas.openxmlformats.org/officeDocument/2006/relationships/hyperlink" Target="https://blugiallo.com/" TargetMode="External"/><Relationship Id="rId7394" Type="http://schemas.openxmlformats.org/officeDocument/2006/relationships/hyperlink" Target="http://vardagsfrid.se/" TargetMode="External"/><Relationship Id="rId8445" Type="http://schemas.openxmlformats.org/officeDocument/2006/relationships/hyperlink" Target="https://leaptodigital.com/" TargetMode="External"/><Relationship Id="rId9843" Type="http://schemas.openxmlformats.org/officeDocument/2006/relationships/hyperlink" Target="http://tandea.se/" TargetMode="External"/><Relationship Id="rId11773" Type="http://schemas.openxmlformats.org/officeDocument/2006/relationships/hyperlink" Target="https://lifestylebyps.com/blogs/lifestyle/buy-durable-and-luxurious-riding-breeches" TargetMode="External"/><Relationship Id="rId12824" Type="http://schemas.openxmlformats.org/officeDocument/2006/relationships/hyperlink" Target="https://turner.fi/" TargetMode="External"/><Relationship Id="rId1832" Type="http://schemas.openxmlformats.org/officeDocument/2006/relationships/hyperlink" Target="https://eteriskaoljorna.se/lions-mane-svampen-bidragande-till-forbattrad-halsa-och-kognition/" TargetMode="External"/><Relationship Id="rId7047" Type="http://schemas.openxmlformats.org/officeDocument/2006/relationships/hyperlink" Target="https://mynicco.com/" TargetMode="External"/><Relationship Id="rId10375" Type="http://schemas.openxmlformats.org/officeDocument/2006/relationships/hyperlink" Target="http://mrvegas.com/" TargetMode="External"/><Relationship Id="rId11426" Type="http://schemas.openxmlformats.org/officeDocument/2006/relationships/hyperlink" Target="http://lansfast.se/" TargetMode="External"/><Relationship Id="rId10028" Type="http://schemas.openxmlformats.org/officeDocument/2006/relationships/hyperlink" Target="https://www.executiveeffect.se/spelbranschens-strategiska-skifte-insikter-for-beslutsfattare/" TargetMode="External"/><Relationship Id="rId3657" Type="http://schemas.openxmlformats.org/officeDocument/2006/relationships/hyperlink" Target="https://www.mrnicco.com/" TargetMode="External"/><Relationship Id="rId4708" Type="http://schemas.openxmlformats.org/officeDocument/2006/relationships/hyperlink" Target="http://tiotak.se/" TargetMode="External"/><Relationship Id="rId578" Type="http://schemas.openxmlformats.org/officeDocument/2006/relationships/hyperlink" Target="https://flerbarnsmamman.se/de-viktigaste-skonhetsprodukterna-att-mota-sommaren-med/" TargetMode="External"/><Relationship Id="rId2259" Type="http://schemas.openxmlformats.org/officeDocument/2006/relationships/hyperlink" Target="https://www.rightonblog.net/vape-istallet-for-en-cigarett" TargetMode="External"/><Relationship Id="rId6130" Type="http://schemas.openxmlformats.org/officeDocument/2006/relationships/hyperlink" Target="http://mynicco.com/" TargetMode="External"/><Relationship Id="rId12681" Type="http://schemas.openxmlformats.org/officeDocument/2006/relationships/hyperlink" Target="http://lansfast.se/" TargetMode="External"/><Relationship Id="rId2740" Type="http://schemas.openxmlformats.org/officeDocument/2006/relationships/hyperlink" Target="https://ironmanmagazine.se/stark-kroppen-genom-arbete-lektioner-fran-taklaggare" TargetMode="External"/><Relationship Id="rId9353" Type="http://schemas.openxmlformats.org/officeDocument/2006/relationships/hyperlink" Target="https://allaprivatlan.nu/2025/05/27/5-saker-att-jamfora-innan-du-tar-ett-privatlan/" TargetMode="External"/><Relationship Id="rId11283" Type="http://schemas.openxmlformats.org/officeDocument/2006/relationships/hyperlink" Target="https://jetshopfree.se/varfor-du-bor-optimera-motorn/" TargetMode="External"/><Relationship Id="rId12334" Type="http://schemas.openxmlformats.org/officeDocument/2006/relationships/hyperlink" Target="https://www.tandea.se/" TargetMode="External"/><Relationship Id="rId712" Type="http://schemas.openxmlformats.org/officeDocument/2006/relationships/hyperlink" Target="https://smartkonstruktion.se/fordelar-med-att-kopa-begagnade-saker-till-sitt-hem/" TargetMode="External"/><Relationship Id="rId1342" Type="http://schemas.openxmlformats.org/officeDocument/2006/relationships/hyperlink" Target="http://isakstrafikskola.se/" TargetMode="External"/><Relationship Id="rId9006" Type="http://schemas.openxmlformats.org/officeDocument/2006/relationships/hyperlink" Target="https://www.digitaljournal.com/business/how-the-best-roofing-crm-software-could-help-roofers-boost-business/article" TargetMode="External"/><Relationship Id="rId5963" Type="http://schemas.openxmlformats.org/officeDocument/2006/relationships/hyperlink" Target="http://cdg.io/" TargetMode="External"/><Relationship Id="rId3167" Type="http://schemas.openxmlformats.org/officeDocument/2006/relationships/hyperlink" Target="https://www.mariatand.se/" TargetMode="External"/><Relationship Id="rId4565" Type="http://schemas.openxmlformats.org/officeDocument/2006/relationships/hyperlink" Target="https://www.joureliten.se/jour-elektriker/" TargetMode="External"/><Relationship Id="rId5616" Type="http://schemas.openxmlformats.org/officeDocument/2006/relationships/hyperlink" Target="https://thyroid.se/vad-ar-automatiserad-bokforing-fordelar-framtiden-for-smaforetag/" TargetMode="External"/><Relationship Id="rId4218" Type="http://schemas.openxmlformats.org/officeDocument/2006/relationships/hyperlink" Target="https://www.tandea.se/tandvard/tandimplantat/" TargetMode="External"/><Relationship Id="rId7788" Type="http://schemas.openxmlformats.org/officeDocument/2006/relationships/hyperlink" Target="http://svenskiptv.com/" TargetMode="External"/><Relationship Id="rId8839" Type="http://schemas.openxmlformats.org/officeDocument/2006/relationships/hyperlink" Target="https://lindenytt.com/extra/for-dig-som-ar-batagare-i-lindesberg-sa-far-du-ut-det-mesta-av-batsasongen/" TargetMode="External"/><Relationship Id="rId10769" Type="http://schemas.openxmlformats.org/officeDocument/2006/relationships/hyperlink" Target="https://www.tandlakare.se/stad/goteborg/" TargetMode="External"/><Relationship Id="rId12191" Type="http://schemas.openxmlformats.org/officeDocument/2006/relationships/hyperlink" Target="https://miamipool.se/" TargetMode="External"/><Relationship Id="rId13242" Type="http://schemas.openxmlformats.org/officeDocument/2006/relationships/hyperlink" Target="https://www.startmotor.se/fordon/reservdelar-bat/volvo-penta" TargetMode="External"/><Relationship Id="rId2250" Type="http://schemas.openxmlformats.org/officeDocument/2006/relationships/hyperlink" Target="http://triwa.com/" TargetMode="External"/><Relationship Id="rId3301" Type="http://schemas.openxmlformats.org/officeDocument/2006/relationships/hyperlink" Target="https://www.merinfo.se/foretag/Fair-Investments-Sweden-AB-5568169626/2k3576i-kqah" TargetMode="External"/><Relationship Id="rId6871" Type="http://schemas.openxmlformats.org/officeDocument/2006/relationships/hyperlink" Target="https://digijuorut.fi/luonnonkosmetiikka-ja-sen-hyodyt-miksi-siirtya-ekologisiin-tuotteisiin/" TargetMode="External"/><Relationship Id="rId222" Type="http://schemas.openxmlformats.org/officeDocument/2006/relationships/hyperlink" Target="https://arctic.se/se/produktsidor/hjartstartare/" TargetMode="External"/><Relationship Id="rId5473" Type="http://schemas.openxmlformats.org/officeDocument/2006/relationships/hyperlink" Target="http://mynicco.com/" TargetMode="External"/><Relationship Id="rId6524" Type="http://schemas.openxmlformats.org/officeDocument/2006/relationships/hyperlink" Target="https://www.nodepositbonus.cc/canada-no-deposit-casino-bonuses/" TargetMode="External"/><Relationship Id="rId7922" Type="http://schemas.openxmlformats.org/officeDocument/2006/relationships/hyperlink" Target="http://cherry.com/sv/live-casino/game-shows" TargetMode="External"/><Relationship Id="rId10903" Type="http://schemas.openxmlformats.org/officeDocument/2006/relationships/hyperlink" Target="https://www.thesportsbank.net/social-issues/beyond-the-spotlight-cristiano-ronaldos-love-life/" TargetMode="External"/><Relationship Id="rId4075" Type="http://schemas.openxmlformats.org/officeDocument/2006/relationships/hyperlink" Target="https://www.lansfast.se/maklare/stockholm/taby-danderyd/" TargetMode="External"/><Relationship Id="rId5126" Type="http://schemas.openxmlformats.org/officeDocument/2006/relationships/hyperlink" Target="https://www.carnivor.se/sa-forbereder-du-dig-infor-ditt-tandlakarbesok" TargetMode="External"/><Relationship Id="rId7298" Type="http://schemas.openxmlformats.org/officeDocument/2006/relationships/hyperlink" Target="http://rusta.se/" TargetMode="External"/><Relationship Id="rId8349" Type="http://schemas.openxmlformats.org/officeDocument/2006/relationships/hyperlink" Target="https://www.sportochfritidsnyheter.se/20250327/4213/guiden-till-det-ultimata-hemmagymmet" TargetMode="External"/><Relationship Id="rId8696" Type="http://schemas.openxmlformats.org/officeDocument/2006/relationships/hyperlink" Target="https://adventureexperten.se/skridskoaka-med-ratt-skidvalla-for-en-minnesvard-upplevelse/" TargetMode="External"/><Relationship Id="rId9747" Type="http://schemas.openxmlformats.org/officeDocument/2006/relationships/hyperlink" Target="https://turner.fi/" TargetMode="External"/><Relationship Id="rId11677" Type="http://schemas.openxmlformats.org/officeDocument/2006/relationships/hyperlink" Target="http://vontabel.com/" TargetMode="External"/><Relationship Id="rId12728" Type="http://schemas.openxmlformats.org/officeDocument/2006/relationships/hyperlink" Target="https://tryggbil.se/" TargetMode="External"/><Relationship Id="rId1736" Type="http://schemas.openxmlformats.org/officeDocument/2006/relationships/hyperlink" Target="https://ecommunity.se/en-guide-till-flytande-fundament/" TargetMode="External"/><Relationship Id="rId10279" Type="http://schemas.openxmlformats.org/officeDocument/2006/relationships/hyperlink" Target="https://businessagent.se/effektivisera-lonehantering-med-molnbaserade-system-for-foretag/" TargetMode="External"/><Relationship Id="rId4959" Type="http://schemas.openxmlformats.org/officeDocument/2006/relationships/hyperlink" Target="https://alltomnorrtalje.se/investeringar-som-lonar-sig-strategier-for-resultatbaserad-framgang/" TargetMode="External"/><Relationship Id="rId8830" Type="http://schemas.openxmlformats.org/officeDocument/2006/relationships/hyperlink" Target="https://fragbite.se/all/news/57897/5-ovantade-gadgets-som-gamers-alskar" TargetMode="External"/><Relationship Id="rId6381" Type="http://schemas.openxmlformats.org/officeDocument/2006/relationships/hyperlink" Target="https://ourculturemag.com/2024/11/19/cultural-changes-in-relationships-what-singles-want-today-vs-10-years-ago/" TargetMode="External"/><Relationship Id="rId7432" Type="http://schemas.openxmlformats.org/officeDocument/2006/relationships/hyperlink" Target="https://ekstromgaray.se/" TargetMode="External"/><Relationship Id="rId10413" Type="http://schemas.openxmlformats.org/officeDocument/2006/relationships/hyperlink" Target="http://bethard.com/" TargetMode="External"/><Relationship Id="rId10760" Type="http://schemas.openxmlformats.org/officeDocument/2006/relationships/hyperlink" Target="http://tryggbil.se/" TargetMode="External"/><Relationship Id="rId11811" Type="http://schemas.openxmlformats.org/officeDocument/2006/relationships/hyperlink" Target="http://creditsafe.se/" TargetMode="External"/><Relationship Id="rId6034" Type="http://schemas.openxmlformats.org/officeDocument/2006/relationships/hyperlink" Target="https://www.spelklubben.se/sv/casino" TargetMode="External"/><Relationship Id="rId1593" Type="http://schemas.openxmlformats.org/officeDocument/2006/relationships/hyperlink" Target="http://fairinvestments.se/" TargetMode="External"/><Relationship Id="rId2991" Type="http://schemas.openxmlformats.org/officeDocument/2006/relationships/hyperlink" Target="http://fairinvestments.se/" TargetMode="External"/><Relationship Id="rId9257" Type="http://schemas.openxmlformats.org/officeDocument/2006/relationships/hyperlink" Target="https://smartkonstruktion.se/vvs-tjanster-i-taby-for-kvalitetsmedvetna-byggprojekt/" TargetMode="External"/><Relationship Id="rId11187" Type="http://schemas.openxmlformats.org/officeDocument/2006/relationships/hyperlink" Target="http://arctic.se/" TargetMode="External"/><Relationship Id="rId12585" Type="http://schemas.openxmlformats.org/officeDocument/2006/relationships/hyperlink" Target="https://bbml.se/totalrenovering/" TargetMode="External"/><Relationship Id="rId963" Type="http://schemas.openxmlformats.org/officeDocument/2006/relationships/hyperlink" Target="https://www.frii.se/skraddarsydda-klader-med-perfekt-passform-att-omfamna-kvalitet-stil-och-unikhet/" TargetMode="External"/><Relationship Id="rId1246" Type="http://schemas.openxmlformats.org/officeDocument/2006/relationships/hyperlink" Target="https://listor.se/livsstil/5-anledningar-varfor-rehab-ar-viktigt-vid-skador/" TargetMode="External"/><Relationship Id="rId2644" Type="http://schemas.openxmlformats.org/officeDocument/2006/relationships/hyperlink" Target="https://www.slbk.se/" TargetMode="External"/><Relationship Id="rId12238" Type="http://schemas.openxmlformats.org/officeDocument/2006/relationships/hyperlink" Target="http://robomarkets.com/" TargetMode="External"/><Relationship Id="rId616" Type="http://schemas.openxmlformats.org/officeDocument/2006/relationships/hyperlink" Target="https://www.mainfranken24.de/aktuelles/hausbesitzer-in-mainfranken-aufgepasst-auch-waermepumpen-sollten-versichert-sein" TargetMode="External"/><Relationship Id="rId5867" Type="http://schemas.openxmlformats.org/officeDocument/2006/relationships/hyperlink" Target="http://tryggbil.se/" TargetMode="External"/><Relationship Id="rId6918" Type="http://schemas.openxmlformats.org/officeDocument/2006/relationships/hyperlink" Target="https://www.totallystockholm.se/hur-estetisk-tandvard-paverkar-sjalvfortroendet/" TargetMode="External"/><Relationship Id="rId4469" Type="http://schemas.openxmlformats.org/officeDocument/2006/relationships/hyperlink" Target="https://www.mariatand.se/" TargetMode="External"/><Relationship Id="rId8340" Type="http://schemas.openxmlformats.org/officeDocument/2006/relationships/hyperlink" Target="https://www.sportochfritidsnyheter.se/20250327/4212/5-vaxande-idrotter-i-sverige-som-annu-inte-natt-de-stora-rubrikerna" TargetMode="External"/><Relationship Id="rId10270" Type="http://schemas.openxmlformats.org/officeDocument/2006/relationships/hyperlink" Target="https://www.kleer.se/" TargetMode="External"/><Relationship Id="rId11321" Type="http://schemas.openxmlformats.org/officeDocument/2006/relationships/hyperlink" Target="http://fairinvestments.se/" TargetMode="External"/><Relationship Id="rId4950" Type="http://schemas.openxmlformats.org/officeDocument/2006/relationships/hyperlink" Target="https://www.vaken.se/fordelarna-med-daglig-motion-for-bade-kropp-och-sinne/" TargetMode="External"/><Relationship Id="rId3552" Type="http://schemas.openxmlformats.org/officeDocument/2006/relationships/hyperlink" Target="http://cannabislight.se/" TargetMode="External"/><Relationship Id="rId4603" Type="http://schemas.openxmlformats.org/officeDocument/2006/relationships/hyperlink" Target="https://www.cherry.com/sv/live-casino" TargetMode="External"/><Relationship Id="rId12095" Type="http://schemas.openxmlformats.org/officeDocument/2006/relationships/hyperlink" Target="http://sufracofinebrands.com/" TargetMode="External"/><Relationship Id="rId13146" Type="http://schemas.openxmlformats.org/officeDocument/2006/relationships/hyperlink" Target="https://www.startmotor.se/startmotorer" TargetMode="External"/><Relationship Id="rId473" Type="http://schemas.openxmlformats.org/officeDocument/2006/relationships/hyperlink" Target="https://haxan.se/products/teakolja" TargetMode="External"/><Relationship Id="rId2154" Type="http://schemas.openxmlformats.org/officeDocument/2006/relationships/hyperlink" Target="https://www.grav12.se/bergvarme-bra-for-bade-miljo-och-planbok" TargetMode="External"/><Relationship Id="rId3205" Type="http://schemas.openxmlformats.org/officeDocument/2006/relationships/hyperlink" Target="http://alfa.no/" TargetMode="External"/><Relationship Id="rId126" Type="http://schemas.openxmlformats.org/officeDocument/2006/relationships/hyperlink" Target="https://blugiallo.com/" TargetMode="External"/><Relationship Id="rId5377" Type="http://schemas.openxmlformats.org/officeDocument/2006/relationships/hyperlink" Target="http://spelklubben.se/" TargetMode="External"/><Relationship Id="rId6428" Type="http://schemas.openxmlformats.org/officeDocument/2006/relationships/hyperlink" Target="https://inredningsmagasinet.se/sa-inreder-du-med-mattor-for-att-skapa-stil-och-komfort-i-hemmet/" TargetMode="External"/><Relationship Id="rId6775" Type="http://schemas.openxmlformats.org/officeDocument/2006/relationships/hyperlink" Target="https://tryggbil.se/" TargetMode="External"/><Relationship Id="rId7826" Type="http://schemas.openxmlformats.org/officeDocument/2006/relationships/hyperlink" Target="https://www.svenskbyggtidning.se/2025/02/24/bor-du-nara-en-vag-eller-har-skrikiga-grannar-har-ar-losningarna/" TargetMode="External"/><Relationship Id="rId10807" Type="http://schemas.openxmlformats.org/officeDocument/2006/relationships/hyperlink" Target="http://fairinvestments.se/" TargetMode="External"/><Relationship Id="rId9998" Type="http://schemas.openxmlformats.org/officeDocument/2006/relationships/hyperlink" Target="https://www.willabgarden.de/gewachshauser/" TargetMode="External"/><Relationship Id="rId12979" Type="http://schemas.openxmlformats.org/officeDocument/2006/relationships/hyperlink" Target="https://www.bethard.com/sv/sports" TargetMode="External"/><Relationship Id="rId1987" Type="http://schemas.openxmlformats.org/officeDocument/2006/relationships/hyperlink" Target="https://www.nyhetsbrevskola.se/forbattra-din-affarsmodell-med-devops" TargetMode="External"/><Relationship Id="rId4460" Type="http://schemas.openxmlformats.org/officeDocument/2006/relationships/hyperlink" Target="https://ledkungen.se/collections/led-lister" TargetMode="External"/><Relationship Id="rId5511" Type="http://schemas.openxmlformats.org/officeDocument/2006/relationships/hyperlink" Target="http://mrnicco.com/" TargetMode="External"/><Relationship Id="rId3062" Type="http://schemas.openxmlformats.org/officeDocument/2006/relationships/hyperlink" Target="http://distansinstitutet.se/" TargetMode="External"/><Relationship Id="rId4113" Type="http://schemas.openxmlformats.org/officeDocument/2006/relationships/hyperlink" Target="https://alfaoutdoor.se/collections/fritidsskor-herr" TargetMode="External"/><Relationship Id="rId7683" Type="http://schemas.openxmlformats.org/officeDocument/2006/relationships/hyperlink" Target="http://tiotak.se/" TargetMode="External"/><Relationship Id="rId8734" Type="http://schemas.openxmlformats.org/officeDocument/2006/relationships/hyperlink" Target="https://www.kingsizemag.se/okategoriserat/nar-blev-konsertbiljetter-till-en-lyxvara/" TargetMode="External"/><Relationship Id="rId6285" Type="http://schemas.openxmlformats.org/officeDocument/2006/relationships/hyperlink" Target="http://seniorrabatt.se/" TargetMode="External"/><Relationship Id="rId7336" Type="http://schemas.openxmlformats.org/officeDocument/2006/relationships/hyperlink" Target="http://cherry.com/" TargetMode="External"/><Relationship Id="rId10664" Type="http://schemas.openxmlformats.org/officeDocument/2006/relationships/hyperlink" Target="https://www.lsb.se/" TargetMode="External"/><Relationship Id="rId11715" Type="http://schemas.openxmlformats.org/officeDocument/2006/relationships/hyperlink" Target="https://www.radionordkapp.no/nyheter/23841/slik-sparer-du-smart/" TargetMode="External"/><Relationship Id="rId10317" Type="http://schemas.openxmlformats.org/officeDocument/2006/relationships/hyperlink" Target="https://dinfamilj.se/familjens-betydelse-for-att-hitta-den-perfekta-harfargen-i-stockholm/" TargetMode="External"/><Relationship Id="rId2895" Type="http://schemas.openxmlformats.org/officeDocument/2006/relationships/hyperlink" Target="https://savethefuture.se/upptack-det-basta-elavtalet-for-dina-behov/" TargetMode="External"/><Relationship Id="rId3946" Type="http://schemas.openxmlformats.org/officeDocument/2006/relationships/hyperlink" Target="https://aaatak.se/" TargetMode="External"/><Relationship Id="rId12489" Type="http://schemas.openxmlformats.org/officeDocument/2006/relationships/hyperlink" Target="http://fairinvestments.se/" TargetMode="External"/><Relationship Id="rId867" Type="http://schemas.openxmlformats.org/officeDocument/2006/relationships/hyperlink" Target="https://www.swedoffice.se/kategori/49902-kopieringspapp" TargetMode="External"/><Relationship Id="rId1497" Type="http://schemas.openxmlformats.org/officeDocument/2006/relationships/hyperlink" Target="https://advancepointcap.com/emergency-loan/" TargetMode="External"/><Relationship Id="rId2548" Type="http://schemas.openxmlformats.org/officeDocument/2006/relationships/hyperlink" Target="https://tiotak.se/byta-tak-ekonomibyggnad/" TargetMode="External"/><Relationship Id="rId5021" Type="http://schemas.openxmlformats.org/officeDocument/2006/relationships/hyperlink" Target="https://sporten.nu/betting-inom-sport-en-guide-for-nyborjare-och-erfarna-spelare/" TargetMode="External"/><Relationship Id="rId8591" Type="http://schemas.openxmlformats.org/officeDocument/2006/relationships/hyperlink" Target="http://svenskafonster.se/trafonster" TargetMode="External"/><Relationship Id="rId9642" Type="http://schemas.openxmlformats.org/officeDocument/2006/relationships/hyperlink" Target="http://startmotor.se/" TargetMode="External"/><Relationship Id="rId11572" Type="http://schemas.openxmlformats.org/officeDocument/2006/relationships/hyperlink" Target="https://healthyliving.se/halsoprodukter-som-kan-gora-en-massiv-skillnad-under-vintern-och-borjan-av-varen/" TargetMode="External"/><Relationship Id="rId12623" Type="http://schemas.openxmlformats.org/officeDocument/2006/relationships/hyperlink" Target="https://hollywoodlife.com/2025/09/05/how-to-find-the-right-rug-style-for-living-space/" TargetMode="External"/><Relationship Id="rId12970" Type="http://schemas.openxmlformats.org/officeDocument/2006/relationships/hyperlink" Target="http://spelklubben.se/" TargetMode="External"/><Relationship Id="rId1631" Type="http://schemas.openxmlformats.org/officeDocument/2006/relationships/hyperlink" Target="https://fashionablymale.net/2023/10/23/stylish-essentials-7-classic-menswear-basics-worth-investing-in/" TargetMode="External"/><Relationship Id="rId7193" Type="http://schemas.openxmlformats.org/officeDocument/2006/relationships/hyperlink" Target="https://butikslista.se/ftx-ventilation-en-losning-for-effektivt-inomhusklimat/" TargetMode="External"/><Relationship Id="rId8244" Type="http://schemas.openxmlformats.org/officeDocument/2006/relationships/hyperlink" Target="https://www.willabgarden.de/gewachshauser/" TargetMode="External"/><Relationship Id="rId10174" Type="http://schemas.openxmlformats.org/officeDocument/2006/relationships/hyperlink" Target="http://rusta.com/sv-se/hem-och-inredning/belysning" TargetMode="External"/><Relationship Id="rId11225" Type="http://schemas.openxmlformats.org/officeDocument/2006/relationships/hyperlink" Target="https://ngweb.se/motion-far-oss-att-ma-bra-och-haller-oss-friska%ef%bf%bc/" TargetMode="External"/><Relationship Id="rId3456" Type="http://schemas.openxmlformats.org/officeDocument/2006/relationships/hyperlink" Target="https://tommytappar.se/w3-ledande-inom-elinstallationer-solcellsprojekt-i-hela-sverige/" TargetMode="External"/><Relationship Id="rId4854" Type="http://schemas.openxmlformats.org/officeDocument/2006/relationships/hyperlink" Target="https://www.spelklubben.se/sv/casino" TargetMode="External"/><Relationship Id="rId5905" Type="http://schemas.openxmlformats.org/officeDocument/2006/relationships/hyperlink" Target="https://naturliglivsstil.se/digital-vard-framtiden-for-halsa-och-livsstil/" TargetMode="External"/><Relationship Id="rId377" Type="http://schemas.openxmlformats.org/officeDocument/2006/relationships/hyperlink" Target="https://www.kopbarnvagn.se/sv/artiklar/bugaboo/index.html" TargetMode="External"/><Relationship Id="rId2058" Type="http://schemas.openxmlformats.org/officeDocument/2006/relationships/hyperlink" Target="https://www.life-science.se/trygg-och-hallbar-investering" TargetMode="External"/><Relationship Id="rId3109" Type="http://schemas.openxmlformats.org/officeDocument/2006/relationships/hyperlink" Target="http://m6bygg.se/" TargetMode="External"/><Relationship Id="rId4507" Type="http://schemas.openxmlformats.org/officeDocument/2006/relationships/hyperlink" Target="http://startmotor.se/" TargetMode="External"/><Relationship Id="rId6679" Type="http://schemas.openxmlformats.org/officeDocument/2006/relationships/hyperlink" Target="http://joureliten.se/" TargetMode="External"/><Relationship Id="rId12480" Type="http://schemas.openxmlformats.org/officeDocument/2006/relationships/hyperlink" Target="http://fairinvestments.se/" TargetMode="External"/><Relationship Id="rId9152" Type="http://schemas.openxmlformats.org/officeDocument/2006/relationships/hyperlink" Target="https://www.myownwater.com/aluminum-water-bottles" TargetMode="External"/><Relationship Id="rId11082" Type="http://schemas.openxmlformats.org/officeDocument/2006/relationships/hyperlink" Target="https://casinoandy.com/sv/online-casino/har-ar-varldens-popularaste-slots/" TargetMode="External"/><Relationship Id="rId12133" Type="http://schemas.openxmlformats.org/officeDocument/2006/relationships/hyperlink" Target="http://arctic.se/" TargetMode="External"/><Relationship Id="rId511" Type="http://schemas.openxmlformats.org/officeDocument/2006/relationships/hyperlink" Target="https://valutacentralen.se/handfasta-tips-for-att-forbattra-ditt-foretags-likviditet/" TargetMode="External"/><Relationship Id="rId1141" Type="http://schemas.openxmlformats.org/officeDocument/2006/relationships/hyperlink" Target="https://distansinstitutet.se/distansutbildningar/" TargetMode="External"/><Relationship Id="rId5762" Type="http://schemas.openxmlformats.org/officeDocument/2006/relationships/hyperlink" Target="http://bethard.com/" TargetMode="External"/><Relationship Id="rId6813" Type="http://schemas.openxmlformats.org/officeDocument/2006/relationships/hyperlink" Target="http://spelklubben.se/" TargetMode="External"/><Relationship Id="rId4364" Type="http://schemas.openxmlformats.org/officeDocument/2006/relationships/hyperlink" Target="https://hockeybladet.nu/artikel/recap-av-hockeysasongen-2023-2024-hojdpunkter-och-overraskningar/" TargetMode="External"/><Relationship Id="rId5415" Type="http://schemas.openxmlformats.org/officeDocument/2006/relationships/hyperlink" Target="https://www.doilydays.co.uk/" TargetMode="External"/><Relationship Id="rId4017" Type="http://schemas.openxmlformats.org/officeDocument/2006/relationships/hyperlink" Target="https://fairinvestments.se/finansiell-information/" TargetMode="External"/><Relationship Id="rId7587" Type="http://schemas.openxmlformats.org/officeDocument/2006/relationships/hyperlink" Target="https://resident.com/resource-guide/2025/02/05/what-to-keep-in-mind-before-starting-to-play-in-online-casinos" TargetMode="External"/><Relationship Id="rId8638" Type="http://schemas.openxmlformats.org/officeDocument/2006/relationships/hyperlink" Target="https://gladafamiljer.se/en-hunds-plats-i-familjen-varfor-ratt-val-av-produkter-ar-viktigt/" TargetMode="External"/><Relationship Id="rId8985" Type="http://schemas.openxmlformats.org/officeDocument/2006/relationships/hyperlink" Target="http://kleer.se/" TargetMode="External"/><Relationship Id="rId11966" Type="http://schemas.openxmlformats.org/officeDocument/2006/relationships/hyperlink" Target="https://www.villa-sverige.se/2023/09/27/led-lister-en-ljusare-framtid-for-belysning/" TargetMode="External"/><Relationship Id="rId6189" Type="http://schemas.openxmlformats.org/officeDocument/2006/relationships/hyperlink" Target="https://www.chattanoogarehab.com/us/hot-cold/hot-cold-packs" TargetMode="External"/><Relationship Id="rId10568" Type="http://schemas.openxmlformats.org/officeDocument/2006/relationships/hyperlink" Target="http://mynicco.com/" TargetMode="External"/><Relationship Id="rId11619" Type="http://schemas.openxmlformats.org/officeDocument/2006/relationships/hyperlink" Target="https://poolstart.se/relining-en-kostnadseffektiv-losning/" TargetMode="External"/><Relationship Id="rId13041" Type="http://schemas.openxmlformats.org/officeDocument/2006/relationships/hyperlink" Target="http://rusta.se/" TargetMode="External"/><Relationship Id="rId2799" Type="http://schemas.openxmlformats.org/officeDocument/2006/relationships/hyperlink" Target="http://spelklubben.se/" TargetMode="External"/><Relationship Id="rId3100" Type="http://schemas.openxmlformats.org/officeDocument/2006/relationships/hyperlink" Target="http://lansfast.se/" TargetMode="External"/><Relationship Id="rId6670" Type="http://schemas.openxmlformats.org/officeDocument/2006/relationships/hyperlink" Target="http://rusta.se/" TargetMode="External"/><Relationship Id="rId7721" Type="http://schemas.openxmlformats.org/officeDocument/2006/relationships/hyperlink" Target="https://www.thecricket.nu/upptack-nya-satt-att-njuta-av-kultur-och-noje-med-iptv" TargetMode="External"/><Relationship Id="rId10702" Type="http://schemas.openxmlformats.org/officeDocument/2006/relationships/hyperlink" Target="https://www.tandlakare.se/stad/stockholm/" TargetMode="External"/><Relationship Id="rId5272" Type="http://schemas.openxmlformats.org/officeDocument/2006/relationships/hyperlink" Target="http://hampabonden.se/" TargetMode="External"/><Relationship Id="rId6323" Type="http://schemas.openxmlformats.org/officeDocument/2006/relationships/hyperlink" Target="http://dinkorskola.se/" TargetMode="External"/><Relationship Id="rId9893" Type="http://schemas.openxmlformats.org/officeDocument/2006/relationships/hyperlink" Target="https://www.nordicknots.com/us/rugs" TargetMode="External"/><Relationship Id="rId1882" Type="http://schemas.openxmlformats.org/officeDocument/2006/relationships/hyperlink" Target="https://fashionablymale.net/2024/01/09/sustainable-mens-fashion-five-tips-to-thrift-shop-with-success/" TargetMode="External"/><Relationship Id="rId8495" Type="http://schemas.openxmlformats.org/officeDocument/2006/relationships/hyperlink" Target="https://kruunukaluste.fi/kauppa/puutarhakalusteet-ulkokalusteet-ja-terassikalusteet/" TargetMode="External"/><Relationship Id="rId9546" Type="http://schemas.openxmlformats.org/officeDocument/2006/relationships/hyperlink" Target="https://www.saleseffect.se/salj-luft-salj-ord-salj-design-i-comic-sans/" TargetMode="External"/><Relationship Id="rId11476" Type="http://schemas.openxmlformats.org/officeDocument/2006/relationships/hyperlink" Target="https://sahlstorm.se/sa-kan-du-lyckas-med-din-halsoresa/" TargetMode="External"/><Relationship Id="rId12874" Type="http://schemas.openxmlformats.org/officeDocument/2006/relationships/hyperlink" Target="https://leimenblog.de/wie-nachhaltiges-wohnen-fuer-eigenheimbesitzer-zum-vorteil-wird/" TargetMode="External"/><Relationship Id="rId1535" Type="http://schemas.openxmlformats.org/officeDocument/2006/relationships/hyperlink" Target="https://techduffer.com/stepping-up-your-style-mens-sock-essentials/" TargetMode="External"/><Relationship Id="rId2933" Type="http://schemas.openxmlformats.org/officeDocument/2006/relationships/hyperlink" Target="https://podradio.nu/utforska-vont-to-go-en-smakfull-resa-genom-fruktiga-engangsvapes/" TargetMode="External"/><Relationship Id="rId7097" Type="http://schemas.openxmlformats.org/officeDocument/2006/relationships/hyperlink" Target="http://hund.se/" TargetMode="External"/><Relationship Id="rId8148" Type="http://schemas.openxmlformats.org/officeDocument/2006/relationships/hyperlink" Target="https://www.rusta.com/se/sv/hem--inredning/mattor/" TargetMode="External"/><Relationship Id="rId10078" Type="http://schemas.openxmlformats.org/officeDocument/2006/relationships/hyperlink" Target="https://www.vegatus.se/7-satt-som-din-kropp-speglar-ditt-maende/" TargetMode="External"/><Relationship Id="rId11129" Type="http://schemas.openxmlformats.org/officeDocument/2006/relationships/hyperlink" Target="http://sesec.se/" TargetMode="External"/><Relationship Id="rId12527" Type="http://schemas.openxmlformats.org/officeDocument/2006/relationships/hyperlink" Target="https://www.executiveeffect.se/vad-ar-fair-investments/" TargetMode="External"/><Relationship Id="rId905" Type="http://schemas.openxmlformats.org/officeDocument/2006/relationships/hyperlink" Target="https://pontechmarina.com/se/flytbrygga/" TargetMode="External"/><Relationship Id="rId4758" Type="http://schemas.openxmlformats.org/officeDocument/2006/relationships/hyperlink" Target="https://e-ciggbolaget.se/vitt-snus/" TargetMode="External"/><Relationship Id="rId5809" Type="http://schemas.openxmlformats.org/officeDocument/2006/relationships/hyperlink" Target="https://www.rusta.com/se/sv/fritid/husdjur/hund/hundfoder/" TargetMode="External"/><Relationship Id="rId6180" Type="http://schemas.openxmlformats.org/officeDocument/2006/relationships/hyperlink" Target="https://everynightstudios.com/collections/designa-egen-t-shirt" TargetMode="External"/><Relationship Id="rId11610" Type="http://schemas.openxmlformats.org/officeDocument/2006/relationships/hyperlink" Target="https://serviceteknikerkarlstad.se/takbyte-fornya-och-stark-din-byggnads-skydd/" TargetMode="External"/><Relationship Id="rId7231" Type="http://schemas.openxmlformats.org/officeDocument/2006/relationships/hyperlink" Target="http://svenskiptv.com/" TargetMode="External"/><Relationship Id="rId10212" Type="http://schemas.openxmlformats.org/officeDocument/2006/relationships/hyperlink" Target="http://chattanoogarehab.com/" TargetMode="External"/><Relationship Id="rId2790" Type="http://schemas.openxmlformats.org/officeDocument/2006/relationships/hyperlink" Target="https://www.reporteminero.cl/noticia/otras-noticias/2024/02/mejor-experiencia-casino-casa" TargetMode="External"/><Relationship Id="rId3841" Type="http://schemas.openxmlformats.org/officeDocument/2006/relationships/hyperlink" Target="https://hexweb.se/dave-grohl-rocklegend-och-vapingentusiast/" TargetMode="External"/><Relationship Id="rId12384" Type="http://schemas.openxmlformats.org/officeDocument/2006/relationships/hyperlink" Target="https://fairinvestments.se/" TargetMode="External"/><Relationship Id="rId762" Type="http://schemas.openxmlformats.org/officeDocument/2006/relationships/hyperlink" Target="https://fair-1fweb.crosskey.se/Account/Login" TargetMode="External"/><Relationship Id="rId1392" Type="http://schemas.openxmlformats.org/officeDocument/2006/relationships/hyperlink" Target="https://themotherhuddle.com/best-gift-ideas-for-the-stylish-man/" TargetMode="External"/><Relationship Id="rId2443" Type="http://schemas.openxmlformats.org/officeDocument/2006/relationships/hyperlink" Target="https://e-ciggbolaget.se/e-cigaretter/engangs-vape/aroma-king/?hr-page=%7B%22product_count%22%3A24%7D" TargetMode="External"/><Relationship Id="rId9056" Type="http://schemas.openxmlformats.org/officeDocument/2006/relationships/hyperlink" Target="https://sakraror.se/" TargetMode="External"/><Relationship Id="rId12037" Type="http://schemas.openxmlformats.org/officeDocument/2006/relationships/hyperlink" Target="https://www.vont.se/" TargetMode="External"/><Relationship Id="rId415" Type="http://schemas.openxmlformats.org/officeDocument/2006/relationships/hyperlink" Target="http://haxan.se/" TargetMode="External"/><Relationship Id="rId1045" Type="http://schemas.openxmlformats.org/officeDocument/2006/relationships/hyperlink" Target="https://baucemag.com/the-psychology-of-colors-what-your-choice-says-about-you/" TargetMode="External"/><Relationship Id="rId5666" Type="http://schemas.openxmlformats.org/officeDocument/2006/relationships/hyperlink" Target="https://www.bethard.com/sv/sports" TargetMode="External"/><Relationship Id="rId4268" Type="http://schemas.openxmlformats.org/officeDocument/2006/relationships/hyperlink" Target="https://passioneffect.se/vitt-snus-hotas-av-eu-forbud/" TargetMode="External"/><Relationship Id="rId5319" Type="http://schemas.openxmlformats.org/officeDocument/2006/relationships/hyperlink" Target="http://zmarta.se/" TargetMode="External"/><Relationship Id="rId6717" Type="http://schemas.openxmlformats.org/officeDocument/2006/relationships/hyperlink" Target="http://dinkorskola.se/" TargetMode="External"/><Relationship Id="rId8889" Type="http://schemas.openxmlformats.org/officeDocument/2006/relationships/hyperlink" Target="http://fairinvestments.se/" TargetMode="External"/><Relationship Id="rId11120" Type="http://schemas.openxmlformats.org/officeDocument/2006/relationships/hyperlink" Target="https://www.startmotor.se/batmotordelar" TargetMode="External"/><Relationship Id="rId1929" Type="http://schemas.openxmlformats.org/officeDocument/2006/relationships/hyperlink" Target="https://www.mansjouren.nu/" TargetMode="External"/><Relationship Id="rId5800" Type="http://schemas.openxmlformats.org/officeDocument/2006/relationships/hyperlink" Target="https://tiotak.se/byta-tak-maskinhall/" TargetMode="External"/><Relationship Id="rId13292" Type="http://schemas.openxmlformats.org/officeDocument/2006/relationships/hyperlink" Target="https://www.indoorprofessional.se/" TargetMode="External"/><Relationship Id="rId3351" Type="http://schemas.openxmlformats.org/officeDocument/2006/relationships/hyperlink" Target="https://www.mariatand.se/" TargetMode="External"/><Relationship Id="rId4402" Type="http://schemas.openxmlformats.org/officeDocument/2006/relationships/hyperlink" Target="http://fairinvestments.se/" TargetMode="External"/><Relationship Id="rId7972" Type="http://schemas.openxmlformats.org/officeDocument/2006/relationships/hyperlink" Target="http://tandea.se/" TargetMode="External"/><Relationship Id="rId272" Type="http://schemas.openxmlformats.org/officeDocument/2006/relationships/hyperlink" Target="https://traningskort.se/" TargetMode="External"/><Relationship Id="rId3004" Type="http://schemas.openxmlformats.org/officeDocument/2006/relationships/hyperlink" Target="https://hexweb.se/nu-lanseras-spelklubben/" TargetMode="External"/><Relationship Id="rId6574" Type="http://schemas.openxmlformats.org/officeDocument/2006/relationships/hyperlink" Target="https://www.bethard.com/sv/sports" TargetMode="External"/><Relationship Id="rId7625" Type="http://schemas.openxmlformats.org/officeDocument/2006/relationships/hyperlink" Target="http://arctic.se/" TargetMode="External"/><Relationship Id="rId10953" Type="http://schemas.openxmlformats.org/officeDocument/2006/relationships/hyperlink" Target="http://spelklubben.se/" TargetMode="External"/><Relationship Id="rId5176" Type="http://schemas.openxmlformats.org/officeDocument/2006/relationships/hyperlink" Target="https://rehabgrossisten.com/skydd-bandage/kna/knaskydd/" TargetMode="External"/><Relationship Id="rId6227" Type="http://schemas.openxmlformats.org/officeDocument/2006/relationships/hyperlink" Target="https://dinkorskola.se/" TargetMode="External"/><Relationship Id="rId9797" Type="http://schemas.openxmlformats.org/officeDocument/2006/relationships/hyperlink" Target="https://ladycare.se/effektiv-viktnedgang-for-kvinnor-genom-vetenskapsbaserade-metoder/" TargetMode="External"/><Relationship Id="rId10606" Type="http://schemas.openxmlformats.org/officeDocument/2006/relationships/hyperlink" Target="http://megariches.com/" TargetMode="External"/><Relationship Id="rId8399" Type="http://schemas.openxmlformats.org/officeDocument/2006/relationships/hyperlink" Target="http://cateringfabriken.se/" TargetMode="External"/><Relationship Id="rId12778" Type="http://schemas.openxmlformats.org/officeDocument/2006/relationships/hyperlink" Target="https://www.rusta.com/sv-se/hem-och-inredning/belysning" TargetMode="External"/><Relationship Id="rId1786" Type="http://schemas.openxmlformats.org/officeDocument/2006/relationships/hyperlink" Target="https://hemplybalance.se/cbd-hampaoljor/" TargetMode="External"/><Relationship Id="rId2837" Type="http://schemas.openxmlformats.org/officeDocument/2006/relationships/hyperlink" Target="https://panncentralen.se/nyheter/spelklubben-det-nya-exklusiva-online-casinot-for-alla-och-allas-spelbehov/" TargetMode="External"/><Relationship Id="rId809" Type="http://schemas.openxmlformats.org/officeDocument/2006/relationships/hyperlink" Target="https://pontechmarina.com/se/" TargetMode="External"/><Relationship Id="rId1439" Type="http://schemas.openxmlformats.org/officeDocument/2006/relationships/hyperlink" Target="https://www.vont.se/" TargetMode="External"/><Relationship Id="rId5310" Type="http://schemas.openxmlformats.org/officeDocument/2006/relationships/hyperlink" Target="http://bethard.com/" TargetMode="External"/><Relationship Id="rId8880" Type="http://schemas.openxmlformats.org/officeDocument/2006/relationships/hyperlink" Target="https://www.forfest.se/sa-undviker-du-forfestdodarna/" TargetMode="External"/><Relationship Id="rId9931" Type="http://schemas.openxmlformats.org/officeDocument/2006/relationships/hyperlink" Target="https://www.startmotor.se/batterier/b%C3%A5tbatteri" TargetMode="External"/><Relationship Id="rId11861" Type="http://schemas.openxmlformats.org/officeDocument/2006/relationships/hyperlink" Target="https://www.freckeus.se/" TargetMode="External"/><Relationship Id="rId12912" Type="http://schemas.openxmlformats.org/officeDocument/2006/relationships/hyperlink" Target="http://kungaslottet.se/" TargetMode="External"/><Relationship Id="rId1920" Type="http://schemas.openxmlformats.org/officeDocument/2006/relationships/hyperlink" Target="http://pontonhamnar.se/" TargetMode="External"/><Relationship Id="rId7482" Type="http://schemas.openxmlformats.org/officeDocument/2006/relationships/hyperlink" Target="https://www.chattanoogarehab.com/shock-wave-rpw" TargetMode="External"/><Relationship Id="rId8533" Type="http://schemas.openxmlformats.org/officeDocument/2006/relationships/hyperlink" Target="https://mynicco.com/product-category/zyn/" TargetMode="External"/><Relationship Id="rId10463" Type="http://schemas.openxmlformats.org/officeDocument/2006/relationships/hyperlink" Target="https://rabattkodsidor.se/2025/07/30/hur-ekonomiska-vanor-formas-tidigt-livet/" TargetMode="External"/><Relationship Id="rId11514" Type="http://schemas.openxmlformats.org/officeDocument/2006/relationships/hyperlink" Target="http://robomarkets.com/" TargetMode="External"/><Relationship Id="rId6084" Type="http://schemas.openxmlformats.org/officeDocument/2006/relationships/hyperlink" Target="http://everynightstudios.com/" TargetMode="External"/><Relationship Id="rId7135" Type="http://schemas.openxmlformats.org/officeDocument/2006/relationships/hyperlink" Target="https://tiotak.se/byta-tak-maskinhall/" TargetMode="External"/><Relationship Id="rId10116" Type="http://schemas.openxmlformats.org/officeDocument/2006/relationships/hyperlink" Target="https://www.newst.se/sa-far-du-de-basta-stranddagarna-i-sommar/" TargetMode="External"/><Relationship Id="rId2694" Type="http://schemas.openxmlformats.org/officeDocument/2006/relationships/hyperlink" Target="http://glitnor.com/" TargetMode="External"/><Relationship Id="rId3745" Type="http://schemas.openxmlformats.org/officeDocument/2006/relationships/hyperlink" Target="https://arctic.se/se/forsakringslosningar/svensksolenergi/" TargetMode="External"/><Relationship Id="rId12288" Type="http://schemas.openxmlformats.org/officeDocument/2006/relationships/hyperlink" Target="https://www.robomarkets.com/se/forex-trading/trading/isk/" TargetMode="External"/><Relationship Id="rId666" Type="http://schemas.openxmlformats.org/officeDocument/2006/relationships/hyperlink" Target="https://www.catwalkyourself.com/create-chic-wardrobe-garments-love/" TargetMode="External"/><Relationship Id="rId1296" Type="http://schemas.openxmlformats.org/officeDocument/2006/relationships/hyperlink" Target="https://distansinstitutet.se/artiklar/mot-studenten-projektledare/" TargetMode="External"/><Relationship Id="rId2347" Type="http://schemas.openxmlformats.org/officeDocument/2006/relationships/hyperlink" Target="http://tandea.se/" TargetMode="External"/><Relationship Id="rId319" Type="http://schemas.openxmlformats.org/officeDocument/2006/relationships/hyperlink" Target="http://bigbenstandup.com/" TargetMode="External"/><Relationship Id="rId6968" Type="http://schemas.openxmlformats.org/officeDocument/2006/relationships/hyperlink" Target="https://www.dagensinfrastruktur.se/2024/12/21/en-avhandling-pa-fonster-och-ljus/" TargetMode="External"/><Relationship Id="rId8390" Type="http://schemas.openxmlformats.org/officeDocument/2006/relationships/hyperlink" Target="https://www.reseledaren.nu/femstjarnigt-hotell-en-varld-av-lyx-och-precision/" TargetMode="External"/><Relationship Id="rId8043" Type="http://schemas.openxmlformats.org/officeDocument/2006/relationships/hyperlink" Target="http://nordicknots.com/" TargetMode="External"/><Relationship Id="rId9441" Type="http://schemas.openxmlformats.org/officeDocument/2006/relationships/hyperlink" Target="https://www.partilletidning.se/native/fran-bingo-och-lopning-till-fika-svenskar-i-alla-aldrar-gor-ofta-samma-saker.2e2bc6f0-33f1-40e2-8cf2-c501083b7dfd" TargetMode="External"/><Relationship Id="rId11371" Type="http://schemas.openxmlformats.org/officeDocument/2006/relationships/hyperlink" Target="http://fairinvestments.se/" TargetMode="External"/><Relationship Id="rId12422" Type="http://schemas.openxmlformats.org/officeDocument/2006/relationships/hyperlink" Target="https://www.hvvs.se/" TargetMode="External"/><Relationship Id="rId800" Type="http://schemas.openxmlformats.org/officeDocument/2006/relationships/hyperlink" Target="https://www.happysocks.com/us/collection/dressed" TargetMode="External"/><Relationship Id="rId1430" Type="http://schemas.openxmlformats.org/officeDocument/2006/relationships/hyperlink" Target="https://haxan.se/" TargetMode="External"/><Relationship Id="rId11024" Type="http://schemas.openxmlformats.org/officeDocument/2006/relationships/hyperlink" Target="http://epidemicsounds.com/" TargetMode="External"/><Relationship Id="rId4653" Type="http://schemas.openxmlformats.org/officeDocument/2006/relationships/hyperlink" Target="https://cannabislight.se/" TargetMode="External"/><Relationship Id="rId5704" Type="http://schemas.openxmlformats.org/officeDocument/2006/relationships/hyperlink" Target="https://www.snusnetto.se/velo/" TargetMode="External"/><Relationship Id="rId13196" Type="http://schemas.openxmlformats.org/officeDocument/2006/relationships/hyperlink" Target="https://luotto.io/aika-ostaa-auto-saattaa-olla-hyva-idea-vertailla-lainoja/" TargetMode="External"/><Relationship Id="rId3255" Type="http://schemas.openxmlformats.org/officeDocument/2006/relationships/hyperlink" Target="https://happycasino.se/casino" TargetMode="External"/><Relationship Id="rId4306" Type="http://schemas.openxmlformats.org/officeDocument/2006/relationships/hyperlink" Target="https://knutpunktslussen.se/utnyttja-potentialen-med-solceller-pa-ekonomibyggnader-industrihallar/" TargetMode="External"/><Relationship Id="rId7876" Type="http://schemas.openxmlformats.org/officeDocument/2006/relationships/hyperlink" Target="https://erothotsd.com/the-role-of-shockwave-therapy-in-modern-beauty-treatments/" TargetMode="External"/><Relationship Id="rId8927" Type="http://schemas.openxmlformats.org/officeDocument/2006/relationships/hyperlink" Target="https://thestripesblog.com/sustainable-travel-trends-for-summer-2025/" TargetMode="External"/><Relationship Id="rId176" Type="http://schemas.openxmlformats.org/officeDocument/2006/relationships/hyperlink" Target="https://chronos.se/" TargetMode="External"/><Relationship Id="rId6478" Type="http://schemas.openxmlformats.org/officeDocument/2006/relationships/hyperlink" Target="https://casinogringos.se/casino-bonus" TargetMode="External"/><Relationship Id="rId7529" Type="http://schemas.openxmlformats.org/officeDocument/2006/relationships/hyperlink" Target="https://news.cision.com/se/fair-investments" TargetMode="External"/><Relationship Id="rId10857" Type="http://schemas.openxmlformats.org/officeDocument/2006/relationships/hyperlink" Target="https://merchoteket.se/collections/muggar" TargetMode="External"/><Relationship Id="rId11908" Type="http://schemas.openxmlformats.org/officeDocument/2006/relationships/hyperlink" Target="http://lansfast.se/" TargetMode="External"/><Relationship Id="rId310" Type="http://schemas.openxmlformats.org/officeDocument/2006/relationships/hyperlink" Target="https://www.askskinfo.com/browse/?brand=DR+CEURACLE" TargetMode="External"/><Relationship Id="rId5561" Type="http://schemas.openxmlformats.org/officeDocument/2006/relationships/hyperlink" Target="https://www.frejaaffryken.se/" TargetMode="External"/><Relationship Id="rId6612" Type="http://schemas.openxmlformats.org/officeDocument/2006/relationships/hyperlink" Target="http://cherry.com/" TargetMode="External"/><Relationship Id="rId4163" Type="http://schemas.openxmlformats.org/officeDocument/2006/relationships/hyperlink" Target="https://www.alfa.no/pages/hvilken-tursko-skal-jeg-velge" TargetMode="External"/><Relationship Id="rId5214" Type="http://schemas.openxmlformats.org/officeDocument/2006/relationships/hyperlink" Target="http://lansfast.se/" TargetMode="External"/><Relationship Id="rId8784" Type="http://schemas.openxmlformats.org/officeDocument/2006/relationships/hyperlink" Target="http://lsb.se/" TargetMode="External"/><Relationship Id="rId9835" Type="http://schemas.openxmlformats.org/officeDocument/2006/relationships/hyperlink" Target="https://smartkonstruktion.se/sakerhetslosningar-ar-avgorande-for-byggprojektets-framgang/" TargetMode="External"/><Relationship Id="rId11765" Type="http://schemas.openxmlformats.org/officeDocument/2006/relationships/hyperlink" Target="https://yagya.com/" TargetMode="External"/><Relationship Id="rId49" Type="http://schemas.openxmlformats.org/officeDocument/2006/relationships/hyperlink" Target="http://chronos.se/" TargetMode="External"/><Relationship Id="rId1824" Type="http://schemas.openxmlformats.org/officeDocument/2006/relationships/hyperlink" Target="https://s-automation.se/optimera-kundhantering-med-smarta-saljverktyg-forbattra-crm-for-kundtillvaxt-och-effektiv-kommunikation/" TargetMode="External"/><Relationship Id="rId7386" Type="http://schemas.openxmlformats.org/officeDocument/2006/relationships/hyperlink" Target="https://www.starleaf.com/blog/how-ai-can-reshape-business-management/" TargetMode="External"/><Relationship Id="rId8437" Type="http://schemas.openxmlformats.org/officeDocument/2006/relationships/hyperlink" Target="https://clearfuze.com/" TargetMode="External"/><Relationship Id="rId10367" Type="http://schemas.openxmlformats.org/officeDocument/2006/relationships/hyperlink" Target="https://mikaelelias.se/blogg/hur-spelmekaniker-forvandlar-vara-favorittjanster/" TargetMode="External"/><Relationship Id="rId11418" Type="http://schemas.openxmlformats.org/officeDocument/2006/relationships/hyperlink" Target="https://vasterasextra.se/" TargetMode="External"/><Relationship Id="rId12816" Type="http://schemas.openxmlformats.org/officeDocument/2006/relationships/hyperlink" Target="http://turner.fi/" TargetMode="External"/><Relationship Id="rId7039" Type="http://schemas.openxmlformats.org/officeDocument/2006/relationships/hyperlink" Target="http://cdg.io/" TargetMode="External"/><Relationship Id="rId2598" Type="http://schemas.openxmlformats.org/officeDocument/2006/relationships/hyperlink" Target="https://www.augustsurfcafe.se/klotter-ar-sa-onodigt" TargetMode="External"/><Relationship Id="rId3996" Type="http://schemas.openxmlformats.org/officeDocument/2006/relationships/hyperlink" Target="https://kelleher-international.com/" TargetMode="External"/><Relationship Id="rId3649" Type="http://schemas.openxmlformats.org/officeDocument/2006/relationships/hyperlink" Target="http://finansplassen.no/" TargetMode="External"/><Relationship Id="rId5071" Type="http://schemas.openxmlformats.org/officeDocument/2006/relationships/hyperlink" Target="https://www.interiorguiden.se/slipp-stressen-lat-proffsen-lagga-om-ditt-papptak" TargetMode="External"/><Relationship Id="rId6122" Type="http://schemas.openxmlformats.org/officeDocument/2006/relationships/hyperlink" Target="http://www.chattanoogarehab.com/blog/revised-2023-apta-clinical-practice-guidelines-for-heel-pain-plantar-fasciitis-upgrades-therapeutic-laser-recommendation/" TargetMode="External"/><Relationship Id="rId7520" Type="http://schemas.openxmlformats.org/officeDocument/2006/relationships/hyperlink" Target="https://supernormal.health/pages/medicinsk-viktnedgang" TargetMode="External"/><Relationship Id="rId10501" Type="http://schemas.openxmlformats.org/officeDocument/2006/relationships/hyperlink" Target="https://www.ihus.nu/framtidens-belysning/" TargetMode="External"/><Relationship Id="rId9692" Type="http://schemas.openxmlformats.org/officeDocument/2006/relationships/hyperlink" Target="http://mrvegas.com/" TargetMode="External"/><Relationship Id="rId12673" Type="http://schemas.openxmlformats.org/officeDocument/2006/relationships/hyperlink" Target="https://www.rollingstone.co.uk/culture/72-hour-setlist-of-london-experiences-53795/" TargetMode="External"/><Relationship Id="rId1681" Type="http://schemas.openxmlformats.org/officeDocument/2006/relationships/hyperlink" Target="http://triwa.com/" TargetMode="External"/><Relationship Id="rId2732" Type="http://schemas.openxmlformats.org/officeDocument/2006/relationships/hyperlink" Target="https://movingimagesmalmo.se/en-karriar-med-mening" TargetMode="External"/><Relationship Id="rId8294" Type="http://schemas.openxmlformats.org/officeDocument/2006/relationships/hyperlink" Target="https://iptvnorge.is/" TargetMode="External"/><Relationship Id="rId9345" Type="http://schemas.openxmlformats.org/officeDocument/2006/relationships/hyperlink" Target="https://minifinder.se/" TargetMode="External"/><Relationship Id="rId11275" Type="http://schemas.openxmlformats.org/officeDocument/2006/relationships/hyperlink" Target="https://www.dieselkraft.se/" TargetMode="External"/><Relationship Id="rId12326" Type="http://schemas.openxmlformats.org/officeDocument/2006/relationships/hyperlink" Target="https://www.totallystockholm.se/hur-vaping-och-nikotinprodukter-star-sig-mot-varann/" TargetMode="External"/><Relationship Id="rId704" Type="http://schemas.openxmlformats.org/officeDocument/2006/relationships/hyperlink" Target="http://rehabgrossisten.com/" TargetMode="External"/><Relationship Id="rId1334" Type="http://schemas.openxmlformats.org/officeDocument/2006/relationships/hyperlink" Target="https://jessicasmaleriostad.se/?p=248" TargetMode="External"/><Relationship Id="rId5955" Type="http://schemas.openxmlformats.org/officeDocument/2006/relationships/hyperlink" Target="https://www.lifesciencesweden.se/lb-article/180902/vad-ar-akne-och-hur-kan-det-behandlas" TargetMode="External"/><Relationship Id="rId40" Type="http://schemas.openxmlformats.org/officeDocument/2006/relationships/hyperlink" Target="http://elenkelt.se/" TargetMode="External"/><Relationship Id="rId4557" Type="http://schemas.openxmlformats.org/officeDocument/2006/relationships/hyperlink" Target="http://ampilo.se/" TargetMode="External"/><Relationship Id="rId5608" Type="http://schemas.openxmlformats.org/officeDocument/2006/relationships/hyperlink" Target="https://e-ciggbolaget.se/e-cigaretter/" TargetMode="External"/><Relationship Id="rId3159" Type="http://schemas.openxmlformats.org/officeDocument/2006/relationships/hyperlink" Target="http://lansfast.se/" TargetMode="External"/><Relationship Id="rId7030" Type="http://schemas.openxmlformats.org/officeDocument/2006/relationships/hyperlink" Target="https://sosugary.com/it-made-easier-technology-and-cybersecurity-solutions-for-your-small-business/" TargetMode="External"/><Relationship Id="rId10011" Type="http://schemas.openxmlformats.org/officeDocument/2006/relationships/hyperlink" Target="https://lanbyte.se/byta-lan-under-bindningstid-gar-det/" TargetMode="External"/><Relationship Id="rId1191" Type="http://schemas.openxmlformats.org/officeDocument/2006/relationships/hyperlink" Target="https://www.frii.se/att-byta-tak-pa-en-jordbruksfastighet-en-nodvandig-investering-for-framtiden/" TargetMode="External"/><Relationship Id="rId3640" Type="http://schemas.openxmlformats.org/officeDocument/2006/relationships/hyperlink" Target="https://www.radonguiden.se/" TargetMode="External"/><Relationship Id="rId12183" Type="http://schemas.openxmlformats.org/officeDocument/2006/relationships/hyperlink" Target="http://lansfast.se/" TargetMode="External"/><Relationship Id="rId13234" Type="http://schemas.openxmlformats.org/officeDocument/2006/relationships/hyperlink" Target="http://rusta.se/" TargetMode="External"/><Relationship Id="rId561" Type="http://schemas.openxmlformats.org/officeDocument/2006/relationships/hyperlink" Target="https://haxan.se/" TargetMode="External"/><Relationship Id="rId2242" Type="http://schemas.openxmlformats.org/officeDocument/2006/relationships/hyperlink" Target="http://distansinstitutet.se/" TargetMode="External"/><Relationship Id="rId6863" Type="http://schemas.openxmlformats.org/officeDocument/2006/relationships/hyperlink" Target="https://www.spelklubben.se/sv/live-casino/game-shows" TargetMode="External"/><Relationship Id="rId7914" Type="http://schemas.openxmlformats.org/officeDocument/2006/relationships/hyperlink" Target="http://mockfjards.se/" TargetMode="External"/><Relationship Id="rId214" Type="http://schemas.openxmlformats.org/officeDocument/2006/relationships/hyperlink" Target="http://haxan.se/" TargetMode="External"/><Relationship Id="rId5465" Type="http://schemas.openxmlformats.org/officeDocument/2006/relationships/hyperlink" Target="https://itsaboutfuture.com/virtual-ciso-enhancing-cybersecurity-without-breaking-the-bank/" TargetMode="External"/><Relationship Id="rId6516" Type="http://schemas.openxmlformats.org/officeDocument/2006/relationships/hyperlink" Target="https://www.washingtontimes.com/sponsored/max-verstappen-historic-fourth-title-formula-1/" TargetMode="External"/><Relationship Id="rId4067" Type="http://schemas.openxmlformats.org/officeDocument/2006/relationships/hyperlink" Target="https://www.saleseffect.se/vitt-snus-en-revolution-pa-snusmarknaden/" TargetMode="External"/><Relationship Id="rId5118" Type="http://schemas.openxmlformats.org/officeDocument/2006/relationships/hyperlink" Target="https://www.lansfast.se/maklare/stockholm/taby-danderyd/" TargetMode="External"/><Relationship Id="rId8688" Type="http://schemas.openxmlformats.org/officeDocument/2006/relationships/hyperlink" Target="http://tkw.se/" TargetMode="External"/><Relationship Id="rId9739" Type="http://schemas.openxmlformats.org/officeDocument/2006/relationships/hyperlink" Target="http://startmotor.se/" TargetMode="External"/><Relationship Id="rId11669" Type="http://schemas.openxmlformats.org/officeDocument/2006/relationships/hyperlink" Target="https://vafo.dk/annoncoerbetaltindhold/3-gode-grunde-til-at-handle-med-aktier" TargetMode="External"/><Relationship Id="rId13091" Type="http://schemas.openxmlformats.org/officeDocument/2006/relationships/hyperlink" Target="https://www.mrvegas.com/sv/" TargetMode="External"/><Relationship Id="rId1728" Type="http://schemas.openxmlformats.org/officeDocument/2006/relationships/hyperlink" Target="https://www.totallyorebro.se/uncategorized/recensioner-av-e-cigaretter-hitta-det-perfekta-valet-for-dig/" TargetMode="External"/><Relationship Id="rId3150" Type="http://schemas.openxmlformats.org/officeDocument/2006/relationships/hyperlink" Target="http://veterinarklinikenbirsta.se/" TargetMode="External"/><Relationship Id="rId4201" Type="http://schemas.openxmlformats.org/officeDocument/2006/relationships/hyperlink" Target="http://spelklubben.se/" TargetMode="External"/><Relationship Id="rId7771" Type="http://schemas.openxmlformats.org/officeDocument/2006/relationships/hyperlink" Target="https://www.grontsamhallsbyggande.se/2025/02/20/det-ar-faktiskt-inte-sa-svart-att-bygga-gront/" TargetMode="External"/><Relationship Id="rId8822" Type="http://schemas.openxmlformats.org/officeDocument/2006/relationships/hyperlink" Target="https://glassfactory.fi/sv/collections/led-mirrors-1" TargetMode="External"/><Relationship Id="rId10752" Type="http://schemas.openxmlformats.org/officeDocument/2006/relationships/hyperlink" Target="https://handlaomhem.se/viktigheten-av-professionella-vvs-tjanster-for-ett-tryggt-boende-i-taby/" TargetMode="External"/><Relationship Id="rId11803" Type="http://schemas.openxmlformats.org/officeDocument/2006/relationships/hyperlink" Target="https://www.tryggbil.se/" TargetMode="External"/><Relationship Id="rId6373" Type="http://schemas.openxmlformats.org/officeDocument/2006/relationships/hyperlink" Target="https://www.myownwater.com/" TargetMode="External"/><Relationship Id="rId7424" Type="http://schemas.openxmlformats.org/officeDocument/2006/relationships/hyperlink" Target="http://spelklubben.se/" TargetMode="External"/><Relationship Id="rId10405" Type="http://schemas.openxmlformats.org/officeDocument/2006/relationships/hyperlink" Target="https://fragbite.se/all/news/58797/nar-gaming-inspirerar-andra-kreativa-branscher" TargetMode="External"/><Relationship Id="rId2983" Type="http://schemas.openxmlformats.org/officeDocument/2006/relationships/hyperlink" Target="https://energikungen.se/elavtaldirekt-din-guide-till-optimala-elavtal/" TargetMode="External"/><Relationship Id="rId6026" Type="http://schemas.openxmlformats.org/officeDocument/2006/relationships/hyperlink" Target="http://rusta.se/" TargetMode="External"/><Relationship Id="rId9596" Type="http://schemas.openxmlformats.org/officeDocument/2006/relationships/hyperlink" Target="https://www.campsite.se/camping/den-moderna-camparens-packlista-9-prylar/" TargetMode="External"/><Relationship Id="rId12577" Type="http://schemas.openxmlformats.org/officeDocument/2006/relationships/hyperlink" Target="http://bbml.se/" TargetMode="External"/><Relationship Id="rId955" Type="http://schemas.openxmlformats.org/officeDocument/2006/relationships/hyperlink" Target="https://www.happysocks.com/us/collection/socks-for-men" TargetMode="External"/><Relationship Id="rId1585" Type="http://schemas.openxmlformats.org/officeDocument/2006/relationships/hyperlink" Target="https://p2catering.se/irlandska-pubar-och-deras-betydelse-en-resa-genom-pubkulturen/" TargetMode="External"/><Relationship Id="rId2636" Type="http://schemas.openxmlformats.org/officeDocument/2006/relationships/hyperlink" Target="https://distansinstitutet.se/distansutbildningar/pedagogik/vardbitrade/" TargetMode="External"/><Relationship Id="rId8198" Type="http://schemas.openxmlformats.org/officeDocument/2006/relationships/hyperlink" Target="http://michaelofrisorerna.se/" TargetMode="External"/><Relationship Id="rId9249" Type="http://schemas.openxmlformats.org/officeDocument/2006/relationships/hyperlink" Target="http://swedenlongstay.se/" TargetMode="External"/><Relationship Id="rId11179" Type="http://schemas.openxmlformats.org/officeDocument/2006/relationships/hyperlink" Target="https://www.typisktsvenskt.se/" TargetMode="External"/><Relationship Id="rId608" Type="http://schemas.openxmlformats.org/officeDocument/2006/relationships/hyperlink" Target="https://www.askskinfo.com/varumarke/sol-de-janeiro/" TargetMode="External"/><Relationship Id="rId1238" Type="http://schemas.openxmlformats.org/officeDocument/2006/relationships/hyperlink" Target="https://dottrusty.com/how-to-choose-the-right-socks-for-men/" TargetMode="External"/><Relationship Id="rId5859" Type="http://schemas.openxmlformats.org/officeDocument/2006/relationships/hyperlink" Target="https://veganbeauty.se/tandlakare-stockholm-skonhet-for-ditt-leende/" TargetMode="External"/><Relationship Id="rId7281" Type="http://schemas.openxmlformats.org/officeDocument/2006/relationships/hyperlink" Target="https://www.sportochfritidsnyheter.se/20250122/4128/fa-utomhuskansla-aven-nar-du-springer-pa-lopband-5-ideer" TargetMode="External"/><Relationship Id="rId8332" Type="http://schemas.openxmlformats.org/officeDocument/2006/relationships/hyperlink" Target="http://startmotor.se/kategori/startmotorer" TargetMode="External"/><Relationship Id="rId9730" Type="http://schemas.openxmlformats.org/officeDocument/2006/relationships/hyperlink" Target="http://mrvegas.com/" TargetMode="External"/><Relationship Id="rId11660" Type="http://schemas.openxmlformats.org/officeDocument/2006/relationships/hyperlink" Target="https://viekonomi.se/" TargetMode="External"/><Relationship Id="rId12711" Type="http://schemas.openxmlformats.org/officeDocument/2006/relationships/hyperlink" Target="http://sakraror.se/" TargetMode="External"/><Relationship Id="rId10262" Type="http://schemas.openxmlformats.org/officeDocument/2006/relationships/hyperlink" Target="http://nordicknots.com/" TargetMode="External"/><Relationship Id="rId11313" Type="http://schemas.openxmlformats.org/officeDocument/2006/relationships/hyperlink" Target="https://borsbolag.se/" TargetMode="External"/><Relationship Id="rId3891" Type="http://schemas.openxmlformats.org/officeDocument/2006/relationships/hyperlink" Target="http://restate.se/" TargetMode="External"/><Relationship Id="rId4942" Type="http://schemas.openxmlformats.org/officeDocument/2006/relationships/hyperlink" Target="https://www.bethard.com/sv/" TargetMode="External"/><Relationship Id="rId2493" Type="http://schemas.openxmlformats.org/officeDocument/2006/relationships/hyperlink" Target="https://distansinstitutet.se/distansutbildningar/pedagogik/socialpedagog/" TargetMode="External"/><Relationship Id="rId3544" Type="http://schemas.openxmlformats.org/officeDocument/2006/relationships/hyperlink" Target="https://nordictimes.com/partner/voom-bar-den-perfekta-engangsvapen-for-alla-tillfallen/" TargetMode="External"/><Relationship Id="rId12087" Type="http://schemas.openxmlformats.org/officeDocument/2006/relationships/hyperlink" Target="https://www.fyrverkerier.nu/2023/10/23/hemunderhall-och-rorinfodring-i-stockholm-bevara-ditt-hem-pa-lang-sikt/" TargetMode="External"/><Relationship Id="rId13138" Type="http://schemas.openxmlformats.org/officeDocument/2006/relationships/hyperlink" Target="https://bettingsyndikatet.se/" TargetMode="External"/><Relationship Id="rId465" Type="http://schemas.openxmlformats.org/officeDocument/2006/relationships/hyperlink" Target="https://blugiallo.se/" TargetMode="External"/><Relationship Id="rId1095" Type="http://schemas.openxmlformats.org/officeDocument/2006/relationships/hyperlink" Target="https://hagvallsjoman.se/index-en-guide-till-finansiella-referenspunkter/" TargetMode="External"/><Relationship Id="rId2146" Type="http://schemas.openxmlformats.org/officeDocument/2006/relationships/hyperlink" Target="https://www.executiveeffect.se/vad-ar-fair-investments/" TargetMode="External"/><Relationship Id="rId6767" Type="http://schemas.openxmlformats.org/officeDocument/2006/relationships/hyperlink" Target="https://news.cision.com/se/fair-investments" TargetMode="External"/><Relationship Id="rId7818" Type="http://schemas.openxmlformats.org/officeDocument/2006/relationships/hyperlink" Target="http://startmotor.se/" TargetMode="External"/><Relationship Id="rId118" Type="http://schemas.openxmlformats.org/officeDocument/2006/relationships/hyperlink" Target="https://fashionablefit.net/" TargetMode="External"/><Relationship Id="rId5369" Type="http://schemas.openxmlformats.org/officeDocument/2006/relationships/hyperlink" Target="https://seniorrabatt.se/" TargetMode="External"/><Relationship Id="rId9240" Type="http://schemas.openxmlformats.org/officeDocument/2006/relationships/hyperlink" Target="https://www.startmotor.se/kategori/b%C3%A5tbatteri" TargetMode="External"/><Relationship Id="rId11170" Type="http://schemas.openxmlformats.org/officeDocument/2006/relationships/hyperlink" Target="https://arctic.se/de/" TargetMode="External"/><Relationship Id="rId12221" Type="http://schemas.openxmlformats.org/officeDocument/2006/relationships/hyperlink" Target="http://fairinvestments.se/" TargetMode="External"/><Relationship Id="rId1979" Type="http://schemas.openxmlformats.org/officeDocument/2006/relationships/hyperlink" Target="https://www.streetnstrip.se/underhall-av-bilens-metalldetaljer" TargetMode="External"/><Relationship Id="rId5850" Type="http://schemas.openxmlformats.org/officeDocument/2006/relationships/hyperlink" Target="http://startmotor.se/" TargetMode="External"/><Relationship Id="rId6901" Type="http://schemas.openxmlformats.org/officeDocument/2006/relationships/hyperlink" Target="https://dinkorskola.se/" TargetMode="External"/><Relationship Id="rId3054" Type="http://schemas.openxmlformats.org/officeDocument/2006/relationships/hyperlink" Target="https://www.spelklubben.se/sv/casino" TargetMode="External"/><Relationship Id="rId4452" Type="http://schemas.openxmlformats.org/officeDocument/2006/relationships/hyperlink" Target="https://thewildroseaccessories.se/ekonomiska-aspekter-vid-forsaljning-av-bostad" TargetMode="External"/><Relationship Id="rId5503" Type="http://schemas.openxmlformats.org/officeDocument/2006/relationships/hyperlink" Target="http://kamux.fi/" TargetMode="External"/><Relationship Id="rId4105" Type="http://schemas.openxmlformats.org/officeDocument/2006/relationships/hyperlink" Target="https://www.spelklubben.se/sv/casino/slots" TargetMode="External"/><Relationship Id="rId7675" Type="http://schemas.openxmlformats.org/officeDocument/2006/relationships/hyperlink" Target="https://swedenlongstay.se/sv/foretagsbostader" TargetMode="External"/><Relationship Id="rId8726" Type="http://schemas.openxmlformats.org/officeDocument/2006/relationships/hyperlink" Target="https://eventeffect.se/sveriges-storsta-arenor/" TargetMode="External"/><Relationship Id="rId10656" Type="http://schemas.openxmlformats.org/officeDocument/2006/relationships/hyperlink" Target="http://northtracker.com/" TargetMode="External"/><Relationship Id="rId11707" Type="http://schemas.openxmlformats.org/officeDocument/2006/relationships/hyperlink" Target="https://markets.vontobel.com/fi-fi/tuotteet" TargetMode="External"/><Relationship Id="rId6277" Type="http://schemas.openxmlformats.org/officeDocument/2006/relationships/hyperlink" Target="https://beautyforyou.se/skonhet-och-halsa-optimera-din-biologiska-alder/" TargetMode="External"/><Relationship Id="rId7328" Type="http://schemas.openxmlformats.org/officeDocument/2006/relationships/hyperlink" Target="https://www.medtechmagazine.se/lb-article/181176/digital-vard-och-patientfokus-sa-driver-ny-teknik-en-modern-vardcentral-framat" TargetMode="External"/><Relationship Id="rId10309" Type="http://schemas.openxmlformats.org/officeDocument/2006/relationships/hyperlink" Target="https://www.tandlakare.se/stad/goteborg/" TargetMode="External"/><Relationship Id="rId2887" Type="http://schemas.openxmlformats.org/officeDocument/2006/relationships/hyperlink" Target="https://luckycasino.com/fi/" TargetMode="External"/><Relationship Id="rId859" Type="http://schemas.openxmlformats.org/officeDocument/2006/relationships/hyperlink" Target="https://www.happysocks.com/us/collection/socks-for-men" TargetMode="External"/><Relationship Id="rId1489" Type="http://schemas.openxmlformats.org/officeDocument/2006/relationships/hyperlink" Target="https://fashionisers.com/2023/09/25/3-things-to-keep-in-mind-when-buying-secondhand-clothing/" TargetMode="External"/><Relationship Id="rId3938" Type="http://schemas.openxmlformats.org/officeDocument/2006/relationships/hyperlink" Target="http://mrnicco.com/" TargetMode="External"/><Relationship Id="rId5360" Type="http://schemas.openxmlformats.org/officeDocument/2006/relationships/hyperlink" Target="https://www.purakliniken.se/estetisk-tandvard/tandblekning-i-stockholm/" TargetMode="External"/><Relationship Id="rId6411" Type="http://schemas.openxmlformats.org/officeDocument/2006/relationships/hyperlink" Target="https://www.madad2.com/2024/11/nicotine-pouches-safer-alternative-for.html" TargetMode="External"/><Relationship Id="rId5013" Type="http://schemas.openxmlformats.org/officeDocument/2006/relationships/hyperlink" Target="https://www.alfa.no/collections/proff" TargetMode="External"/><Relationship Id="rId9981" Type="http://schemas.openxmlformats.org/officeDocument/2006/relationships/hyperlink" Target="http://technobark.com/" TargetMode="External"/><Relationship Id="rId12962" Type="http://schemas.openxmlformats.org/officeDocument/2006/relationships/hyperlink" Target="https://passioneffect.se/kickoff-kit-2025-boosta-med-goodiebag/" TargetMode="External"/><Relationship Id="rId1970" Type="http://schemas.openxmlformats.org/officeDocument/2006/relationships/hyperlink" Target="https://www.streetnstrip.se/underhall-av-bilens-metalldetaljer" TargetMode="External"/><Relationship Id="rId7185" Type="http://schemas.openxmlformats.org/officeDocument/2006/relationships/hyperlink" Target="http://hund.se/" TargetMode="External"/><Relationship Id="rId8583" Type="http://schemas.openxmlformats.org/officeDocument/2006/relationships/hyperlink" Target="https://ng.se/artiklar/allsvenskan-2025-vi-rankar-matchtrojorna-fran-fulast-till-snyggast" TargetMode="External"/><Relationship Id="rId9634" Type="http://schemas.openxmlformats.org/officeDocument/2006/relationships/hyperlink" Target="https://michaelofrisorerna.se/" TargetMode="External"/><Relationship Id="rId11564" Type="http://schemas.openxmlformats.org/officeDocument/2006/relationships/hyperlink" Target="https://sufracofinebrands.com/kategori/aleppotval/" TargetMode="External"/><Relationship Id="rId12615" Type="http://schemas.openxmlformats.org/officeDocument/2006/relationships/hyperlink" Target="http://distansinstitutet.se/" TargetMode="External"/><Relationship Id="rId1623" Type="http://schemas.openxmlformats.org/officeDocument/2006/relationships/hyperlink" Target="https://pontechmarina.com/se/flytbrygga/" TargetMode="External"/><Relationship Id="rId8236" Type="http://schemas.openxmlformats.org/officeDocument/2006/relationships/hyperlink" Target="http://svenskiptv.com/" TargetMode="External"/><Relationship Id="rId10166" Type="http://schemas.openxmlformats.org/officeDocument/2006/relationships/hyperlink" Target="http://megariches.com/" TargetMode="External"/><Relationship Id="rId11217" Type="http://schemas.openxmlformats.org/officeDocument/2006/relationships/hyperlink" Target="https://ekonomiskbalans.se/sank-din-manadskostnad-genom-att-valja-ratt-forsakring/" TargetMode="External"/><Relationship Id="rId3795" Type="http://schemas.openxmlformats.org/officeDocument/2006/relationships/hyperlink" Target="https://b-room.se/sa-forbereder-du-ditt-hem-for-forsaljning/" TargetMode="External"/><Relationship Id="rId4846" Type="http://schemas.openxmlformats.org/officeDocument/2006/relationships/hyperlink" Target="http://cherry.com/" TargetMode="External"/><Relationship Id="rId2397" Type="http://schemas.openxmlformats.org/officeDocument/2006/relationships/hyperlink" Target="https://reserrunt.se/panther-bar-en-djupdykning-i-engangsvapes-med-mesh-coil/" TargetMode="External"/><Relationship Id="rId3448" Type="http://schemas.openxmlformats.org/officeDocument/2006/relationships/hyperlink" Target="https://m6bygg.se/" TargetMode="External"/><Relationship Id="rId369" Type="http://schemas.openxmlformats.org/officeDocument/2006/relationships/hyperlink" Target="http://haxan.se/" TargetMode="External"/><Relationship Id="rId9491" Type="http://schemas.openxmlformats.org/officeDocument/2006/relationships/hyperlink" Target="https://www.lady-business.at/was-im-kleiderschrank-zaehlt/" TargetMode="External"/><Relationship Id="rId10300" Type="http://schemas.openxmlformats.org/officeDocument/2006/relationships/hyperlink" Target="http://tryggbil.se/" TargetMode="External"/><Relationship Id="rId1480" Type="http://schemas.openxmlformats.org/officeDocument/2006/relationships/hyperlink" Target="https://thedailynotes.com/construction-business-up-and-running/" TargetMode="External"/><Relationship Id="rId8093" Type="http://schemas.openxmlformats.org/officeDocument/2006/relationships/hyperlink" Target="https://www.amazon.com/Racha-Organics-Sriracha-Sauce-Certified/dp/B0CYLCC464" TargetMode="External"/><Relationship Id="rId9144" Type="http://schemas.openxmlformats.org/officeDocument/2006/relationships/hyperlink" Target="http://myownwater.com/" TargetMode="External"/><Relationship Id="rId12472" Type="http://schemas.openxmlformats.org/officeDocument/2006/relationships/hyperlink" Target="https://citynavigator.se/fair-investments-optimering-av-kapitaltillvaxt-finansiell-valfard/" TargetMode="External"/><Relationship Id="rId850" Type="http://schemas.openxmlformats.org/officeDocument/2006/relationships/hyperlink" Target="https://www.creditsafe.com/dk/da/kredit-risiko/kreditrapporter/kreditvurdering.html" TargetMode="External"/><Relationship Id="rId1133" Type="http://schemas.openxmlformats.org/officeDocument/2006/relationships/hyperlink" Target="http://blugiallo.se/" TargetMode="External"/><Relationship Id="rId2531" Type="http://schemas.openxmlformats.org/officeDocument/2006/relationships/hyperlink" Target="https://www.animonhus.se/har-du-en-tomt-intill-vattnet" TargetMode="External"/><Relationship Id="rId11074" Type="http://schemas.openxmlformats.org/officeDocument/2006/relationships/hyperlink" Target="https://www.startmotor.se/batterier/b%C3%A5tbatteri" TargetMode="External"/><Relationship Id="rId12125" Type="http://schemas.openxmlformats.org/officeDocument/2006/relationships/hyperlink" Target="https://arctic.se/nibe-warmepumpe-versicherung/" TargetMode="External"/><Relationship Id="rId503" Type="http://schemas.openxmlformats.org/officeDocument/2006/relationships/hyperlink" Target="https://www.kopbarnvagn.se/" TargetMode="External"/><Relationship Id="rId5754" Type="http://schemas.openxmlformats.org/officeDocument/2006/relationships/hyperlink" Target="http://bbml.se/" TargetMode="External"/><Relationship Id="rId6805" Type="http://schemas.openxmlformats.org/officeDocument/2006/relationships/hyperlink" Target="https://www.saleseffect.se/hallbara-profilklader-for-sportevenemang-lyft-ditt-varumarke-med-miljovanliga-val/" TargetMode="External"/><Relationship Id="rId4356" Type="http://schemas.openxmlformats.org/officeDocument/2006/relationships/hyperlink" Target="http://spelklubben.se/" TargetMode="External"/><Relationship Id="rId5407" Type="http://schemas.openxmlformats.org/officeDocument/2006/relationships/hyperlink" Target="https://pontonhamnar.se/produkter/flytbrygga/" TargetMode="External"/><Relationship Id="rId8977" Type="http://schemas.openxmlformats.org/officeDocument/2006/relationships/hyperlink" Target="http://nordicknots.com/" TargetMode="External"/><Relationship Id="rId4009" Type="http://schemas.openxmlformats.org/officeDocument/2006/relationships/hyperlink" Target="http://spelklubben.se/" TargetMode="External"/><Relationship Id="rId7579" Type="http://schemas.openxmlformats.org/officeDocument/2006/relationships/hyperlink" Target="http://seniorrabatt.se/" TargetMode="External"/><Relationship Id="rId11958" Type="http://schemas.openxmlformats.org/officeDocument/2006/relationships/hyperlink" Target="https://www.facebook.com/fairinvestmentsswedenAB/" TargetMode="External"/><Relationship Id="rId13033" Type="http://schemas.openxmlformats.org/officeDocument/2006/relationships/hyperlink" Target="https://www.dagensinfrastruktur.se/2025/10/01/den-svenska-bredbandsutvecklingen/" TargetMode="External"/><Relationship Id="rId360" Type="http://schemas.openxmlformats.org/officeDocument/2006/relationships/hyperlink" Target="https://tidskriftenskeppet.se/ekonomiska-svarigheter-rekonstruera-foretaget-och-undvik-konkurs/" TargetMode="External"/><Relationship Id="rId2041" Type="http://schemas.openxmlformats.org/officeDocument/2006/relationships/hyperlink" Target="https://tiotak.se/" TargetMode="External"/><Relationship Id="rId5264" Type="http://schemas.openxmlformats.org/officeDocument/2006/relationships/hyperlink" Target="https://byggx.se/hur-du-maximerar-dina-solcellers-effektivitet-aret-runt/" TargetMode="External"/><Relationship Id="rId6662" Type="http://schemas.openxmlformats.org/officeDocument/2006/relationships/hyperlink" Target="http://mariatand.se/" TargetMode="External"/><Relationship Id="rId7713" Type="http://schemas.openxmlformats.org/officeDocument/2006/relationships/hyperlink" Target="http://ataraxiavardcentral.se/" TargetMode="External"/><Relationship Id="rId6315" Type="http://schemas.openxmlformats.org/officeDocument/2006/relationships/hyperlink" Target="https://resamedmening.se/hotellrekommendationer-for-din-nasta-resa/" TargetMode="External"/><Relationship Id="rId9885" Type="http://schemas.openxmlformats.org/officeDocument/2006/relationships/hyperlink" Target="http://yourgild.com/" TargetMode="External"/><Relationship Id="rId12866" Type="http://schemas.openxmlformats.org/officeDocument/2006/relationships/hyperlink" Target="https://technomeow.com/best-self-cleaning-litter-boxes-this-year/" TargetMode="External"/><Relationship Id="rId99" Type="http://schemas.openxmlformats.org/officeDocument/2006/relationships/hyperlink" Target="http://ljusgrossisten.se/" TargetMode="External"/><Relationship Id="rId1874" Type="http://schemas.openxmlformats.org/officeDocument/2006/relationships/hyperlink" Target="https://www.mariatand.se/behandling/tandimplantat-stockholm" TargetMode="External"/><Relationship Id="rId2925" Type="http://schemas.openxmlformats.org/officeDocument/2006/relationships/hyperlink" Target="http://cannabislight.se/" TargetMode="External"/><Relationship Id="rId8487" Type="http://schemas.openxmlformats.org/officeDocument/2006/relationships/hyperlink" Target="http://himala.ai/" TargetMode="External"/><Relationship Id="rId9538" Type="http://schemas.openxmlformats.org/officeDocument/2006/relationships/hyperlink" Target="http://lsb.se/" TargetMode="External"/><Relationship Id="rId11468" Type="http://schemas.openxmlformats.org/officeDocument/2006/relationships/hyperlink" Target="https://miamipool.se/" TargetMode="External"/><Relationship Id="rId12519" Type="http://schemas.openxmlformats.org/officeDocument/2006/relationships/hyperlink" Target="http://fairinvestments.se/" TargetMode="External"/><Relationship Id="rId1527" Type="http://schemas.openxmlformats.org/officeDocument/2006/relationships/hyperlink" Target="https://www.swedoffice.se/kategori/69602-gaffelparm-trarygg" TargetMode="External"/><Relationship Id="rId7089" Type="http://schemas.openxmlformats.org/officeDocument/2006/relationships/hyperlink" Target="https://www.totallystockholm.se/ga-i-terapi-hos-en-hast/" TargetMode="External"/><Relationship Id="rId3699" Type="http://schemas.openxmlformats.org/officeDocument/2006/relationships/hyperlink" Target="https://kelleher-international.com/" TargetMode="External"/><Relationship Id="rId4000" Type="http://schemas.openxmlformats.org/officeDocument/2006/relationships/hyperlink" Target="http://seniorrabatt.se/" TargetMode="External"/><Relationship Id="rId7570" Type="http://schemas.openxmlformats.org/officeDocument/2006/relationships/hyperlink" Target="http://petster.se/" TargetMode="External"/><Relationship Id="rId8621" Type="http://schemas.openxmlformats.org/officeDocument/2006/relationships/hyperlink" Target="http://fairinvestments.se/" TargetMode="External"/><Relationship Id="rId6172" Type="http://schemas.openxmlformats.org/officeDocument/2006/relationships/hyperlink" Target="https://www.progress-report.org/embracing-vintage-and-retro-fashion-a-timeless-art" TargetMode="External"/><Relationship Id="rId7223" Type="http://schemas.openxmlformats.org/officeDocument/2006/relationships/hyperlink" Target="https://mofeeed.com/from-sweden-to-saudi-arabia-nicotine-pouches-journey-acrossthe-globe/" TargetMode="External"/><Relationship Id="rId10551" Type="http://schemas.openxmlformats.org/officeDocument/2006/relationships/hyperlink" Target="http://northtracker.com/" TargetMode="External"/><Relationship Id="rId11602" Type="http://schemas.openxmlformats.org/officeDocument/2006/relationships/hyperlink" Target="https://www.swedoffice.se/" TargetMode="External"/><Relationship Id="rId9395" Type="http://schemas.openxmlformats.org/officeDocument/2006/relationships/hyperlink" Target="https://andersnoren.se/partner-article/why-most-casino-websites-look-similar-understanding-the-idea-of-the-common-template/" TargetMode="External"/><Relationship Id="rId10204" Type="http://schemas.openxmlformats.org/officeDocument/2006/relationships/hyperlink" Target="https://www.sfweekly.com/marketplace/how-roofing-crm-systems-streamline-project-management/article_4d19dd60-9104-4cf0-83b1-d0d4ecee00c3.html" TargetMode="External"/><Relationship Id="rId2782" Type="http://schemas.openxmlformats.org/officeDocument/2006/relationships/hyperlink" Target="https://nyheteridag.se/spelklubben-det-nya-paradigmetfor-online-casinon-i-sverige/" TargetMode="External"/><Relationship Id="rId3833" Type="http://schemas.openxmlformats.org/officeDocument/2006/relationships/hyperlink" Target="https://e-ciggbolaget.se/e-cigaretter/engangs-vape/n-one" TargetMode="External"/><Relationship Id="rId9048" Type="http://schemas.openxmlformats.org/officeDocument/2006/relationships/hyperlink" Target="http://bethard.com/" TargetMode="External"/><Relationship Id="rId12376" Type="http://schemas.openxmlformats.org/officeDocument/2006/relationships/hyperlink" Target="http://lansfast.se/" TargetMode="External"/><Relationship Id="rId754" Type="http://schemas.openxmlformats.org/officeDocument/2006/relationships/hyperlink" Target="http://villarelining.se/" TargetMode="External"/><Relationship Id="rId1384" Type="http://schemas.openxmlformats.org/officeDocument/2006/relationships/hyperlink" Target="http://aretrotale.com/" TargetMode="External"/><Relationship Id="rId2435" Type="http://schemas.openxmlformats.org/officeDocument/2006/relationships/hyperlink" Target="http://alfa.no/" TargetMode="External"/><Relationship Id="rId12029" Type="http://schemas.openxmlformats.org/officeDocument/2006/relationships/hyperlink" Target="https://www.vont.se/" TargetMode="External"/><Relationship Id="rId90" Type="http://schemas.openxmlformats.org/officeDocument/2006/relationships/hyperlink" Target="https://sund.nu/" TargetMode="External"/><Relationship Id="rId407" Type="http://schemas.openxmlformats.org/officeDocument/2006/relationships/hyperlink" Target="https://beautytube.se/varfin-5-tips-for-en-friskare-och-snyggare-hud/" TargetMode="External"/><Relationship Id="rId1037" Type="http://schemas.openxmlformats.org/officeDocument/2006/relationships/hyperlink" Target="https://www.prettyprogressive.com/expert-tips-for-finding-the-best-socks-for-women/" TargetMode="External"/><Relationship Id="rId5658" Type="http://schemas.openxmlformats.org/officeDocument/2006/relationships/hyperlink" Target="http://ekstromgaray.se/" TargetMode="External"/><Relationship Id="rId6709" Type="http://schemas.openxmlformats.org/officeDocument/2006/relationships/hyperlink" Target="http://purakliniken.se/" TargetMode="External"/><Relationship Id="rId7080" Type="http://schemas.openxmlformats.org/officeDocument/2006/relationships/hyperlink" Target="https://www.chattanoogarehab.com/us/hot-cold/hot-cold-packs" TargetMode="External"/><Relationship Id="rId8131" Type="http://schemas.openxmlformats.org/officeDocument/2006/relationships/hyperlink" Target="https://skaparum.se/sa-har-varderar-du-din-bostad-infor-forsaljning-i-trosa/" TargetMode="External"/><Relationship Id="rId10061" Type="http://schemas.openxmlformats.org/officeDocument/2006/relationships/hyperlink" Target="https://www.hajper.com/sv/sportsbook" TargetMode="External"/><Relationship Id="rId11112" Type="http://schemas.openxmlformats.org/officeDocument/2006/relationships/hyperlink" Target="http://megariches.com/" TargetMode="External"/><Relationship Id="rId12510" Type="http://schemas.openxmlformats.org/officeDocument/2006/relationships/hyperlink" Target="http://fairinvestments.se/" TargetMode="External"/><Relationship Id="rId3690" Type="http://schemas.openxmlformats.org/officeDocument/2006/relationships/hyperlink" Target="https://eventeffect.se/planerar-du-ett-event-se-till-att-ha-ratt-vvs-expertis/" TargetMode="External"/><Relationship Id="rId2292" Type="http://schemas.openxmlformats.org/officeDocument/2006/relationships/hyperlink" Target="https://www.lansfast.se/maklare/stockholm/taby-danderyd/" TargetMode="External"/><Relationship Id="rId3343" Type="http://schemas.openxmlformats.org/officeDocument/2006/relationships/hyperlink" Target="http://heteknik.se/" TargetMode="External"/><Relationship Id="rId4741" Type="http://schemas.openxmlformats.org/officeDocument/2006/relationships/hyperlink" Target="http://fairinvestments.se/" TargetMode="External"/><Relationship Id="rId13284" Type="http://schemas.openxmlformats.org/officeDocument/2006/relationships/hyperlink" Target="http://finns.se/" TargetMode="External"/><Relationship Id="rId264" Type="http://schemas.openxmlformats.org/officeDocument/2006/relationships/hyperlink" Target="https://www.elmarknad.se/elpriser/jamfor-elpriser" TargetMode="External"/><Relationship Id="rId7964" Type="http://schemas.openxmlformats.org/officeDocument/2006/relationships/hyperlink" Target="https://annasvahn.se/olika-satt-att-investera-pengar-pa/" TargetMode="External"/><Relationship Id="rId10945" Type="http://schemas.openxmlformats.org/officeDocument/2006/relationships/hyperlink" Target="http://hajper.com/" TargetMode="External"/><Relationship Id="rId6566" Type="http://schemas.openxmlformats.org/officeDocument/2006/relationships/hyperlink" Target="http://bethard.com/" TargetMode="External"/><Relationship Id="rId7617" Type="http://schemas.openxmlformats.org/officeDocument/2006/relationships/hyperlink" Target="https://beautymama.se/hantera-perioral-dermatit-for-en-stralande-hy/" TargetMode="External"/><Relationship Id="rId5168" Type="http://schemas.openxmlformats.org/officeDocument/2006/relationships/hyperlink" Target="http://m6bygg.se/" TargetMode="External"/><Relationship Id="rId6219" Type="http://schemas.openxmlformats.org/officeDocument/2006/relationships/hyperlink" Target="https://www.su.se/polopoly_fs/1.103854.1349877868!/menu/standard/file/S%C3%A4ljare%20mot%20%C3%A5terf%C3%B6rs%C3%A4ljarled%20-%20Fair%20Investments.pdf" TargetMode="External"/><Relationship Id="rId9789" Type="http://schemas.openxmlformats.org/officeDocument/2006/relationships/hyperlink" Target="https://skaparum.se/belysningens-betydelse-i-byggprocessen-for-ett-funktionellt-hem/" TargetMode="External"/><Relationship Id="rId12020" Type="http://schemas.openxmlformats.org/officeDocument/2006/relationships/hyperlink" Target="https://sahlstorm.se/satt-upp-din-egen-swimmingpool-en-guide-till-poolbyggnad/" TargetMode="External"/><Relationship Id="rId1778" Type="http://schemas.openxmlformats.org/officeDocument/2006/relationships/hyperlink" Target="https://www.mariatand.se/" TargetMode="External"/><Relationship Id="rId2829" Type="http://schemas.openxmlformats.org/officeDocument/2006/relationships/hyperlink" Target="https://www.spoors.health/" TargetMode="External"/><Relationship Id="rId6700" Type="http://schemas.openxmlformats.org/officeDocument/2006/relationships/hyperlink" Target="https://industrilinjen.se/effektiv-arbetsmiljo-sa-valjer-du-ratt-kontorsmaterial/" TargetMode="External"/><Relationship Id="rId4251" Type="http://schemas.openxmlformats.org/officeDocument/2006/relationships/hyperlink" Target="https://everynightstudios.com/" TargetMode="External"/><Relationship Id="rId5302" Type="http://schemas.openxmlformats.org/officeDocument/2006/relationships/hyperlink" Target="http://lemontree.se/" TargetMode="External"/><Relationship Id="rId7474" Type="http://schemas.openxmlformats.org/officeDocument/2006/relationships/hyperlink" Target="http://kvarnx.com/" TargetMode="External"/><Relationship Id="rId8872" Type="http://schemas.openxmlformats.org/officeDocument/2006/relationships/hyperlink" Target="https://www.sportochfritidsnyheter.se/20250428/4242/en-vandrares-guide-till-varldens-vackraste-grannland-norge" TargetMode="External"/><Relationship Id="rId9923" Type="http://schemas.openxmlformats.org/officeDocument/2006/relationships/hyperlink" Target="http://purakliniken.se/" TargetMode="External"/><Relationship Id="rId11853" Type="http://schemas.openxmlformats.org/officeDocument/2006/relationships/hyperlink" Target="http://tryggbil.se/" TargetMode="External"/><Relationship Id="rId12904" Type="http://schemas.openxmlformats.org/officeDocument/2006/relationships/hyperlink" Target="https://www.totallystockholm.se/gatukonsten-i-stockholm-en-kvallsrunda-av-upptackter/" TargetMode="External"/><Relationship Id="rId1912" Type="http://schemas.openxmlformats.org/officeDocument/2006/relationships/hyperlink" Target="http://pontonhamnar.se/" TargetMode="External"/><Relationship Id="rId6076" Type="http://schemas.openxmlformats.org/officeDocument/2006/relationships/hyperlink" Target="https://www.dagensnaringsliv.se/20241029/273922/bokforlaggarbranschen-i-sverige" TargetMode="External"/><Relationship Id="rId7127" Type="http://schemas.openxmlformats.org/officeDocument/2006/relationships/hyperlink" Target="https://www.mariatand.se/" TargetMode="External"/><Relationship Id="rId8525" Type="http://schemas.openxmlformats.org/officeDocument/2006/relationships/hyperlink" Target="http://mockfjards.se/" TargetMode="External"/><Relationship Id="rId10455" Type="http://schemas.openxmlformats.org/officeDocument/2006/relationships/hyperlink" Target="https://glassfactory.fi/sv/collections/speglar-med-belysning" TargetMode="External"/><Relationship Id="rId11506" Type="http://schemas.openxmlformats.org/officeDocument/2006/relationships/hyperlink" Target="http://mynewsdesk.com/se/visibility-punktum-group/pressreleases/att-handla-aktier-med-haevstaang-aer-numera-vaeldigt-tillgaengligt-foer-svenska-investerare-3261380" TargetMode="External"/><Relationship Id="rId10108" Type="http://schemas.openxmlformats.org/officeDocument/2006/relationships/hyperlink" Target="https://www.nettotobak.com/" TargetMode="External"/><Relationship Id="rId2686" Type="http://schemas.openxmlformats.org/officeDocument/2006/relationships/hyperlink" Target="https://www.tnp.no/norsk/oppdag-fjellets-skatter-med-alfa-no-en-guide-til-kvalitetssko-og-eksepsjonell-kundeservice/" TargetMode="External"/><Relationship Id="rId3737" Type="http://schemas.openxmlformats.org/officeDocument/2006/relationships/hyperlink" Target="http://m6bygg.se/" TargetMode="External"/><Relationship Id="rId9299" Type="http://schemas.openxmlformats.org/officeDocument/2006/relationships/hyperlink" Target="https://beautytube.se/forbattra-din-hudhalsa-med-professionella-behandlingar-i-stockholm/" TargetMode="External"/><Relationship Id="rId658" Type="http://schemas.openxmlformats.org/officeDocument/2006/relationships/hyperlink" Target="https://www.creditsafe.com/dk/da.html" TargetMode="External"/><Relationship Id="rId1288" Type="http://schemas.openxmlformats.org/officeDocument/2006/relationships/hyperlink" Target="http://distansinstitutet.se/" TargetMode="External"/><Relationship Id="rId2339" Type="http://schemas.openxmlformats.org/officeDocument/2006/relationships/hyperlink" Target="https://uppsalabostad.se/optimera-arbetsmiljon-vardet-av-effektiva-kontorsmaterial/" TargetMode="External"/><Relationship Id="rId6210" Type="http://schemas.openxmlformats.org/officeDocument/2006/relationships/hyperlink" Target="https://www.coface.no/ordliste-for-kredittforsikring-og-kreditthaandtering/kredittvurdering" TargetMode="External"/><Relationship Id="rId9780" Type="http://schemas.openxmlformats.org/officeDocument/2006/relationships/hyperlink" Target="https://bonusfamiljer.se/ett-vackert-leende-for-hela-familjen-med-skalfasader/" TargetMode="External"/><Relationship Id="rId8382" Type="http://schemas.openxmlformats.org/officeDocument/2006/relationships/hyperlink" Target="http://rusta.se/" TargetMode="External"/><Relationship Id="rId9433" Type="http://schemas.openxmlformats.org/officeDocument/2006/relationships/hyperlink" Target="https://www.wearebrighton.com/newsopinion/an-away-supporters-guide-to-brighton/" TargetMode="External"/><Relationship Id="rId12761" Type="http://schemas.openxmlformats.org/officeDocument/2006/relationships/hyperlink" Target="http://standupsverige.se/" TargetMode="External"/><Relationship Id="rId1422" Type="http://schemas.openxmlformats.org/officeDocument/2006/relationships/hyperlink" Target="http://advancepointcap.com/" TargetMode="External"/><Relationship Id="rId2820" Type="http://schemas.openxmlformats.org/officeDocument/2006/relationships/hyperlink" Target="https://traningskort.se/e-ciggbolaget-se-revolutionerar-vapen-med-ett-bredare-utbud-av-engangsvapes/" TargetMode="External"/><Relationship Id="rId8035" Type="http://schemas.openxmlformats.org/officeDocument/2006/relationships/hyperlink" Target="http://nettotobak.com/" TargetMode="External"/><Relationship Id="rId11016" Type="http://schemas.openxmlformats.org/officeDocument/2006/relationships/hyperlink" Target="https://www.megariches.com/sv/welcome-bonus/" TargetMode="External"/><Relationship Id="rId11363" Type="http://schemas.openxmlformats.org/officeDocument/2006/relationships/hyperlink" Target="https://www.executiveeffect.se/fair-investments-sweden-ab-tillhandahaller-omfattande-finansiella-tjanster/" TargetMode="External"/><Relationship Id="rId12414" Type="http://schemas.openxmlformats.org/officeDocument/2006/relationships/hyperlink" Target="http://oconnors.se/" TargetMode="External"/><Relationship Id="rId4992" Type="http://schemas.openxmlformats.org/officeDocument/2006/relationships/hyperlink" Target="https://www.enterprisemagazine.se/nyheter/artikel/fair-investments-modellportfolj-har-gatt-700-procent-upp" TargetMode="External"/><Relationship Id="rId2196" Type="http://schemas.openxmlformats.org/officeDocument/2006/relationships/hyperlink" Target="https://www.cattisb.se/vad-ar-vitt-snus-egentligen" TargetMode="External"/><Relationship Id="rId3594" Type="http://schemas.openxmlformats.org/officeDocument/2006/relationships/hyperlink" Target="http://alfa.no/" TargetMode="External"/><Relationship Id="rId4645" Type="http://schemas.openxmlformats.org/officeDocument/2006/relationships/hyperlink" Target="http://spelklubben.se/" TargetMode="External"/><Relationship Id="rId13188" Type="http://schemas.openxmlformats.org/officeDocument/2006/relationships/hyperlink" Target="https://www.videoslots.com/welcome-bonus/" TargetMode="External"/><Relationship Id="rId168" Type="http://schemas.openxmlformats.org/officeDocument/2006/relationships/hyperlink" Target="https://haxan.se/collections/tarotkort" TargetMode="External"/><Relationship Id="rId3247" Type="http://schemas.openxmlformats.org/officeDocument/2006/relationships/hyperlink" Target="https://www.itstimeforbusiness.com/the-role-of-artificial-intelligence-in-personal-development/" TargetMode="External"/><Relationship Id="rId7868" Type="http://schemas.openxmlformats.org/officeDocument/2006/relationships/hyperlink" Target="https://www.safesurf.dk/derfor-skal-du-prove-iptv" TargetMode="External"/><Relationship Id="rId8919" Type="http://schemas.openxmlformats.org/officeDocument/2006/relationships/hyperlink" Target="https://kelleher-international.com/professional-matchmaking-for-men/" TargetMode="External"/><Relationship Id="rId10849" Type="http://schemas.openxmlformats.org/officeDocument/2006/relationships/hyperlink" Target="http://joinstriveon.com/" TargetMode="External"/><Relationship Id="rId9290" Type="http://schemas.openxmlformats.org/officeDocument/2006/relationships/hyperlink" Target="http://rbentreprenad.se/" TargetMode="External"/><Relationship Id="rId12271" Type="http://schemas.openxmlformats.org/officeDocument/2006/relationships/hyperlink" Target="https://ecommunity.se/farsk-hudvard-en-djupdykning-i-skinomes-revolutionerande-koncept/" TargetMode="External"/><Relationship Id="rId2330" Type="http://schemas.openxmlformats.org/officeDocument/2006/relationships/hyperlink" Target="https://www.uebermorgenmagazin.de/entspannen-ohne-zigaretten" TargetMode="External"/><Relationship Id="rId302" Type="http://schemas.openxmlformats.org/officeDocument/2006/relationships/hyperlink" Target="https://www.kopbarnvagn.se/sv/artiklar/bugaboo/index.html" TargetMode="External"/><Relationship Id="rId5553" Type="http://schemas.openxmlformats.org/officeDocument/2006/relationships/hyperlink" Target="https://geografi.nu/spel-i-sverige/" TargetMode="External"/><Relationship Id="rId6951" Type="http://schemas.openxmlformats.org/officeDocument/2006/relationships/hyperlink" Target="http://swedoffice.se/" TargetMode="External"/><Relationship Id="rId4155" Type="http://schemas.openxmlformats.org/officeDocument/2006/relationships/hyperlink" Target="http://e-ciggbolaget.se/" TargetMode="External"/><Relationship Id="rId5206" Type="http://schemas.openxmlformats.org/officeDocument/2006/relationships/hyperlink" Target="https://www.of.nl/het-voordeel-van-epoxylijm-bij-kleine-beschadigingen-aan-de-auto/" TargetMode="External"/><Relationship Id="rId6604" Type="http://schemas.openxmlformats.org/officeDocument/2006/relationships/hyperlink" Target="https://www.bethard.com/sv/sports" TargetMode="External"/><Relationship Id="rId8776" Type="http://schemas.openxmlformats.org/officeDocument/2006/relationships/hyperlink" Target="https://finest.se/betta-pa-e-sport-sa-hinner-du-med-oddsen-i-cs2/" TargetMode="External"/><Relationship Id="rId9827" Type="http://schemas.openxmlformats.org/officeDocument/2006/relationships/hyperlink" Target="http://skidvalla.se/" TargetMode="External"/><Relationship Id="rId11757" Type="http://schemas.openxmlformats.org/officeDocument/2006/relationships/hyperlink" Target="https://yagya.com/" TargetMode="External"/><Relationship Id="rId12808" Type="http://schemas.openxmlformats.org/officeDocument/2006/relationships/hyperlink" Target="https://businesscasestudies.co.uk/human-led-cx-what-other-industries-can-learn/" TargetMode="External"/><Relationship Id="rId1816" Type="http://schemas.openxmlformats.org/officeDocument/2006/relationships/hyperlink" Target="https://ritty.se/hyr-kassa/" TargetMode="External"/><Relationship Id="rId7378" Type="http://schemas.openxmlformats.org/officeDocument/2006/relationships/hyperlink" Target="https://ourculturemag.com/2025/01/21/how-to-incorporate-sriracha-sauce-in-your-meals-benefits-and-recipe-tips/" TargetMode="External"/><Relationship Id="rId8429" Type="http://schemas.openxmlformats.org/officeDocument/2006/relationships/hyperlink" Target="http://hund.se/" TargetMode="External"/><Relationship Id="rId10359" Type="http://schemas.openxmlformats.org/officeDocument/2006/relationships/hyperlink" Target="https://www.rusta.com/sv-se/hem-och-inredning/mattor" TargetMode="External"/><Relationship Id="rId3988" Type="http://schemas.openxmlformats.org/officeDocument/2006/relationships/hyperlink" Target="https://www.icanrestwhenimdead.com/vad-ar-vo2-max" TargetMode="External"/><Relationship Id="rId8910" Type="http://schemas.openxmlformats.org/officeDocument/2006/relationships/hyperlink" Target="http://gonorthshop.com/" TargetMode="External"/><Relationship Id="rId6461" Type="http://schemas.openxmlformats.org/officeDocument/2006/relationships/hyperlink" Target="https://casinogringos.se/" TargetMode="External"/><Relationship Id="rId7512" Type="http://schemas.openxmlformats.org/officeDocument/2006/relationships/hyperlink" Target="https://svenskiptv.com/" TargetMode="External"/><Relationship Id="rId10840" Type="http://schemas.openxmlformats.org/officeDocument/2006/relationships/hyperlink" Target="http://joinstriveon.com/" TargetMode="External"/><Relationship Id="rId5063" Type="http://schemas.openxmlformats.org/officeDocument/2006/relationships/hyperlink" Target="http://snusnetto.se/" TargetMode="External"/><Relationship Id="rId6114" Type="http://schemas.openxmlformats.org/officeDocument/2006/relationships/hyperlink" Target="https://www.peaccounting.se/var-tjanst/bokforingsprogram/" TargetMode="External"/><Relationship Id="rId9684" Type="http://schemas.openxmlformats.org/officeDocument/2006/relationships/hyperlink" Target="http://glassfactory.fi/" TargetMode="External"/><Relationship Id="rId8286" Type="http://schemas.openxmlformats.org/officeDocument/2006/relationships/hyperlink" Target="http://ekstromgaray.se/" TargetMode="External"/><Relationship Id="rId9337" Type="http://schemas.openxmlformats.org/officeDocument/2006/relationships/hyperlink" Target="https://supernormal.health/pages/viktnedgang" TargetMode="External"/><Relationship Id="rId12665" Type="http://schemas.openxmlformats.org/officeDocument/2006/relationships/hyperlink" Target="https://www.megariches.com/sv/" TargetMode="External"/><Relationship Id="rId1673" Type="http://schemas.openxmlformats.org/officeDocument/2006/relationships/hyperlink" Target="https://www.sbnewsroom.com/small-business/" TargetMode="External"/><Relationship Id="rId2724" Type="http://schemas.openxmlformats.org/officeDocument/2006/relationships/hyperlink" Target="https://www.vont.se/to-go" TargetMode="External"/><Relationship Id="rId11267" Type="http://schemas.openxmlformats.org/officeDocument/2006/relationships/hyperlink" Target="http://dieselkraft.se/" TargetMode="External"/><Relationship Id="rId12318" Type="http://schemas.openxmlformats.org/officeDocument/2006/relationships/hyperlink" Target="https://askskinfo.com/varumarke/aco" TargetMode="External"/><Relationship Id="rId1326" Type="http://schemas.openxmlformats.org/officeDocument/2006/relationships/hyperlink" Target="https://www.robomarkets.com/se/forex-trading/platforms/metatrader4-mt4/" TargetMode="External"/><Relationship Id="rId4896" Type="http://schemas.openxmlformats.org/officeDocument/2006/relationships/hyperlink" Target="https://www.bethard.com/sv/sports/live/fotboll" TargetMode="External"/><Relationship Id="rId5947" Type="http://schemas.openxmlformats.org/officeDocument/2006/relationships/hyperlink" Target="https://www.purakliniken.se/estetisk-tandvard/skalfasader/" TargetMode="External"/><Relationship Id="rId32" Type="http://schemas.openxmlformats.org/officeDocument/2006/relationships/hyperlink" Target="https://b&#228;stf&#246;rs&#228;kringar.se/" TargetMode="External"/><Relationship Id="rId3498" Type="http://schemas.openxmlformats.org/officeDocument/2006/relationships/hyperlink" Target="http://luckycasino.com/sv/" TargetMode="External"/><Relationship Id="rId4549" Type="http://schemas.openxmlformats.org/officeDocument/2006/relationships/hyperlink" Target="https://beanit.se/okad-popularitet-for-e-cigaretter-och-vapes-i-sverige/" TargetMode="External"/><Relationship Id="rId8420" Type="http://schemas.openxmlformats.org/officeDocument/2006/relationships/hyperlink" Target="http://nettotobak.com/zyn/" TargetMode="External"/><Relationship Id="rId10350" Type="http://schemas.openxmlformats.org/officeDocument/2006/relationships/hyperlink" Target="https://www.bethard.com/sv/sports" TargetMode="External"/><Relationship Id="rId11401" Type="http://schemas.openxmlformats.org/officeDocument/2006/relationships/hyperlink" Target="https://www.kopbarnvagn.se/sv/artiklar/barnvagnar/marke-2/bugaboo/bugaboo-fox-5/index.html" TargetMode="External"/><Relationship Id="rId7022" Type="http://schemas.openxmlformats.org/officeDocument/2006/relationships/hyperlink" Target="https://www.coface.dk/ordliste-for-kreditforsikring-og-kreditstyring/kreditvurdering" TargetMode="External"/><Relationship Id="rId10003" Type="http://schemas.openxmlformats.org/officeDocument/2006/relationships/hyperlink" Target="https://trendlandmagazine.com/how-online-casinos-fit-into-the-modern-leisure-scene-and-lifestyle/" TargetMode="External"/><Relationship Id="rId2581" Type="http://schemas.openxmlformats.org/officeDocument/2006/relationships/hyperlink" Target="https://www.oekobau-ruhrgebiet.de/warmepumpen-im-alltag" TargetMode="External"/><Relationship Id="rId3632" Type="http://schemas.openxmlformats.org/officeDocument/2006/relationships/hyperlink" Target="https://www.saleseffect.se/vad-kan-b2b-marknaden-lara-sig-av-spelbranschen/" TargetMode="External"/><Relationship Id="rId9194" Type="http://schemas.openxmlformats.org/officeDocument/2006/relationships/hyperlink" Target="https://cdbilvardsprodukter.se/" TargetMode="External"/><Relationship Id="rId12175" Type="http://schemas.openxmlformats.org/officeDocument/2006/relationships/hyperlink" Target="https://bolagshistorik.se/foretagsrekonstruktion-att-identifiera-behovet-for-omvandling/" TargetMode="External"/><Relationship Id="rId13226" Type="http://schemas.openxmlformats.org/officeDocument/2006/relationships/hyperlink" Target="https://smartareekonomi.se/forsakringslosningar-for-solcellsanlaggningar-som-skyddar-din-ekonomiska-investering/" TargetMode="External"/><Relationship Id="rId553" Type="http://schemas.openxmlformats.org/officeDocument/2006/relationships/hyperlink" Target="http://happysocks.com/" TargetMode="External"/><Relationship Id="rId1183" Type="http://schemas.openxmlformats.org/officeDocument/2006/relationships/hyperlink" Target="https://www.swedoffice.se/" TargetMode="External"/><Relationship Id="rId2234" Type="http://schemas.openxmlformats.org/officeDocument/2006/relationships/hyperlink" Target="https://www.dejavubok.se/sjalvforverkligande-genom-utbildning" TargetMode="External"/><Relationship Id="rId206" Type="http://schemas.openxmlformats.org/officeDocument/2006/relationships/hyperlink" Target="https://www.kopbarnvagn.se/sv/artiklar/stokke-tripp-trapp/index.html" TargetMode="External"/><Relationship Id="rId6855" Type="http://schemas.openxmlformats.org/officeDocument/2006/relationships/hyperlink" Target="https://svenskiptv.com/" TargetMode="External"/><Relationship Id="rId7906" Type="http://schemas.openxmlformats.org/officeDocument/2006/relationships/hyperlink" Target="https://technobark.com/best-gps-dog-fences/" TargetMode="External"/><Relationship Id="rId4059" Type="http://schemas.openxmlformats.org/officeDocument/2006/relationships/hyperlink" Target="https://ibmetall.se/" TargetMode="External"/><Relationship Id="rId5457" Type="http://schemas.openxmlformats.org/officeDocument/2006/relationships/hyperlink" Target="https://pontechmarina.com/se/flytbrygga/vagbrytare/" TargetMode="External"/><Relationship Id="rId6508" Type="http://schemas.openxmlformats.org/officeDocument/2006/relationships/hyperlink" Target="https://www.avanza.se/fonder/om-fonden.html/1205492/spets-a" TargetMode="External"/><Relationship Id="rId4540" Type="http://schemas.openxmlformats.org/officeDocument/2006/relationships/hyperlink" Target="https://naturensar.se/allt-du-behover-veta-om-hydraulsystem/" TargetMode="External"/><Relationship Id="rId13083" Type="http://schemas.openxmlformats.org/officeDocument/2006/relationships/hyperlink" Target="http://dbet.com/" TargetMode="External"/><Relationship Id="rId2091" Type="http://schemas.openxmlformats.org/officeDocument/2006/relationships/hyperlink" Target="https://klubbace.se/hur-kan-pengar-vaxa" TargetMode="External"/><Relationship Id="rId3142" Type="http://schemas.openxmlformats.org/officeDocument/2006/relationships/hyperlink" Target="https://www.konditorivimmerby.se/far-man-prata-om-toalettbesok" TargetMode="External"/><Relationship Id="rId7763" Type="http://schemas.openxmlformats.org/officeDocument/2006/relationships/hyperlink" Target="http://pontechmarina.com/se" TargetMode="External"/><Relationship Id="rId6365" Type="http://schemas.openxmlformats.org/officeDocument/2006/relationships/hyperlink" Target="http://cdg.io/" TargetMode="External"/><Relationship Id="rId7416" Type="http://schemas.openxmlformats.org/officeDocument/2006/relationships/hyperlink" Target="https://www.starleaf.com/blog/how-to-best-track-your-dog-methods-and-safety-measures/" TargetMode="External"/><Relationship Id="rId8814" Type="http://schemas.openxmlformats.org/officeDocument/2006/relationships/hyperlink" Target="https://ekonomico.se/juridiska-tjanster/trafikansvarig-konsult/" TargetMode="External"/><Relationship Id="rId10744" Type="http://schemas.openxmlformats.org/officeDocument/2006/relationships/hyperlink" Target="https://www.startmotor.se/fordon/reservdelar-bat/volvo-penta" TargetMode="External"/><Relationship Id="rId6018" Type="http://schemas.openxmlformats.org/officeDocument/2006/relationships/hyperlink" Target="https://havstomt.se/artiklar/flexibla-boendelosningar-ett-smart-alternativ-for-langtidsboende/" TargetMode="External"/><Relationship Id="rId2975" Type="http://schemas.openxmlformats.org/officeDocument/2006/relationships/hyperlink" Target="https://e-ciggbolaget.se/e-cigaretter/engangs-vape/frunk-bar/" TargetMode="External"/><Relationship Id="rId9588" Type="http://schemas.openxmlformats.org/officeDocument/2006/relationships/hyperlink" Target="https://snickare.online/snickare" TargetMode="External"/><Relationship Id="rId12569" Type="http://schemas.openxmlformats.org/officeDocument/2006/relationships/hyperlink" Target="https://kronbacken.se/?p=275" TargetMode="External"/><Relationship Id="rId947" Type="http://schemas.openxmlformats.org/officeDocument/2006/relationships/hyperlink" Target="http://conclean.se/" TargetMode="External"/><Relationship Id="rId1577" Type="http://schemas.openxmlformats.org/officeDocument/2006/relationships/hyperlink" Target="https://www.tryggbil.se/" TargetMode="External"/><Relationship Id="rId2628" Type="http://schemas.openxmlformats.org/officeDocument/2006/relationships/hyperlink" Target="https://www.villarelining.se/" TargetMode="External"/><Relationship Id="rId4050" Type="http://schemas.openxmlformats.org/officeDocument/2006/relationships/hyperlink" Target="https://arctic.se/nibe-warmepumpe-versicherung/" TargetMode="External"/><Relationship Id="rId5101" Type="http://schemas.openxmlformats.org/officeDocument/2006/relationships/hyperlink" Target="https://www.malmo-dramatiska-teater.se/" TargetMode="External"/><Relationship Id="rId8671" Type="http://schemas.openxmlformats.org/officeDocument/2006/relationships/hyperlink" Target="https://www.swedoffice.se/kategori/49902-kopieringspapper" TargetMode="External"/><Relationship Id="rId9722" Type="http://schemas.openxmlformats.org/officeDocument/2006/relationships/hyperlink" Target="https://hauteliving.com/2025/05/how-area-rugs-can-refine-a-space-with-sophistication/770686/" TargetMode="External"/><Relationship Id="rId1711" Type="http://schemas.openxmlformats.org/officeDocument/2006/relationships/hyperlink" Target="https://e-ciggbolaget.se/e-cigaretter" TargetMode="External"/><Relationship Id="rId7273" Type="http://schemas.openxmlformats.org/officeDocument/2006/relationships/hyperlink" Target="https://www.coface.se/inkasso" TargetMode="External"/><Relationship Id="rId8324" Type="http://schemas.openxmlformats.org/officeDocument/2006/relationships/hyperlink" Target="https://www.chattanoogarehab.com/shock-wave-rpw" TargetMode="External"/><Relationship Id="rId10254" Type="http://schemas.openxmlformats.org/officeDocument/2006/relationships/hyperlink" Target="https://www.sciencetimes.com/articles/60498/20250711/how-businesses-use-ai-agents-streamline-daily-operations.htm" TargetMode="External"/><Relationship Id="rId11652" Type="http://schemas.openxmlformats.org/officeDocument/2006/relationships/hyperlink" Target="https://markets.vontobel.com/nb-no/produkter/leverage/bull-bear-sertifikater/DE000VV87KH8" TargetMode="External"/><Relationship Id="rId12703" Type="http://schemas.openxmlformats.org/officeDocument/2006/relationships/hyperlink" Target="https://swedenlongstay.se/sv/foretagsbostader" TargetMode="External"/><Relationship Id="rId11305" Type="http://schemas.openxmlformats.org/officeDocument/2006/relationships/hyperlink" Target="https://www.allabolag.se/5568169626/fair-investments-sweden-ab" TargetMode="External"/><Relationship Id="rId2485" Type="http://schemas.openxmlformats.org/officeDocument/2006/relationships/hyperlink" Target="https://hittafestlokal.se/voom-bars-hogteknologiska-nyanserade-vapingupplevelse/" TargetMode="External"/><Relationship Id="rId3883" Type="http://schemas.openxmlformats.org/officeDocument/2006/relationships/hyperlink" Target="http://tandea.se/" TargetMode="External"/><Relationship Id="rId4934" Type="http://schemas.openxmlformats.org/officeDocument/2006/relationships/hyperlink" Target="http://snuset.se/" TargetMode="External"/><Relationship Id="rId9098" Type="http://schemas.openxmlformats.org/officeDocument/2006/relationships/hyperlink" Target="http://stockholms-rorvvs.se/" TargetMode="External"/><Relationship Id="rId457" Type="http://schemas.openxmlformats.org/officeDocument/2006/relationships/hyperlink" Target="https://ecommunity.se/kopbarnvagn-gor-foraldraskapet-enklare-med-hogkvalitativa-barnvagnar/" TargetMode="External"/><Relationship Id="rId1087" Type="http://schemas.openxmlformats.org/officeDocument/2006/relationships/hyperlink" Target="https://www.vont.se/to-go/0-mg-ml" TargetMode="External"/><Relationship Id="rId2138" Type="http://schemas.openxmlformats.org/officeDocument/2006/relationships/hyperlink" Target="http://distansinstitutet.se/" TargetMode="External"/><Relationship Id="rId3536" Type="http://schemas.openxmlformats.org/officeDocument/2006/relationships/hyperlink" Target="https://alfaoutdoor.se/collections/fritidsskor-herr" TargetMode="External"/><Relationship Id="rId12079" Type="http://schemas.openxmlformats.org/officeDocument/2006/relationships/hyperlink" Target="https://haxan.se/blogs/news/putsa-fonster-som-proffs" TargetMode="External"/><Relationship Id="rId6759" Type="http://schemas.openxmlformats.org/officeDocument/2006/relationships/hyperlink" Target="http://purakliniken.se/" TargetMode="External"/><Relationship Id="rId12560" Type="http://schemas.openxmlformats.org/officeDocument/2006/relationships/hyperlink" Target="https://www.tnp.no/norsk/hvordan-sikrer-du-deg-det-beste-lanet/" TargetMode="External"/><Relationship Id="rId8181" Type="http://schemas.openxmlformats.org/officeDocument/2006/relationships/hyperlink" Target="https://byggavilla.se/sa-forbattrar-akustiska-produkter-byggkvaliteten-i-stockholm/" TargetMode="External"/><Relationship Id="rId9232" Type="http://schemas.openxmlformats.org/officeDocument/2006/relationships/hyperlink" Target="http://rusta.se/" TargetMode="External"/><Relationship Id="rId11162" Type="http://schemas.openxmlformats.org/officeDocument/2006/relationships/hyperlink" Target="http://notyfile.se/sv" TargetMode="External"/><Relationship Id="rId12213" Type="http://schemas.openxmlformats.org/officeDocument/2006/relationships/hyperlink" Target="https://mammagruppen.se/antiinflammatoriska-fordelar-med-cbd-olja/" TargetMode="External"/><Relationship Id="rId1221" Type="http://schemas.openxmlformats.org/officeDocument/2006/relationships/hyperlink" Target="https://coinmixer.se/foretagsrekonstruktion-processen-for-foretagsoverlevnad-och-aterhamtning/" TargetMode="External"/><Relationship Id="rId4791" Type="http://schemas.openxmlformats.org/officeDocument/2006/relationships/hyperlink" Target="http://rusta.se/" TargetMode="External"/><Relationship Id="rId5842" Type="http://schemas.openxmlformats.org/officeDocument/2006/relationships/hyperlink" Target="https://sportsbaren.se/knaskydd-for-sport-minska-skaderisken-och-maximera-prestation/" TargetMode="External"/><Relationship Id="rId3393" Type="http://schemas.openxmlformats.org/officeDocument/2006/relationships/hyperlink" Target="https://www.northgrid.se/tre-fordelar-med-cloudportal" TargetMode="External"/><Relationship Id="rId4444" Type="http://schemas.openxmlformats.org/officeDocument/2006/relationships/hyperlink" Target="http://jovialsundsvall.se/" TargetMode="External"/><Relationship Id="rId3046" Type="http://schemas.openxmlformats.org/officeDocument/2006/relationships/hyperlink" Target="https://irate-games.com/spelklubben-nya-horisonter/" TargetMode="External"/><Relationship Id="rId10995" Type="http://schemas.openxmlformats.org/officeDocument/2006/relationships/hyperlink" Target="http://kungaslottet.se/" TargetMode="External"/><Relationship Id="rId6269" Type="http://schemas.openxmlformats.org/officeDocument/2006/relationships/hyperlink" Target="https://hemmabygge.se/akut-vvs-tjanster-hur-jour-eliten-raddar-ditt-byggprojekt/" TargetMode="External"/><Relationship Id="rId7667" Type="http://schemas.openxmlformats.org/officeDocument/2006/relationships/hyperlink" Target="https://www.startmotor.se/kategori/batmotordelar" TargetMode="External"/><Relationship Id="rId8718" Type="http://schemas.openxmlformats.org/officeDocument/2006/relationships/hyperlink" Target="http://sahlstenskincare.se/" TargetMode="External"/><Relationship Id="rId10648" Type="http://schemas.openxmlformats.org/officeDocument/2006/relationships/hyperlink" Target="https://luurituki.fi/bitcoin-saavuttaa-uutta-piikkia/" TargetMode="External"/><Relationship Id="rId12070" Type="http://schemas.openxmlformats.org/officeDocument/2006/relationships/hyperlink" Target="https://finansassistans.se/valutahandel-en-djupdykning-i-den-storsta-och-mest-likvida-finansiella-marknaden/" TargetMode="External"/><Relationship Id="rId13121" Type="http://schemas.openxmlformats.org/officeDocument/2006/relationships/hyperlink" Target="https://bettingsyndikatet.se/" TargetMode="External"/><Relationship Id="rId2879" Type="http://schemas.openxmlformats.org/officeDocument/2006/relationships/hyperlink" Target="http://e-ciggbolaget.se/" TargetMode="External"/><Relationship Id="rId6750" Type="http://schemas.openxmlformats.org/officeDocument/2006/relationships/hyperlink" Target="https://tryggbil.se/volkswagen/" TargetMode="External"/><Relationship Id="rId7801" Type="http://schemas.openxmlformats.org/officeDocument/2006/relationships/hyperlink" Target="http://hund.se/" TargetMode="External"/><Relationship Id="rId101" Type="http://schemas.openxmlformats.org/officeDocument/2006/relationships/hyperlink" Target="http://ljusgrossisten.se/" TargetMode="External"/><Relationship Id="rId5352" Type="http://schemas.openxmlformats.org/officeDocument/2006/relationships/hyperlink" Target="https://www.bethard.com/sv/sports" TargetMode="External"/><Relationship Id="rId6403" Type="http://schemas.openxmlformats.org/officeDocument/2006/relationships/hyperlink" Target="https://www.amazon.com/stores/page/A25C2F67-D612-4EBD-9B59-6A7A7830240F" TargetMode="External"/><Relationship Id="rId9973" Type="http://schemas.openxmlformats.org/officeDocument/2006/relationships/hyperlink" Target="https://northfortynews.com/category/how-to/why-single-use-aluminum-bottled-water-is-becoming-the-go-to-choice-for-event-hydration/" TargetMode="External"/><Relationship Id="rId5005" Type="http://schemas.openxmlformats.org/officeDocument/2006/relationships/hyperlink" Target="http://rusta.se/" TargetMode="External"/><Relationship Id="rId8575" Type="http://schemas.openxmlformats.org/officeDocument/2006/relationships/hyperlink" Target="https://ng.se/artiklar/det-har-med-soderlage" TargetMode="External"/><Relationship Id="rId9626" Type="http://schemas.openxmlformats.org/officeDocument/2006/relationships/hyperlink" Target="http://spelklubben.se/" TargetMode="External"/><Relationship Id="rId12954" Type="http://schemas.openxmlformats.org/officeDocument/2006/relationships/hyperlink" Target="https://www.northtracker.com/korjournal/" TargetMode="External"/><Relationship Id="rId1962" Type="http://schemas.openxmlformats.org/officeDocument/2006/relationships/hyperlink" Target="http://hemplybalance.com/" TargetMode="External"/><Relationship Id="rId7177" Type="http://schemas.openxmlformats.org/officeDocument/2006/relationships/hyperlink" Target="https://beautytube.se/skonhet-och-halsa-hur-supernormal-kan-forbattra-ditt-valmaende/" TargetMode="External"/><Relationship Id="rId8228" Type="http://schemas.openxmlformats.org/officeDocument/2006/relationships/hyperlink" Target="https://www.chattanoogarehab.com/shock-wave-rpw" TargetMode="External"/><Relationship Id="rId11556" Type="http://schemas.openxmlformats.org/officeDocument/2006/relationships/hyperlink" Target="http://sufracofinebrands.com/" TargetMode="External"/><Relationship Id="rId12607" Type="http://schemas.openxmlformats.org/officeDocument/2006/relationships/hyperlink" Target="http://dryft.se/" TargetMode="External"/><Relationship Id="rId1615" Type="http://schemas.openxmlformats.org/officeDocument/2006/relationships/hyperlink" Target="https://marketingmartin.se/forenkla-forsaljning-och-transaktioner-fordelarna-med-att-hyra-kassasystem-som-privatperson/" TargetMode="External"/><Relationship Id="rId10158" Type="http://schemas.openxmlformats.org/officeDocument/2006/relationships/hyperlink" Target="https://www.adaptnetwork.com/lifestyle/health-fitness/why-cold-packs-are-an-essential-tool-in-injury-management/" TargetMode="External"/><Relationship Id="rId11209" Type="http://schemas.openxmlformats.org/officeDocument/2006/relationships/hyperlink" Target="https://blugiallo.com/" TargetMode="External"/><Relationship Id="rId3787" Type="http://schemas.openxmlformats.org/officeDocument/2006/relationships/hyperlink" Target="https://svalan.se/norra-djurgardsstaden-en-framtidsvision-i-stockholm/" TargetMode="External"/><Relationship Id="rId4838" Type="http://schemas.openxmlformats.org/officeDocument/2006/relationships/hyperlink" Target="https://naturensar.se/hur-du-valjer-ratt-vvs-system-for-din-byggnad/" TargetMode="External"/><Relationship Id="rId2389" Type="http://schemas.openxmlformats.org/officeDocument/2006/relationships/hyperlink" Target="https://pontonhamnar.se/produkter/flytbrygga/" TargetMode="External"/><Relationship Id="rId6260" Type="http://schemas.openxmlformats.org/officeDocument/2006/relationships/hyperlink" Target="https://hemforalla.se/mattor-for-hemmet-en-guide-till-perfekta-val/" TargetMode="External"/><Relationship Id="rId7311" Type="http://schemas.openxmlformats.org/officeDocument/2006/relationships/hyperlink" Target="https://www.entreprenad.com/lb-article/181170/hitta-ratt-motorolja-for-ratt-entreprenadmaskiner" TargetMode="External"/><Relationship Id="rId2870" Type="http://schemas.openxmlformats.org/officeDocument/2006/relationships/hyperlink" Target="http://e-ciggbolaget.se/" TargetMode="External"/><Relationship Id="rId3921" Type="http://schemas.openxmlformats.org/officeDocument/2006/relationships/hyperlink" Target="http://cannabislight.se/" TargetMode="External"/><Relationship Id="rId9483" Type="http://schemas.openxmlformats.org/officeDocument/2006/relationships/hyperlink" Target="https://www.cherry.com/sv/responsible-gaming" TargetMode="External"/><Relationship Id="rId12464" Type="http://schemas.openxmlformats.org/officeDocument/2006/relationships/hyperlink" Target="https://podradio.nu/fair-investments-for-en-rattvis-kapitalforvaltning/" TargetMode="External"/><Relationship Id="rId842" Type="http://schemas.openxmlformats.org/officeDocument/2006/relationships/hyperlink" Target="http://tiotak.se/" TargetMode="External"/><Relationship Id="rId1472" Type="http://schemas.openxmlformats.org/officeDocument/2006/relationships/hyperlink" Target="https://advancepointcap.com/alternative-business-financing/" TargetMode="External"/><Relationship Id="rId2523" Type="http://schemas.openxmlformats.org/officeDocument/2006/relationships/hyperlink" Target="http://alfa.se/" TargetMode="External"/><Relationship Id="rId8085" Type="http://schemas.openxmlformats.org/officeDocument/2006/relationships/hyperlink" Target="https://www.spelklubben.se/sv" TargetMode="External"/><Relationship Id="rId9136" Type="http://schemas.openxmlformats.org/officeDocument/2006/relationships/hyperlink" Target="https://mynicco.com/" TargetMode="External"/><Relationship Id="rId11066" Type="http://schemas.openxmlformats.org/officeDocument/2006/relationships/hyperlink" Target="http://rusta.se/" TargetMode="External"/><Relationship Id="rId12117" Type="http://schemas.openxmlformats.org/officeDocument/2006/relationships/hyperlink" Target="http://blugiallo.com/" TargetMode="External"/><Relationship Id="rId1125" Type="http://schemas.openxmlformats.org/officeDocument/2006/relationships/hyperlink" Target="http://zperfume.se/" TargetMode="External"/><Relationship Id="rId4695" Type="http://schemas.openxmlformats.org/officeDocument/2006/relationships/hyperlink" Target="https://14karat.se/gron-investering-en-hallbar-satsning-som-okar-vardet-pa-din-bostad/" TargetMode="External"/><Relationship Id="rId3297" Type="http://schemas.openxmlformats.org/officeDocument/2006/relationships/hyperlink" Target="https://www.slaktforskarnashus.se/" TargetMode="External"/><Relationship Id="rId4348" Type="http://schemas.openxmlformats.org/officeDocument/2006/relationships/hyperlink" Target="https://pokeronline.nu/poker-tillverkare-och-operatorer-en-inblick-i-spelindustrins-nyckelaktorer/" TargetMode="External"/><Relationship Id="rId5746" Type="http://schemas.openxmlformats.org/officeDocument/2006/relationships/hyperlink" Target="http://spelklubben.se/" TargetMode="External"/><Relationship Id="rId8969" Type="http://schemas.openxmlformats.org/officeDocument/2006/relationships/hyperlink" Target="https://www.nordiskaprojekt.se/2025/04/28/vad-behover-rengoras-i-hemmet-och-hur-ofta/" TargetMode="External"/><Relationship Id="rId10899" Type="http://schemas.openxmlformats.org/officeDocument/2006/relationships/hyperlink" Target="https://mynicco.com/" TargetMode="External"/><Relationship Id="rId11200" Type="http://schemas.openxmlformats.org/officeDocument/2006/relationships/hyperlink" Target="https://blugiallo.com/tailoring-guides/flannel-clothing-guide/" TargetMode="External"/><Relationship Id="rId2380" Type="http://schemas.openxmlformats.org/officeDocument/2006/relationships/hyperlink" Target="https://www.rambollnatura.se/sa-fungerar-en-vagbrytare" TargetMode="External"/><Relationship Id="rId3431" Type="http://schemas.openxmlformats.org/officeDocument/2006/relationships/hyperlink" Target="http://tiotak.se/" TargetMode="External"/><Relationship Id="rId13025" Type="http://schemas.openxmlformats.org/officeDocument/2006/relationships/hyperlink" Target="https://www.grontsamhallsbyggande.se/2025/10/01/en-trygg-vag-hem/" TargetMode="External"/><Relationship Id="rId352" Type="http://schemas.openxmlformats.org/officeDocument/2006/relationships/hyperlink" Target="https://addis-techblog.de/2023/03/versicherungen-gibt-es-auch-fuer-wasserpumpen/" TargetMode="External"/><Relationship Id="rId2033" Type="http://schemas.openxmlformats.org/officeDocument/2006/relationships/hyperlink" Target="http://oconnors.se/" TargetMode="External"/><Relationship Id="rId6654" Type="http://schemas.openxmlformats.org/officeDocument/2006/relationships/hyperlink" Target="https://familjfakta.se/familj-och-skratt-hur-standup-komedi-kan-forena-oss/" TargetMode="External"/><Relationship Id="rId7705" Type="http://schemas.openxmlformats.org/officeDocument/2006/relationships/hyperlink" Target="https://www.tandlakare.se/stad/stockholm/" TargetMode="External"/><Relationship Id="rId5256" Type="http://schemas.openxmlformats.org/officeDocument/2006/relationships/hyperlink" Target="https://onthisveryspot.com/latest-trends/boosting-it-security-on-a-budget-creative-strategies-for-businesses-without-in-house-experts/" TargetMode="External"/><Relationship Id="rId6307" Type="http://schemas.openxmlformats.org/officeDocument/2006/relationships/hyperlink" Target="https://bolagsekonomen.se/bli-publicerad-en-guide-till-forlagsprocessen/" TargetMode="External"/><Relationship Id="rId8479" Type="http://schemas.openxmlformats.org/officeDocument/2006/relationships/hyperlink" Target="https://www.hippson.se/gastrum/hur-fungerar-betting-pa-ridsport-en-guide-for-nyborjaren" TargetMode="External"/><Relationship Id="rId9877" Type="http://schemas.openxmlformats.org/officeDocument/2006/relationships/hyperlink" Target="https://turner.fi/autotallin-ovet-ja-oviremontti/" TargetMode="External"/><Relationship Id="rId12858" Type="http://schemas.openxmlformats.org/officeDocument/2006/relationships/hyperlink" Target="http://technobark.com/" TargetMode="External"/><Relationship Id="rId1866" Type="http://schemas.openxmlformats.org/officeDocument/2006/relationships/hyperlink" Target="https://www.novasverige.se/" TargetMode="External"/><Relationship Id="rId2917" Type="http://schemas.openxmlformats.org/officeDocument/2006/relationships/hyperlink" Target="http://glitnor.com/" TargetMode="External"/><Relationship Id="rId1519" Type="http://schemas.openxmlformats.org/officeDocument/2006/relationships/hyperlink" Target="https://www.happysocks.com/us/collection/socks-for-men" TargetMode="External"/><Relationship Id="rId8960" Type="http://schemas.openxmlformats.org/officeDocument/2006/relationships/hyperlink" Target="http://nettotobak.com/" TargetMode="External"/><Relationship Id="rId10890" Type="http://schemas.openxmlformats.org/officeDocument/2006/relationships/hyperlink" Target="https://passioneffect.se/sa-utformar-du-som-arbetsgivare-rattvisa-arbetsprov/" TargetMode="External"/><Relationship Id="rId7562" Type="http://schemas.openxmlformats.org/officeDocument/2006/relationships/hyperlink" Target="http://hund.se/" TargetMode="External"/><Relationship Id="rId8613" Type="http://schemas.openxmlformats.org/officeDocument/2006/relationships/hyperlink" Target="http://cdbilvardsprodukter.se/" TargetMode="External"/><Relationship Id="rId10543" Type="http://schemas.openxmlformats.org/officeDocument/2006/relationships/hyperlink" Target="https://upplevelse.com/" TargetMode="External"/><Relationship Id="rId11941" Type="http://schemas.openxmlformats.org/officeDocument/2006/relationships/hyperlink" Target="http://miamipool.se/" TargetMode="External"/><Relationship Id="rId6164" Type="http://schemas.openxmlformats.org/officeDocument/2006/relationships/hyperlink" Target="https://everynightstudios.com/" TargetMode="External"/><Relationship Id="rId7215" Type="http://schemas.openxmlformats.org/officeDocument/2006/relationships/hyperlink" Target="https://www.purakliniken.se/estetisk-tandvard/tandimplantat/" TargetMode="External"/><Relationship Id="rId2774" Type="http://schemas.openxmlformats.org/officeDocument/2006/relationships/hyperlink" Target="https://happycasino.se/" TargetMode="External"/><Relationship Id="rId9387" Type="http://schemas.openxmlformats.org/officeDocument/2006/relationships/hyperlink" Target="http://lsb.se/" TargetMode="External"/><Relationship Id="rId746" Type="http://schemas.openxmlformats.org/officeDocument/2006/relationships/hyperlink" Target="https://www.lansfast.se/maklare/sodermanland/nykoping/" TargetMode="External"/><Relationship Id="rId1376" Type="http://schemas.openxmlformats.org/officeDocument/2006/relationships/hyperlink" Target="https://hoganassaluhall.se/fair-investments-en-framgangssaga-om-langsiktig-investering-i-globala-kvalitetsbolag/" TargetMode="External"/><Relationship Id="rId2427" Type="http://schemas.openxmlformats.org/officeDocument/2006/relationships/hyperlink" Target="https://www.lices.se/jag-ska-bli-vardbitrade" TargetMode="External"/><Relationship Id="rId3825" Type="http://schemas.openxmlformats.org/officeDocument/2006/relationships/hyperlink" Target="http://w3solenergi.se/" TargetMode="External"/><Relationship Id="rId12368" Type="http://schemas.openxmlformats.org/officeDocument/2006/relationships/hyperlink" Target="https://savethefuture.se/modernisera-ditt-foretag-med-flexibla-kassalosningar/" TargetMode="External"/><Relationship Id="rId1029" Type="http://schemas.openxmlformats.org/officeDocument/2006/relationships/hyperlink" Target="http://happysocks.com/" TargetMode="External"/><Relationship Id="rId5997" Type="http://schemas.openxmlformats.org/officeDocument/2006/relationships/hyperlink" Target="https://www.kelleher-international.com/" TargetMode="External"/><Relationship Id="rId82" Type="http://schemas.openxmlformats.org/officeDocument/2006/relationships/hyperlink" Target="https://blugiallo.com/custom-tailored/clothes/jeans/" TargetMode="External"/><Relationship Id="rId4599" Type="http://schemas.openxmlformats.org/officeDocument/2006/relationships/hyperlink" Target="https://aktivaunga.se/vikten-av-en-halsosam-livsstil-for-unga/" TargetMode="External"/><Relationship Id="rId7072" Type="http://schemas.openxmlformats.org/officeDocument/2006/relationships/hyperlink" Target="https://www.borskollen.se/" TargetMode="External"/><Relationship Id="rId8470" Type="http://schemas.openxmlformats.org/officeDocument/2006/relationships/hyperlink" Target="https://www.sarasotamagazine.com/advantagepoint/2025/03/ideas-for-a-romantic-getaway-with-your-partner-in-sarasota" TargetMode="External"/><Relationship Id="rId9521" Type="http://schemas.openxmlformats.org/officeDocument/2006/relationships/hyperlink" Target="https://www.newst.se/hem-med-historia-vad-vi-verkligen-kan-lara-av-aldre-hus/" TargetMode="External"/><Relationship Id="rId11451" Type="http://schemas.openxmlformats.org/officeDocument/2006/relationships/hyperlink" Target="http://lansfast.se/" TargetMode="External"/><Relationship Id="rId12502" Type="http://schemas.openxmlformats.org/officeDocument/2006/relationships/hyperlink" Target="https://serviceteknikerkarlstad.se/?p=392" TargetMode="External"/><Relationship Id="rId1510" Type="http://schemas.openxmlformats.org/officeDocument/2006/relationships/hyperlink" Target="https://www.happysocks.com/us/adults/trend-edit" TargetMode="External"/><Relationship Id="rId8123" Type="http://schemas.openxmlformats.org/officeDocument/2006/relationships/hyperlink" Target="http://fairinvestments.se/" TargetMode="External"/><Relationship Id="rId10053" Type="http://schemas.openxmlformats.org/officeDocument/2006/relationships/hyperlink" Target="http://chattanoogarehab.com/" TargetMode="External"/><Relationship Id="rId11104" Type="http://schemas.openxmlformats.org/officeDocument/2006/relationships/hyperlink" Target="https://ekonominu.se/blog-posts/den-stora-guiden-till-att-samla-lan-och-vanliga-fragor/" TargetMode="External"/><Relationship Id="rId3682" Type="http://schemas.openxmlformats.org/officeDocument/2006/relationships/hyperlink" Target="https://arctic.se/nibe-warmepumpe-versicherung/" TargetMode="External"/><Relationship Id="rId4733" Type="http://schemas.openxmlformats.org/officeDocument/2006/relationships/hyperlink" Target="https://www.nyaprojekt.se/2024/07/25/sveriges-casinon-nedlaggningar-och-framtida-planer/" TargetMode="External"/><Relationship Id="rId13276" Type="http://schemas.openxmlformats.org/officeDocument/2006/relationships/hyperlink" Target="http://lilla-varlden.se/" TargetMode="External"/><Relationship Id="rId2284" Type="http://schemas.openxmlformats.org/officeDocument/2006/relationships/hyperlink" Target="http://haxan.se/" TargetMode="External"/><Relationship Id="rId3335" Type="http://schemas.openxmlformats.org/officeDocument/2006/relationships/hyperlink" Target="https://serviceteknikerkarlstad.se/aaa-tak-forstklassigt-skydd-mot-vader-vind-med-langvarig-prestanda/" TargetMode="External"/><Relationship Id="rId256" Type="http://schemas.openxmlformats.org/officeDocument/2006/relationships/hyperlink" Target="https://bigbenstandup.com/" TargetMode="External"/><Relationship Id="rId6558" Type="http://schemas.openxmlformats.org/officeDocument/2006/relationships/hyperlink" Target="https://arctic.se/se/forsakringslosningar/svensksolenergi/" TargetMode="External"/><Relationship Id="rId7956" Type="http://schemas.openxmlformats.org/officeDocument/2006/relationships/hyperlink" Target="http://spelklubben.se/" TargetMode="External"/><Relationship Id="rId10937" Type="http://schemas.openxmlformats.org/officeDocument/2006/relationships/hyperlink" Target="http://dbet.com/" TargetMode="External"/><Relationship Id="rId7609" Type="http://schemas.openxmlformats.org/officeDocument/2006/relationships/hyperlink" Target="https://www.nykommun.se/2025/02/12/utforska-kreativiteten-i-yrket-som-inredare-skapa-unika-losningar-med-mattor/" TargetMode="External"/><Relationship Id="rId9031" Type="http://schemas.openxmlformats.org/officeDocument/2006/relationships/hyperlink" Target="https://bovision.se/inspiration/att-laana-foer-att-renovera-en-loensam-affaer-i-laengden" TargetMode="External"/><Relationship Id="rId12012" Type="http://schemas.openxmlformats.org/officeDocument/2006/relationships/hyperlink" Target="https://tiotak.se/taklaggare-vasteras/" TargetMode="External"/><Relationship Id="rId1020" Type="http://schemas.openxmlformats.org/officeDocument/2006/relationships/hyperlink" Target="http://distansinstitutet.se/" TargetMode="External"/><Relationship Id="rId4590" Type="http://schemas.openxmlformats.org/officeDocument/2006/relationships/hyperlink" Target="https://levdittlivnu.se/asbestsanering-sakra-din-bostad-mot-osynliga-faror/" TargetMode="External"/><Relationship Id="rId5641" Type="http://schemas.openxmlformats.org/officeDocument/2006/relationships/hyperlink" Target="https://banjar.nu/ekonomi/kryptoekonomins-utveckling-i-en-turbulent-varld/" TargetMode="External"/><Relationship Id="rId3192" Type="http://schemas.openxmlformats.org/officeDocument/2006/relationships/hyperlink" Target="http://svenskaeljouren.se/" TargetMode="External"/><Relationship Id="rId4243" Type="http://schemas.openxmlformats.org/officeDocument/2006/relationships/hyperlink" Target="http://bigbenstandup.com/" TargetMode="External"/><Relationship Id="rId8864" Type="http://schemas.openxmlformats.org/officeDocument/2006/relationships/hyperlink" Target="https://mynicco.com/product-category/zyn/" TargetMode="External"/><Relationship Id="rId9915" Type="http://schemas.openxmlformats.org/officeDocument/2006/relationships/hyperlink" Target="https://www.dagensfastigheter.se/20250623/12967/feng-shui-i-flyttlasset-sa-skapar-du-harmoni-i-nya-hemmet" TargetMode="External"/><Relationship Id="rId7466" Type="http://schemas.openxmlformats.org/officeDocument/2006/relationships/hyperlink" Target="https://www.folkbladet.nu/2025-01-27/varens-stora-fotbollsfester-2025-stormatcherna-du-inte-vill-missa-169bf" TargetMode="External"/><Relationship Id="rId8517" Type="http://schemas.openxmlformats.org/officeDocument/2006/relationships/hyperlink" Target="https://www.dagensinfrastruktur.se/2025/03/31/stockholms-snabbast-vaxande-forort-2050-och-infrastrukturen-bakom/" TargetMode="External"/><Relationship Id="rId10794" Type="http://schemas.openxmlformats.org/officeDocument/2006/relationships/hyperlink" Target="https://www.nykommun.se/2025/08/04/fran-flyttbeslut-till-forsta-visningen-tips-for-en-trygg-forsaljning/" TargetMode="External"/><Relationship Id="rId11845" Type="http://schemas.openxmlformats.org/officeDocument/2006/relationships/hyperlink" Target="https://www.frii.se/all-i-am-beauty-en-resa-genom-amanda-schulmans-veganska-skonhetsimperium/" TargetMode="External"/><Relationship Id="rId1904" Type="http://schemas.openxmlformats.org/officeDocument/2006/relationships/hyperlink" Target="https://www.villarelining.se/" TargetMode="External"/><Relationship Id="rId6068" Type="http://schemas.openxmlformats.org/officeDocument/2006/relationships/hyperlink" Target="https://www.dagensnaringsliv.se/20241029/273911/strategisk-kapitalforvaltning-sa-kan-svenska-foretag-maximera-sin-langsiktiga" TargetMode="External"/><Relationship Id="rId7119" Type="http://schemas.openxmlformats.org/officeDocument/2006/relationships/hyperlink" Target="http://lansfast.se/" TargetMode="External"/><Relationship Id="rId10447" Type="http://schemas.openxmlformats.org/officeDocument/2006/relationships/hyperlink" Target="http://rusta.se/" TargetMode="External"/><Relationship Id="rId997" Type="http://schemas.openxmlformats.org/officeDocument/2006/relationships/hyperlink" Target="https://www.frii.se/att-studera-till-socialpedagog-pa-distans-en-vag-mot-personlig-utveckling-och-socialt-ansvar/" TargetMode="External"/><Relationship Id="rId2678" Type="http://schemas.openxmlformats.org/officeDocument/2006/relationships/hyperlink" Target="https://e-ciggbolaget.se/e-cigaretter/?hr-page=%7B%22product_count%22%3A24%7D" TargetMode="External"/><Relationship Id="rId3729" Type="http://schemas.openxmlformats.org/officeDocument/2006/relationships/hyperlink" Target="https://www.jujutsu2018.se/" TargetMode="External"/><Relationship Id="rId5151" Type="http://schemas.openxmlformats.org/officeDocument/2006/relationships/hyperlink" Target="https://www.vastraeriksberg.se/" TargetMode="External"/><Relationship Id="rId7600" Type="http://schemas.openxmlformats.org/officeDocument/2006/relationships/hyperlink" Target="https://www.nettotobak.com/zyn/" TargetMode="External"/><Relationship Id="rId6202" Type="http://schemas.openxmlformats.org/officeDocument/2006/relationships/hyperlink" Target="https://www.spelklubben.se/sv/betting/fotboll" TargetMode="External"/><Relationship Id="rId9772" Type="http://schemas.openxmlformats.org/officeDocument/2006/relationships/hyperlink" Target="http://hund.se/" TargetMode="External"/><Relationship Id="rId12753" Type="http://schemas.openxmlformats.org/officeDocument/2006/relationships/hyperlink" Target="http://indoorprofessional.se/" TargetMode="External"/><Relationship Id="rId1761" Type="http://schemas.openxmlformats.org/officeDocument/2006/relationships/hyperlink" Target="https://nettxpress.no/kjop-nye-sko-pa-nett/" TargetMode="External"/><Relationship Id="rId2812" Type="http://schemas.openxmlformats.org/officeDocument/2006/relationships/hyperlink" Target="https://www.spelklubben.se/sv" TargetMode="External"/><Relationship Id="rId8374" Type="http://schemas.openxmlformats.org/officeDocument/2006/relationships/hyperlink" Target="https://husera.nu/spara-med-smart-belysning-hemma/" TargetMode="External"/><Relationship Id="rId9425" Type="http://schemas.openxmlformats.org/officeDocument/2006/relationships/hyperlink" Target="https://www.lsb.se/" TargetMode="External"/><Relationship Id="rId11355" Type="http://schemas.openxmlformats.org/officeDocument/2006/relationships/hyperlink" Target="https://markets.vontobel.com/sv-se" TargetMode="External"/><Relationship Id="rId12406" Type="http://schemas.openxmlformats.org/officeDocument/2006/relationships/hyperlink" Target="https://tommytappar.se/lansforakringar-fastighetsformedling-i-nykoping-en-helhetslosning-for-bade-kopare-och-saljare/" TargetMode="External"/><Relationship Id="rId1414" Type="http://schemas.openxmlformats.org/officeDocument/2006/relationships/hyperlink" Target="https://ledkungen.se/" TargetMode="External"/><Relationship Id="rId4984" Type="http://schemas.openxmlformats.org/officeDocument/2006/relationships/hyperlink" Target="http://fairinvestments.se/" TargetMode="External"/><Relationship Id="rId8027" Type="http://schemas.openxmlformats.org/officeDocument/2006/relationships/hyperlink" Target="https://www.godies.fi/collections/meikki" TargetMode="External"/><Relationship Id="rId11008" Type="http://schemas.openxmlformats.org/officeDocument/2006/relationships/hyperlink" Target="https://bettingsyndikatet.se/" TargetMode="External"/><Relationship Id="rId3586" Type="http://schemas.openxmlformats.org/officeDocument/2006/relationships/hyperlink" Target="https://www.maklarringen.se/upptack-maklarringen/bostadsjuridik-ekonomi/amorteringskrav-baseras-pa-skuldkvot" TargetMode="External"/><Relationship Id="rId4637" Type="http://schemas.openxmlformats.org/officeDocument/2006/relationships/hyperlink" Target="http://mrnicco.com/" TargetMode="External"/><Relationship Id="rId2188" Type="http://schemas.openxmlformats.org/officeDocument/2006/relationships/hyperlink" Target="https://hemsidor24.se/artiklar/varlden-av-e-cigaretter-och-fordelarna-med-ett-startpaket/" TargetMode="External"/><Relationship Id="rId3239" Type="http://schemas.openxmlformats.org/officeDocument/2006/relationships/hyperlink" Target="https://www.bestatter-netz.net/" TargetMode="External"/><Relationship Id="rId7110" Type="http://schemas.openxmlformats.org/officeDocument/2006/relationships/hyperlink" Target="http://startmotor.se/" TargetMode="External"/><Relationship Id="rId9282" Type="http://schemas.openxmlformats.org/officeDocument/2006/relationships/hyperlink" Target="https://beautytube.se/tandvardens-betydelse-for-din-skonhet-och-valbefinnande-i-goteborg/" TargetMode="External"/><Relationship Id="rId3720" Type="http://schemas.openxmlformats.org/officeDocument/2006/relationships/hyperlink" Target="https://www.casinocenter.se/allt-du-behover-veta-om-fotbolls-em-2024/" TargetMode="External"/><Relationship Id="rId12263" Type="http://schemas.openxmlformats.org/officeDocument/2006/relationships/hyperlink" Target="http://blugiallo.com/" TargetMode="External"/><Relationship Id="rId13314" Type="http://schemas.openxmlformats.org/officeDocument/2006/relationships/hyperlink" Target="https://travellingforbusiness.co.uk/content/most-on-time-airlines-best-performing-airports-and-leading-hotel-loyalty-programmes-in-2025/" TargetMode="External"/><Relationship Id="rId641" Type="http://schemas.openxmlformats.org/officeDocument/2006/relationships/hyperlink" Target="http://happysocks.com/" TargetMode="External"/><Relationship Id="rId1271" Type="http://schemas.openxmlformats.org/officeDocument/2006/relationships/hyperlink" Target="https://1direct.se/studera-pa-distans-den-digitala-utbildningsrevolutionen/" TargetMode="External"/><Relationship Id="rId2322" Type="http://schemas.openxmlformats.org/officeDocument/2006/relationships/hyperlink" Target="https://distansinstitutet.se/" TargetMode="External"/><Relationship Id="rId5892" Type="http://schemas.openxmlformats.org/officeDocument/2006/relationships/hyperlink" Target="https://e-ciggbolaget.se/e-cigaretter/" TargetMode="External"/><Relationship Id="rId6943" Type="http://schemas.openxmlformats.org/officeDocument/2006/relationships/hyperlink" Target="https://www.dagensinfrastruktur.se/2024/12/21/flytande-infrastruktur-framtidens-losning-for-stader-och-kustsamhallen/" TargetMode="External"/><Relationship Id="rId4494" Type="http://schemas.openxmlformats.org/officeDocument/2006/relationships/hyperlink" Target="https://rehabgrossisten.com/skydd-bandage/kna/knaskydd/" TargetMode="External"/><Relationship Id="rId5545" Type="http://schemas.openxmlformats.org/officeDocument/2006/relationships/hyperlink" Target="https://www.spelklubben.se/sv/blog/sa-spelar-du-baccarat-en-guide" TargetMode="External"/><Relationship Id="rId3096" Type="http://schemas.openxmlformats.org/officeDocument/2006/relationships/hyperlink" Target="https://www.heteknik.se/" TargetMode="External"/><Relationship Id="rId4147" Type="http://schemas.openxmlformats.org/officeDocument/2006/relationships/hyperlink" Target="https://www.kingsizemag.se/okategoriserat/kryptovalutor-2024-en-guide-till-den-nya-finansiella-eran/" TargetMode="External"/><Relationship Id="rId8768" Type="http://schemas.openxmlformats.org/officeDocument/2006/relationships/hyperlink" Target="https://www.cherry.com/sv/live-casino/game-shows" TargetMode="External"/><Relationship Id="rId9819" Type="http://schemas.openxmlformats.org/officeDocument/2006/relationships/hyperlink" Target="https://bolagsekonomen.se/vikten-av-att-byta-tak-pa-maskinhallar-for-att-sakerstalla-langsiktig-verksamhet/" TargetMode="External"/><Relationship Id="rId10698" Type="http://schemas.openxmlformats.org/officeDocument/2006/relationships/hyperlink" Target="http://lsb.se/" TargetMode="External"/><Relationship Id="rId11749" Type="http://schemas.openxmlformats.org/officeDocument/2006/relationships/hyperlink" Target="http://yagya.com/" TargetMode="External"/><Relationship Id="rId1808" Type="http://schemas.openxmlformats.org/officeDocument/2006/relationships/hyperlink" Target="http://miamipool.se/" TargetMode="External"/><Relationship Id="rId13171" Type="http://schemas.openxmlformats.org/officeDocument/2006/relationships/hyperlink" Target="http://spelklubben.se/" TargetMode="External"/><Relationship Id="rId151" Type="http://schemas.openxmlformats.org/officeDocument/2006/relationships/hyperlink" Target="http://ljusgrossisten.se/" TargetMode="External"/><Relationship Id="rId3230" Type="http://schemas.openxmlformats.org/officeDocument/2006/relationships/hyperlink" Target="http://mariatand.se/" TargetMode="External"/><Relationship Id="rId7851" Type="http://schemas.openxmlformats.org/officeDocument/2006/relationships/hyperlink" Target="http://purakliniken.se/" TargetMode="External"/><Relationship Id="rId8902" Type="http://schemas.openxmlformats.org/officeDocument/2006/relationships/hyperlink" Target="https://journaltimes.com/life-entertainment/article_c522b2cc-a24e-53b8-b602-659cb1b9257f.html" TargetMode="External"/><Relationship Id="rId10832" Type="http://schemas.openxmlformats.org/officeDocument/2006/relationships/hyperlink" Target="https://bulletin.nu/vad-far-du-inte-lana-pengar-till" TargetMode="External"/><Relationship Id="rId6453" Type="http://schemas.openxmlformats.org/officeDocument/2006/relationships/hyperlink" Target="http://cherry.com/" TargetMode="External"/><Relationship Id="rId7504" Type="http://schemas.openxmlformats.org/officeDocument/2006/relationships/hyperlink" Target="http://kamux.fi/" TargetMode="External"/><Relationship Id="rId5055" Type="http://schemas.openxmlformats.org/officeDocument/2006/relationships/hyperlink" Target="http://spelklubben.se/" TargetMode="External"/><Relationship Id="rId6106" Type="http://schemas.openxmlformats.org/officeDocument/2006/relationships/hyperlink" Target="http://kvarnx.com/" TargetMode="External"/><Relationship Id="rId9676" Type="http://schemas.openxmlformats.org/officeDocument/2006/relationships/hyperlink" Target="https://www.dagensfastigheter.se/20250623/12968/glom-inte-sakerheten-nar-du-ar-pa-sprang-med-din-hund" TargetMode="External"/><Relationship Id="rId1665" Type="http://schemas.openxmlformats.org/officeDocument/2006/relationships/hyperlink" Target="https://www.alfa.no/collections/vintersko-til-herre" TargetMode="External"/><Relationship Id="rId2716" Type="http://schemas.openxmlformats.org/officeDocument/2006/relationships/hyperlink" Target="https://luckycasino.com/en/" TargetMode="External"/><Relationship Id="rId8278" Type="http://schemas.openxmlformats.org/officeDocument/2006/relationships/hyperlink" Target="https://www.transportnet.se/lb-article/181365/regelverket-kring-kor-och-vilotider-pa-svenska-vagar" TargetMode="External"/><Relationship Id="rId9329" Type="http://schemas.openxmlformats.org/officeDocument/2006/relationships/hyperlink" Target="https://www.lsb.se/privatlan" TargetMode="External"/><Relationship Id="rId11259" Type="http://schemas.openxmlformats.org/officeDocument/2006/relationships/hyperlink" Target="https://www.executiveeffect.se/foretag-i-framkant-inom-motoroptimering/" TargetMode="External"/><Relationship Id="rId12657" Type="http://schemas.openxmlformats.org/officeDocument/2006/relationships/hyperlink" Target="http://mrvegas.com/" TargetMode="External"/><Relationship Id="rId1318" Type="http://schemas.openxmlformats.org/officeDocument/2006/relationships/hyperlink" Target="http://robomarkets.com/" TargetMode="External"/><Relationship Id="rId4888" Type="http://schemas.openxmlformats.org/officeDocument/2006/relationships/hyperlink" Target="http://bethard.com/" TargetMode="External"/><Relationship Id="rId5939" Type="http://schemas.openxmlformats.org/officeDocument/2006/relationships/hyperlink" Target="http://fairinvestments.se/" TargetMode="External"/><Relationship Id="rId7361" Type="http://schemas.openxmlformats.org/officeDocument/2006/relationships/hyperlink" Target="https://www.mrnicco.com/" TargetMode="External"/><Relationship Id="rId9810" Type="http://schemas.openxmlformats.org/officeDocument/2006/relationships/hyperlink" Target="https://nybyggdahus.se/vikten-av-professionell-vvs-service-for-ditt-hem-i-taby/" TargetMode="External"/><Relationship Id="rId11740" Type="http://schemas.openxmlformats.org/officeDocument/2006/relationships/hyperlink" Target="http://yagya.com/" TargetMode="External"/><Relationship Id="rId24" Type="http://schemas.openxmlformats.org/officeDocument/2006/relationships/hyperlink" Target="https://haxan.se/" TargetMode="External"/><Relationship Id="rId7014" Type="http://schemas.openxmlformats.org/officeDocument/2006/relationships/hyperlink" Target="https://www.coface.no/inkasso" TargetMode="External"/><Relationship Id="rId8412" Type="http://schemas.openxmlformats.org/officeDocument/2006/relationships/hyperlink" Target="http://nettotobak.com/" TargetMode="External"/><Relationship Id="rId10342" Type="http://schemas.openxmlformats.org/officeDocument/2006/relationships/hyperlink" Target="http://kungaslottet.se/" TargetMode="External"/><Relationship Id="rId3971" Type="http://schemas.openxmlformats.org/officeDocument/2006/relationships/hyperlink" Target="http://sakraror.se/" TargetMode="External"/><Relationship Id="rId892" Type="http://schemas.openxmlformats.org/officeDocument/2006/relationships/hyperlink" Target="https://erhvervplus.dk/annoncoerbetaltindhold/hvad-betyder-kreditvurderinger-for-virksomheder" TargetMode="External"/><Relationship Id="rId2573" Type="http://schemas.openxmlformats.org/officeDocument/2006/relationships/hyperlink" Target="https://www.lansfast.se/maklare/stockholm/taby-danderyd/" TargetMode="External"/><Relationship Id="rId3624" Type="http://schemas.openxmlformats.org/officeDocument/2006/relationships/hyperlink" Target="https://rehabgrossisten.com/skydd-bandage/kna/knaskydd/" TargetMode="External"/><Relationship Id="rId9186" Type="http://schemas.openxmlformats.org/officeDocument/2006/relationships/hyperlink" Target="http://arctic.se/" TargetMode="External"/><Relationship Id="rId12167" Type="http://schemas.openxmlformats.org/officeDocument/2006/relationships/hyperlink" Target="https://www.vont.se/to-go/0-mg-ml" TargetMode="External"/><Relationship Id="rId13218" Type="http://schemas.openxmlformats.org/officeDocument/2006/relationships/hyperlink" Target="https://www.megariches.com/" TargetMode="External"/><Relationship Id="rId545" Type="http://schemas.openxmlformats.org/officeDocument/2006/relationships/hyperlink" Target="https://livsstilsbloggen.se/sa-lyckas-man-med-halsosamma-livstilsforandringar/" TargetMode="External"/><Relationship Id="rId1175" Type="http://schemas.openxmlformats.org/officeDocument/2006/relationships/hyperlink" Target="http://aretrotale.com/" TargetMode="External"/><Relationship Id="rId2226" Type="http://schemas.openxmlformats.org/officeDocument/2006/relationships/hyperlink" Target="https://www.veterinarklinikenbirsta.se/" TargetMode="External"/><Relationship Id="rId5796" Type="http://schemas.openxmlformats.org/officeDocument/2006/relationships/hyperlink" Target="https://byggbalans.se/taklaggare-nyckelroll-inom-byggeri/" TargetMode="External"/><Relationship Id="rId6847" Type="http://schemas.openxmlformats.org/officeDocument/2006/relationships/hyperlink" Target="http://vardagsfrid.se/" TargetMode="External"/><Relationship Id="rId4398" Type="http://schemas.openxmlformats.org/officeDocument/2006/relationships/hyperlink" Target="https://www.merinfo.se/foretag/Fair-Investments-Sweden-AB-5568169626/2k3576i-kqah" TargetMode="External"/><Relationship Id="rId5449" Type="http://schemas.openxmlformats.org/officeDocument/2006/relationships/hyperlink" Target="https://www.purakliniken.se/estetisk-tandvard/skalfasader/" TargetMode="External"/><Relationship Id="rId9320" Type="http://schemas.openxmlformats.org/officeDocument/2006/relationships/hyperlink" Target="https://cateringfabriken.se/" TargetMode="External"/><Relationship Id="rId11250" Type="http://schemas.openxmlformats.org/officeDocument/2006/relationships/hyperlink" Target="https://www.dieselkraft.se/Visa-produkter" TargetMode="External"/><Relationship Id="rId12301" Type="http://schemas.openxmlformats.org/officeDocument/2006/relationships/hyperlink" Target="https://gastronomen.se/ett-tobaksfritt-alternativ-for-snusentusiaster/" TargetMode="External"/><Relationship Id="rId5930" Type="http://schemas.openxmlformats.org/officeDocument/2006/relationships/hyperlink" Target="http://spelklubben.se/" TargetMode="External"/><Relationship Id="rId3481" Type="http://schemas.openxmlformats.org/officeDocument/2006/relationships/hyperlink" Target="http://filippa-k.com/se/sv/" TargetMode="External"/><Relationship Id="rId4532" Type="http://schemas.openxmlformats.org/officeDocument/2006/relationships/hyperlink" Target="https://www.tryggbil.se/" TargetMode="External"/><Relationship Id="rId13075" Type="http://schemas.openxmlformats.org/officeDocument/2006/relationships/hyperlink" Target="https://www.dackhjalp.se/inlagg/dags-for-dackbyte-en-guide-till-ett-sakert-skifte/" TargetMode="External"/><Relationship Id="rId2083" Type="http://schemas.openxmlformats.org/officeDocument/2006/relationships/hyperlink" Target="http://alexbyggkonsult.se/" TargetMode="External"/><Relationship Id="rId3134" Type="http://schemas.openxmlformats.org/officeDocument/2006/relationships/hyperlink" Target="https://www.alvtorpet.se/" TargetMode="External"/><Relationship Id="rId7755" Type="http://schemas.openxmlformats.org/officeDocument/2006/relationships/hyperlink" Target="http://coface.se/kreditfoersaekring" TargetMode="External"/><Relationship Id="rId8806" Type="http://schemas.openxmlformats.org/officeDocument/2006/relationships/hyperlink" Target="https://www.papperochmassa.se/20250425/5682/sa-haller-du-koll-pa-dina-papper-7-enkla-knep-battre-ordning" TargetMode="External"/><Relationship Id="rId6357" Type="http://schemas.openxmlformats.org/officeDocument/2006/relationships/hyperlink" Target="https://www.entreprenad.com/lb-article/181004/hallbarhet-och-innovation-inom-marin-entreprenad-svenska-pontonhamnar-i-fokus" TargetMode="External"/><Relationship Id="rId7408" Type="http://schemas.openxmlformats.org/officeDocument/2006/relationships/hyperlink" Target="https://www.joureliten.se/" TargetMode="External"/><Relationship Id="rId10736" Type="http://schemas.openxmlformats.org/officeDocument/2006/relationships/hyperlink" Target="http://rusta.se/" TargetMode="External"/><Relationship Id="rId1569" Type="http://schemas.openxmlformats.org/officeDocument/2006/relationships/hyperlink" Target="http://alfa.no/" TargetMode="External"/><Relationship Id="rId2967" Type="http://schemas.openxmlformats.org/officeDocument/2006/relationships/hyperlink" Target="https://e-ciggbolaget.se/" TargetMode="External"/><Relationship Id="rId5440" Type="http://schemas.openxmlformats.org/officeDocument/2006/relationships/hyperlink" Target="https://goodthingsmagazine.com/embrace-the-season-of-romance/" TargetMode="External"/><Relationship Id="rId939" Type="http://schemas.openxmlformats.org/officeDocument/2006/relationships/hyperlink" Target="https://www.womendailymagazine.com/3-key-pieces-for-your-functional-wardrobe-this-year/" TargetMode="External"/><Relationship Id="rId4042" Type="http://schemas.openxmlformats.org/officeDocument/2006/relationships/hyperlink" Target="https://ironmanmagazine.se/forebygg-knasmarta" TargetMode="External"/><Relationship Id="rId11991" Type="http://schemas.openxmlformats.org/officeDocument/2006/relationships/hyperlink" Target="http://lemontree.se/" TargetMode="External"/><Relationship Id="rId8663" Type="http://schemas.openxmlformats.org/officeDocument/2006/relationships/hyperlink" Target="https://supernormal.health/se/" TargetMode="External"/><Relationship Id="rId9714" Type="http://schemas.openxmlformats.org/officeDocument/2006/relationships/hyperlink" Target="http://nordicknots.com/us" TargetMode="External"/><Relationship Id="rId10593" Type="http://schemas.openxmlformats.org/officeDocument/2006/relationships/hyperlink" Target="https://technobark.com/best-dog-gps-trackers/" TargetMode="External"/><Relationship Id="rId11644" Type="http://schemas.openxmlformats.org/officeDocument/2006/relationships/hyperlink" Target="https://markets.vontobel.com/fi-fi/tuotteet/viputuotteet/minifutuuri" TargetMode="External"/><Relationship Id="rId1703" Type="http://schemas.openxmlformats.org/officeDocument/2006/relationships/hyperlink" Target="https://aretrotale.com/" TargetMode="External"/><Relationship Id="rId7265" Type="http://schemas.openxmlformats.org/officeDocument/2006/relationships/hyperlink" Target="http://nordicknots.com/" TargetMode="External"/><Relationship Id="rId8316" Type="http://schemas.openxmlformats.org/officeDocument/2006/relationships/hyperlink" Target="http://executiveeffect.se/vad-ar-fair-investments/" TargetMode="External"/><Relationship Id="rId10246" Type="http://schemas.openxmlformats.org/officeDocument/2006/relationships/hyperlink" Target="https://yourgild.com/" TargetMode="External"/><Relationship Id="rId3875" Type="http://schemas.openxmlformats.org/officeDocument/2006/relationships/hyperlink" Target="https://www.djungeltrumman.se/hur-sveriges-foretag-investerar-2024/" TargetMode="External"/><Relationship Id="rId4926" Type="http://schemas.openxmlformats.org/officeDocument/2006/relationships/hyperlink" Target="http://kvarnx.com/" TargetMode="External"/><Relationship Id="rId796" Type="http://schemas.openxmlformats.org/officeDocument/2006/relationships/hyperlink" Target="https://nighthelper.com/why-accessories-matter-much-more-than-you-think/" TargetMode="External"/><Relationship Id="rId2477" Type="http://schemas.openxmlformats.org/officeDocument/2006/relationships/hyperlink" Target="https://www.alfa.no/collections/skisko-til-herre" TargetMode="External"/><Relationship Id="rId3528" Type="http://schemas.openxmlformats.org/officeDocument/2006/relationships/hyperlink" Target="http://cannabislight.se/" TargetMode="External"/><Relationship Id="rId449" Type="http://schemas.openxmlformats.org/officeDocument/2006/relationships/hyperlink" Target="https://advancepointcap.com/emergency-loan/" TargetMode="External"/><Relationship Id="rId1079" Type="http://schemas.openxmlformats.org/officeDocument/2006/relationships/hyperlink" Target="https://www.lansfast.se/maklare/sodermanland/nykoping/" TargetMode="External"/><Relationship Id="rId6001" Type="http://schemas.openxmlformats.org/officeDocument/2006/relationships/hyperlink" Target="https://autolaina.io/kuinka-loytaa-sopiva-autolaina-vinkkeja-autokauppaan-ja-rahoituksen-valintaan/" TargetMode="External"/><Relationship Id="rId9571" Type="http://schemas.openxmlformats.org/officeDocument/2006/relationships/hyperlink" Target="http://upplevelse.com/" TargetMode="External"/><Relationship Id="rId8173" Type="http://schemas.openxmlformats.org/officeDocument/2006/relationships/hyperlink" Target="https://sakraror.se/vara-tjanster/allman-service-vvs/vvs-i-taby/" TargetMode="External"/><Relationship Id="rId9224" Type="http://schemas.openxmlformats.org/officeDocument/2006/relationships/hyperlink" Target="https://businesshelper.se/en-smartare-losning-for-lonehantering-i-foretag/" TargetMode="External"/><Relationship Id="rId12552" Type="http://schemas.openxmlformats.org/officeDocument/2006/relationships/hyperlink" Target="https://www.veterinarklinikenbirsta.se/" TargetMode="External"/><Relationship Id="rId930" Type="http://schemas.openxmlformats.org/officeDocument/2006/relationships/hyperlink" Target="https://www.happysocks.com/eu/collection/dressed" TargetMode="External"/><Relationship Id="rId1560" Type="http://schemas.openxmlformats.org/officeDocument/2006/relationships/hyperlink" Target="https://haxan.se/products/haxan-bikarbonat" TargetMode="External"/><Relationship Id="rId2611" Type="http://schemas.openxmlformats.org/officeDocument/2006/relationships/hyperlink" Target="https://www.reco.se/fair-investments-sweden-ab" TargetMode="External"/><Relationship Id="rId11154" Type="http://schemas.openxmlformats.org/officeDocument/2006/relationships/hyperlink" Target="https://www.fena.nu/" TargetMode="External"/><Relationship Id="rId12205" Type="http://schemas.openxmlformats.org/officeDocument/2006/relationships/hyperlink" Target="https://finansonline.se/5-anledningar-ditt-foretag-bor-jobba-med-fair-investments/" TargetMode="External"/><Relationship Id="rId1213" Type="http://schemas.openxmlformats.org/officeDocument/2006/relationships/hyperlink" Target="https://www.vont.se/" TargetMode="External"/><Relationship Id="rId4783" Type="http://schemas.openxmlformats.org/officeDocument/2006/relationships/hyperlink" Target="http://aretrotale.com/" TargetMode="External"/><Relationship Id="rId5834" Type="http://schemas.openxmlformats.org/officeDocument/2006/relationships/hyperlink" Target="https://vackerhud.se/tandimplantat-i-stockholm-en-guide-till-skonhetsfull-munhalsa/" TargetMode="External"/><Relationship Id="rId3385" Type="http://schemas.openxmlformats.org/officeDocument/2006/relationships/hyperlink" Target="https://www.spelklubben.se/sv/casino" TargetMode="External"/><Relationship Id="rId4436" Type="http://schemas.openxmlformats.org/officeDocument/2006/relationships/hyperlink" Target="https://medeltidsmarknad.se/steg-for-steg-hur-du-valjer-ratt-minireningsverk/" TargetMode="External"/><Relationship Id="rId3038" Type="http://schemas.openxmlformats.org/officeDocument/2006/relationships/hyperlink" Target="http://spelklubben.se/" TargetMode="External"/><Relationship Id="rId7659" Type="http://schemas.openxmlformats.org/officeDocument/2006/relationships/hyperlink" Target="http://rusta.se/" TargetMode="External"/><Relationship Id="rId10987" Type="http://schemas.openxmlformats.org/officeDocument/2006/relationships/hyperlink" Target="http://rusta.se/" TargetMode="External"/><Relationship Id="rId9081" Type="http://schemas.openxmlformats.org/officeDocument/2006/relationships/hyperlink" Target="http://lsb.se/" TargetMode="External"/><Relationship Id="rId12062" Type="http://schemas.openxmlformats.org/officeDocument/2006/relationships/hyperlink" Target="http://conclean.se/" TargetMode="External"/><Relationship Id="rId440" Type="http://schemas.openxmlformats.org/officeDocument/2006/relationships/hyperlink" Target="https://www.happysocks.com/us/collection/socks-for-women" TargetMode="External"/><Relationship Id="rId1070" Type="http://schemas.openxmlformats.org/officeDocument/2006/relationships/hyperlink" Target="https://www.happysocks.com/us/collection/socks-for-men" TargetMode="External"/><Relationship Id="rId2121" Type="http://schemas.openxmlformats.org/officeDocument/2006/relationships/hyperlink" Target="https://www.inmygarden.se/planera-forst-bygg-sen" TargetMode="External"/><Relationship Id="rId13113" Type="http://schemas.openxmlformats.org/officeDocument/2006/relationships/hyperlink" Target="https://www.avanza.se/fonder/om-fonden.html/1205492/spets-a" TargetMode="External"/><Relationship Id="rId5691" Type="http://schemas.openxmlformats.org/officeDocument/2006/relationships/hyperlink" Target="https://alltomnorrtalje.se/extrajobb-i-norrtalje-vilka-alternativ-finns-utover-sommarjobb/" TargetMode="External"/><Relationship Id="rId6742" Type="http://schemas.openxmlformats.org/officeDocument/2006/relationships/hyperlink" Target="http://arctic.se/" TargetMode="External"/><Relationship Id="rId4293" Type="http://schemas.openxmlformats.org/officeDocument/2006/relationships/hyperlink" Target="https://www.lidingonyheter.se/den-sociala-dimensionen-av-onlinecasinon/" TargetMode="External"/><Relationship Id="rId5344" Type="http://schemas.openxmlformats.org/officeDocument/2006/relationships/hyperlink" Target="http://bethard.com/" TargetMode="External"/><Relationship Id="rId9965" Type="http://schemas.openxmlformats.org/officeDocument/2006/relationships/hyperlink" Target="https://kelleher-international.com/professional-matchmaking-for-men/" TargetMode="External"/><Relationship Id="rId11895" Type="http://schemas.openxmlformats.org/officeDocument/2006/relationships/hyperlink" Target="https://www.villarelining.se/boka-besiktning" TargetMode="External"/><Relationship Id="rId1954" Type="http://schemas.openxmlformats.org/officeDocument/2006/relationships/hyperlink" Target="http://carpcon.se/" TargetMode="External"/><Relationship Id="rId8567" Type="http://schemas.openxmlformats.org/officeDocument/2006/relationships/hyperlink" Target="http://nordicknots.com/us/rugs" TargetMode="External"/><Relationship Id="rId9618" Type="http://schemas.openxmlformats.org/officeDocument/2006/relationships/hyperlink" Target="https://www.orienteringsmagasinet.se/smadetaljer-som-gor-skillnad-i-skogen/" TargetMode="External"/><Relationship Id="rId10497" Type="http://schemas.openxmlformats.org/officeDocument/2006/relationships/hyperlink" Target="https://leaptodigital.com/roofing-crm" TargetMode="External"/><Relationship Id="rId11548" Type="http://schemas.openxmlformats.org/officeDocument/2006/relationships/hyperlink" Target="https://sufracofinebrands.com/kategori/badrum" TargetMode="External"/><Relationship Id="rId12946" Type="http://schemas.openxmlformats.org/officeDocument/2006/relationships/hyperlink" Target="http://northtracker.com/" TargetMode="External"/><Relationship Id="rId1607" Type="http://schemas.openxmlformats.org/officeDocument/2006/relationships/hyperlink" Target="https://distansinstitutet.se/distansutbildningar/" TargetMode="External"/><Relationship Id="rId7169" Type="http://schemas.openxmlformats.org/officeDocument/2006/relationships/hyperlink" Target="https://butiksutrustning.se/kontorsmaterial-for-foretag-smarta-val-for-varje-arbetsplats/" TargetMode="External"/><Relationship Id="rId3779" Type="http://schemas.openxmlformats.org/officeDocument/2006/relationships/hyperlink" Target="https://massagestockholm.se/" TargetMode="External"/><Relationship Id="rId7650" Type="http://schemas.openxmlformats.org/officeDocument/2006/relationships/hyperlink" Target="http://hund.se/" TargetMode="External"/><Relationship Id="rId6252" Type="http://schemas.openxmlformats.org/officeDocument/2006/relationships/hyperlink" Target="https://tryggbil.se/volkswagen/" TargetMode="External"/><Relationship Id="rId7303" Type="http://schemas.openxmlformats.org/officeDocument/2006/relationships/hyperlink" Target="https://www.entreprenad.com/lb-article/181165/byggbranschens-konkursvag-orsakerna-bakom-foretagens-fall" TargetMode="External"/><Relationship Id="rId8701" Type="http://schemas.openxmlformats.org/officeDocument/2006/relationships/hyperlink" Target="https://www.tandlakare.se/stad/goteborg/" TargetMode="External"/><Relationship Id="rId10631" Type="http://schemas.openxmlformats.org/officeDocument/2006/relationships/hyperlink" Target="https://evpowered.co.uk/feature/taking-a-victory-lap-with-racing-themed-casino-games/" TargetMode="External"/><Relationship Id="rId2862" Type="http://schemas.openxmlformats.org/officeDocument/2006/relationships/hyperlink" Target="https://www.lansfast.se/maklare/stockholm/taby-danderyd/" TargetMode="External"/><Relationship Id="rId3913" Type="http://schemas.openxmlformats.org/officeDocument/2006/relationships/hyperlink" Target="https://www.bodhi.se/lindra-tandvark-med-meditation" TargetMode="External"/><Relationship Id="rId8077" Type="http://schemas.openxmlformats.org/officeDocument/2006/relationships/hyperlink" Target="http://spelklubben.se/" TargetMode="External"/><Relationship Id="rId9475" Type="http://schemas.openxmlformats.org/officeDocument/2006/relationships/hyperlink" Target="http://bethard.com/" TargetMode="External"/><Relationship Id="rId12456" Type="http://schemas.openxmlformats.org/officeDocument/2006/relationships/hyperlink" Target="https://renbyggbransch.nu/det-framsta-valet-for-byggfirma-i-stockholm/" TargetMode="External"/><Relationship Id="rId834" Type="http://schemas.openxmlformats.org/officeDocument/2006/relationships/hyperlink" Target="https://www.vont.se/" TargetMode="External"/><Relationship Id="rId1464" Type="http://schemas.openxmlformats.org/officeDocument/2006/relationships/hyperlink" Target="http://advancepointcap.com/" TargetMode="External"/><Relationship Id="rId2515" Type="http://schemas.openxmlformats.org/officeDocument/2006/relationships/hyperlink" Target="https://www.morebyggen.se/" TargetMode="External"/><Relationship Id="rId9128" Type="http://schemas.openxmlformats.org/officeDocument/2006/relationships/hyperlink" Target="http://mynicco.com/" TargetMode="External"/><Relationship Id="rId11058" Type="http://schemas.openxmlformats.org/officeDocument/2006/relationships/hyperlink" Target="http://minifinder.se/" TargetMode="External"/><Relationship Id="rId12109" Type="http://schemas.openxmlformats.org/officeDocument/2006/relationships/hyperlink" Target="http://robomarkets.com/" TargetMode="External"/><Relationship Id="rId1117" Type="http://schemas.openxmlformats.org/officeDocument/2006/relationships/hyperlink" Target="https://www.theinspirespy.com/socks-fashion-trends-for-the-modern-individual/" TargetMode="External"/><Relationship Id="rId4687" Type="http://schemas.openxmlformats.org/officeDocument/2006/relationships/hyperlink" Target="http://w3elsolenergi.se/" TargetMode="External"/><Relationship Id="rId5738" Type="http://schemas.openxmlformats.org/officeDocument/2006/relationships/hyperlink" Target="https://footballteams.org/sv/blogg-sv/odds-pa-laguppstallning-saknas-det-i-dagens-sport/" TargetMode="External"/><Relationship Id="rId3289" Type="http://schemas.openxmlformats.org/officeDocument/2006/relationships/hyperlink" Target="https://distansinstitutet.se/distansutbildningar/ekonomi/upphandlare/" TargetMode="External"/><Relationship Id="rId7160" Type="http://schemas.openxmlformats.org/officeDocument/2006/relationships/hyperlink" Target="http://seniorrabatt.se/" TargetMode="External"/><Relationship Id="rId8211" Type="http://schemas.openxmlformats.org/officeDocument/2006/relationships/hyperlink" Target="https://beautymama.se/akut-tandvard-i-stockholm-sa-far-du-ett-vackert-leende-snabbt/" TargetMode="External"/><Relationship Id="rId10141" Type="http://schemas.openxmlformats.org/officeDocument/2006/relationships/hyperlink" Target="https://www.kleer.se/ekonomisystem/bokforingsprogram/" TargetMode="External"/><Relationship Id="rId3770" Type="http://schemas.openxmlformats.org/officeDocument/2006/relationships/hyperlink" Target="https://rosaspensionat.se/" TargetMode="External"/><Relationship Id="rId4821" Type="http://schemas.openxmlformats.org/officeDocument/2006/relationships/hyperlink" Target="https://gaffa.se/sponsrat-innehall/2024/januar-december/klaerne-som-garanterer-at-du-klarer-festivalsommeren/" TargetMode="External"/><Relationship Id="rId344" Type="http://schemas.openxmlformats.org/officeDocument/2006/relationships/hyperlink" Target="https://egenvilla.se/darfor-bor-du-alltid-jamfora-bade-lan-och-forsakringar-innan-du-koper-ett-hus/" TargetMode="External"/><Relationship Id="rId691" Type="http://schemas.openxmlformats.org/officeDocument/2006/relationships/hyperlink" Target="https://podradio.nu/vaping-vs-smoking-hur-vaping-har-forandrat-nikotinmarknaden/" TargetMode="External"/><Relationship Id="rId2025" Type="http://schemas.openxmlformats.org/officeDocument/2006/relationships/hyperlink" Target="https://www.wildjunketmagazine.com/electronics-to-carry-on-your-adventure-trip" TargetMode="External"/><Relationship Id="rId2372" Type="http://schemas.openxmlformats.org/officeDocument/2006/relationships/hyperlink" Target="http://svenskaeljouren.se/" TargetMode="External"/><Relationship Id="rId3423" Type="http://schemas.openxmlformats.org/officeDocument/2006/relationships/hyperlink" Target="https://edgehyllie.se/bergvarme-i-sundsvall-erbjuder-helhetslosningar-for-ren-vinst-miljovanlig-uppvarmning/" TargetMode="External"/><Relationship Id="rId6993" Type="http://schemas.openxmlformats.org/officeDocument/2006/relationships/hyperlink" Target="https://svenskiptv.com/" TargetMode="External"/><Relationship Id="rId13017" Type="http://schemas.openxmlformats.org/officeDocument/2006/relationships/hyperlink" Target="https://www.lsb.se/" TargetMode="External"/><Relationship Id="rId5595" Type="http://schemas.openxmlformats.org/officeDocument/2006/relationships/hyperlink" Target="http://sakraror.se/" TargetMode="External"/><Relationship Id="rId6646" Type="http://schemas.openxmlformats.org/officeDocument/2006/relationships/hyperlink" Target="http://kvarnx.com/" TargetMode="External"/><Relationship Id="rId4197" Type="http://schemas.openxmlformats.org/officeDocument/2006/relationships/hyperlink" Target="https://www.interiorguiden.se/att-hitta-en-byggfirma-i-stockholm" TargetMode="External"/><Relationship Id="rId5248" Type="http://schemas.openxmlformats.org/officeDocument/2006/relationships/hyperlink" Target="https://www.nodepositbonus.cc/" TargetMode="External"/><Relationship Id="rId9869" Type="http://schemas.openxmlformats.org/officeDocument/2006/relationships/hyperlink" Target="http://yourgild.com/" TargetMode="External"/><Relationship Id="rId12100" Type="http://schemas.openxmlformats.org/officeDocument/2006/relationships/hyperlink" Target="https://www.foyen.se/affarsomraden/fastighetsratt/" TargetMode="External"/><Relationship Id="rId1858" Type="http://schemas.openxmlformats.org/officeDocument/2006/relationships/hyperlink" Target="https://sundsvallbergvarme.se/" TargetMode="External"/><Relationship Id="rId11799" Type="http://schemas.openxmlformats.org/officeDocument/2006/relationships/hyperlink" Target="https://www.executiveeffect.se/fastighetsjuridik-inom-advokatbyrans-starka-branschfokus/" TargetMode="External"/><Relationship Id="rId2909" Type="http://schemas.openxmlformats.org/officeDocument/2006/relationships/hyperlink" Target="https://www.totallystockholm.se/luckycasino-utforska-spanningen-med-hog-volatilitet-i-online-slots/" TargetMode="External"/><Relationship Id="rId3280" Type="http://schemas.openxmlformats.org/officeDocument/2006/relationships/hyperlink" Target="https://www.spelklubben.se/sv/live-casino" TargetMode="External"/><Relationship Id="rId4331" Type="http://schemas.openxmlformats.org/officeDocument/2006/relationships/hyperlink" Target="https://e-ciggbolaget.se/" TargetMode="External"/><Relationship Id="rId8952" Type="http://schemas.openxmlformats.org/officeDocument/2006/relationships/hyperlink" Target="http://spelklubben.se/" TargetMode="External"/><Relationship Id="rId10882" Type="http://schemas.openxmlformats.org/officeDocument/2006/relationships/hyperlink" Target="https://passioneffect.se/stoppa-lackaget-praktiska-tips-for-ditt-team/" TargetMode="External"/><Relationship Id="rId11933" Type="http://schemas.openxmlformats.org/officeDocument/2006/relationships/hyperlink" Target="https://www.alltjanstsala.se/2023/09/27/underhallande-aktiviteter-i-stockholm-fran-stand-up-till-kultur/" TargetMode="External"/><Relationship Id="rId6156" Type="http://schemas.openxmlformats.org/officeDocument/2006/relationships/hyperlink" Target="http://arctic.se/" TargetMode="External"/><Relationship Id="rId7554" Type="http://schemas.openxmlformats.org/officeDocument/2006/relationships/hyperlink" Target="https://www.technology.org/2025/02/03/how-smart-technology-is-making-pet-care-easier/" TargetMode="External"/><Relationship Id="rId8605" Type="http://schemas.openxmlformats.org/officeDocument/2006/relationships/hyperlink" Target="https://dinbyggnad.se/forsakringar-for-solcellsanlaggningar-en-trygghet-for-byggbranschen/" TargetMode="External"/><Relationship Id="rId10535" Type="http://schemas.openxmlformats.org/officeDocument/2006/relationships/hyperlink" Target="http://spelklubben.se/" TargetMode="External"/><Relationship Id="rId7207" Type="http://schemas.openxmlformats.org/officeDocument/2006/relationships/hyperlink" Target="http://joureliten.se/" TargetMode="External"/><Relationship Id="rId2766" Type="http://schemas.openxmlformats.org/officeDocument/2006/relationships/hyperlink" Target="http://glitnor.com/" TargetMode="External"/><Relationship Id="rId3817" Type="http://schemas.openxmlformats.org/officeDocument/2006/relationships/hyperlink" Target="http://optione.se/adblue-off/" TargetMode="External"/><Relationship Id="rId9379" Type="http://schemas.openxmlformats.org/officeDocument/2006/relationships/hyperlink" Target="http://acnespecialisten.se/" TargetMode="External"/><Relationship Id="rId738" Type="http://schemas.openxmlformats.org/officeDocument/2006/relationships/hyperlink" Target="http://haxan.se/" TargetMode="External"/><Relationship Id="rId1368" Type="http://schemas.openxmlformats.org/officeDocument/2006/relationships/hyperlink" Target="https://www.alfa.no/collections/fjellskisko" TargetMode="External"/><Relationship Id="rId2419" Type="http://schemas.openxmlformats.org/officeDocument/2006/relationships/hyperlink" Target="https://www.skriva-artikel.se/" TargetMode="External"/><Relationship Id="rId5989" Type="http://schemas.openxmlformats.org/officeDocument/2006/relationships/hyperlink" Target="https://mynicco.com/" TargetMode="External"/><Relationship Id="rId9860" Type="http://schemas.openxmlformats.org/officeDocument/2006/relationships/hyperlink" Target="http://chattanoogarehab.com/" TargetMode="External"/><Relationship Id="rId74" Type="http://schemas.openxmlformats.org/officeDocument/2006/relationships/hyperlink" Target="https://b&#228;stf&#246;rs&#228;kringar.se/byta-forsakringsbolag/" TargetMode="External"/><Relationship Id="rId8462" Type="http://schemas.openxmlformats.org/officeDocument/2006/relationships/hyperlink" Target="https://vitamagazine.com/?p=78702&amp;preview=1&amp;_ppp=1ff686e088" TargetMode="External"/><Relationship Id="rId9513" Type="http://schemas.openxmlformats.org/officeDocument/2006/relationships/hyperlink" Target="http://hajper.com/" TargetMode="External"/><Relationship Id="rId11790" Type="http://schemas.openxmlformats.org/officeDocument/2006/relationships/hyperlink" Target="https://eventeffect.se/vaping-en-djupdykning-i-varlden-av-vape-teknik-och-dess-olika-aspekter/" TargetMode="External"/><Relationship Id="rId12841" Type="http://schemas.openxmlformats.org/officeDocument/2006/relationships/hyperlink" Target="https://www.thefootballforum.net/blogs/staying-focused-when-watching-football-matches/" TargetMode="External"/><Relationship Id="rId2900" Type="http://schemas.openxmlformats.org/officeDocument/2006/relationships/hyperlink" Target="https://www.totallyorebro.se/uncategorized/luckycasino-en-djupdykning-i-online-spelandets-varld/" TargetMode="External"/><Relationship Id="rId7064" Type="http://schemas.openxmlformats.org/officeDocument/2006/relationships/hyperlink" Target="https://aretrotale.com/" TargetMode="External"/><Relationship Id="rId8115" Type="http://schemas.openxmlformats.org/officeDocument/2006/relationships/hyperlink" Target="http://ekstromgaray.se/" TargetMode="External"/><Relationship Id="rId10392" Type="http://schemas.openxmlformats.org/officeDocument/2006/relationships/hyperlink" Target="https://www.swedenlongstay.se/sv" TargetMode="External"/><Relationship Id="rId11443" Type="http://schemas.openxmlformats.org/officeDocument/2006/relationships/hyperlink" Target="https://businessmanualen.se/letar-du-efter-en-kontorslokal-detta-bor-du-halla-i-atanke/" TargetMode="External"/><Relationship Id="rId1502" Type="http://schemas.openxmlformats.org/officeDocument/2006/relationships/hyperlink" Target="https://www.swedoffice.se/" TargetMode="External"/><Relationship Id="rId10045" Type="http://schemas.openxmlformats.org/officeDocument/2006/relationships/hyperlink" Target="https://www.newst.se/fran-tygpasar-till-t-shirts-varfor-vi-aldrig-trottnar-pa-klassisk-merch/" TargetMode="External"/><Relationship Id="rId3674" Type="http://schemas.openxmlformats.org/officeDocument/2006/relationships/hyperlink" Target="https://www.merinfo.se/foretag/Fair-Investments-Sweden-AB-5568169626/2k3576i-kqah" TargetMode="External"/><Relationship Id="rId4725" Type="http://schemas.openxmlformats.org/officeDocument/2006/relationships/hyperlink" Target="https://www.spelklubben.se/sv/casino" TargetMode="External"/><Relationship Id="rId13268" Type="http://schemas.openxmlformats.org/officeDocument/2006/relationships/hyperlink" Target="https://pappagruppen.se/bilar-och-man-en-perfekt-kombination-i-tyreso/" TargetMode="External"/><Relationship Id="rId595" Type="http://schemas.openxmlformats.org/officeDocument/2006/relationships/hyperlink" Target="https://www.vont.se/to-go/0-mg-ml" TargetMode="External"/><Relationship Id="rId2276" Type="http://schemas.openxmlformats.org/officeDocument/2006/relationships/hyperlink" Target="https://www.schmack.se/gammal-ladugard-far-nytt-liv" TargetMode="External"/><Relationship Id="rId3327" Type="http://schemas.openxmlformats.org/officeDocument/2006/relationships/hyperlink" Target="https://finansplassen.no/lan/forbrukslan/refinansiering" TargetMode="External"/><Relationship Id="rId6897" Type="http://schemas.openxmlformats.org/officeDocument/2006/relationships/hyperlink" Target="https://www.totallystockholm.se/perioral-dermatit-vad-det-ar-och-vad-du-kan-gora/?preview_id=34337&amp;preview_nonce=f41ce7eeac&amp;_thumbnail_id=34338&amp;preview=true" TargetMode="External"/><Relationship Id="rId7948" Type="http://schemas.openxmlformats.org/officeDocument/2006/relationships/hyperlink" Target="https://passioneffect.se/konsten-att-anti-stada-sa-slipper-du-det-alla-hatar/" TargetMode="External"/><Relationship Id="rId248" Type="http://schemas.openxmlformats.org/officeDocument/2006/relationships/hyperlink" Target="https://haxan.se/products/teakolja" TargetMode="External"/><Relationship Id="rId5499" Type="http://schemas.openxmlformats.org/officeDocument/2006/relationships/hyperlink" Target="https://fi.jugomobile.com/onko-auto-parempi-myyda-itse-yksityiselle-vai/" TargetMode="External"/><Relationship Id="rId9370" Type="http://schemas.openxmlformats.org/officeDocument/2006/relationships/hyperlink" Target="http://mrvegas.com/" TargetMode="External"/><Relationship Id="rId10929" Type="http://schemas.openxmlformats.org/officeDocument/2006/relationships/hyperlink" Target="https://www.theclintoncourier.net/2025/08/19/life-hacks-for-a-cleaner-quieter-home/" TargetMode="External"/><Relationship Id="rId12351" Type="http://schemas.openxmlformats.org/officeDocument/2006/relationships/hyperlink" Target="https://gafashion.net/shining-bright-the-diverse-world-of-fashionable-watches-including-the-rise-of-solar-timepieces/" TargetMode="External"/><Relationship Id="rId2410" Type="http://schemas.openxmlformats.org/officeDocument/2006/relationships/hyperlink" Target="https://www.tarelugnt.se/cbd-olja-for-halsa-och-valbefinnande" TargetMode="External"/><Relationship Id="rId9023" Type="http://schemas.openxmlformats.org/officeDocument/2006/relationships/hyperlink" Target="https://www.mockfjards.se/" TargetMode="External"/><Relationship Id="rId12004" Type="http://schemas.openxmlformats.org/officeDocument/2006/relationships/hyperlink" Target="http://ledkungen.se/" TargetMode="External"/><Relationship Id="rId1012" Type="http://schemas.openxmlformats.org/officeDocument/2006/relationships/hyperlink" Target="https://dinlokalabokhandel.se/att-studera-kommunikator-utbildning-pa-distans-skapa-effektiva-budskap-for-framgangsrika-kommunikationsstrategier/" TargetMode="External"/><Relationship Id="rId5980" Type="http://schemas.openxmlformats.org/officeDocument/2006/relationships/hyperlink" Target="https://www.classylife.nl/inspirerende-diy-ideeen-voor-de-herfst-en-winter/" TargetMode="External"/><Relationship Id="rId3184" Type="http://schemas.openxmlformats.org/officeDocument/2006/relationships/hyperlink" Target="https://www.favorreklambyra.se/den-osynliga-hjalten-i-din-marknadsforingsstrategi" TargetMode="External"/><Relationship Id="rId4235" Type="http://schemas.openxmlformats.org/officeDocument/2006/relationships/hyperlink" Target="https://oljudsthlm.se/carpcon-din-expert-for-fonster-fonsterbyten/" TargetMode="External"/><Relationship Id="rId4582" Type="http://schemas.openxmlformats.org/officeDocument/2006/relationships/hyperlink" Target="https://dutchbullion.de/waermepumpe-versicherung-was-sie-wissen-muessen/" TargetMode="External"/><Relationship Id="rId5633" Type="http://schemas.openxmlformats.org/officeDocument/2006/relationships/hyperlink" Target="https://www.bethard.com/sv/sports" TargetMode="External"/><Relationship Id="rId8856" Type="http://schemas.openxmlformats.org/officeDocument/2006/relationships/hyperlink" Target="http://mynicco.com/" TargetMode="External"/><Relationship Id="rId9907" Type="http://schemas.openxmlformats.org/officeDocument/2006/relationships/hyperlink" Target="https://www.zmarta.fi/" TargetMode="External"/><Relationship Id="rId10786" Type="http://schemas.openxmlformats.org/officeDocument/2006/relationships/hyperlink" Target="http://sahlstenskincare.se/" TargetMode="External"/><Relationship Id="rId11837" Type="http://schemas.openxmlformats.org/officeDocument/2006/relationships/hyperlink" Target="https://vackerthem.se/inredning-och-rengoring-hur-de-paverkar-varandra/" TargetMode="External"/><Relationship Id="rId7458" Type="http://schemas.openxmlformats.org/officeDocument/2006/relationships/hyperlink" Target="http://petster.se/hast" TargetMode="External"/><Relationship Id="rId8509" Type="http://schemas.openxmlformats.org/officeDocument/2006/relationships/hyperlink" Target="https://www.svenskbyggtidning.se/2025/03/31/tank-pa-detta-innan-du-bygger-vid-vatten/" TargetMode="External"/><Relationship Id="rId10439" Type="http://schemas.openxmlformats.org/officeDocument/2006/relationships/hyperlink" Target="https://thecastle.nu/7-strategiska-tips-for-marina-entreprenorer/" TargetMode="External"/><Relationship Id="rId989" Type="http://schemas.openxmlformats.org/officeDocument/2006/relationships/hyperlink" Target="http://aretrotale.com/" TargetMode="External"/><Relationship Id="rId5490" Type="http://schemas.openxmlformats.org/officeDocument/2006/relationships/hyperlink" Target="https://podradio.nu/poddar-som-inspirerar-och-vagleder-inom-investeringar/" TargetMode="External"/><Relationship Id="rId6541" Type="http://schemas.openxmlformats.org/officeDocument/2006/relationships/hyperlink" Target="https://applemagazine.com/public-wi-fi-protect-your-apple-devices/90884" TargetMode="External"/><Relationship Id="rId10920" Type="http://schemas.openxmlformats.org/officeDocument/2006/relationships/hyperlink" Target="https://www.laprogressive.com/sponsored/sustainability" TargetMode="External"/><Relationship Id="rId4092" Type="http://schemas.openxmlformats.org/officeDocument/2006/relationships/hyperlink" Target="https://ekonomistart.se/sveriges-mest-blankade-aktier/" TargetMode="External"/><Relationship Id="rId5143" Type="http://schemas.openxmlformats.org/officeDocument/2006/relationships/hyperlink" Target="https://www.nodepositbonus.cc/" TargetMode="External"/><Relationship Id="rId8366" Type="http://schemas.openxmlformats.org/officeDocument/2006/relationships/hyperlink" Target="http://hajper.com/" TargetMode="External"/><Relationship Id="rId9764" Type="http://schemas.openxmlformats.org/officeDocument/2006/relationships/hyperlink" Target="https://hemforalla.se/forsakringar-for-solcellsanlaggningar-ger-trygghet-i-ditt-hem/" TargetMode="External"/><Relationship Id="rId11694" Type="http://schemas.openxmlformats.org/officeDocument/2006/relationships/hyperlink" Target="https://markets.vontobel.com/fi-fi/tuotteet" TargetMode="External"/><Relationship Id="rId12745" Type="http://schemas.openxmlformats.org/officeDocument/2006/relationships/hyperlink" Target="http://tandea.se/" TargetMode="External"/><Relationship Id="rId1753" Type="http://schemas.openxmlformats.org/officeDocument/2006/relationships/hyperlink" Target="https://www.swedoffice.se/" TargetMode="External"/><Relationship Id="rId2804" Type="http://schemas.openxmlformats.org/officeDocument/2006/relationships/hyperlink" Target="http://nojesnytthelsingborg.se/2024/02/26/spelklubben-framtidens-onlinecasino-" TargetMode="External"/><Relationship Id="rId8019" Type="http://schemas.openxmlformats.org/officeDocument/2006/relationships/hyperlink" Target="https://www.coface.fi/perintaepalvelut" TargetMode="External"/><Relationship Id="rId9417" Type="http://schemas.openxmlformats.org/officeDocument/2006/relationships/hyperlink" Target="http://mrvegas.com/" TargetMode="External"/><Relationship Id="rId10296" Type="http://schemas.openxmlformats.org/officeDocument/2006/relationships/hyperlink" Target="https://www.swedoffice.se/" TargetMode="External"/><Relationship Id="rId11347" Type="http://schemas.openxmlformats.org/officeDocument/2006/relationships/hyperlink" Target="http://fairinvestments.se/" TargetMode="External"/><Relationship Id="rId1406" Type="http://schemas.openxmlformats.org/officeDocument/2006/relationships/hyperlink" Target="http://blugiallo.com/" TargetMode="External"/><Relationship Id="rId4976" Type="http://schemas.openxmlformats.org/officeDocument/2006/relationships/hyperlink" Target="http://bethard.com/" TargetMode="External"/><Relationship Id="rId3578" Type="http://schemas.openxmlformats.org/officeDocument/2006/relationships/hyperlink" Target="https://fairinvestments.se/" TargetMode="External"/><Relationship Id="rId4629" Type="http://schemas.openxmlformats.org/officeDocument/2006/relationships/hyperlink" Target="https://henricsons.se/blogg/betting-vid-stora-masterskap-en-guide/" TargetMode="External"/><Relationship Id="rId8500" Type="http://schemas.openxmlformats.org/officeDocument/2006/relationships/hyperlink" Target="https://varmlandsbygden.se/partner/folk-fortsatter-att-flytta-fran-varmland-det-ar-dags-att-borja-bygga-djarvt/" TargetMode="External"/><Relationship Id="rId10430" Type="http://schemas.openxmlformats.org/officeDocument/2006/relationships/hyperlink" Target="https://www.satsdelar.se/ta-ditt-forsta-steg-mot-en-omsorgsfull-karriar/" TargetMode="External"/><Relationship Id="rId499" Type="http://schemas.openxmlformats.org/officeDocument/2006/relationships/hyperlink" Target="https://pengeskole.dk/saadan-tjener-du-penge-paa-at-samarbejde-med-de-rigtige-sponsorer-paa-din-blog/" TargetMode="External"/><Relationship Id="rId6051" Type="http://schemas.openxmlformats.org/officeDocument/2006/relationships/hyperlink" Target="https://www.joureliten.se/jour-elektriker/" TargetMode="External"/><Relationship Id="rId7102" Type="http://schemas.openxmlformats.org/officeDocument/2006/relationships/hyperlink" Target="https://www.sportochfritidsnyheter.se/20250108/4113/borsta-tanderna-och-spring-snabbare-kopplingen-mellan-ett-friskt-leende-och" TargetMode="External"/><Relationship Id="rId9274" Type="http://schemas.openxmlformats.org/officeDocument/2006/relationships/hyperlink" Target="http://tryggbil.se/" TargetMode="External"/><Relationship Id="rId633" Type="http://schemas.openxmlformats.org/officeDocument/2006/relationships/hyperlink" Target="https://markets.vontobel.com/nb-no" TargetMode="External"/><Relationship Id="rId980" Type="http://schemas.openxmlformats.org/officeDocument/2006/relationships/hyperlink" Target="https://ranaposten.no/pa-tide-med-nye-fritidssko-dette-bor-du-se-etter/" TargetMode="External"/><Relationship Id="rId1263" Type="http://schemas.openxmlformats.org/officeDocument/2006/relationships/hyperlink" Target="http://distansinstitutet.se/" TargetMode="External"/><Relationship Id="rId2314" Type="http://schemas.openxmlformats.org/officeDocument/2006/relationships/hyperlink" Target="https://www.vont.co/de/nikotinpouches" TargetMode="External"/><Relationship Id="rId2661" Type="http://schemas.openxmlformats.org/officeDocument/2006/relationships/hyperlink" Target="https://distansinstitutet.se/distansutbildningar/pedagogik/vardbitrade/" TargetMode="External"/><Relationship Id="rId3712" Type="http://schemas.openxmlformats.org/officeDocument/2006/relationships/hyperlink" Target="http://e-ciggbolaget.se/" TargetMode="External"/><Relationship Id="rId12255" Type="http://schemas.openxmlformats.org/officeDocument/2006/relationships/hyperlink" Target="https://www.swedoffice.se/" TargetMode="External"/><Relationship Id="rId13306" Type="http://schemas.openxmlformats.org/officeDocument/2006/relationships/hyperlink" Target="https://miljonhuset.se/forbattra-ljudmiljon-i-hemmet-med-akustiklosningar/" TargetMode="External"/><Relationship Id="rId5884" Type="http://schemas.openxmlformats.org/officeDocument/2006/relationships/hyperlink" Target="http://e-ciggbolaget.se/" TargetMode="External"/><Relationship Id="rId6935" Type="http://schemas.openxmlformats.org/officeDocument/2006/relationships/hyperlink" Target="http://rusta.se/" TargetMode="External"/><Relationship Id="rId3088" Type="http://schemas.openxmlformats.org/officeDocument/2006/relationships/hyperlink" Target="http://foyen.se/" TargetMode="External"/><Relationship Id="rId4486" Type="http://schemas.openxmlformats.org/officeDocument/2006/relationships/hyperlink" Target="http://purakliniken.se/" TargetMode="External"/><Relationship Id="rId5537" Type="http://schemas.openxmlformats.org/officeDocument/2006/relationships/hyperlink" Target="http://nodepositbonus.cc/" TargetMode="External"/><Relationship Id="rId4139" Type="http://schemas.openxmlformats.org/officeDocument/2006/relationships/hyperlink" Target="https://www.totallyorebro.se/uncategorized/nikotinfritt-snus-ar-det-har-for-att-stanna/" TargetMode="External"/><Relationship Id="rId8010" Type="http://schemas.openxmlformats.org/officeDocument/2006/relationships/hyperlink" Target="http://kamux.fi/" TargetMode="External"/><Relationship Id="rId4620" Type="http://schemas.openxmlformats.org/officeDocument/2006/relationships/hyperlink" Target="http://spelklubben.se/" TargetMode="External"/><Relationship Id="rId13163" Type="http://schemas.openxmlformats.org/officeDocument/2006/relationships/hyperlink" Target="http://fairinvestments.se/" TargetMode="External"/><Relationship Id="rId490" Type="http://schemas.openxmlformats.org/officeDocument/2006/relationships/hyperlink" Target="https://eventeffect.se/adligo-io-din-losning-for-intranatkommunikation-vid-evenemang/" TargetMode="External"/><Relationship Id="rId2171" Type="http://schemas.openxmlformats.org/officeDocument/2006/relationships/hyperlink" Target="http://hvvs.se/" TargetMode="External"/><Relationship Id="rId3222" Type="http://schemas.openxmlformats.org/officeDocument/2006/relationships/hyperlink" Target="https://www.lansfast.se/maklare/stockholm/taby-danderyd/" TargetMode="External"/><Relationship Id="rId143" Type="http://schemas.openxmlformats.org/officeDocument/2006/relationships/hyperlink" Target="https://b&#228;stf&#246;rs&#228;kringar.se/reseforsakring/" TargetMode="External"/><Relationship Id="rId5394" Type="http://schemas.openxmlformats.org/officeDocument/2006/relationships/hyperlink" Target="https://sakraror.se/" TargetMode="External"/><Relationship Id="rId6445" Type="http://schemas.openxmlformats.org/officeDocument/2006/relationships/hyperlink" Target="https://www.startmotor.se/kategori/startmotorer" TargetMode="External"/><Relationship Id="rId6792" Type="http://schemas.openxmlformats.org/officeDocument/2006/relationships/hyperlink" Target="https://dinkorskola.se/intensivkurs-korkort/" TargetMode="External"/><Relationship Id="rId7843" Type="http://schemas.openxmlformats.org/officeDocument/2006/relationships/hyperlink" Target="https://varmlandsbygden.se/partner/maste-vi-aka-till-huvudstaden-for-att-fixa-vara-tander/" TargetMode="External"/><Relationship Id="rId10824" Type="http://schemas.openxmlformats.org/officeDocument/2006/relationships/hyperlink" Target="https://www.haapavesi-lehti.fi/artikkeli/aika-muuttaa-taman-takia-kannattaa-kayttaa-muuttopalvelua" TargetMode="External"/><Relationship Id="rId9" Type="http://schemas.openxmlformats.org/officeDocument/2006/relationships/hyperlink" Target="https://haxan.se/" TargetMode="External"/><Relationship Id="rId5047" Type="http://schemas.openxmlformats.org/officeDocument/2006/relationships/hyperlink" Target="https://havstomt.se/artiklar/forhoj-vardet-pa-din-strandtomt-med-en-skraddarsydd-flytbrygga/" TargetMode="External"/><Relationship Id="rId12996" Type="http://schemas.openxmlformats.org/officeDocument/2006/relationships/hyperlink" Target="https://simbin.se/tekniken-bakom-mobil-racing-och-casino/" TargetMode="External"/><Relationship Id="rId9668" Type="http://schemas.openxmlformats.org/officeDocument/2006/relationships/hyperlink" Target="https://www.lsb.se/privatlan" TargetMode="External"/><Relationship Id="rId11598" Type="http://schemas.openxmlformats.org/officeDocument/2006/relationships/hyperlink" Target="https://www.swedoffice.se/" TargetMode="External"/><Relationship Id="rId12649" Type="http://schemas.openxmlformats.org/officeDocument/2006/relationships/hyperlink" Target="https://www.grontsamhallsbyggande.se/2025/09/05/rotavdraget-mitt-i-klimatdebatten/" TargetMode="External"/><Relationship Id="rId1657" Type="http://schemas.openxmlformats.org/officeDocument/2006/relationships/hyperlink" Target="https://hemplybalance.se/" TargetMode="External"/><Relationship Id="rId2708" Type="http://schemas.openxmlformats.org/officeDocument/2006/relationships/hyperlink" Target="https://elokuvamaailma.net/tutustu-online-kasinoiden-viihdetta-tarjoavaan-maailmaan/" TargetMode="External"/><Relationship Id="rId4130" Type="http://schemas.openxmlformats.org/officeDocument/2006/relationships/hyperlink" Target="https://www.bathav.se/hall-dina-avloppssystem-rena/" TargetMode="External"/><Relationship Id="rId8751" Type="http://schemas.openxmlformats.org/officeDocument/2006/relationships/hyperlink" Target="http://spelklubben.se/" TargetMode="External"/><Relationship Id="rId9802" Type="http://schemas.openxmlformats.org/officeDocument/2006/relationships/hyperlink" Target="http://swedenlongstay.se/" TargetMode="External"/><Relationship Id="rId16" Type="http://schemas.openxmlformats.org/officeDocument/2006/relationships/hyperlink" Target="http://chronos.se/" TargetMode="External"/><Relationship Id="rId7353" Type="http://schemas.openxmlformats.org/officeDocument/2006/relationships/hyperlink" Target="http://mynicco.com/" TargetMode="External"/><Relationship Id="rId8404" Type="http://schemas.openxmlformats.org/officeDocument/2006/relationships/hyperlink" Target="https://www.totallyorebro.se/uncategorized/orebros-kandislista-vad-har-vi-producerat-for-talanger-genom-aren/" TargetMode="External"/><Relationship Id="rId10681" Type="http://schemas.openxmlformats.org/officeDocument/2006/relationships/hyperlink" Target="https://stockholms-rorvvs.se/" TargetMode="External"/><Relationship Id="rId11732" Type="http://schemas.openxmlformats.org/officeDocument/2006/relationships/hyperlink" Target="https://backstageviral.com/horse-riding-breeches/" TargetMode="External"/><Relationship Id="rId7006" Type="http://schemas.openxmlformats.org/officeDocument/2006/relationships/hyperlink" Target="http://chattanoogarehab.com/" TargetMode="External"/><Relationship Id="rId10334" Type="http://schemas.openxmlformats.org/officeDocument/2006/relationships/hyperlink" Target="https://www.casinofaq.se/casino-ordlista/" TargetMode="External"/><Relationship Id="rId3963" Type="http://schemas.openxmlformats.org/officeDocument/2006/relationships/hyperlink" Target="https://www.lula.se/tankar-om-framtid-och-pengar" TargetMode="External"/><Relationship Id="rId9178" Type="http://schemas.openxmlformats.org/officeDocument/2006/relationships/hyperlink" Target="https://downtonabbeycooks.com/simple-ways-to-add-local-flair-to-traditional-dishes/" TargetMode="External"/><Relationship Id="rId884" Type="http://schemas.openxmlformats.org/officeDocument/2006/relationships/hyperlink" Target="https://eventeffect.se/begagnade-truckar-palitlighet-och-sinnesfrid-for-ditt-foretag/" TargetMode="External"/><Relationship Id="rId2565" Type="http://schemas.openxmlformats.org/officeDocument/2006/relationships/hyperlink" Target="https://finansplassen.no/lan" TargetMode="External"/><Relationship Id="rId3616" Type="http://schemas.openxmlformats.org/officeDocument/2006/relationships/hyperlink" Target="http://arctic.se/" TargetMode="External"/><Relationship Id="rId12159" Type="http://schemas.openxmlformats.org/officeDocument/2006/relationships/hyperlink" Target="https://bolagshistorik.se/fem-missar-du-bor-undvika-som-ny-taklaggare/" TargetMode="External"/><Relationship Id="rId537" Type="http://schemas.openxmlformats.org/officeDocument/2006/relationships/hyperlink" Target="https://savethefuture.se/flytbryggor-for-hamnar-och-marinor-en-jamforelse-av-betongbryggor-och-trabetongbryggor/" TargetMode="External"/><Relationship Id="rId1167" Type="http://schemas.openxmlformats.org/officeDocument/2006/relationships/hyperlink" Target="https://eventeffect.se/vapes-inom-affarslivet-en-djupdykning-i-en-vaxande-trend/" TargetMode="External"/><Relationship Id="rId2218" Type="http://schemas.openxmlformats.org/officeDocument/2006/relationships/hyperlink" Target="https://www.tryggbil.se/" TargetMode="External"/><Relationship Id="rId5788" Type="http://schemas.openxmlformats.org/officeDocument/2006/relationships/hyperlink" Target="http://mariatand.se/" TargetMode="External"/><Relationship Id="rId6839" Type="http://schemas.openxmlformats.org/officeDocument/2006/relationships/hyperlink" Target="https://www.verkstaderna.se/lb-article/181079/de-basta-bilvardsprodukterna-for-verkstader-tips-for-effektiv-rengoring-underhall" TargetMode="External"/><Relationship Id="rId12640" Type="http://schemas.openxmlformats.org/officeDocument/2006/relationships/hyperlink" Target="https://www.saleseffect.se/onboarding-i-tre-klick-hur-en-faq-guidar-nya-kunder-genom-de-forsta-hindren/" TargetMode="External"/><Relationship Id="rId8261" Type="http://schemas.openxmlformats.org/officeDocument/2006/relationships/hyperlink" Target="https://www.allaannonser.se/samarb-vanligapresenter.html" TargetMode="External"/><Relationship Id="rId9312" Type="http://schemas.openxmlformats.org/officeDocument/2006/relationships/hyperlink" Target="http://svenskalasjouren.se/" TargetMode="External"/><Relationship Id="rId10191" Type="http://schemas.openxmlformats.org/officeDocument/2006/relationships/hyperlink" Target="https://www.ibtimes.co.uk/methods-companies-should-use-increase-creativity-1737497" TargetMode="External"/><Relationship Id="rId11242" Type="http://schemas.openxmlformats.org/officeDocument/2006/relationships/hyperlink" Target="http://conclean.se/" TargetMode="External"/><Relationship Id="rId1301" Type="http://schemas.openxmlformats.org/officeDocument/2006/relationships/hyperlink" Target="https://interiorforyou.se/?p=273" TargetMode="External"/><Relationship Id="rId3473" Type="http://schemas.openxmlformats.org/officeDocument/2006/relationships/hyperlink" Target="https://www.panorastic.de/digitales-marketing-von-nikotinhaltigen-produkten" TargetMode="External"/><Relationship Id="rId4524" Type="http://schemas.openxmlformats.org/officeDocument/2006/relationships/hyperlink" Target="http://tiotak.se/" TargetMode="External"/><Relationship Id="rId4871" Type="http://schemas.openxmlformats.org/officeDocument/2006/relationships/hyperlink" Target="https://spelbolaget.nu/blogg/en-omfattande-recension-av-cherry-com/" TargetMode="External"/><Relationship Id="rId5922" Type="http://schemas.openxmlformats.org/officeDocument/2006/relationships/hyperlink" Target="http://bbml.se/" TargetMode="External"/><Relationship Id="rId13067" Type="http://schemas.openxmlformats.org/officeDocument/2006/relationships/hyperlink" Target="https://www.startmotor.se/batterier/startbatterier" TargetMode="External"/><Relationship Id="rId394" Type="http://schemas.openxmlformats.org/officeDocument/2006/relationships/hyperlink" Target="https://www.askskinfo.com/varumarke/dr-ceuracle" TargetMode="External"/><Relationship Id="rId2075" Type="http://schemas.openxmlformats.org/officeDocument/2006/relationships/hyperlink" Target="https://www.life-science.se/trygg-och-hallbar-investering" TargetMode="External"/><Relationship Id="rId3126" Type="http://schemas.openxmlformats.org/officeDocument/2006/relationships/hyperlink" Target="http://villarelining.se/" TargetMode="External"/><Relationship Id="rId5298" Type="http://schemas.openxmlformats.org/officeDocument/2006/relationships/hyperlink" Target="https://www.foyen.se/affarsomraden/tvistlosning/" TargetMode="External"/><Relationship Id="rId6696" Type="http://schemas.openxmlformats.org/officeDocument/2006/relationships/hyperlink" Target="https://www.startmotor.se/kategori/solenoider" TargetMode="External"/><Relationship Id="rId7747" Type="http://schemas.openxmlformats.org/officeDocument/2006/relationships/hyperlink" Target="http://flygbussarna.se/" TargetMode="External"/><Relationship Id="rId10728" Type="http://schemas.openxmlformats.org/officeDocument/2006/relationships/hyperlink" Target="http://hund.se/" TargetMode="External"/><Relationship Id="rId6349" Type="http://schemas.openxmlformats.org/officeDocument/2006/relationships/hyperlink" Target="http://kvarnx.com/" TargetMode="External"/><Relationship Id="rId12150" Type="http://schemas.openxmlformats.org/officeDocument/2006/relationships/hyperlink" Target="https://handlaomhem.se/sa-undviker-du-att-skada-kroppen-nar-du-putsar-fonster/" TargetMode="External"/><Relationship Id="rId13201" Type="http://schemas.openxmlformats.org/officeDocument/2006/relationships/hyperlink" Target="http://kamux.fi/" TargetMode="External"/><Relationship Id="rId2959" Type="http://schemas.openxmlformats.org/officeDocument/2006/relationships/hyperlink" Target="http://spelklubben.se/" TargetMode="External"/><Relationship Id="rId6830" Type="http://schemas.openxmlformats.org/officeDocument/2006/relationships/hyperlink" Target="https://www.saleseffect.se/att-salja-och-kopa-i-en-digital-era/" TargetMode="External"/><Relationship Id="rId4381" Type="http://schemas.openxmlformats.org/officeDocument/2006/relationships/hyperlink" Target="http://fairinvestments.se/" TargetMode="External"/><Relationship Id="rId5432" Type="http://schemas.openxmlformats.org/officeDocument/2006/relationships/hyperlink" Target="https://americannewstimes.com/news/business/how-a-virtual-ciso-can-level-up-your-cybersecurity-game/" TargetMode="External"/><Relationship Id="rId4034" Type="http://schemas.openxmlformats.org/officeDocument/2006/relationships/hyperlink" Target="https://aretrotale.com/en/" TargetMode="External"/><Relationship Id="rId8655" Type="http://schemas.openxmlformats.org/officeDocument/2006/relationships/hyperlink" Target="https://www.rusta.com/sv-se/hem-och-inredning/belysning" TargetMode="External"/><Relationship Id="rId11983" Type="http://schemas.openxmlformats.org/officeDocument/2006/relationships/hyperlink" Target="http://vont.se/" TargetMode="External"/><Relationship Id="rId7257" Type="http://schemas.openxmlformats.org/officeDocument/2006/relationships/hyperlink" Target="https://blinklist.com/tech/how-technology-changing-healthcare/" TargetMode="External"/><Relationship Id="rId8308" Type="http://schemas.openxmlformats.org/officeDocument/2006/relationships/hyperlink" Target="https://ecommunity.se/vikten-av-att-vaxa-pa-natet/" TargetMode="External"/><Relationship Id="rId9706" Type="http://schemas.openxmlformats.org/officeDocument/2006/relationships/hyperlink" Target="https://www.maklarringen.se/maklare-regioner/region-stockholm" TargetMode="External"/><Relationship Id="rId10585" Type="http://schemas.openxmlformats.org/officeDocument/2006/relationships/hyperlink" Target="http://myownwater.com/" TargetMode="External"/><Relationship Id="rId11636" Type="http://schemas.openxmlformats.org/officeDocument/2006/relationships/hyperlink" Target="http://vontabel.com/" TargetMode="External"/><Relationship Id="rId10238" Type="http://schemas.openxmlformats.org/officeDocument/2006/relationships/hyperlink" Target="http://megariches.com/" TargetMode="External"/><Relationship Id="rId3867" Type="http://schemas.openxmlformats.org/officeDocument/2006/relationships/hyperlink" Target="https://gordetmedrw.se/sv/page/bilvardskurs" TargetMode="External"/><Relationship Id="rId4918" Type="http://schemas.openxmlformats.org/officeDocument/2006/relationships/hyperlink" Target="https://www.bethard.com/sv/sports" TargetMode="External"/><Relationship Id="rId788" Type="http://schemas.openxmlformats.org/officeDocument/2006/relationships/hyperlink" Target="http://fashionetc.com/fashion/fashion-news/9281-3-ways-to-be-more-stylish-today" TargetMode="External"/><Relationship Id="rId2469" Type="http://schemas.openxmlformats.org/officeDocument/2006/relationships/hyperlink" Target="http://distansinstitutet.se/" TargetMode="External"/><Relationship Id="rId6340" Type="http://schemas.openxmlformats.org/officeDocument/2006/relationships/hyperlink" Target="http://skidvalla.se/" TargetMode="External"/><Relationship Id="rId9563" Type="http://schemas.openxmlformats.org/officeDocument/2006/relationships/hyperlink" Target="http://kleer.se/" TargetMode="External"/><Relationship Id="rId11493" Type="http://schemas.openxmlformats.org/officeDocument/2006/relationships/hyperlink" Target="http://robomarkets.com/" TargetMode="External"/><Relationship Id="rId12891" Type="http://schemas.openxmlformats.org/officeDocument/2006/relationships/hyperlink" Target="https://www.chattanoogarehab.com/us/clinical-electrotherapy/electrical-stimulation" TargetMode="External"/><Relationship Id="rId922" Type="http://schemas.openxmlformats.org/officeDocument/2006/relationships/hyperlink" Target="http://happysocks.com/" TargetMode="External"/><Relationship Id="rId1552" Type="http://schemas.openxmlformats.org/officeDocument/2006/relationships/hyperlink" Target="http://happysocks.com/" TargetMode="External"/><Relationship Id="rId2603" Type="http://schemas.openxmlformats.org/officeDocument/2006/relationships/hyperlink" Target="http://lemontree.se/" TargetMode="External"/><Relationship Id="rId2950" Type="http://schemas.openxmlformats.org/officeDocument/2006/relationships/hyperlink" Target="http://spelklubben.se/" TargetMode="External"/><Relationship Id="rId8165" Type="http://schemas.openxmlformats.org/officeDocument/2006/relationships/hyperlink" Target="https://swedenlongstay.se/sv/foretagsbostader" TargetMode="External"/><Relationship Id="rId9216" Type="http://schemas.openxmlformats.org/officeDocument/2006/relationships/hyperlink" Target="http://lansfast.se/" TargetMode="External"/><Relationship Id="rId10095" Type="http://schemas.openxmlformats.org/officeDocument/2006/relationships/hyperlink" Target="https://www.grontsamhallsbyggande.se/2025/06/29/hallbar-kultur-konst-framtidens-uttryck-i-ett-gront-samhalle/" TargetMode="External"/><Relationship Id="rId11146" Type="http://schemas.openxmlformats.org/officeDocument/2006/relationships/hyperlink" Target="http://norteam.se/" TargetMode="External"/><Relationship Id="rId12544" Type="http://schemas.openxmlformats.org/officeDocument/2006/relationships/hyperlink" Target="https://haxan.se/products/propplosare" TargetMode="External"/><Relationship Id="rId1205" Type="http://schemas.openxmlformats.org/officeDocument/2006/relationships/hyperlink" Target="https://malm&#246;cloud.se/att-boka-skadebesiktning-hos-en-skadeverkstad/" TargetMode="External"/><Relationship Id="rId3377" Type="http://schemas.openxmlformats.org/officeDocument/2006/relationships/hyperlink" Target="https://festdrinken.se/spelklubben-det-nya-casinot-i-sverige-som-revolutionerar-online-spelvarlden/" TargetMode="External"/><Relationship Id="rId4775" Type="http://schemas.openxmlformats.org/officeDocument/2006/relationships/hyperlink" Target="https://www.dagensinfrastruktur.se/2024/07/29/framtidens-infrastruktur-utveckling-och-utmaningar/" TargetMode="External"/><Relationship Id="rId5826" Type="http://schemas.openxmlformats.org/officeDocument/2006/relationships/hyperlink" Target="https://www.foyen.se/affarsomraden/tvistlosning/" TargetMode="External"/><Relationship Id="rId298" Type="http://schemas.openxmlformats.org/officeDocument/2006/relationships/hyperlink" Target="https://laxrecept.se/hur-du-far-ditt-hem-att-lukta-sott-och-frascht/" TargetMode="External"/><Relationship Id="rId4428" Type="http://schemas.openxmlformats.org/officeDocument/2006/relationships/hyperlink" Target="https://alfaoutdoor.se/" TargetMode="External"/><Relationship Id="rId7998" Type="http://schemas.openxmlformats.org/officeDocument/2006/relationships/hyperlink" Target="http://himala.ai/" TargetMode="External"/><Relationship Id="rId10979" Type="http://schemas.openxmlformats.org/officeDocument/2006/relationships/hyperlink" Target="https://www.psykologitest.se/psykisk-ohalsa-okar-i-samhallet-psykologens-tid-ar-nu/" TargetMode="External"/><Relationship Id="rId2460" Type="http://schemas.openxmlformats.org/officeDocument/2006/relationships/hyperlink" Target="https://www.gashaga.nu/bygg-din-egen-brygga" TargetMode="External"/><Relationship Id="rId3511" Type="http://schemas.openxmlformats.org/officeDocument/2006/relationships/hyperlink" Target="https://varmlandsbygden.se/partner/luckycasino-ett-spelaventyr-vart-du-an-gar/" TargetMode="External"/><Relationship Id="rId9073" Type="http://schemas.openxmlformats.org/officeDocument/2006/relationships/hyperlink" Target="https://filmeye.se/filmfrisyrer-vi-aldrig-glommer-ikoniska-harstilar-pa-vita-duken/" TargetMode="External"/><Relationship Id="rId12054" Type="http://schemas.openxmlformats.org/officeDocument/2006/relationships/hyperlink" Target="https://affarsstaden.se/esb-aditorial/investeringssparkonto-isk-och-aktier-en-djupdykning-i-langsiktiga-investeringar/" TargetMode="External"/><Relationship Id="rId13105" Type="http://schemas.openxmlformats.org/officeDocument/2006/relationships/hyperlink" Target="http://nordicknots.com/" TargetMode="External"/><Relationship Id="rId432" Type="http://schemas.openxmlformats.org/officeDocument/2006/relationships/hyperlink" Target="https://advancepointcap.com/blog/same-day-smb-loan/" TargetMode="External"/><Relationship Id="rId1062" Type="http://schemas.openxmlformats.org/officeDocument/2006/relationships/hyperlink" Target="https://schjodt.com/expertise/rekonstruktion-insolvens" TargetMode="External"/><Relationship Id="rId2113" Type="http://schemas.openxmlformats.org/officeDocument/2006/relationships/hyperlink" Target="https://twitter.com/i/flow/login?redirect_after_login=%2FFairInvSwe" TargetMode="External"/><Relationship Id="rId5683" Type="http://schemas.openxmlformats.org/officeDocument/2006/relationships/hyperlink" Target="https://www.vont.se/" TargetMode="External"/><Relationship Id="rId6734" Type="http://schemas.openxmlformats.org/officeDocument/2006/relationships/hyperlink" Target="http://hund.se/" TargetMode="External"/><Relationship Id="rId4285" Type="http://schemas.openxmlformats.org/officeDocument/2006/relationships/hyperlink" Target="https://coachjesper.se/vo2-max-en-nyckel-till-optimal-halsa-fysisk-prestation/" TargetMode="External"/><Relationship Id="rId5336" Type="http://schemas.openxmlformats.org/officeDocument/2006/relationships/hyperlink" Target="https://www.kvarnx.com/sv/kryptovalutor" TargetMode="External"/><Relationship Id="rId9957" Type="http://schemas.openxmlformats.org/officeDocument/2006/relationships/hyperlink" Target="https://www.ykkoslohja.fi/koti-keskiossa-nain-voit-parantaa-talosi-ulkonakoa-ja-lisata-mukavuutta/" TargetMode="External"/><Relationship Id="rId11887" Type="http://schemas.openxmlformats.org/officeDocument/2006/relationships/hyperlink" Target="https://www.web-templates.nu/2023/09/25/bilar-och-underhall-verkstaden-som-haller-dig-rullande/" TargetMode="External"/><Relationship Id="rId12938" Type="http://schemas.openxmlformats.org/officeDocument/2006/relationships/hyperlink" Target="https://www.djungeltrumman.se/spelen-du-kan-spela-sjalv-men-anda-ha-kul/" TargetMode="External"/><Relationship Id="rId1946" Type="http://schemas.openxmlformats.org/officeDocument/2006/relationships/hyperlink" Target="https://movingimagesmalmo.se/grymt-flyt-i-bathamnen" TargetMode="External"/><Relationship Id="rId8559" Type="http://schemas.openxmlformats.org/officeDocument/2006/relationships/hyperlink" Target="https://kelleher-international.com/professional-matchmaking-for-men/" TargetMode="External"/><Relationship Id="rId10489" Type="http://schemas.openxmlformats.org/officeDocument/2006/relationships/hyperlink" Target="https://sakraror.se/vara-tjanster/allman-service-vvs/vvs-i-sollentuna/" TargetMode="External"/><Relationship Id="rId3021" Type="http://schemas.openxmlformats.org/officeDocument/2006/relationships/hyperlink" Target="https://www.filippa-k.com/se/sv/dam/ready-to-wear/toppar" TargetMode="External"/><Relationship Id="rId6591" Type="http://schemas.openxmlformats.org/officeDocument/2006/relationships/hyperlink" Target="https://www.tigerofsweden.com/se/sv/herr/kostymer/" TargetMode="External"/><Relationship Id="rId7642" Type="http://schemas.openxmlformats.org/officeDocument/2006/relationships/hyperlink" Target="https://www.lansfast.se/maklare/sodermanland/trosa/" TargetMode="External"/><Relationship Id="rId10970" Type="http://schemas.openxmlformats.org/officeDocument/2006/relationships/hyperlink" Target="https://skanesport.se/2025/08/26/den-viktiga-gemenskapen-inom-sporten/" TargetMode="External"/><Relationship Id="rId5193" Type="http://schemas.openxmlformats.org/officeDocument/2006/relationships/hyperlink" Target="https://www.swedoffice.se/" TargetMode="External"/><Relationship Id="rId6244" Type="http://schemas.openxmlformats.org/officeDocument/2006/relationships/hyperlink" Target="http://tiotak.se/" TargetMode="External"/><Relationship Id="rId10623" Type="http://schemas.openxmlformats.org/officeDocument/2006/relationships/hyperlink" Target="https://www.mrvegas.com/mobile/welcome-bonus/" TargetMode="External"/><Relationship Id="rId9467" Type="http://schemas.openxmlformats.org/officeDocument/2006/relationships/hyperlink" Target="http://distansinstitutet.se/" TargetMode="External"/><Relationship Id="rId12795" Type="http://schemas.openxmlformats.org/officeDocument/2006/relationships/hyperlink" Target="https://influencereffect.se/skapa-ett-blandande-intryck-med-ditt-leende/" TargetMode="External"/><Relationship Id="rId2854" Type="http://schemas.openxmlformats.org/officeDocument/2006/relationships/hyperlink" Target="https://luckycasino.com/en/sports" TargetMode="External"/><Relationship Id="rId3905" Type="http://schemas.openxmlformats.org/officeDocument/2006/relationships/hyperlink" Target="http://startmotor.se/" TargetMode="External"/><Relationship Id="rId8069" Type="http://schemas.openxmlformats.org/officeDocument/2006/relationships/hyperlink" Target="https://www.swedoffice.se/kategori/69602-gaffelparm-trarygg" TargetMode="External"/><Relationship Id="rId11397" Type="http://schemas.openxmlformats.org/officeDocument/2006/relationships/hyperlink" Target="https://haxan.se/" TargetMode="External"/><Relationship Id="rId12448" Type="http://schemas.openxmlformats.org/officeDocument/2006/relationships/hyperlink" Target="https://grimetonradio.se/utforskning-av-alvtorpet-en-skatt-i-centrala-solleftea/" TargetMode="External"/><Relationship Id="rId826" Type="http://schemas.openxmlformats.org/officeDocument/2006/relationships/hyperlink" Target="http://rehabgrossisten.com/" TargetMode="External"/><Relationship Id="rId1109" Type="http://schemas.openxmlformats.org/officeDocument/2006/relationships/hyperlink" Target="http://foyen.se/" TargetMode="External"/><Relationship Id="rId1456" Type="http://schemas.openxmlformats.org/officeDocument/2006/relationships/hyperlink" Target="https://finansieringar.se/framtidens-finansiella-landskap-etiskt-investering/" TargetMode="External"/><Relationship Id="rId2507" Type="http://schemas.openxmlformats.org/officeDocument/2006/relationships/hyperlink" Target="https://www.faonorden.se/" TargetMode="External"/><Relationship Id="rId4679" Type="http://schemas.openxmlformats.org/officeDocument/2006/relationships/hyperlink" Target="https://www.executiveeffect.se/vikten-av-mental-halsa-i-ledarskapet/" TargetMode="External"/><Relationship Id="rId8550" Type="http://schemas.openxmlformats.org/officeDocument/2006/relationships/hyperlink" Target="https://outletsuomi.com/uuden-ihonhoidon-aika-tutustu-naihin-edullisiin-vaihtoehtoihin/" TargetMode="External"/><Relationship Id="rId9601" Type="http://schemas.openxmlformats.org/officeDocument/2006/relationships/hyperlink" Target="http://svenskafonster.se/" TargetMode="External"/><Relationship Id="rId10480" Type="http://schemas.openxmlformats.org/officeDocument/2006/relationships/hyperlink" Target="https://www.omkrets.se/vem-ringer-du-nar-listen-slapper-en-handyman-saklart/" TargetMode="External"/><Relationship Id="rId11531" Type="http://schemas.openxmlformats.org/officeDocument/2006/relationships/hyperlink" Target="https://sufracofinebrands.com/kategori/varumarken-la-cerise-sur-le-gateau" TargetMode="External"/><Relationship Id="rId7152" Type="http://schemas.openxmlformats.org/officeDocument/2006/relationships/hyperlink" Target="https://bolagshistorik.se/affarsjuridik-sa-hanterar-du-juridiska-tvister/" TargetMode="External"/><Relationship Id="rId8203" Type="http://schemas.openxmlformats.org/officeDocument/2006/relationships/hyperlink" Target="http://rbentreprenad.se/" TargetMode="External"/><Relationship Id="rId10133" Type="http://schemas.openxmlformats.org/officeDocument/2006/relationships/hyperlink" Target="http://violamilano.com/" TargetMode="External"/><Relationship Id="rId3762" Type="http://schemas.openxmlformats.org/officeDocument/2006/relationships/hyperlink" Target="http://legendbygg.com/" TargetMode="External"/><Relationship Id="rId4813" Type="http://schemas.openxmlformats.org/officeDocument/2006/relationships/hyperlink" Target="https://pontonhamnar.se/" TargetMode="External"/><Relationship Id="rId683" Type="http://schemas.openxmlformats.org/officeDocument/2006/relationships/hyperlink" Target="http://dieselkraft.se/" TargetMode="External"/><Relationship Id="rId2364" Type="http://schemas.openxmlformats.org/officeDocument/2006/relationships/hyperlink" Target="https://distansinstitutet.se/distansutbildningar/pedagogik/vardbitrade/" TargetMode="External"/><Relationship Id="rId3415" Type="http://schemas.openxmlformats.org/officeDocument/2006/relationships/hyperlink" Target="https://www.lansfast.se/maklare/stockholm/taby-danderyd/" TargetMode="External"/><Relationship Id="rId13009" Type="http://schemas.openxmlformats.org/officeDocument/2006/relationships/hyperlink" Target="http://kungaslottet.se/" TargetMode="External"/><Relationship Id="rId336" Type="http://schemas.openxmlformats.org/officeDocument/2006/relationships/hyperlink" Target="http://kopbarnvagn.se/" TargetMode="External"/><Relationship Id="rId2017" Type="http://schemas.openxmlformats.org/officeDocument/2006/relationships/hyperlink" Target="https://www.lansfast.se/maklare/sodermanland/trosa/" TargetMode="External"/><Relationship Id="rId5587" Type="http://schemas.openxmlformats.org/officeDocument/2006/relationships/hyperlink" Target="https://komponenthus.com/2024/09/28/taksakerhet-en-omfattande-guide-for-sakra-hallbara-taklosningar/" TargetMode="External"/><Relationship Id="rId6985" Type="http://schemas.openxmlformats.org/officeDocument/2006/relationships/hyperlink" Target="https://supernormal.health/se/medicinsk-viktnedgang/Information-om-lakemedel/rybelsus/" TargetMode="External"/><Relationship Id="rId4189" Type="http://schemas.openxmlformats.org/officeDocument/2006/relationships/hyperlink" Target="http://finansplassen.no/" TargetMode="External"/><Relationship Id="rId6638" Type="http://schemas.openxmlformats.org/officeDocument/2006/relationships/hyperlink" Target="http://casinogringos.se/" TargetMode="External"/><Relationship Id="rId8060" Type="http://schemas.openxmlformats.org/officeDocument/2006/relationships/hyperlink" Target="https://www.totallystockholm.se/stockholms-hr-teknik-under-lupp-framtidens-lonesystem-ai/" TargetMode="External"/><Relationship Id="rId9111" Type="http://schemas.openxmlformats.org/officeDocument/2006/relationships/hyperlink" Target="https://www.nettotobak.com/zyn/" TargetMode="External"/><Relationship Id="rId11041" Type="http://schemas.openxmlformats.org/officeDocument/2006/relationships/hyperlink" Target="https://www.kvarnx.com/bitcoin-kurssi" TargetMode="External"/><Relationship Id="rId1100" Type="http://schemas.openxmlformats.org/officeDocument/2006/relationships/hyperlink" Target="http://robomarkets.com/" TargetMode="External"/><Relationship Id="rId4670" Type="http://schemas.openxmlformats.org/officeDocument/2006/relationships/hyperlink" Target="http://cherry.com/" TargetMode="External"/><Relationship Id="rId5721" Type="http://schemas.openxmlformats.org/officeDocument/2006/relationships/hyperlink" Target="https://digijuorut.fi/sekalaista/auton-myynti-ja-realisointi-myydako-liikkeeseen-vai-yksityiselle/" TargetMode="External"/><Relationship Id="rId3272" Type="http://schemas.openxmlformats.org/officeDocument/2006/relationships/hyperlink" Target="http://spelklubben.se/" TargetMode="External"/><Relationship Id="rId4323" Type="http://schemas.openxmlformats.org/officeDocument/2006/relationships/hyperlink" Target="http://w3solenergi.se/" TargetMode="External"/><Relationship Id="rId7893" Type="http://schemas.openxmlformats.org/officeDocument/2006/relationships/hyperlink" Target="https://www.nykommun.se/2025/02/26/fran-fjallstuga-till-skargardsvilla-inredningsstilar-i-sveriges-olika-horn/" TargetMode="External"/><Relationship Id="rId8944" Type="http://schemas.openxmlformats.org/officeDocument/2006/relationships/hyperlink" Target="http://willabgarden.de/" TargetMode="External"/><Relationship Id="rId193" Type="http://schemas.openxmlformats.org/officeDocument/2006/relationships/hyperlink" Target="https://sipski.se/" TargetMode="External"/><Relationship Id="rId6495" Type="http://schemas.openxmlformats.org/officeDocument/2006/relationships/hyperlink" Target="https://passioneffect.se/det-vaxande-intresset-for-fiske-i-sverige/" TargetMode="External"/><Relationship Id="rId7546" Type="http://schemas.openxmlformats.org/officeDocument/2006/relationships/hyperlink" Target="https://regio-aktuell24.de/umstieg-auf-waermepumpen-so-gelingt-es/188549" TargetMode="External"/><Relationship Id="rId10874" Type="http://schemas.openxmlformats.org/officeDocument/2006/relationships/hyperlink" Target="https://bettingsyndikatet.se/" TargetMode="External"/><Relationship Id="rId11925" Type="http://schemas.openxmlformats.org/officeDocument/2006/relationships/hyperlink" Target="https://www.robomarkets.com/se/" TargetMode="External"/><Relationship Id="rId5097" Type="http://schemas.openxmlformats.org/officeDocument/2006/relationships/hyperlink" Target="http://restate.se/" TargetMode="External"/><Relationship Id="rId6148" Type="http://schemas.openxmlformats.org/officeDocument/2006/relationships/hyperlink" Target="https://www.sn.dk/art6168795/danmark/sponsoreret/her-er-de-stoerste-trends-inden-for-kreditforsikring" TargetMode="External"/><Relationship Id="rId10527" Type="http://schemas.openxmlformats.org/officeDocument/2006/relationships/hyperlink" Target="https://www.sweetyhigh.com/read/the-importance-of-music-on-social-media-epidemic-sound-073125" TargetMode="External"/><Relationship Id="rId12699" Type="http://schemas.openxmlformats.org/officeDocument/2006/relationships/hyperlink" Target="https://damgruppen.se/effektiva-strategier-for-kvinnor-att-na-sina-viktnedgangsmal/" TargetMode="External"/><Relationship Id="rId13000" Type="http://schemas.openxmlformats.org/officeDocument/2006/relationships/hyperlink" Target="https://www.hajper.com/sv/" TargetMode="External"/><Relationship Id="rId2758" Type="http://schemas.openxmlformats.org/officeDocument/2006/relationships/hyperlink" Target="https://pontonhamnar.se/produkter/flytbrygga/" TargetMode="External"/><Relationship Id="rId3809" Type="http://schemas.openxmlformats.org/officeDocument/2006/relationships/hyperlink" Target="http://tiotak.se/" TargetMode="External"/><Relationship Id="rId4180" Type="http://schemas.openxmlformats.org/officeDocument/2006/relationships/hyperlink" Target="https://www.fjell-ljom.no/skopleie-101-tips-for-a-fa-favorittparet-ditt-til-a-vare-lenger/230864" TargetMode="External"/><Relationship Id="rId5231" Type="http://schemas.openxmlformats.org/officeDocument/2006/relationships/hyperlink" Target="https://www.ectool.nu/bygglov-regler-vad-du-behover-veta-innan-du-byter-tak/" TargetMode="External"/><Relationship Id="rId9852" Type="http://schemas.openxmlformats.org/officeDocument/2006/relationships/hyperlink" Target="https://hobbybyggare.se/kvalitetsprodukter-for-bilvard-gor-hobbyn-annu-roligare/" TargetMode="External"/><Relationship Id="rId11782" Type="http://schemas.openxmlformats.org/officeDocument/2006/relationships/hyperlink" Target="https://www.executiveeffect.se/index-trading-for-exekutiva-en-djupdykning-i-passiv-investering-for-framgang/" TargetMode="External"/><Relationship Id="rId66" Type="http://schemas.openxmlformats.org/officeDocument/2006/relationships/hyperlink" Target="https://chronos.se/" TargetMode="External"/><Relationship Id="rId1841" Type="http://schemas.openxmlformats.org/officeDocument/2006/relationships/hyperlink" Target="https://finansieringar.se/vardet-av-parmar-och-kontorsmaterial-for-smidig-och-saker-dokumentation/" TargetMode="External"/><Relationship Id="rId8454" Type="http://schemas.openxmlformats.org/officeDocument/2006/relationships/hyperlink" Target="https://www.myownwater.com/" TargetMode="External"/><Relationship Id="rId9505" Type="http://schemas.openxmlformats.org/officeDocument/2006/relationships/hyperlink" Target="http://dbet.com/" TargetMode="External"/><Relationship Id="rId10384" Type="http://schemas.openxmlformats.org/officeDocument/2006/relationships/hyperlink" Target="http://minifinder.se/" TargetMode="External"/><Relationship Id="rId11435" Type="http://schemas.openxmlformats.org/officeDocument/2006/relationships/hyperlink" Target="https://www.lansfast.se/maklare/sodermanland/nykoping/" TargetMode="External"/><Relationship Id="rId12833" Type="http://schemas.openxmlformats.org/officeDocument/2006/relationships/hyperlink" Target="https://kruunukaluste.fi/kauppa/sohvat/" TargetMode="External"/><Relationship Id="rId7056" Type="http://schemas.openxmlformats.org/officeDocument/2006/relationships/hyperlink" Target="https://www.nodepositbonus.cc/" TargetMode="External"/><Relationship Id="rId8107" Type="http://schemas.openxmlformats.org/officeDocument/2006/relationships/hyperlink" Target="https://direktbygg.se/forsakringar-for-solcellsanlaggningar-vid-byggnation-av-hallbara-hem/" TargetMode="External"/><Relationship Id="rId10037" Type="http://schemas.openxmlformats.org/officeDocument/2006/relationships/hyperlink" Target="https://www.upplevelse.com/" TargetMode="External"/><Relationship Id="rId3666" Type="http://schemas.openxmlformats.org/officeDocument/2006/relationships/hyperlink" Target="http://startmotor.se/" TargetMode="External"/><Relationship Id="rId587" Type="http://schemas.openxmlformats.org/officeDocument/2006/relationships/hyperlink" Target="https://www.villarelining.se/" TargetMode="External"/><Relationship Id="rId2268" Type="http://schemas.openxmlformats.org/officeDocument/2006/relationships/hyperlink" Target="https://www.instrumentenland.de/wie-ein-musiker-nikotin-geniessen-mit-e-zigaretten" TargetMode="External"/><Relationship Id="rId3319" Type="http://schemas.openxmlformats.org/officeDocument/2006/relationships/hyperlink" Target="http://legendbygg.com/" TargetMode="External"/><Relationship Id="rId4717" Type="http://schemas.openxmlformats.org/officeDocument/2006/relationships/hyperlink" Target="http://cherry.com/" TargetMode="External"/><Relationship Id="rId6889" Type="http://schemas.openxmlformats.org/officeDocument/2006/relationships/hyperlink" Target="https://www.saleseffect.se/hogkvalitativa-thc-fria-cbd-oljor-och-deras-viktiga-roll-i-halsa-och-valbefinnande/" TargetMode="External"/><Relationship Id="rId12690" Type="http://schemas.openxmlformats.org/officeDocument/2006/relationships/hyperlink" Target="http://rusta.se/" TargetMode="External"/><Relationship Id="rId3800" Type="http://schemas.openxmlformats.org/officeDocument/2006/relationships/hyperlink" Target="http://m6bygg.se/" TargetMode="External"/><Relationship Id="rId9362" Type="http://schemas.openxmlformats.org/officeDocument/2006/relationships/hyperlink" Target="https://digitaliserad.nu/blogg/det-har-ar-varfor-slots-blir-mer-och-mer-lika-datorspel/" TargetMode="External"/><Relationship Id="rId11292" Type="http://schemas.openxmlformats.org/officeDocument/2006/relationships/hyperlink" Target="http://bord13.se/" TargetMode="External"/><Relationship Id="rId12343" Type="http://schemas.openxmlformats.org/officeDocument/2006/relationships/hyperlink" Target="https://conclean.se/produkter/minireningsverk/" TargetMode="External"/><Relationship Id="rId721" Type="http://schemas.openxmlformats.org/officeDocument/2006/relationships/hyperlink" Target="https://svenskafinanser.se/tips-for-den-som-vill-borja-spara-pengar-genom-att-investera-pa-borsen/" TargetMode="External"/><Relationship Id="rId1351" Type="http://schemas.openxmlformats.org/officeDocument/2006/relationships/hyperlink" Target="http://oconnors.se/" TargetMode="External"/><Relationship Id="rId2402" Type="http://schemas.openxmlformats.org/officeDocument/2006/relationships/hyperlink" Target="http://distansinstitutet.se/" TargetMode="External"/><Relationship Id="rId5972" Type="http://schemas.openxmlformats.org/officeDocument/2006/relationships/hyperlink" Target="https://www.myownwater.com/" TargetMode="External"/><Relationship Id="rId9015" Type="http://schemas.openxmlformats.org/officeDocument/2006/relationships/hyperlink" Target="https://www.upplevelse.com/" TargetMode="External"/><Relationship Id="rId1004" Type="http://schemas.openxmlformats.org/officeDocument/2006/relationships/hyperlink" Target="https://distansinstitutet.se/distansutbildningar/pedagogik/" TargetMode="External"/><Relationship Id="rId4574" Type="http://schemas.openxmlformats.org/officeDocument/2006/relationships/hyperlink" Target="https://www.cdg.io/services/virtual-ciso/" TargetMode="External"/><Relationship Id="rId5625" Type="http://schemas.openxmlformats.org/officeDocument/2006/relationships/hyperlink" Target="https://www.angelicaglass.com/" TargetMode="External"/><Relationship Id="rId3176" Type="http://schemas.openxmlformats.org/officeDocument/2006/relationships/hyperlink" Target="https://www.affarsvarlden.se/native/spetsig-fond-hittar-globala-vinnare" TargetMode="External"/><Relationship Id="rId4227" Type="http://schemas.openxmlformats.org/officeDocument/2006/relationships/hyperlink" Target="https://www.norteam.se/cloud-portal" TargetMode="External"/><Relationship Id="rId7797" Type="http://schemas.openxmlformats.org/officeDocument/2006/relationships/hyperlink" Target="http://technobark.com/" TargetMode="External"/><Relationship Id="rId6399" Type="http://schemas.openxmlformats.org/officeDocument/2006/relationships/hyperlink" Target="http://kamux.fi/" TargetMode="External"/><Relationship Id="rId8848" Type="http://schemas.openxmlformats.org/officeDocument/2006/relationships/hyperlink" Target="https://mariefredstidning.se/2025/04/28/lamplexikon-begreppen-du-behover-for-att-fa-hemmet-att-skina/" TargetMode="External"/><Relationship Id="rId10778" Type="http://schemas.openxmlformats.org/officeDocument/2006/relationships/hyperlink" Target="https://www.michaelofrisorerna.se/ombre-balayage-farg-3/" TargetMode="External"/><Relationship Id="rId11829" Type="http://schemas.openxmlformats.org/officeDocument/2006/relationships/hyperlink" Target="http://vontabel.com/" TargetMode="External"/><Relationship Id="rId13251" Type="http://schemas.openxmlformats.org/officeDocument/2006/relationships/hyperlink" Target="https://digitalfritid.se/skriv-ut-dina-kreativa-projekt-med-ratt-papper-och-kvalitet/" TargetMode="External"/><Relationship Id="rId3310" Type="http://schemas.openxmlformats.org/officeDocument/2006/relationships/hyperlink" Target="https://www.realtid.se/investeringsnatverk-hjalper-la-reine-mannens-solcellsbolag/" TargetMode="External"/><Relationship Id="rId6880" Type="http://schemas.openxmlformats.org/officeDocument/2006/relationships/hyperlink" Target="https://casino-nytt.se/nya-livespel-dags-att-testa-annat-an-blackjack-och-roulette/" TargetMode="External"/><Relationship Id="rId7931" Type="http://schemas.openxmlformats.org/officeDocument/2006/relationships/hyperlink" Target="http://mockfjards.se/" TargetMode="External"/><Relationship Id="rId231" Type="http://schemas.openxmlformats.org/officeDocument/2006/relationships/hyperlink" Target="https://www.askskinfo.com/browse/?brand=sol+de+janeiro" TargetMode="External"/><Relationship Id="rId5482" Type="http://schemas.openxmlformats.org/officeDocument/2006/relationships/hyperlink" Target="https://pontechmarina.com/se/flytbrygga/" TargetMode="External"/><Relationship Id="rId6533" Type="http://schemas.openxmlformats.org/officeDocument/2006/relationships/hyperlink" Target="https://www.coface.dk/inkasso" TargetMode="External"/><Relationship Id="rId10912" Type="http://schemas.openxmlformats.org/officeDocument/2006/relationships/hyperlink" Target="https://arctic.se/nibe-warmepumpe-versicherung/" TargetMode="External"/><Relationship Id="rId4084" Type="http://schemas.openxmlformats.org/officeDocument/2006/relationships/hyperlink" Target="https://fairinvestments.se/" TargetMode="External"/><Relationship Id="rId5135" Type="http://schemas.openxmlformats.org/officeDocument/2006/relationships/hyperlink" Target="https://www.vont.se/to-go" TargetMode="External"/><Relationship Id="rId9756" Type="http://schemas.openxmlformats.org/officeDocument/2006/relationships/hyperlink" Target="https://joinstriveon.com/" TargetMode="External"/><Relationship Id="rId8358" Type="http://schemas.openxmlformats.org/officeDocument/2006/relationships/hyperlink" Target="https://www.cgmagonline.com/articles/smart-pet-tech-automated-litter-boxes/" TargetMode="External"/><Relationship Id="rId9409" Type="http://schemas.openxmlformats.org/officeDocument/2006/relationships/hyperlink" Target="https://www.kaffeverket.se/ett-leende-starkt-som-en-dubbel-espresso/" TargetMode="External"/><Relationship Id="rId10288" Type="http://schemas.openxmlformats.org/officeDocument/2006/relationships/hyperlink" Target="https://fargruppen.se/batbatteri-for-mannen-pa-sjon/" TargetMode="External"/><Relationship Id="rId11686" Type="http://schemas.openxmlformats.org/officeDocument/2006/relationships/hyperlink" Target="http://vontabel.com/" TargetMode="External"/><Relationship Id="rId12737" Type="http://schemas.openxmlformats.org/officeDocument/2006/relationships/hyperlink" Target="https://ladyfashion.se/frisorsalongen-pa-sodermalm-ger-kvinnor-basta-mojliga-harbehandlingar/" TargetMode="External"/><Relationship Id="rId1745" Type="http://schemas.openxmlformats.org/officeDocument/2006/relationships/hyperlink" Target="https://www.tandea.se/tandvard/tandimplantat/" TargetMode="External"/><Relationship Id="rId11339" Type="http://schemas.openxmlformats.org/officeDocument/2006/relationships/hyperlink" Target="https://www.di.se/fonder/spets-4985958/" TargetMode="External"/><Relationship Id="rId4968" Type="http://schemas.openxmlformats.org/officeDocument/2006/relationships/hyperlink" Target="https://www.lidingonyheter.se/hur-ratt-val-av-mattor-kan-forbattra-din-inredning/" TargetMode="External"/><Relationship Id="rId11820" Type="http://schemas.openxmlformats.org/officeDocument/2006/relationships/hyperlink" Target="http://creditsafe.se/" TargetMode="External"/><Relationship Id="rId6390" Type="http://schemas.openxmlformats.org/officeDocument/2006/relationships/hyperlink" Target="https://mariagerfjordposten.dk/5-gode-tips-til-at-forbedre-din-kreditvurdering/" TargetMode="External"/><Relationship Id="rId7441" Type="http://schemas.openxmlformats.org/officeDocument/2006/relationships/hyperlink" Target="https://www.michaelofrisorerna.se/" TargetMode="External"/><Relationship Id="rId10422" Type="http://schemas.openxmlformats.org/officeDocument/2006/relationships/hyperlink" Target="https://www.diabit.se/saker-du-inte-visste-kan-forbattra-ditt-valmaende/" TargetMode="External"/><Relationship Id="rId6043" Type="http://schemas.openxmlformats.org/officeDocument/2006/relationships/hyperlink" Target="https://www.habit.se/lb-article/180928/rustas-breda-utbud-ett-vinnarkoncept-for-alla" TargetMode="External"/><Relationship Id="rId12594" Type="http://schemas.openxmlformats.org/officeDocument/2006/relationships/hyperlink" Target="https://yourgild.com/" TargetMode="External"/><Relationship Id="rId972" Type="http://schemas.openxmlformats.org/officeDocument/2006/relationships/hyperlink" Target="https://serviceteknikerkarlstad.se/relining-en-innovativ-och-fordelaktig-teknik-for-avloppsrenovering/" TargetMode="External"/><Relationship Id="rId2653" Type="http://schemas.openxmlformats.org/officeDocument/2006/relationships/hyperlink" Target="https://cannabislight.se/kategori/cbd-olja-extrakt/" TargetMode="External"/><Relationship Id="rId3704" Type="http://schemas.openxmlformats.org/officeDocument/2006/relationships/hyperlink" Target="https://godestad.se/stilfulla-och-praktiska-kavajer-for-damer-en-garderobsnodvandighet/" TargetMode="External"/><Relationship Id="rId9266" Type="http://schemas.openxmlformats.org/officeDocument/2006/relationships/hyperlink" Target="https://mittvitahus.se/vikten-av-att-byta-tak-pa-maskinhallar-for-en-tryggare-bostadsmiljo/" TargetMode="External"/><Relationship Id="rId11196" Type="http://schemas.openxmlformats.org/officeDocument/2006/relationships/hyperlink" Target="https://www.innerbeautychallenge.com/" TargetMode="External"/><Relationship Id="rId12247" Type="http://schemas.openxmlformats.org/officeDocument/2006/relationships/hyperlink" Target="https://ecommunity.se/tillvaxten-av-vaping/" TargetMode="External"/><Relationship Id="rId625" Type="http://schemas.openxmlformats.org/officeDocument/2006/relationships/hyperlink" Target="http://kopbarnvagn.se/" TargetMode="External"/><Relationship Id="rId1255" Type="http://schemas.openxmlformats.org/officeDocument/2006/relationships/hyperlink" Target="http://blugiallo.com/" TargetMode="External"/><Relationship Id="rId2306" Type="http://schemas.openxmlformats.org/officeDocument/2006/relationships/hyperlink" Target="https://arctic.se/se/forsakringslosningar/svensksolenergi/" TargetMode="External"/><Relationship Id="rId5876" Type="http://schemas.openxmlformats.org/officeDocument/2006/relationships/hyperlink" Target="https://www.vont.se/engangs-vape" TargetMode="External"/><Relationship Id="rId4478" Type="http://schemas.openxmlformats.org/officeDocument/2006/relationships/hyperlink" Target="http://norteam.se/" TargetMode="External"/><Relationship Id="rId5529" Type="http://schemas.openxmlformats.org/officeDocument/2006/relationships/hyperlink" Target="http://myownwater.com/" TargetMode="External"/><Relationship Id="rId6927" Type="http://schemas.openxmlformats.org/officeDocument/2006/relationships/hyperlink" Target="https://ng.se/artiklar/kostymens-markliga-resa-fran-1800-talet-till-idag" TargetMode="External"/><Relationship Id="rId9400" Type="http://schemas.openxmlformats.org/officeDocument/2006/relationships/hyperlink" Target="http://ekstromgaray.se/" TargetMode="External"/><Relationship Id="rId8002" Type="http://schemas.openxmlformats.org/officeDocument/2006/relationships/hyperlink" Target="https://allwomenstalk.com/cozy-home-textiles-transformation/" TargetMode="External"/><Relationship Id="rId11330" Type="http://schemas.openxmlformats.org/officeDocument/2006/relationships/hyperlink" Target="http://fairinvestments.se/" TargetMode="External"/><Relationship Id="rId3561" Type="http://schemas.openxmlformats.org/officeDocument/2006/relationships/hyperlink" Target="https://www.executiveeffect.se/vad-ar-fair-investments/" TargetMode="External"/><Relationship Id="rId4612" Type="http://schemas.openxmlformats.org/officeDocument/2006/relationships/hyperlink" Target="https://casinosmsbetalning.se/blogg/olika-typer-av-roulette-en-guide-for-varje-typ-av-spelare/" TargetMode="External"/><Relationship Id="rId13155" Type="http://schemas.openxmlformats.org/officeDocument/2006/relationships/hyperlink" Target="http://videoslots.com/" TargetMode="External"/><Relationship Id="rId482" Type="http://schemas.openxmlformats.org/officeDocument/2006/relationships/hyperlink" Target="https://www.askskinfo.com/varumarke/dr-ceuracle" TargetMode="External"/><Relationship Id="rId2163" Type="http://schemas.openxmlformats.org/officeDocument/2006/relationships/hyperlink" Target="https://www.foyen.se/" TargetMode="External"/><Relationship Id="rId3214" Type="http://schemas.openxmlformats.org/officeDocument/2006/relationships/hyperlink" Target="http://notyfile.se/sv" TargetMode="External"/><Relationship Id="rId6784" Type="http://schemas.openxmlformats.org/officeDocument/2006/relationships/hyperlink" Target="http://aerius.se/" TargetMode="External"/><Relationship Id="rId7835" Type="http://schemas.openxmlformats.org/officeDocument/2006/relationships/hyperlink" Target="http://svenskafonster.se/skjutdorr" TargetMode="External"/><Relationship Id="rId135" Type="http://schemas.openxmlformats.org/officeDocument/2006/relationships/hyperlink" Target="https://chronos.se/diabetes/blodsocker/hba1c" TargetMode="External"/><Relationship Id="rId5386" Type="http://schemas.openxmlformats.org/officeDocument/2006/relationships/hyperlink" Target="https://suomitanaan.com/epoksi-ja-silikoni-joka-kodin-monipuoliset-apurit/" TargetMode="External"/><Relationship Id="rId6437" Type="http://schemas.openxmlformats.org/officeDocument/2006/relationships/hyperlink" Target="http://joureliten.se/" TargetMode="External"/><Relationship Id="rId10816" Type="http://schemas.openxmlformats.org/officeDocument/2006/relationships/hyperlink" Target="http://fairinvestments.se/" TargetMode="External"/><Relationship Id="rId5039" Type="http://schemas.openxmlformats.org/officeDocument/2006/relationships/hyperlink" Target="https://nyheteridag.se/den-svenska-tobaksindustrin-ekonomisk-betydelse-och-utmaningar/" TargetMode="External"/><Relationship Id="rId12988" Type="http://schemas.openxmlformats.org/officeDocument/2006/relationships/hyperlink" Target="https://www.kungaslottet.se/casino/" TargetMode="External"/><Relationship Id="rId1996" Type="http://schemas.openxmlformats.org/officeDocument/2006/relationships/hyperlink" Target="https://www.somanordic.se/" TargetMode="External"/><Relationship Id="rId1649" Type="http://schemas.openxmlformats.org/officeDocument/2006/relationships/hyperlink" Target="http://rehabgrossisten.com/" TargetMode="External"/><Relationship Id="rId3071" Type="http://schemas.openxmlformats.org/officeDocument/2006/relationships/hyperlink" Target="https://www.hvvs.se/" TargetMode="External"/><Relationship Id="rId5520" Type="http://schemas.openxmlformats.org/officeDocument/2006/relationships/hyperlink" Target="http://everynightstudios.com/" TargetMode="External"/><Relationship Id="rId4122" Type="http://schemas.openxmlformats.org/officeDocument/2006/relationships/hyperlink" Target="https://www.di.se/brandstudio/fair-investments/fair-investments-vi-tar-bara-betalt-for-verkliga-resultat-det-tjanar-alla-pa/" TargetMode="External"/><Relationship Id="rId7692" Type="http://schemas.openxmlformats.org/officeDocument/2006/relationships/hyperlink" Target="http://tkw.se/" TargetMode="External"/><Relationship Id="rId8743" Type="http://schemas.openxmlformats.org/officeDocument/2006/relationships/hyperlink" Target="http://acnespecialisten.se/" TargetMode="External"/><Relationship Id="rId10673" Type="http://schemas.openxmlformats.org/officeDocument/2006/relationships/hyperlink" Target="https://www.byggnyheter.se/20250805/32337/fran-trasig-troskel-till-trygg-trivsel-smafix-som-raddar-stora-projekt" TargetMode="External"/><Relationship Id="rId11724" Type="http://schemas.openxmlformats.org/officeDocument/2006/relationships/hyperlink" Target="http://yagya.com/" TargetMode="External"/><Relationship Id="rId6294" Type="http://schemas.openxmlformats.org/officeDocument/2006/relationships/hyperlink" Target="http://www.tandea.se/kliniker/tandlakare-ostermalm/" TargetMode="External"/><Relationship Id="rId7345" Type="http://schemas.openxmlformats.org/officeDocument/2006/relationships/hyperlink" Target="https://hunch.se/allt-du-behover-veta-om-ip-tv" TargetMode="External"/><Relationship Id="rId10326" Type="http://schemas.openxmlformats.org/officeDocument/2006/relationships/hyperlink" Target="http://sahlstenskincare.se/" TargetMode="External"/><Relationship Id="rId12498" Type="http://schemas.openxmlformats.org/officeDocument/2006/relationships/hyperlink" Target="http://rosapensionat.se/" TargetMode="External"/><Relationship Id="rId876" Type="http://schemas.openxmlformats.org/officeDocument/2006/relationships/hyperlink" Target="https://aktivakvinnor.se/kom-igang-med-din-traning-och-kost-pa-ratt-satt/" TargetMode="External"/><Relationship Id="rId2557" Type="http://schemas.openxmlformats.org/officeDocument/2006/relationships/hyperlink" Target="https://fairinvestments.se/in-english/" TargetMode="External"/><Relationship Id="rId3608" Type="http://schemas.openxmlformats.org/officeDocument/2006/relationships/hyperlink" Target="https://www.mullsjophoto.se/" TargetMode="External"/><Relationship Id="rId3955" Type="http://schemas.openxmlformats.org/officeDocument/2006/relationships/hyperlink" Target="https://www.executiveeffect.se/vad-ar-fair-investments/" TargetMode="External"/><Relationship Id="rId529" Type="http://schemas.openxmlformats.org/officeDocument/2006/relationships/hyperlink" Target="http://toyota-forklifts.se/" TargetMode="External"/><Relationship Id="rId1159" Type="http://schemas.openxmlformats.org/officeDocument/2006/relationships/hyperlink" Target="https://www.executiveeffect.se/din-palitliga-tandlakare-i-stockholm-for-enastaende-tandvard/" TargetMode="External"/><Relationship Id="rId5030" Type="http://schemas.openxmlformats.org/officeDocument/2006/relationships/hyperlink" Target="https://www.spelochfilm.se/grand-theft-auto-6-nyheter/" TargetMode="External"/><Relationship Id="rId9651" Type="http://schemas.openxmlformats.org/officeDocument/2006/relationships/hyperlink" Target="http://mockfjards.se/" TargetMode="External"/><Relationship Id="rId11581" Type="http://schemas.openxmlformats.org/officeDocument/2006/relationships/hyperlink" Target="https://fitnessplaneten.se/hemmaspa-njut-av-en-harlig-spaupplevelse-i-bekvamligheten-av-ditt-eget-hem/" TargetMode="External"/><Relationship Id="rId12632" Type="http://schemas.openxmlformats.org/officeDocument/2006/relationships/hyperlink" Target="https://www.videoslots.com/sv" TargetMode="External"/><Relationship Id="rId1640" Type="http://schemas.openxmlformats.org/officeDocument/2006/relationships/hyperlink" Target="http://advancepointcap.com/" TargetMode="External"/><Relationship Id="rId8253" Type="http://schemas.openxmlformats.org/officeDocument/2006/relationships/hyperlink" Target="https://iptvnorge.is/" TargetMode="External"/><Relationship Id="rId9304" Type="http://schemas.openxmlformats.org/officeDocument/2006/relationships/hyperlink" Target="https://hockeynews.se/nyheter/intresset-for-hockey-vm-ar-stort-har-ar-en-tillbakablick-pa-tidigare-vm" TargetMode="External"/><Relationship Id="rId10183" Type="http://schemas.openxmlformats.org/officeDocument/2006/relationships/hyperlink" Target="https://www.violamilano.com/" TargetMode="External"/><Relationship Id="rId11234" Type="http://schemas.openxmlformats.org/officeDocument/2006/relationships/hyperlink" Target="https://focusera.se/fa-en-battre-forstaelse-for-typ-2-diabetes/" TargetMode="External"/><Relationship Id="rId4863" Type="http://schemas.openxmlformats.org/officeDocument/2006/relationships/hyperlink" Target="https://www.spelklubben.se/sv/betting/" TargetMode="External"/><Relationship Id="rId5914" Type="http://schemas.openxmlformats.org/officeDocument/2006/relationships/hyperlink" Target="http://ng.se/" TargetMode="External"/><Relationship Id="rId3465" Type="http://schemas.openxmlformats.org/officeDocument/2006/relationships/hyperlink" Target="http://fairinvestments.se/" TargetMode="External"/><Relationship Id="rId4516" Type="http://schemas.openxmlformats.org/officeDocument/2006/relationships/hyperlink" Target="https://schuck.se/de-vanligaste-tandproblemen-hur-du-kan-forebygga-dem/" TargetMode="External"/><Relationship Id="rId13059" Type="http://schemas.openxmlformats.org/officeDocument/2006/relationships/hyperlink" Target="http://epidemicsounds.com/" TargetMode="External"/><Relationship Id="rId386" Type="http://schemas.openxmlformats.org/officeDocument/2006/relationships/hyperlink" Target="http://vontabel.com/" TargetMode="External"/><Relationship Id="rId2067" Type="http://schemas.openxmlformats.org/officeDocument/2006/relationships/hyperlink" Target="http://aretrotale.com/" TargetMode="External"/><Relationship Id="rId3118" Type="http://schemas.openxmlformats.org/officeDocument/2006/relationships/hyperlink" Target="https://socialsummit17.se/pontonhamnar-en-djupdykning-i-trygghet-hallbarhet/" TargetMode="External"/><Relationship Id="rId6688" Type="http://schemas.openxmlformats.org/officeDocument/2006/relationships/hyperlink" Target="https://minlivsresa.se/vo2-max-nyckeln-till-langre-liv-och-battre-halsa/" TargetMode="External"/><Relationship Id="rId7739" Type="http://schemas.openxmlformats.org/officeDocument/2006/relationships/hyperlink" Target="http://mobot.com/" TargetMode="External"/><Relationship Id="rId9161" Type="http://schemas.openxmlformats.org/officeDocument/2006/relationships/hyperlink" Target="https://technobark.com/best-gps-dog-fences/" TargetMode="External"/><Relationship Id="rId11091" Type="http://schemas.openxmlformats.org/officeDocument/2006/relationships/hyperlink" Target="http://videoslots.com/" TargetMode="External"/><Relationship Id="rId1150" Type="http://schemas.openxmlformats.org/officeDocument/2006/relationships/hyperlink" Target="https://twitter.com/fairinvswe" TargetMode="External"/><Relationship Id="rId12142" Type="http://schemas.openxmlformats.org/officeDocument/2006/relationships/hyperlink" Target="https://www.vont.se/" TargetMode="External"/><Relationship Id="rId520" Type="http://schemas.openxmlformats.org/officeDocument/2006/relationships/hyperlink" Target="https://www.swedoffice.se/kategori/69602-gaffelparm-trarygg" TargetMode="External"/><Relationship Id="rId2201" Type="http://schemas.openxmlformats.org/officeDocument/2006/relationships/hyperlink" Target="http://distansinstitutet.se/" TargetMode="External"/><Relationship Id="rId5771" Type="http://schemas.openxmlformats.org/officeDocument/2006/relationships/hyperlink" Target="http://bethard.com/" TargetMode="External"/><Relationship Id="rId6822" Type="http://schemas.openxmlformats.org/officeDocument/2006/relationships/hyperlink" Target="https://www.spelklubben.se/sv/betting" TargetMode="External"/><Relationship Id="rId4373" Type="http://schemas.openxmlformats.org/officeDocument/2006/relationships/hyperlink" Target="https://ekonomiskbalans.se/sa-har-kan-du-dra-nytta-av-prestationsbaserad-forvaltning/" TargetMode="External"/><Relationship Id="rId5424" Type="http://schemas.openxmlformats.org/officeDocument/2006/relationships/hyperlink" Target="https://www.sonjaakesson.se/" TargetMode="External"/><Relationship Id="rId8994" Type="http://schemas.openxmlformats.org/officeDocument/2006/relationships/hyperlink" Target="https://luotto.io/parhaan-lainan-loytaminen-lainavertailun-merkitys/" TargetMode="External"/><Relationship Id="rId4026" Type="http://schemas.openxmlformats.org/officeDocument/2006/relationships/hyperlink" Target="https://tvprogram.nu/blogg/fotbolls-em-2024-tv-sandningar-och-expertpaneler" TargetMode="External"/><Relationship Id="rId7596" Type="http://schemas.openxmlformats.org/officeDocument/2006/relationships/hyperlink" Target="https://resident.com/resource-guide/2025/02/07/the-nordic-blueprint-how-scandinavian-design-transforms-your-home-into-a-sanctuary" TargetMode="External"/><Relationship Id="rId8647" Type="http://schemas.openxmlformats.org/officeDocument/2006/relationships/hyperlink" Target="http://rusta.se/" TargetMode="External"/><Relationship Id="rId10577" Type="http://schemas.openxmlformats.org/officeDocument/2006/relationships/hyperlink" Target="https://businesswelt.eu/nachhaltige-unternehmensinnovation-als-wachstumstreiber/" TargetMode="External"/><Relationship Id="rId11975" Type="http://schemas.openxmlformats.org/officeDocument/2006/relationships/hyperlink" Target="https://www.creditsafe.com/dk/da/kredit-risiko/kreditrapporter/kreditvurdering.html" TargetMode="External"/><Relationship Id="rId6198" Type="http://schemas.openxmlformats.org/officeDocument/2006/relationships/hyperlink" Target="https://www.bathav.se/hall-dina-avloppssystem-rena/" TargetMode="External"/><Relationship Id="rId7249" Type="http://schemas.openxmlformats.org/officeDocument/2006/relationships/hyperlink" Target="https://svenskiptv.com/" TargetMode="External"/><Relationship Id="rId11628" Type="http://schemas.openxmlformats.org/officeDocument/2006/relationships/hyperlink" Target="http://vontabel.com/" TargetMode="External"/><Relationship Id="rId13050" Type="http://schemas.openxmlformats.org/officeDocument/2006/relationships/hyperlink" Target="https://www.zmarta.se/lana-pengar/privatlan" TargetMode="External"/><Relationship Id="rId3859" Type="http://schemas.openxmlformats.org/officeDocument/2006/relationships/hyperlink" Target="http://spelklubben.se/" TargetMode="External"/><Relationship Id="rId5281" Type="http://schemas.openxmlformats.org/officeDocument/2006/relationships/hyperlink" Target="http://cdg.io/" TargetMode="External"/><Relationship Id="rId7730" Type="http://schemas.openxmlformats.org/officeDocument/2006/relationships/hyperlink" Target="https://allwomenstalk.com/shockwave-therapy-beauty-health-benefits/" TargetMode="External"/><Relationship Id="rId10711" Type="http://schemas.openxmlformats.org/officeDocument/2006/relationships/hyperlink" Target="http://lsb.se/" TargetMode="External"/><Relationship Id="rId6332" Type="http://schemas.openxmlformats.org/officeDocument/2006/relationships/hyperlink" Target="http://everynightstudios.com/" TargetMode="External"/><Relationship Id="rId12883" Type="http://schemas.openxmlformats.org/officeDocument/2006/relationships/hyperlink" Target="https://www.bethard.com/sv/sports" TargetMode="External"/><Relationship Id="rId1891" Type="http://schemas.openxmlformats.org/officeDocument/2006/relationships/hyperlink" Target="http://lemontree.se/" TargetMode="External"/><Relationship Id="rId2942" Type="http://schemas.openxmlformats.org/officeDocument/2006/relationships/hyperlink" Target="https://www.radionordkapp.no/nyheter/26076/en-guide-til-lan-og-refinansiering/" TargetMode="External"/><Relationship Id="rId9555" Type="http://schemas.openxmlformats.org/officeDocument/2006/relationships/hyperlink" Target="https://www.tidningen.se/annons/efter-casino-cosmopol-planerna-for-den-historiska-lokalen/" TargetMode="External"/><Relationship Id="rId11485" Type="http://schemas.openxmlformats.org/officeDocument/2006/relationships/hyperlink" Target="https://citygoldmedia.com/why-buying-expensive-clothing-items-more-often-than-not-can-be-cheaper-in-the-long-run/" TargetMode="External"/><Relationship Id="rId12536" Type="http://schemas.openxmlformats.org/officeDocument/2006/relationships/hyperlink" Target="http://askskinfo.com/" TargetMode="External"/><Relationship Id="rId914" Type="http://schemas.openxmlformats.org/officeDocument/2006/relationships/hyperlink" Target="https://www.mynewsdesk.com/se/visibility-punktum-group/blog_posts/lyckas-som-broellopsplanerare-redan-idag-114445" TargetMode="External"/><Relationship Id="rId1544" Type="http://schemas.openxmlformats.org/officeDocument/2006/relationships/hyperlink" Target="https://www.stephilareine.com/2023/10/sock-styling-101-elevate-your-wardrobe-with-womens-sock-trend.html" TargetMode="External"/><Relationship Id="rId8157" Type="http://schemas.openxmlformats.org/officeDocument/2006/relationships/hyperlink" Target="https://www.startmotor.se/kategori/b%C3%A5tbatteri" TargetMode="External"/><Relationship Id="rId9208" Type="http://schemas.openxmlformats.org/officeDocument/2006/relationships/hyperlink" Target="https://ekonomiagenten.se/skraddarsydda-investeringslosningar-for-maximalt-avkastning-och-ekonomisk-trygghet/" TargetMode="External"/><Relationship Id="rId10087" Type="http://schemas.openxmlformats.org/officeDocument/2006/relationships/hyperlink" Target="https://www.dagensinfrastruktur.se/2025/06/29/sa-vet-du-om-ditt-nybygge-ar-en-bra-investering/" TargetMode="External"/><Relationship Id="rId11138" Type="http://schemas.openxmlformats.org/officeDocument/2006/relationships/hyperlink" Target="http://distansinstitutet.se/" TargetMode="External"/><Relationship Id="rId4767" Type="http://schemas.openxmlformats.org/officeDocument/2006/relationships/hyperlink" Target="https://m6bygg.se/" TargetMode="External"/><Relationship Id="rId5818" Type="http://schemas.openxmlformats.org/officeDocument/2006/relationships/hyperlink" Target="http://joureliten.se/" TargetMode="External"/><Relationship Id="rId3369" Type="http://schemas.openxmlformats.org/officeDocument/2006/relationships/hyperlink" Target="https://www.realtid.se/investeringsnatverk-hjalper-la-reine-mannens-solcellsbolag/" TargetMode="External"/><Relationship Id="rId7240" Type="http://schemas.openxmlformats.org/officeDocument/2006/relationships/hyperlink" Target="https://www.tigerofsweden.com/se/sv/herr/kostymer/" TargetMode="External"/><Relationship Id="rId10221" Type="http://schemas.openxmlformats.org/officeDocument/2006/relationships/hyperlink" Target="http://mrvegas.com/" TargetMode="External"/><Relationship Id="rId3850" Type="http://schemas.openxmlformats.org/officeDocument/2006/relationships/hyperlink" Target="https://ecommunity.se/vg-och-pg-i-e-vatskor-vad-du-behover-veta/" TargetMode="External"/><Relationship Id="rId4901" Type="http://schemas.openxmlformats.org/officeDocument/2006/relationships/hyperlink" Target="https://www.lidingonyheter.se/engangsvape-en-ny-trend/" TargetMode="External"/><Relationship Id="rId9065" Type="http://schemas.openxmlformats.org/officeDocument/2006/relationships/hyperlink" Target="http://dryft.se/byggforetag-stockholm/" TargetMode="External"/><Relationship Id="rId12393" Type="http://schemas.openxmlformats.org/officeDocument/2006/relationships/hyperlink" Target="http://hvvs.se/" TargetMode="External"/><Relationship Id="rId771" Type="http://schemas.openxmlformats.org/officeDocument/2006/relationships/hyperlink" Target="https://www.vont.se/" TargetMode="External"/><Relationship Id="rId2452" Type="http://schemas.openxmlformats.org/officeDocument/2006/relationships/hyperlink" Target="https://distansinstitutet.se/distansutbildningar/pedagogik/vardbitrade/" TargetMode="External"/><Relationship Id="rId3503" Type="http://schemas.openxmlformats.org/officeDocument/2006/relationships/hyperlink" Target="https://www.vont.se/to-go" TargetMode="External"/><Relationship Id="rId12046" Type="http://schemas.openxmlformats.org/officeDocument/2006/relationships/hyperlink" Target="http://vont.co/de" TargetMode="External"/><Relationship Id="rId424" Type="http://schemas.openxmlformats.org/officeDocument/2006/relationships/hyperlink" Target="https://eztronics.se/saa-kan-du-minska-foretagets-elforbrukning-och-spara-pengar/" TargetMode="External"/><Relationship Id="rId1054" Type="http://schemas.openxmlformats.org/officeDocument/2006/relationships/hyperlink" Target="https://mobilpengar.se/robomarkets-com-den-basta-online-maklaren-for-handel-med-aktier-och-smarta-investeringar/" TargetMode="External"/><Relationship Id="rId2105" Type="http://schemas.openxmlformats.org/officeDocument/2006/relationships/hyperlink" Target="http://rehabgrossisten.com/" TargetMode="External"/><Relationship Id="rId5675" Type="http://schemas.openxmlformats.org/officeDocument/2006/relationships/hyperlink" Target="http://spelklubben.se/" TargetMode="External"/><Relationship Id="rId6726" Type="http://schemas.openxmlformats.org/officeDocument/2006/relationships/hyperlink" Target="http://skidvalla.se/" TargetMode="External"/><Relationship Id="rId4277" Type="http://schemas.openxmlformats.org/officeDocument/2006/relationships/hyperlink" Target="https://brofastet.se/miljovanliga-byggmaterial-en-framtid-med-hallbara-val/" TargetMode="External"/><Relationship Id="rId5328" Type="http://schemas.openxmlformats.org/officeDocument/2006/relationships/hyperlink" Target="http://zmarta.se/" TargetMode="External"/><Relationship Id="rId8898" Type="http://schemas.openxmlformats.org/officeDocument/2006/relationships/hyperlink" Target="https://ng.se/artiklar/gps-mer-an-bara-att-hitta-ratt" TargetMode="External"/><Relationship Id="rId9949" Type="http://schemas.openxmlformats.org/officeDocument/2006/relationships/hyperlink" Target="http://kruunukaluste.fi/" TargetMode="External"/><Relationship Id="rId11879" Type="http://schemas.openxmlformats.org/officeDocument/2006/relationships/hyperlink" Target="https://tiotak.se/byta-tak-ekonomibyggnad/" TargetMode="External"/><Relationship Id="rId1938" Type="http://schemas.openxmlformats.org/officeDocument/2006/relationships/hyperlink" Target="https://www.inmygarden.se/ta-vara-pa-solens-energi" TargetMode="External"/><Relationship Id="rId3360" Type="http://schemas.openxmlformats.org/officeDocument/2006/relationships/hyperlink" Target="http://spelklubben.se/" TargetMode="External"/><Relationship Id="rId281" Type="http://schemas.openxmlformats.org/officeDocument/2006/relationships/hyperlink" Target="https://isla.se/vad-innehaller-dina-skonhetsprodukter/" TargetMode="External"/><Relationship Id="rId3013" Type="http://schemas.openxmlformats.org/officeDocument/2006/relationships/hyperlink" Target="http://spelklubben.se/" TargetMode="External"/><Relationship Id="rId4411" Type="http://schemas.openxmlformats.org/officeDocument/2006/relationships/hyperlink" Target="http://tandea.se/" TargetMode="External"/><Relationship Id="rId7981" Type="http://schemas.openxmlformats.org/officeDocument/2006/relationships/hyperlink" Target="http://svenskiptv.com/" TargetMode="External"/><Relationship Id="rId10962" Type="http://schemas.openxmlformats.org/officeDocument/2006/relationships/hyperlink" Target="https://www.rusta.com/sv-se/hem-och-inredning/mattor" TargetMode="External"/><Relationship Id="rId6583" Type="http://schemas.openxmlformats.org/officeDocument/2006/relationships/hyperlink" Target="https://podradio.nu/4-podcasts-om-tandvard-och-estetiska-behandlingar/" TargetMode="External"/><Relationship Id="rId7634" Type="http://schemas.openxmlformats.org/officeDocument/2006/relationships/hyperlink" Target="http://dryft.se/" TargetMode="External"/><Relationship Id="rId10615" Type="http://schemas.openxmlformats.org/officeDocument/2006/relationships/hyperlink" Target="http://mrvegas.com/" TargetMode="External"/><Relationship Id="rId5185" Type="http://schemas.openxmlformats.org/officeDocument/2006/relationships/hyperlink" Target="https://tryggbil.se/" TargetMode="External"/><Relationship Id="rId6236" Type="http://schemas.openxmlformats.org/officeDocument/2006/relationships/hyperlink" Target="https://www.mariatand.se/" TargetMode="External"/><Relationship Id="rId12787" Type="http://schemas.openxmlformats.org/officeDocument/2006/relationships/hyperlink" Target="https://www.bethard.com/sv/sports" TargetMode="External"/><Relationship Id="rId1795" Type="http://schemas.openxmlformats.org/officeDocument/2006/relationships/hyperlink" Target="https://tiotak.se/byta-tak-ekonomibyggnad/" TargetMode="External"/><Relationship Id="rId2846" Type="http://schemas.openxmlformats.org/officeDocument/2006/relationships/hyperlink" Target="http://tandea.se/" TargetMode="External"/><Relationship Id="rId9459" Type="http://schemas.openxmlformats.org/officeDocument/2006/relationships/hyperlink" Target="https://www.borskollen.se/nyheter/27/varfor-ar-man-mer-aktiva-pa-borsen" TargetMode="External"/><Relationship Id="rId11389" Type="http://schemas.openxmlformats.org/officeDocument/2006/relationships/hyperlink" Target="http://haxan.se/" TargetMode="External"/><Relationship Id="rId818" Type="http://schemas.openxmlformats.org/officeDocument/2006/relationships/hyperlink" Target="https://alltombeauty.se/tank-pa-detta-nar-du-ska-handla-skonhetsprodukter/" TargetMode="External"/><Relationship Id="rId1448" Type="http://schemas.openxmlformats.org/officeDocument/2006/relationships/hyperlink" Target="http://advancepointcap.com/" TargetMode="External"/><Relationship Id="rId7491" Type="http://schemas.openxmlformats.org/officeDocument/2006/relationships/hyperlink" Target="https://clearfuze.com/" TargetMode="External"/><Relationship Id="rId9940" Type="http://schemas.openxmlformats.org/officeDocument/2006/relationships/hyperlink" Target="https://www.bethard.com/sv/sports" TargetMode="External"/><Relationship Id="rId11870" Type="http://schemas.openxmlformats.org/officeDocument/2006/relationships/hyperlink" Target="https://haxan.se/blogs/news/putsa-fonster-som-proffs" TargetMode="External"/><Relationship Id="rId12921" Type="http://schemas.openxmlformats.org/officeDocument/2006/relationships/hyperlink" Target="http://chattanoogarehab.com/" TargetMode="External"/><Relationship Id="rId6093" Type="http://schemas.openxmlformats.org/officeDocument/2006/relationships/hyperlink" Target="http://chattanoogarehab.com/" TargetMode="External"/><Relationship Id="rId7144" Type="http://schemas.openxmlformats.org/officeDocument/2006/relationships/hyperlink" Target="https://sakraror.se/vara-tjanster/allman-service-vvs/vvs-i-sollentuna/" TargetMode="External"/><Relationship Id="rId8542" Type="http://schemas.openxmlformats.org/officeDocument/2006/relationships/hyperlink" Target="https://nordicknots.com/us/rugs" TargetMode="External"/><Relationship Id="rId10472" Type="http://schemas.openxmlformats.org/officeDocument/2006/relationships/hyperlink" Target="https://www.ihus.nu/framtidens-sanitara-hem-innovation-for-halsa-hallbarhet/" TargetMode="External"/><Relationship Id="rId11523" Type="http://schemas.openxmlformats.org/officeDocument/2006/relationships/hyperlink" Target="http://schjodt.com/" TargetMode="External"/><Relationship Id="rId10125" Type="http://schemas.openxmlformats.org/officeDocument/2006/relationships/hyperlink" Target="https://www.ekonomifokus.se/bostad/salja-bostad-guide/styla-bostaden-sjalv-infor-forsaljning-tips-och-rad" TargetMode="External"/><Relationship Id="rId3754" Type="http://schemas.openxmlformats.org/officeDocument/2006/relationships/hyperlink" Target="https://www.lula.se/kopa-bostad-tank-pa-det-har" TargetMode="External"/><Relationship Id="rId4805" Type="http://schemas.openxmlformats.org/officeDocument/2006/relationships/hyperlink" Target="http://nordenhydralic.se/" TargetMode="External"/><Relationship Id="rId12297" Type="http://schemas.openxmlformats.org/officeDocument/2006/relationships/hyperlink" Target="https://www.villarelining.se/" TargetMode="External"/><Relationship Id="rId675" Type="http://schemas.openxmlformats.org/officeDocument/2006/relationships/hyperlink" Target="https://www.habit.se/lb-article/179137/varen-ar-en-fantastisk-tid-for-den-som-ar-intresserad-av-mode" TargetMode="External"/><Relationship Id="rId2356" Type="http://schemas.openxmlformats.org/officeDocument/2006/relationships/hyperlink" Target="http://conclean.se/" TargetMode="External"/><Relationship Id="rId3407" Type="http://schemas.openxmlformats.org/officeDocument/2006/relationships/hyperlink" Target="https://storgruppen.se/asbestsanering/" TargetMode="External"/><Relationship Id="rId6977" Type="http://schemas.openxmlformats.org/officeDocument/2006/relationships/hyperlink" Target="https://www.coface.se/kreditfoersaekring" TargetMode="External"/><Relationship Id="rId328" Type="http://schemas.openxmlformats.org/officeDocument/2006/relationships/hyperlink" Target="https://livsbanken.se/rad-for-en-jamn-blodsockerniva/" TargetMode="External"/><Relationship Id="rId2009" Type="http://schemas.openxmlformats.org/officeDocument/2006/relationships/hyperlink" Target="http://conclean.se/" TargetMode="External"/><Relationship Id="rId5579" Type="http://schemas.openxmlformats.org/officeDocument/2006/relationships/hyperlink" Target="https://tiotak.se/byta-tak-ekonomibyggnad/" TargetMode="External"/><Relationship Id="rId9450" Type="http://schemas.openxmlformats.org/officeDocument/2006/relationships/hyperlink" Target="http://purakliniken.se/estetisk-tandvard/tandimplantat/" TargetMode="External"/><Relationship Id="rId8052" Type="http://schemas.openxmlformats.org/officeDocument/2006/relationships/hyperlink" Target="https://l&#229;nen.nu/rantelaget-och-vagen-fran-lan-till-inkasso-och-ett-samhalle-i-skuld/" TargetMode="External"/><Relationship Id="rId9103" Type="http://schemas.openxmlformats.org/officeDocument/2006/relationships/hyperlink" Target="https://www.spelklubben.se/sv/live-casino" TargetMode="External"/><Relationship Id="rId11033" Type="http://schemas.openxmlformats.org/officeDocument/2006/relationships/hyperlink" Target="http://turner.fi/" TargetMode="External"/><Relationship Id="rId11380" Type="http://schemas.openxmlformats.org/officeDocument/2006/relationships/hyperlink" Target="http://haxan.se/" TargetMode="External"/><Relationship Id="rId12431" Type="http://schemas.openxmlformats.org/officeDocument/2006/relationships/hyperlink" Target="https://legendbygg.com/" TargetMode="External"/><Relationship Id="rId4662" Type="http://schemas.openxmlformats.org/officeDocument/2006/relationships/hyperlink" Target="http://cherry.com/" TargetMode="External"/><Relationship Id="rId5713" Type="http://schemas.openxmlformats.org/officeDocument/2006/relationships/hyperlink" Target="http://soartzy.com/" TargetMode="External"/><Relationship Id="rId185" Type="http://schemas.openxmlformats.org/officeDocument/2006/relationships/hyperlink" Target="https://bigbenstandup.com/" TargetMode="External"/><Relationship Id="rId3264" Type="http://schemas.openxmlformats.org/officeDocument/2006/relationships/hyperlink" Target="http://spelklubben.se/" TargetMode="External"/><Relationship Id="rId4315" Type="http://schemas.openxmlformats.org/officeDocument/2006/relationships/hyperlink" Target="https://savethefuture.se/solceller-sommaren-solen-en-djupdykning-i-ljusets-energins-betydelse/" TargetMode="External"/><Relationship Id="rId7885" Type="http://schemas.openxmlformats.org/officeDocument/2006/relationships/hyperlink" Target="https://discountsover60s.co.uk/" TargetMode="External"/><Relationship Id="rId8936" Type="http://schemas.openxmlformats.org/officeDocument/2006/relationships/hyperlink" Target="https://usawire.com/5-effortless-ways-to-simplify-your-household-routine/" TargetMode="External"/><Relationship Id="rId10866" Type="http://schemas.openxmlformats.org/officeDocument/2006/relationships/hyperlink" Target="https://stockholms-rorvvs.se/" TargetMode="External"/><Relationship Id="rId6487" Type="http://schemas.openxmlformats.org/officeDocument/2006/relationships/hyperlink" Target="https://www.executiveeffect.se/sakerhet-pa-arbetsplatsen-varfor-foretag-bor-investera-i-en-palitlig-lasjour/" TargetMode="External"/><Relationship Id="rId7538" Type="http://schemas.openxmlformats.org/officeDocument/2006/relationships/hyperlink" Target="https://www.nettotobak.com/zyn/" TargetMode="External"/><Relationship Id="rId10519" Type="http://schemas.openxmlformats.org/officeDocument/2006/relationships/hyperlink" Target="https://www.startmotor.se/batterier/b%C3%A5tbatteri" TargetMode="External"/><Relationship Id="rId11917" Type="http://schemas.openxmlformats.org/officeDocument/2006/relationships/hyperlink" Target="http://robomarkets.com/" TargetMode="External"/><Relationship Id="rId5089" Type="http://schemas.openxmlformats.org/officeDocument/2006/relationships/hyperlink" Target="http://ledkungen.se/" TargetMode="External"/><Relationship Id="rId1699" Type="http://schemas.openxmlformats.org/officeDocument/2006/relationships/hyperlink" Target="https://aretrotale.com/" TargetMode="External"/><Relationship Id="rId2000" Type="http://schemas.openxmlformats.org/officeDocument/2006/relationships/hyperlink" Target="http://fairinvestments.se/" TargetMode="External"/><Relationship Id="rId5570" Type="http://schemas.openxmlformats.org/officeDocument/2006/relationships/hyperlink" Target="https://www.citypendeln.se/finansiering-lan-vad-du-behover-veta-nar-du-koper-bostad/" TargetMode="External"/><Relationship Id="rId4172" Type="http://schemas.openxmlformats.org/officeDocument/2006/relationships/hyperlink" Target="https://www.hskraft.se/" TargetMode="External"/><Relationship Id="rId5223" Type="http://schemas.openxmlformats.org/officeDocument/2006/relationships/hyperlink" Target="https://ostgotamaran.se/forbattra-din-kardiovaskulara-halsa-en-guide-till-ett-langre-halsosammare-liv/" TargetMode="External"/><Relationship Id="rId6621" Type="http://schemas.openxmlformats.org/officeDocument/2006/relationships/hyperlink" Target="https://branschaktuellt.se/diverse/224026-underhallningsbranschen-och-dess-olika-sidor/" TargetMode="External"/><Relationship Id="rId8793" Type="http://schemas.openxmlformats.org/officeDocument/2006/relationships/hyperlink" Target="http://ekstromgaray.se/" TargetMode="External"/><Relationship Id="rId9844" Type="http://schemas.openxmlformats.org/officeDocument/2006/relationships/hyperlink" Target="https://alltombeauty.se/vikten-av-akut-tandvard-for-ditt-leende-och-skonhet/" TargetMode="External"/><Relationship Id="rId11774" Type="http://schemas.openxmlformats.org/officeDocument/2006/relationships/hyperlink" Target="https://yagya.com/products/compression-riding-breeches-tan" TargetMode="External"/><Relationship Id="rId12825" Type="http://schemas.openxmlformats.org/officeDocument/2006/relationships/hyperlink" Target="http://turner.fi/" TargetMode="External"/><Relationship Id="rId58" Type="http://schemas.openxmlformats.org/officeDocument/2006/relationships/hyperlink" Target="https://blugiallo.com/" TargetMode="External"/><Relationship Id="rId1833" Type="http://schemas.openxmlformats.org/officeDocument/2006/relationships/hyperlink" Target="http://alfa.no/" TargetMode="External"/><Relationship Id="rId7048" Type="http://schemas.openxmlformats.org/officeDocument/2006/relationships/hyperlink" Target="http://mynicco.com/" TargetMode="External"/><Relationship Id="rId7395" Type="http://schemas.openxmlformats.org/officeDocument/2006/relationships/hyperlink" Target="https://eventeffect.se/hur-stadar-man-efter-ett-stort-event/" TargetMode="External"/><Relationship Id="rId8446" Type="http://schemas.openxmlformats.org/officeDocument/2006/relationships/hyperlink" Target="http://filippa-k.com/se/sv/" TargetMode="External"/><Relationship Id="rId10376" Type="http://schemas.openxmlformats.org/officeDocument/2006/relationships/hyperlink" Target="https://igamingindustry.org/sv/blogg-sv/hur-gaming-och-casinobranschen-inspirerar-varandra/" TargetMode="External"/><Relationship Id="rId11427" Type="http://schemas.openxmlformats.org/officeDocument/2006/relationships/hyperlink" Target="https://sund.nu/hitta-din-drombostad/" TargetMode="External"/><Relationship Id="rId10029" Type="http://schemas.openxmlformats.org/officeDocument/2006/relationships/hyperlink" Target="https://www.videoslots.com/sv/mobile/casino/" TargetMode="External"/><Relationship Id="rId3658" Type="http://schemas.openxmlformats.org/officeDocument/2006/relationships/hyperlink" Target="http://aretrotale.com/" TargetMode="External"/><Relationship Id="rId4709" Type="http://schemas.openxmlformats.org/officeDocument/2006/relationships/hyperlink" Target="https://lillavik.se/takbyten-solcellsinstallationer-en-investering-for-framtiden/" TargetMode="External"/><Relationship Id="rId579" Type="http://schemas.openxmlformats.org/officeDocument/2006/relationships/hyperlink" Target="https://sufracofinebrands.com/kategori/varumarken-compagnie-de-provence" TargetMode="External"/><Relationship Id="rId5080" Type="http://schemas.openxmlformats.org/officeDocument/2006/relationships/hyperlink" Target="http://aretrotale.com/" TargetMode="External"/><Relationship Id="rId6131" Type="http://schemas.openxmlformats.org/officeDocument/2006/relationships/hyperlink" Target="https://ocnjdaily.com/news/2024/oct/30/navigating-alternatives-understanding-nicotine-pouches/" TargetMode="External"/><Relationship Id="rId10510" Type="http://schemas.openxmlformats.org/officeDocument/2006/relationships/hyperlink" Target="https://www.orienteringsmagasinet.se/vad-far-orienterare-anvanda-for-hjalpmedel-i-tavlingar/" TargetMode="External"/><Relationship Id="rId9354" Type="http://schemas.openxmlformats.org/officeDocument/2006/relationships/hyperlink" Target="https://www.zmarta.se/lana-pengar/privatlan" TargetMode="External"/><Relationship Id="rId12682" Type="http://schemas.openxmlformats.org/officeDocument/2006/relationships/hyperlink" Target="https://dindromvilla.se/fastighetsmaklare-i-trosa-hjalper-dig-att-hitta-dromhemmet/" TargetMode="External"/><Relationship Id="rId1690" Type="http://schemas.openxmlformats.org/officeDocument/2006/relationships/hyperlink" Target="https://www.alfa.no/collections/vintersko-til-dame" TargetMode="External"/><Relationship Id="rId2741" Type="http://schemas.openxmlformats.org/officeDocument/2006/relationships/hyperlink" Target="https://tiotak.se/byta-tak-ekonomibyggnad/" TargetMode="External"/><Relationship Id="rId9007" Type="http://schemas.openxmlformats.org/officeDocument/2006/relationships/hyperlink" Target="https://leaptodigital.com/roofing-crm" TargetMode="External"/><Relationship Id="rId11284" Type="http://schemas.openxmlformats.org/officeDocument/2006/relationships/hyperlink" Target="https://www.dieselkraft.se/" TargetMode="External"/><Relationship Id="rId12335" Type="http://schemas.openxmlformats.org/officeDocument/2006/relationships/hyperlink" Target="http://fairinvestments.se/" TargetMode="External"/><Relationship Id="rId713" Type="http://schemas.openxmlformats.org/officeDocument/2006/relationships/hyperlink" Target="https://toyota-forklifts.se/begagnade-truckar/" TargetMode="External"/><Relationship Id="rId1343" Type="http://schemas.openxmlformats.org/officeDocument/2006/relationships/hyperlink" Target="https://dinlokalabokhandel.se/att-boka-in-sig-till-en-trafikskola-en-vag-mot-sjalvstandighet-och-sakerhet-pa-vagarna/" TargetMode="External"/><Relationship Id="rId5964" Type="http://schemas.openxmlformats.org/officeDocument/2006/relationships/hyperlink" Target="https://thetechportal.com/cybersecurity-and-ai-the-good-the-bad-and-the-ugly/" TargetMode="External"/><Relationship Id="rId4566" Type="http://schemas.openxmlformats.org/officeDocument/2006/relationships/hyperlink" Target="http://aaatak.se/" TargetMode="External"/><Relationship Id="rId5617" Type="http://schemas.openxmlformats.org/officeDocument/2006/relationships/hyperlink" Target="https://www.peaccounting.se/var-tjanst/bokforingsprogram/" TargetMode="External"/><Relationship Id="rId3168" Type="http://schemas.openxmlformats.org/officeDocument/2006/relationships/hyperlink" Target="http://m6bygg.se/" TargetMode="External"/><Relationship Id="rId4219" Type="http://schemas.openxmlformats.org/officeDocument/2006/relationships/hyperlink" Target="http://aretrotale.com/" TargetMode="External"/><Relationship Id="rId7789" Type="http://schemas.openxmlformats.org/officeDocument/2006/relationships/hyperlink" Target="https://www.editionreimers.se/svensk-iptv-en-ny-era-av-tv-tittande" TargetMode="External"/><Relationship Id="rId10020" Type="http://schemas.openxmlformats.org/officeDocument/2006/relationships/hyperlink" Target="https://eventeffect.se/eurovision-logistiken-bakom-varldens-mest-komplicerade-show/" TargetMode="External"/><Relationship Id="rId12192" Type="http://schemas.openxmlformats.org/officeDocument/2006/relationships/hyperlink" Target="http://oconnors.se/" TargetMode="External"/><Relationship Id="rId13243" Type="http://schemas.openxmlformats.org/officeDocument/2006/relationships/hyperlink" Target="https://vackerhud.se/viktnedgangens-inverkan-pa-skonhet-och-halsa/" TargetMode="External"/><Relationship Id="rId570" Type="http://schemas.openxmlformats.org/officeDocument/2006/relationships/hyperlink" Target="https://www.lansfast.se/maklare/sodermanland/nykoping/" TargetMode="External"/><Relationship Id="rId2251" Type="http://schemas.openxmlformats.org/officeDocument/2006/relationships/hyperlink" Target="https://www.northcountrysbdc.org/" TargetMode="External"/><Relationship Id="rId3302" Type="http://schemas.openxmlformats.org/officeDocument/2006/relationships/hyperlink" Target="http://distansinstitutet.se/" TargetMode="External"/><Relationship Id="rId4700" Type="http://schemas.openxmlformats.org/officeDocument/2006/relationships/hyperlink" Target="http://mariatand.se/" TargetMode="External"/><Relationship Id="rId223" Type="http://schemas.openxmlformats.org/officeDocument/2006/relationships/hyperlink" Target="http://elmarknad.se/" TargetMode="External"/><Relationship Id="rId6872" Type="http://schemas.openxmlformats.org/officeDocument/2006/relationships/hyperlink" Target="https://www.godies.fi/collections/meikki" TargetMode="External"/><Relationship Id="rId7923" Type="http://schemas.openxmlformats.org/officeDocument/2006/relationships/hyperlink" Target="http://spelklubben.se/" TargetMode="External"/><Relationship Id="rId10904" Type="http://schemas.openxmlformats.org/officeDocument/2006/relationships/hyperlink" Target="https://kelleher-international.com/" TargetMode="External"/><Relationship Id="rId4076" Type="http://schemas.openxmlformats.org/officeDocument/2006/relationships/hyperlink" Target="http://gordetmedrw.se/" TargetMode="External"/><Relationship Id="rId5474" Type="http://schemas.openxmlformats.org/officeDocument/2006/relationships/hyperlink" Target="https://markmeets.com/posts/what-to-expect-from-gladiator-2/" TargetMode="External"/><Relationship Id="rId6525" Type="http://schemas.openxmlformats.org/officeDocument/2006/relationships/hyperlink" Target="http://nodepositbonus.cc/" TargetMode="External"/><Relationship Id="rId5127" Type="http://schemas.openxmlformats.org/officeDocument/2006/relationships/hyperlink" Target="https://www.tandea.se/" TargetMode="External"/><Relationship Id="rId8697" Type="http://schemas.openxmlformats.org/officeDocument/2006/relationships/hyperlink" Target="http://skidvalla.se/" TargetMode="External"/><Relationship Id="rId9748" Type="http://schemas.openxmlformats.org/officeDocument/2006/relationships/hyperlink" Target="http://maklarringen.se/" TargetMode="External"/><Relationship Id="rId11678" Type="http://schemas.openxmlformats.org/officeDocument/2006/relationships/hyperlink" Target="https://www.finansoplysning.dk/5-brugbare-tips-om-aktiemarkedet-for-nybegyndere/" TargetMode="External"/><Relationship Id="rId12729" Type="http://schemas.openxmlformats.org/officeDocument/2006/relationships/hyperlink" Target="https://guidebloggen.se/att-hitta-ratt-tandlakare-i-stockholm-for-en-battre-livsstil/" TargetMode="External"/><Relationship Id="rId1737" Type="http://schemas.openxmlformats.org/officeDocument/2006/relationships/hyperlink" Target="https://pontonhamnar.se/" TargetMode="External"/><Relationship Id="rId7299" Type="http://schemas.openxmlformats.org/officeDocument/2006/relationships/hyperlink" Target="https://www.nyaprojekt.se/2025/01/22/heltackningsmattan-en-brittisk-tankevurpa-eller-nyckeln-till-en-standig-mysfaktor/" TargetMode="External"/><Relationship Id="rId4210" Type="http://schemas.openxmlformats.org/officeDocument/2006/relationships/hyperlink" Target="http://lansfast.se/" TargetMode="External"/><Relationship Id="rId7780" Type="http://schemas.openxmlformats.org/officeDocument/2006/relationships/hyperlink" Target="https://podcasts.nu/blogg/podcasts-for-varje-humor-2025" TargetMode="External"/><Relationship Id="rId6382" Type="http://schemas.openxmlformats.org/officeDocument/2006/relationships/hyperlink" Target="https://www.kelleher-international.com/" TargetMode="External"/><Relationship Id="rId7433" Type="http://schemas.openxmlformats.org/officeDocument/2006/relationships/hyperlink" Target="http://cateringfabriken.se/" TargetMode="External"/><Relationship Id="rId8831" Type="http://schemas.openxmlformats.org/officeDocument/2006/relationships/hyperlink" Target="https://minifinder.se/" TargetMode="External"/><Relationship Id="rId10761" Type="http://schemas.openxmlformats.org/officeDocument/2006/relationships/hyperlink" Target="https://coolkille.se/att-ta-hand-om-din-bil-ar-viktigt-for-varje-man-i-tyreso/" TargetMode="External"/><Relationship Id="rId11812" Type="http://schemas.openxmlformats.org/officeDocument/2006/relationships/hyperlink" Target="https://kobenhavnliv.dk/annoncorbetaltindhold/ivaerksaettere-i-koebenhavn-er-udfordret-paa-oekonomien-kreditvurderinger-kan-hjaelpe" TargetMode="External"/><Relationship Id="rId6035" Type="http://schemas.openxmlformats.org/officeDocument/2006/relationships/hyperlink" Target="http://hajper.com/" TargetMode="External"/><Relationship Id="rId10414" Type="http://schemas.openxmlformats.org/officeDocument/2006/relationships/hyperlink" Target="https://alxmedia.se/aktuellt/em-fotboll-damer/" TargetMode="External"/><Relationship Id="rId2992" Type="http://schemas.openxmlformats.org/officeDocument/2006/relationships/hyperlink" Target="https://faktainfo.se/fair-investments-forstklassiga-finansiella-losningar-for-alla/" TargetMode="External"/><Relationship Id="rId9258" Type="http://schemas.openxmlformats.org/officeDocument/2006/relationships/hyperlink" Target="https://sakraror.se/vara-tjanster/allman-service-vvs/vvs-i-taby/" TargetMode="External"/><Relationship Id="rId12586" Type="http://schemas.openxmlformats.org/officeDocument/2006/relationships/hyperlink" Target="http://bbml.se/" TargetMode="External"/><Relationship Id="rId964" Type="http://schemas.openxmlformats.org/officeDocument/2006/relationships/hyperlink" Target="http://blugiallo.se/" TargetMode="External"/><Relationship Id="rId1594" Type="http://schemas.openxmlformats.org/officeDocument/2006/relationships/hyperlink" Target="https://coinmixer.se/fair-investments-en-ledande-aktor-inom-langsiktiga-globala-kvalitetsinvesteringar/" TargetMode="External"/><Relationship Id="rId2645" Type="http://schemas.openxmlformats.org/officeDocument/2006/relationships/hyperlink" Target="https://www.executiveeffect.se/vad-ar-fair-investments/" TargetMode="External"/><Relationship Id="rId11188" Type="http://schemas.openxmlformats.org/officeDocument/2006/relationships/hyperlink" Target="https://www.boerse-express.com/news/articles/das-sollten-sie-bei-der-versicherung-ihrer-waermepumpe-beachten-546007" TargetMode="External"/><Relationship Id="rId12239" Type="http://schemas.openxmlformats.org/officeDocument/2006/relationships/hyperlink" Target="https://www.totallyorebro.se/uncategorized/cfd-for-nyborjare/" TargetMode="External"/><Relationship Id="rId617" Type="http://schemas.openxmlformats.org/officeDocument/2006/relationships/hyperlink" Target="https://arctic.se/nibewp/" TargetMode="External"/><Relationship Id="rId1247" Type="http://schemas.openxmlformats.org/officeDocument/2006/relationships/hyperlink" Target="http://rehabgrossisten.com/" TargetMode="External"/><Relationship Id="rId5868" Type="http://schemas.openxmlformats.org/officeDocument/2006/relationships/hyperlink" Target="https://bonusman.se/volkswagen-service-for-maend-underhall-av-din-volkswagen-med-stil/" TargetMode="External"/><Relationship Id="rId6919" Type="http://schemas.openxmlformats.org/officeDocument/2006/relationships/hyperlink" Target="https://www.purakliniken.se/" TargetMode="External"/><Relationship Id="rId7290" Type="http://schemas.openxmlformats.org/officeDocument/2006/relationships/hyperlink" Target="https://www.nordiskaprojekt.se/2025/01/22/2025-karnkraftets-ar/" TargetMode="External"/><Relationship Id="rId8341" Type="http://schemas.openxmlformats.org/officeDocument/2006/relationships/hyperlink" Target="https://www.petster.se/hast/hasttacken/" TargetMode="External"/><Relationship Id="rId10271" Type="http://schemas.openxmlformats.org/officeDocument/2006/relationships/hyperlink" Target="http://arctic.se/" TargetMode="External"/><Relationship Id="rId11322" Type="http://schemas.openxmlformats.org/officeDocument/2006/relationships/hyperlink" Target="https://sek-converter.se/viktiga-saker-att-tanka-pa-nar-det-kommer-till-investeringar/" TargetMode="External"/><Relationship Id="rId12720" Type="http://schemas.openxmlformats.org/officeDocument/2006/relationships/hyperlink" Target="http://tiotak.se/" TargetMode="External"/><Relationship Id="rId4951" Type="http://schemas.openxmlformats.org/officeDocument/2006/relationships/hyperlink" Target="https://www.snusnetto.se/" TargetMode="External"/><Relationship Id="rId12096" Type="http://schemas.openxmlformats.org/officeDocument/2006/relationships/hyperlink" Target="https://www.knuten.nu/2023/10/25/fordelar-med-torrborstning-for-kroppen-friskare-hud-och-okad-energi/" TargetMode="External"/><Relationship Id="rId474" Type="http://schemas.openxmlformats.org/officeDocument/2006/relationships/hyperlink" Target="http://sufracofinebrands.com/" TargetMode="External"/><Relationship Id="rId2155" Type="http://schemas.openxmlformats.org/officeDocument/2006/relationships/hyperlink" Target="http://lansfast.se/" TargetMode="External"/><Relationship Id="rId3553" Type="http://schemas.openxmlformats.org/officeDocument/2006/relationships/hyperlink" Target="http://glitnor.com/" TargetMode="External"/><Relationship Id="rId4604" Type="http://schemas.openxmlformats.org/officeDocument/2006/relationships/hyperlink" Target="http://cherry.com/" TargetMode="External"/><Relationship Id="rId13147" Type="http://schemas.openxmlformats.org/officeDocument/2006/relationships/hyperlink" Target="http://sakraror.se/" TargetMode="External"/><Relationship Id="rId127" Type="http://schemas.openxmlformats.org/officeDocument/2006/relationships/hyperlink" Target="http://ljusgrossisten.se/" TargetMode="External"/><Relationship Id="rId3206" Type="http://schemas.openxmlformats.org/officeDocument/2006/relationships/hyperlink" Target="https://megogmagen.no/velg-de-riktige-turstovlene-en-guide-for-alle-terreng/" TargetMode="External"/><Relationship Id="rId6776" Type="http://schemas.openxmlformats.org/officeDocument/2006/relationships/hyperlink" Target="http://hajper.com/" TargetMode="External"/><Relationship Id="rId7827" Type="http://schemas.openxmlformats.org/officeDocument/2006/relationships/hyperlink" Target="http://mockfjards.se/att-byta-fonster" TargetMode="External"/><Relationship Id="rId10808" Type="http://schemas.openxmlformats.org/officeDocument/2006/relationships/hyperlink" Target="http://www.norrkopingshistoria.se/" TargetMode="External"/><Relationship Id="rId5378" Type="http://schemas.openxmlformats.org/officeDocument/2006/relationships/hyperlink" Target="https://www.svenskgolf.se/artiklar/annons/20240910/gor-nasta-golfturnering-extra-rolig-att-folja-med-betting/" TargetMode="External"/><Relationship Id="rId6429" Type="http://schemas.openxmlformats.org/officeDocument/2006/relationships/hyperlink" Target="https://www.rusta.com/sv-se/hem-och-inredning/mattor" TargetMode="External"/><Relationship Id="rId9999" Type="http://schemas.openxmlformats.org/officeDocument/2006/relationships/hyperlink" Target="http://mrvegas.com/" TargetMode="External"/><Relationship Id="rId12230" Type="http://schemas.openxmlformats.org/officeDocument/2006/relationships/hyperlink" Target="http://fairinvestments.se/" TargetMode="External"/><Relationship Id="rId1988" Type="http://schemas.openxmlformats.org/officeDocument/2006/relationships/hyperlink" Target="https://lemontree.se/" TargetMode="External"/><Relationship Id="rId4461" Type="http://schemas.openxmlformats.org/officeDocument/2006/relationships/hyperlink" Target="http://lemontree.se/" TargetMode="External"/><Relationship Id="rId5512" Type="http://schemas.openxmlformats.org/officeDocument/2006/relationships/hyperlink" Target="https://igafnl.com/click?redirect=https%3A%2F%2Fwww.dubaihealthcareguide.com%2Ffast-paced-lifestyle-demands-discreet-solutions%2F&amp;dID=1727174418519&amp;hashId=79657375b35b9121cacb9345e6f7731f277465bad3ed2da9ee70b07d78fe94a7548736&amp;linkName=https://www.dubaihealthcareguide.com/fast-paced-lifestyle-demands-discreet-solutions/" TargetMode="External"/><Relationship Id="rId6910" Type="http://schemas.openxmlformats.org/officeDocument/2006/relationships/hyperlink" Target="https://everynightstudios.com/pages/foretag" TargetMode="External"/><Relationship Id="rId3063" Type="http://schemas.openxmlformats.org/officeDocument/2006/relationships/hyperlink" Target="https://www.klintabykrog.se/" TargetMode="External"/><Relationship Id="rId4114" Type="http://schemas.openxmlformats.org/officeDocument/2006/relationships/hyperlink" Target="https://www.vont.se/to-go" TargetMode="External"/><Relationship Id="rId6286" Type="http://schemas.openxmlformats.org/officeDocument/2006/relationships/hyperlink" Target="http://startmotor.se/" TargetMode="External"/><Relationship Id="rId7337" Type="http://schemas.openxmlformats.org/officeDocument/2006/relationships/hyperlink" Target="https://www.techhubben.se/blogs/ny-teknik-som-formar-framtidens-spelupplevelser" TargetMode="External"/><Relationship Id="rId7684" Type="http://schemas.openxmlformats.org/officeDocument/2006/relationships/hyperlink" Target="https://direktbygg.se/professionell-taklaggning-och-renovering-av-lantbrukstak-for-hallbara-losningar/" TargetMode="External"/><Relationship Id="rId8735" Type="http://schemas.openxmlformats.org/officeDocument/2006/relationships/hyperlink" Target="https://invozio.com/" TargetMode="External"/><Relationship Id="rId10665" Type="http://schemas.openxmlformats.org/officeDocument/2006/relationships/hyperlink" Target="http://comfydence.se/" TargetMode="External"/><Relationship Id="rId11716" Type="http://schemas.openxmlformats.org/officeDocument/2006/relationships/hyperlink" Target="https://markets.vontobel.com/nb-no," TargetMode="External"/><Relationship Id="rId10318" Type="http://schemas.openxmlformats.org/officeDocument/2006/relationships/hyperlink" Target="https://www.michaelofrisorerna.se/ombre-balayage-farg-3/" TargetMode="External"/><Relationship Id="rId2896" Type="http://schemas.openxmlformats.org/officeDocument/2006/relationships/hyperlink" Target="https://elavtaldirekt.se/" TargetMode="External"/><Relationship Id="rId3947" Type="http://schemas.openxmlformats.org/officeDocument/2006/relationships/hyperlink" Target="http://conclean.se/" TargetMode="External"/><Relationship Id="rId868" Type="http://schemas.openxmlformats.org/officeDocument/2006/relationships/hyperlink" Target="https://socialsummit17.se/kallan-till-alla-tankbara-kontorsmaterial/" TargetMode="External"/><Relationship Id="rId1498" Type="http://schemas.openxmlformats.org/officeDocument/2006/relationships/hyperlink" Target="http://tandea.se/" TargetMode="External"/><Relationship Id="rId2549" Type="http://schemas.openxmlformats.org/officeDocument/2006/relationships/hyperlink" Target="http://mariatand.se/" TargetMode="External"/><Relationship Id="rId6420" Type="http://schemas.openxmlformats.org/officeDocument/2006/relationships/hyperlink" Target="https://www.affarsvarlden.se/native/spetsig-fond-hittar-globala-vinnare" TargetMode="External"/><Relationship Id="rId9990" Type="http://schemas.openxmlformats.org/officeDocument/2006/relationships/hyperlink" Target="http://filippa-k.com/se/sv/" TargetMode="External"/><Relationship Id="rId5022" Type="http://schemas.openxmlformats.org/officeDocument/2006/relationships/hyperlink" Target="https://www.spelklubben.se/sv/betting" TargetMode="External"/><Relationship Id="rId8592" Type="http://schemas.openxmlformats.org/officeDocument/2006/relationships/hyperlink" Target="http://fairinvestments.se/" TargetMode="External"/><Relationship Id="rId9643" Type="http://schemas.openxmlformats.org/officeDocument/2006/relationships/hyperlink" Target="https://www.transportochlogistik.se/20250602/21289/hur-gront-ar-det-att-frakta-pa-havet" TargetMode="External"/><Relationship Id="rId12971" Type="http://schemas.openxmlformats.org/officeDocument/2006/relationships/hyperlink" Target="https://cookies.nu/artiklar/kakor-integritet-och-noje-online-sa-hanger-allt-ihop/" TargetMode="External"/><Relationship Id="rId7194" Type="http://schemas.openxmlformats.org/officeDocument/2006/relationships/hyperlink" Target="https://aerius.se/tjanster/ftx-system/" TargetMode="External"/><Relationship Id="rId8245" Type="http://schemas.openxmlformats.org/officeDocument/2006/relationships/hyperlink" Target="http://axofinans.se/" TargetMode="External"/><Relationship Id="rId10175" Type="http://schemas.openxmlformats.org/officeDocument/2006/relationships/hyperlink" Target="http://kleer.se/" TargetMode="External"/><Relationship Id="rId11573" Type="http://schemas.openxmlformats.org/officeDocument/2006/relationships/hyperlink" Target="https://sufracofinebrands.com/kategori/varumarken-compagnie-de-provence" TargetMode="External"/><Relationship Id="rId12624" Type="http://schemas.openxmlformats.org/officeDocument/2006/relationships/hyperlink" Target="https://www.nordicknots.com/us/rugs" TargetMode="External"/><Relationship Id="rId1632" Type="http://schemas.openxmlformats.org/officeDocument/2006/relationships/hyperlink" Target="https://www.triwa.com/watches-for-men" TargetMode="External"/><Relationship Id="rId11226" Type="http://schemas.openxmlformats.org/officeDocument/2006/relationships/hyperlink" Target="https://chronos.se/" TargetMode="External"/><Relationship Id="rId4855" Type="http://schemas.openxmlformats.org/officeDocument/2006/relationships/hyperlink" Target="http://e-ciggbolaget.se/" TargetMode="External"/><Relationship Id="rId5906" Type="http://schemas.openxmlformats.org/officeDocument/2006/relationships/hyperlink" Target="https://supernormal.health/se/" TargetMode="External"/><Relationship Id="rId3457" Type="http://schemas.openxmlformats.org/officeDocument/2006/relationships/hyperlink" Target="http://w3elsolenergi.se/" TargetMode="External"/><Relationship Id="rId4508" Type="http://schemas.openxmlformats.org/officeDocument/2006/relationships/hyperlink" Target="https://modernating.se/mc-batterier-funktion-skillnader-fran-bilbatterier-ratt-val-av-batteri/" TargetMode="External"/><Relationship Id="rId378" Type="http://schemas.openxmlformats.org/officeDocument/2006/relationships/hyperlink" Target="http://schjodt.com/" TargetMode="External"/><Relationship Id="rId2059" Type="http://schemas.openxmlformats.org/officeDocument/2006/relationships/hyperlink" Target="https://www.allabolag.se/5568169626/bokslut" TargetMode="External"/><Relationship Id="rId12481" Type="http://schemas.openxmlformats.org/officeDocument/2006/relationships/hyperlink" Target="https://www.saleseffect.se/fair-investments-skraddarsydd-radgivning-for-foretagare/" TargetMode="External"/><Relationship Id="rId2540" Type="http://schemas.openxmlformats.org/officeDocument/2006/relationships/hyperlink" Target="http://conclean.se/" TargetMode="External"/><Relationship Id="rId9153" Type="http://schemas.openxmlformats.org/officeDocument/2006/relationships/hyperlink" Target="http://mobot.com/" TargetMode="External"/><Relationship Id="rId11083" Type="http://schemas.openxmlformats.org/officeDocument/2006/relationships/hyperlink" Target="https://www.spelklubben.se/sv/casino" TargetMode="External"/><Relationship Id="rId12134" Type="http://schemas.openxmlformats.org/officeDocument/2006/relationships/hyperlink" Target="https://dinkanal.se/ekonomi/att-sakra-framtiden-vikten-av-ratt-forsakringar/" TargetMode="External"/><Relationship Id="rId512" Type="http://schemas.openxmlformats.org/officeDocument/2006/relationships/hyperlink" Target="https://schjodt.com/expertise/rekonstruktion-insolvens" TargetMode="External"/><Relationship Id="rId1142" Type="http://schemas.openxmlformats.org/officeDocument/2006/relationships/hyperlink" Target="http://distansinstitutet.se/" TargetMode="External"/><Relationship Id="rId4365" Type="http://schemas.openxmlformats.org/officeDocument/2006/relationships/hyperlink" Target="https://www.spelklubben.se/sv/betting" TargetMode="External"/><Relationship Id="rId5763" Type="http://schemas.openxmlformats.org/officeDocument/2006/relationships/hyperlink" Target="https://spelguiden.net/betting/bethard-valkomstbonus-for-nya-spelare/" TargetMode="External"/><Relationship Id="rId6814" Type="http://schemas.openxmlformats.org/officeDocument/2006/relationships/hyperlink" Target="https://fragbite.se/all/news/56606/darfor-ar-bettingsponsorer-sa-vanliga-inom-esporten" TargetMode="External"/><Relationship Id="rId4018" Type="http://schemas.openxmlformats.org/officeDocument/2006/relationships/hyperlink" Target="http://m6bygg.se/" TargetMode="External"/><Relationship Id="rId5416" Type="http://schemas.openxmlformats.org/officeDocument/2006/relationships/hyperlink" Target="https://aretrotale.com/en/" TargetMode="External"/><Relationship Id="rId8986" Type="http://schemas.openxmlformats.org/officeDocument/2006/relationships/hyperlink" Target="https://lindenytt.com/extra/lindesberg-och-ekonomin-i-siffror/" TargetMode="External"/><Relationship Id="rId11967" Type="http://schemas.openxmlformats.org/officeDocument/2006/relationships/hyperlink" Target="https://ledkungen.se/collections/led-lister" TargetMode="External"/><Relationship Id="rId7588" Type="http://schemas.openxmlformats.org/officeDocument/2006/relationships/hyperlink" Target="https://www.nodepositbonus.cc/canada-no-deposit-casino-bonuses/" TargetMode="External"/><Relationship Id="rId8639" Type="http://schemas.openxmlformats.org/officeDocument/2006/relationships/hyperlink" Target="http://hund.se/" TargetMode="External"/><Relationship Id="rId10569" Type="http://schemas.openxmlformats.org/officeDocument/2006/relationships/hyperlink" Target="https://feedbuzzard.com/secrets-to-winning-gym-battles-in-pokemon-go/" TargetMode="External"/><Relationship Id="rId13042" Type="http://schemas.openxmlformats.org/officeDocument/2006/relationships/hyperlink" Target="https://brollopspresenten.se/brollopsgavor-genom-tiderna/" TargetMode="External"/><Relationship Id="rId2050" Type="http://schemas.openxmlformats.org/officeDocument/2006/relationships/hyperlink" Target="https://w3elsolenergi.se/" TargetMode="External"/><Relationship Id="rId3101" Type="http://schemas.openxmlformats.org/officeDocument/2006/relationships/hyperlink" Target="https://renbyggbransch.nu/lansforsakringar-fastighetsformedling-lansfast-i-nykoping-erbjuder-helhetstjanster-for-bade-kopare-saljare/" TargetMode="External"/><Relationship Id="rId6671" Type="http://schemas.openxmlformats.org/officeDocument/2006/relationships/hyperlink" Target="https://hemmaprofilen.se/hitta-det-perfekta-hundfodret-for-din-fyrbente-van/" TargetMode="External"/><Relationship Id="rId7722" Type="http://schemas.openxmlformats.org/officeDocument/2006/relationships/hyperlink" Target="https://svenskiptv.com/hur-fungerar-iptv-kom-igang/" TargetMode="External"/><Relationship Id="rId5273" Type="http://schemas.openxmlformats.org/officeDocument/2006/relationships/hyperlink" Target="https://www.sportsclubeducation.se/" TargetMode="External"/><Relationship Id="rId6324" Type="http://schemas.openxmlformats.org/officeDocument/2006/relationships/hyperlink" Target="https://lyckligtliv.se/hur-en-ny-bilforarutbildning-kan-forandra-ditt-liv/" TargetMode="External"/><Relationship Id="rId10703" Type="http://schemas.openxmlformats.org/officeDocument/2006/relationships/hyperlink" Target="http://epidemicsounds.com/" TargetMode="External"/><Relationship Id="rId8496" Type="http://schemas.openxmlformats.org/officeDocument/2006/relationships/hyperlink" Target="http://tandea.se/" TargetMode="External"/><Relationship Id="rId9547" Type="http://schemas.openxmlformats.org/officeDocument/2006/relationships/hyperlink" Target="https://invozio.com/fakturering-utan-foretag-2025?lang=sv-se" TargetMode="External"/><Relationship Id="rId9894" Type="http://schemas.openxmlformats.org/officeDocument/2006/relationships/hyperlink" Target="http://nordicknots.com/" TargetMode="External"/><Relationship Id="rId12875" Type="http://schemas.openxmlformats.org/officeDocument/2006/relationships/hyperlink" Target="https://www.willabgarden.de/gewachshauser/" TargetMode="External"/><Relationship Id="rId1883" Type="http://schemas.openxmlformats.org/officeDocument/2006/relationships/hyperlink" Target="https://aretrotale.com/" TargetMode="External"/><Relationship Id="rId2934" Type="http://schemas.openxmlformats.org/officeDocument/2006/relationships/hyperlink" Target="https://podradio.nu/utforska-vont-to-go-en-smakfull-resa-genom-fruktiga-engangsvapes/" TargetMode="External"/><Relationship Id="rId7098" Type="http://schemas.openxmlformats.org/officeDocument/2006/relationships/hyperlink" Target="https://www.sportochfritidsnyheter.se/20250108/4112/aktiviteter-dig-och-din-hund-och-utrustningen-ni-behover" TargetMode="External"/><Relationship Id="rId8149" Type="http://schemas.openxmlformats.org/officeDocument/2006/relationships/hyperlink" Target="http://rusta.se/" TargetMode="External"/><Relationship Id="rId11477" Type="http://schemas.openxmlformats.org/officeDocument/2006/relationships/hyperlink" Target="https://nem.health/" TargetMode="External"/><Relationship Id="rId12528" Type="http://schemas.openxmlformats.org/officeDocument/2006/relationships/hyperlink" Target="http://ttsab.nu/" TargetMode="External"/><Relationship Id="rId906" Type="http://schemas.openxmlformats.org/officeDocument/2006/relationships/hyperlink" Target="http://pontech.se/" TargetMode="External"/><Relationship Id="rId1536" Type="http://schemas.openxmlformats.org/officeDocument/2006/relationships/hyperlink" Target="https://www.happysocks.com/us/collection/socks-for-men" TargetMode="External"/><Relationship Id="rId10079" Type="http://schemas.openxmlformats.org/officeDocument/2006/relationships/hyperlink" Target="https://www.michaelofrisorerna.se/" TargetMode="External"/><Relationship Id="rId4759" Type="http://schemas.openxmlformats.org/officeDocument/2006/relationships/hyperlink" Target="http://joureliten.se/" TargetMode="External"/><Relationship Id="rId8630" Type="http://schemas.openxmlformats.org/officeDocument/2006/relationships/hyperlink" Target="http://fairinvestments.se/" TargetMode="External"/><Relationship Id="rId10560" Type="http://schemas.openxmlformats.org/officeDocument/2006/relationships/hyperlink" Target="https://www.maklarringen.se/karriar/nyetablering/en-ny-start-sa-utrustar-du-ditt-kontor-med-ratt-kontorsmaterial" TargetMode="External"/><Relationship Id="rId11611" Type="http://schemas.openxmlformats.org/officeDocument/2006/relationships/hyperlink" Target="https://tiotak.se/" TargetMode="External"/><Relationship Id="rId6181" Type="http://schemas.openxmlformats.org/officeDocument/2006/relationships/hyperlink" Target="http://chattanoogarehab.com/" TargetMode="External"/><Relationship Id="rId7232" Type="http://schemas.openxmlformats.org/officeDocument/2006/relationships/hyperlink" Target="https://www.favorreklambyra.se/vad-ar-ip-tv-och-varfor-blir-det-allt-mer-populart" TargetMode="External"/><Relationship Id="rId10213" Type="http://schemas.openxmlformats.org/officeDocument/2006/relationships/hyperlink" Target="https://www.sandiegoreader.com/contributor/readernews/how-electrical-stimulation-supports-recovery-and-pain-relief/" TargetMode="External"/><Relationship Id="rId2791" Type="http://schemas.openxmlformats.org/officeDocument/2006/relationships/hyperlink" Target="https://cl.luckycasino.com/es/" TargetMode="External"/><Relationship Id="rId12385" Type="http://schemas.openxmlformats.org/officeDocument/2006/relationships/hyperlink" Target="https://fairinvestments.se/" TargetMode="External"/><Relationship Id="rId763" Type="http://schemas.openxmlformats.org/officeDocument/2006/relationships/hyperlink" Target="http://schjodt.com/" TargetMode="External"/><Relationship Id="rId1393" Type="http://schemas.openxmlformats.org/officeDocument/2006/relationships/hyperlink" Target="https://www.happysocks.com/us/collection/socks-for-men" TargetMode="External"/><Relationship Id="rId2444" Type="http://schemas.openxmlformats.org/officeDocument/2006/relationships/hyperlink" Target="http://e-ciggbolaget.se/" TargetMode="External"/><Relationship Id="rId3842" Type="http://schemas.openxmlformats.org/officeDocument/2006/relationships/hyperlink" Target="https://e-ciggbolaget.se/e-cigaretter/engangs-vape/frunk-bar" TargetMode="External"/><Relationship Id="rId9057" Type="http://schemas.openxmlformats.org/officeDocument/2006/relationships/hyperlink" Target="http://petster.se/" TargetMode="External"/><Relationship Id="rId12038" Type="http://schemas.openxmlformats.org/officeDocument/2006/relationships/hyperlink" Target="http://miamipool.se/" TargetMode="External"/><Relationship Id="rId416" Type="http://schemas.openxmlformats.org/officeDocument/2006/relationships/hyperlink" Target="https://romeoojulia.se/rekommendationer/darfor-bor-du-gora-en-ordentlig-storstadning-infor-varens-ankomst/" TargetMode="External"/><Relationship Id="rId1046" Type="http://schemas.openxmlformats.org/officeDocument/2006/relationships/hyperlink" Target="https://www.happysocks.com/us/collection/dressed%E2%80%8B" TargetMode="External"/><Relationship Id="rId5667" Type="http://schemas.openxmlformats.org/officeDocument/2006/relationships/hyperlink" Target="http://bethard.com/" TargetMode="External"/><Relationship Id="rId6718" Type="http://schemas.openxmlformats.org/officeDocument/2006/relationships/hyperlink" Target="https://guideagenten.se/sa-har-tar-du-korkort-snabbt-och-prisvart-i-stockholm/" TargetMode="External"/><Relationship Id="rId4269" Type="http://schemas.openxmlformats.org/officeDocument/2006/relationships/hyperlink" Target="https://www.snusnetto.se/tobaksfritt-snus/" TargetMode="External"/><Relationship Id="rId8140" Type="http://schemas.openxmlformats.org/officeDocument/2006/relationships/hyperlink" Target="http://kleer.se/" TargetMode="External"/><Relationship Id="rId10070" Type="http://schemas.openxmlformats.org/officeDocument/2006/relationships/hyperlink" Target="https://www.nettotobak.com/zyn/" TargetMode="External"/><Relationship Id="rId11121" Type="http://schemas.openxmlformats.org/officeDocument/2006/relationships/hyperlink" Target="http://bergetsro.se/" TargetMode="External"/><Relationship Id="rId4750" Type="http://schemas.openxmlformats.org/officeDocument/2006/relationships/hyperlink" Target="http://fairinvestments.se/" TargetMode="External"/><Relationship Id="rId5801" Type="http://schemas.openxmlformats.org/officeDocument/2006/relationships/hyperlink" Target="http://tryggbil.se/" TargetMode="External"/><Relationship Id="rId13293" Type="http://schemas.openxmlformats.org/officeDocument/2006/relationships/hyperlink" Target="http://bigbenstandup.com/" TargetMode="External"/><Relationship Id="rId3352" Type="http://schemas.openxmlformats.org/officeDocument/2006/relationships/hyperlink" Target="http://m6bygg.se/" TargetMode="External"/><Relationship Id="rId4403" Type="http://schemas.openxmlformats.org/officeDocument/2006/relationships/hyperlink" Target="https://satsamanualen.se/effektiva-metoder-for-langsiktig-kapitaltillvaxt/" TargetMode="External"/><Relationship Id="rId273" Type="http://schemas.openxmlformats.org/officeDocument/2006/relationships/hyperlink" Target="https://www.askskinfo.com/article/Vetenskapliga%20ingredienser:%20Retinol" TargetMode="External"/><Relationship Id="rId3005" Type="http://schemas.openxmlformats.org/officeDocument/2006/relationships/hyperlink" Target="https://www.spelklubben.se/sv/casino" TargetMode="External"/><Relationship Id="rId6575" Type="http://schemas.openxmlformats.org/officeDocument/2006/relationships/hyperlink" Target="http://kvarnx.com/" TargetMode="External"/><Relationship Id="rId7626" Type="http://schemas.openxmlformats.org/officeDocument/2006/relationships/hyperlink" Target="https://byggavilla.se/forsakringslosningar-for-solceller-i-byggbranschen/" TargetMode="External"/><Relationship Id="rId7973" Type="http://schemas.openxmlformats.org/officeDocument/2006/relationships/hyperlink" Target="https://www.vk.se/2025-02-13/vanligaste-tandproblemen-da-ska-du-soka-akut-tandvard-35cc2" TargetMode="External"/><Relationship Id="rId10954" Type="http://schemas.openxmlformats.org/officeDocument/2006/relationships/hyperlink" Target="http://spelklubben.se/" TargetMode="External"/><Relationship Id="rId5177" Type="http://schemas.openxmlformats.org/officeDocument/2006/relationships/hyperlink" Target="http://sakraror.se/" TargetMode="External"/><Relationship Id="rId6228" Type="http://schemas.openxmlformats.org/officeDocument/2006/relationships/hyperlink" Target="http://bigbenstandup.com/" TargetMode="External"/><Relationship Id="rId10607" Type="http://schemas.openxmlformats.org/officeDocument/2006/relationships/hyperlink" Target="https://tv24.co.uk/news/love-island-fever-hits-casinos-with-new-game-series-launch" TargetMode="External"/><Relationship Id="rId9798" Type="http://schemas.openxmlformats.org/officeDocument/2006/relationships/hyperlink" Target="https://supernormal.health/se/" TargetMode="External"/><Relationship Id="rId12779" Type="http://schemas.openxmlformats.org/officeDocument/2006/relationships/hyperlink" Target="https://naringslivsbolaget.se/tillvaxt-sverige/" TargetMode="External"/><Relationship Id="rId1787" Type="http://schemas.openxmlformats.org/officeDocument/2006/relationships/hyperlink" Target="http://mariatand.se/" TargetMode="External"/><Relationship Id="rId2838" Type="http://schemas.openxmlformats.org/officeDocument/2006/relationships/hyperlink" Target="https://www.spelklubben.se/sv/live-casino" TargetMode="External"/><Relationship Id="rId4260" Type="http://schemas.openxmlformats.org/officeDocument/2006/relationships/hyperlink" Target="http://qsundsvall.se/" TargetMode="External"/><Relationship Id="rId5311" Type="http://schemas.openxmlformats.org/officeDocument/2006/relationships/hyperlink" Target="https://eventeffect.se/digitaliseringens-paverkan-pa-evenemangsindustrin-mellan-det-fysiska-och-det-virtuella/" TargetMode="External"/><Relationship Id="rId8881" Type="http://schemas.openxmlformats.org/officeDocument/2006/relationships/hyperlink" Target="http://cateringfabriken.se/" TargetMode="External"/><Relationship Id="rId9932" Type="http://schemas.openxmlformats.org/officeDocument/2006/relationships/hyperlink" Target="http://indoorprofessional.se/" TargetMode="External"/><Relationship Id="rId7483" Type="http://schemas.openxmlformats.org/officeDocument/2006/relationships/hyperlink" Target="http://fairinvestments.se/" TargetMode="External"/><Relationship Id="rId8534" Type="http://schemas.openxmlformats.org/officeDocument/2006/relationships/hyperlink" Target="http://chattanoogarehab.com/" TargetMode="External"/><Relationship Id="rId10464" Type="http://schemas.openxmlformats.org/officeDocument/2006/relationships/hyperlink" Target="https://www.kungaslottet.se/mobile/welcome-bonus/" TargetMode="External"/><Relationship Id="rId11862" Type="http://schemas.openxmlformats.org/officeDocument/2006/relationships/hyperlink" Target="http://freckeus.se/" TargetMode="External"/><Relationship Id="rId12913" Type="http://schemas.openxmlformats.org/officeDocument/2006/relationships/hyperlink" Target="https://www.djungeltrumman.se/fem-branscher-som-lever-valdigt-nara-den-statliga-regelboken/" TargetMode="External"/><Relationship Id="rId1921" Type="http://schemas.openxmlformats.org/officeDocument/2006/relationships/hyperlink" Target="https://www.genvag.nu/" TargetMode="External"/><Relationship Id="rId6085" Type="http://schemas.openxmlformats.org/officeDocument/2006/relationships/hyperlink" Target="https://www.habit.se/lb-article/180931/sa-starker-foretag-sin-varumarkesidentitet-med-profilklader" TargetMode="External"/><Relationship Id="rId7136" Type="http://schemas.openxmlformats.org/officeDocument/2006/relationships/hyperlink" Target="http://rusta.se/" TargetMode="External"/><Relationship Id="rId10117" Type="http://schemas.openxmlformats.org/officeDocument/2006/relationships/hyperlink" Target="https://comfydence.se/collections/badtrosor" TargetMode="External"/><Relationship Id="rId11515" Type="http://schemas.openxmlformats.org/officeDocument/2006/relationships/hyperlink" Target="https://egenvilla.se/hur-du-kan-jobba-hemifran-redan-idag/" TargetMode="External"/><Relationship Id="rId1297" Type="http://schemas.openxmlformats.org/officeDocument/2006/relationships/hyperlink" Target="http://sufracofinebrands.com/" TargetMode="External"/><Relationship Id="rId2695" Type="http://schemas.openxmlformats.org/officeDocument/2006/relationships/hyperlink" Target="https://www.puskaradio.net/opas-online-vaarojen-valttamiseen.php" TargetMode="External"/><Relationship Id="rId3746" Type="http://schemas.openxmlformats.org/officeDocument/2006/relationships/hyperlink" Target="http://conclean.se/" TargetMode="External"/><Relationship Id="rId12289" Type="http://schemas.openxmlformats.org/officeDocument/2006/relationships/hyperlink" Target="http://robomarkets.com/" TargetMode="External"/><Relationship Id="rId667" Type="http://schemas.openxmlformats.org/officeDocument/2006/relationships/hyperlink" Target="https://www.happysocks.com/us/collection/socks-for-women" TargetMode="External"/><Relationship Id="rId2348" Type="http://schemas.openxmlformats.org/officeDocument/2006/relationships/hyperlink" Target="https://eventeffect.se/vad-du-bor-leta-efter-for-att-hitta-den-perfekta-tandlakaren/" TargetMode="External"/><Relationship Id="rId6969" Type="http://schemas.openxmlformats.org/officeDocument/2006/relationships/hyperlink" Target="http://mockfjards.se/" TargetMode="External"/><Relationship Id="rId12770" Type="http://schemas.openxmlformats.org/officeDocument/2006/relationships/hyperlink" Target="http://jakt.se/" TargetMode="External"/><Relationship Id="rId8391" Type="http://schemas.openxmlformats.org/officeDocument/2006/relationships/hyperlink" Target="http://sakraror.se/" TargetMode="External"/><Relationship Id="rId9442" Type="http://schemas.openxmlformats.org/officeDocument/2006/relationships/hyperlink" Target="https://www.partilletidning.se/native/fran-bingo-och-lopning-till-fika-svenskar-i-alla-aldrar-gor-ofta-samma-saker.2e2bc6f0-33f1-40e2-8cf2-c501083b7dfd" TargetMode="External"/><Relationship Id="rId11372" Type="http://schemas.openxmlformats.org/officeDocument/2006/relationships/hyperlink" Target="https://bokforingsprogram24.se/fairinvestments-se-en-omfattande-guide/" TargetMode="External"/><Relationship Id="rId12423" Type="http://schemas.openxmlformats.org/officeDocument/2006/relationships/hyperlink" Target="http://heteknik.se/" TargetMode="External"/><Relationship Id="rId801" Type="http://schemas.openxmlformats.org/officeDocument/2006/relationships/hyperlink" Target="http://happysocks.com/" TargetMode="External"/><Relationship Id="rId1431" Type="http://schemas.openxmlformats.org/officeDocument/2006/relationships/hyperlink" Target="https://www.bathav.se/" TargetMode="External"/><Relationship Id="rId8044" Type="http://schemas.openxmlformats.org/officeDocument/2006/relationships/hyperlink" Target="https://luxuryinteriors.org/the-growing-trend-of-luxury-minimalism-and-how-you-can-bring-it-to-your-home/" TargetMode="External"/><Relationship Id="rId11025" Type="http://schemas.openxmlformats.org/officeDocument/2006/relationships/hyperlink" Target="https://www.digitaljournal.com/business/how-royalty-free-music-works/article" TargetMode="External"/><Relationship Id="rId4654" Type="http://schemas.openxmlformats.org/officeDocument/2006/relationships/hyperlink" Target="https://nyheteridag.se/digital-revolution-smarta-klockor-som-forandrar-var-vardag/" TargetMode="External"/><Relationship Id="rId13197" Type="http://schemas.openxmlformats.org/officeDocument/2006/relationships/hyperlink" Target="http://kamux.fi/" TargetMode="External"/><Relationship Id="rId3256" Type="http://schemas.openxmlformats.org/officeDocument/2006/relationships/hyperlink" Target="https://www.konditorivimmerby.se/ar-det-farligt-att-vejpa-om-man-ar-gravid" TargetMode="External"/><Relationship Id="rId4307" Type="http://schemas.openxmlformats.org/officeDocument/2006/relationships/hyperlink" Target="https://tiotak.se/plattak/plattak-med-solceller/" TargetMode="External"/><Relationship Id="rId5705" Type="http://schemas.openxmlformats.org/officeDocument/2006/relationships/hyperlink" Target="https://eventeffect.se/vad-ar-vo2-max-varfor-ar-det-viktigt-for-din-halsa/" TargetMode="External"/><Relationship Id="rId177" Type="http://schemas.openxmlformats.org/officeDocument/2006/relationships/hyperlink" Target="http://elmarknad.se/" TargetMode="External"/><Relationship Id="rId7877" Type="http://schemas.openxmlformats.org/officeDocument/2006/relationships/hyperlink" Target="https://www.chattanoogarehab.com/shock-wave-rpw" TargetMode="External"/><Relationship Id="rId8928" Type="http://schemas.openxmlformats.org/officeDocument/2006/relationships/hyperlink" Target="https://www.myownwater.com/aluminum-water-bottles" TargetMode="External"/><Relationship Id="rId10858" Type="http://schemas.openxmlformats.org/officeDocument/2006/relationships/hyperlink" Target="http://merchoteket.se/" TargetMode="External"/><Relationship Id="rId11909" Type="http://schemas.openxmlformats.org/officeDocument/2006/relationships/hyperlink" Target="https://www.finansbasen.se/2023/09/26/forsta-gangen-hemkopare-vad-du-behover-veta/" TargetMode="External"/><Relationship Id="rId6479" Type="http://schemas.openxmlformats.org/officeDocument/2006/relationships/hyperlink" Target="http://purakliniken.se/" TargetMode="External"/><Relationship Id="rId12280" Type="http://schemas.openxmlformats.org/officeDocument/2006/relationships/hyperlink" Target="http://alexbyggkonsult.se/" TargetMode="External"/><Relationship Id="rId6960" Type="http://schemas.openxmlformats.org/officeDocument/2006/relationships/hyperlink" Target="http://tkw.se/" TargetMode="External"/><Relationship Id="rId311" Type="http://schemas.openxmlformats.org/officeDocument/2006/relationships/hyperlink" Target="https://stilero.se/b/bohemisk-inredning-en-fortsatt-het-trend-i-de-svenska-hemmen-2023/" TargetMode="External"/><Relationship Id="rId5562" Type="http://schemas.openxmlformats.org/officeDocument/2006/relationships/hyperlink" Target="https://pontonhamnar.se/produkter/flytbrygga/" TargetMode="External"/><Relationship Id="rId6613" Type="http://schemas.openxmlformats.org/officeDocument/2006/relationships/hyperlink" Target="https://slotspojken.se/basta-spel-med-bar-pa-hjulen/" TargetMode="External"/><Relationship Id="rId4164" Type="http://schemas.openxmlformats.org/officeDocument/2006/relationships/hyperlink" Target="http://aaatak.se/" TargetMode="External"/><Relationship Id="rId5215" Type="http://schemas.openxmlformats.org/officeDocument/2006/relationships/hyperlink" Target="https://budstr.se/vanliga-misstag-vid-forsaljning-av-bostader-hur-en-bra-maklarpartner-kan-hjalpa-dig-undvika-dem/" TargetMode="External"/><Relationship Id="rId8785" Type="http://schemas.openxmlformats.org/officeDocument/2006/relationships/hyperlink" Target="https://www.ekonomifokus.se/bostad/kopa-bostad-guide/annuitetslan" TargetMode="External"/><Relationship Id="rId9836" Type="http://schemas.openxmlformats.org/officeDocument/2006/relationships/hyperlink" Target="http://sesec.se/" TargetMode="External"/><Relationship Id="rId7387" Type="http://schemas.openxmlformats.org/officeDocument/2006/relationships/hyperlink" Target="https://himala.com/" TargetMode="External"/><Relationship Id="rId8438" Type="http://schemas.openxmlformats.org/officeDocument/2006/relationships/hyperlink" Target="http://clearfuze.com/" TargetMode="External"/><Relationship Id="rId11766" Type="http://schemas.openxmlformats.org/officeDocument/2006/relationships/hyperlink" Target="http://yagya.com/" TargetMode="External"/><Relationship Id="rId12817" Type="http://schemas.openxmlformats.org/officeDocument/2006/relationships/hyperlink" Target="https://hankiasiakkaita.fi/paranna-tyoymparistoa-yritystiloissa-modernilla-oviratkaisuilla/" TargetMode="External"/><Relationship Id="rId1825" Type="http://schemas.openxmlformats.org/officeDocument/2006/relationships/hyperlink" Target="https://notyfile.se/" TargetMode="External"/><Relationship Id="rId10368" Type="http://schemas.openxmlformats.org/officeDocument/2006/relationships/hyperlink" Target="https://www.cherry.com/sv" TargetMode="External"/><Relationship Id="rId11419" Type="http://schemas.openxmlformats.org/officeDocument/2006/relationships/hyperlink" Target="https://www.lansfast.se/maklare/sodermanland/nykoping/" TargetMode="External"/><Relationship Id="rId3997" Type="http://schemas.openxmlformats.org/officeDocument/2006/relationships/hyperlink" Target="http://fairinvestments.se/" TargetMode="External"/><Relationship Id="rId11900" Type="http://schemas.openxmlformats.org/officeDocument/2006/relationships/hyperlink" Target="https://www.advokatboras.se/2023/09/26/rekonstruktion-och-insolvens-en-djupgaende-analys/" TargetMode="External"/><Relationship Id="rId2599" Type="http://schemas.openxmlformats.org/officeDocument/2006/relationships/hyperlink" Target="https://saneringscompaniet.se/" TargetMode="External"/><Relationship Id="rId6470" Type="http://schemas.openxmlformats.org/officeDocument/2006/relationships/hyperlink" Target="http://casinogringos.se/" TargetMode="External"/><Relationship Id="rId7521" Type="http://schemas.openxmlformats.org/officeDocument/2006/relationships/hyperlink" Target="http://tandea.se/" TargetMode="External"/><Relationship Id="rId10502" Type="http://schemas.openxmlformats.org/officeDocument/2006/relationships/hyperlink" Target="https://www.rusta.com/sv-se/hem-och-inredning/belysning" TargetMode="External"/><Relationship Id="rId5072" Type="http://schemas.openxmlformats.org/officeDocument/2006/relationships/hyperlink" Target="https://aaatak.se/" TargetMode="External"/><Relationship Id="rId6123" Type="http://schemas.openxmlformats.org/officeDocument/2006/relationships/hyperlink" Target="http://chattanoogarehab.com/" TargetMode="External"/><Relationship Id="rId9693" Type="http://schemas.openxmlformats.org/officeDocument/2006/relationships/hyperlink" Target="https://podcast24.co.uk/blog/10-podcasts-for-perfect-escapism-2025" TargetMode="External"/><Relationship Id="rId12674" Type="http://schemas.openxmlformats.org/officeDocument/2006/relationships/hyperlink" Target="https://www.megariches.com/" TargetMode="External"/><Relationship Id="rId1682" Type="http://schemas.openxmlformats.org/officeDocument/2006/relationships/hyperlink" Target="https://bytevarsity.com/choosing-the-perfect-watch-a-comprehensive-guide-to-match-your-style-and-needs/" TargetMode="External"/><Relationship Id="rId2733" Type="http://schemas.openxmlformats.org/officeDocument/2006/relationships/hyperlink" Target="https://distansinstitutet.se/distansutbildningar/pedagogik/vardbitrade/" TargetMode="External"/><Relationship Id="rId8295" Type="http://schemas.openxmlformats.org/officeDocument/2006/relationships/hyperlink" Target="http://svenskiptv.com/" TargetMode="External"/><Relationship Id="rId9346" Type="http://schemas.openxmlformats.org/officeDocument/2006/relationships/hyperlink" Target="http://bethard.com/" TargetMode="External"/><Relationship Id="rId11276" Type="http://schemas.openxmlformats.org/officeDocument/2006/relationships/hyperlink" Target="http://dieselkraft.se/" TargetMode="External"/><Relationship Id="rId12327" Type="http://schemas.openxmlformats.org/officeDocument/2006/relationships/hyperlink" Target="https://www.vont.se/" TargetMode="External"/><Relationship Id="rId705" Type="http://schemas.openxmlformats.org/officeDocument/2006/relationships/hyperlink" Target="https://eventeffect.se/rehabgrossisten-hogkvalitativa-rehabprodukter/" TargetMode="External"/><Relationship Id="rId1335" Type="http://schemas.openxmlformats.org/officeDocument/2006/relationships/hyperlink" Target="https://www.robomarkets.com/se/" TargetMode="External"/><Relationship Id="rId5956" Type="http://schemas.openxmlformats.org/officeDocument/2006/relationships/hyperlink" Target="http://acnespecialisten.se/acne.php" TargetMode="External"/><Relationship Id="rId41" Type="http://schemas.openxmlformats.org/officeDocument/2006/relationships/hyperlink" Target="https://havstomt.se/" TargetMode="External"/><Relationship Id="rId4558" Type="http://schemas.openxmlformats.org/officeDocument/2006/relationships/hyperlink" Target="https://healthyliving.se/halsofordelar-med-massage/" TargetMode="External"/><Relationship Id="rId5609" Type="http://schemas.openxmlformats.org/officeDocument/2006/relationships/hyperlink" Target="http://ampilo.se/" TargetMode="External"/><Relationship Id="rId7031" Type="http://schemas.openxmlformats.org/officeDocument/2006/relationships/hyperlink" Target="https://clearfuze.com/" TargetMode="External"/><Relationship Id="rId11410" Type="http://schemas.openxmlformats.org/officeDocument/2006/relationships/hyperlink" Target="https://www.lansfast.se/maklare/sodermanland/nykoping/" TargetMode="External"/><Relationship Id="rId10012" Type="http://schemas.openxmlformats.org/officeDocument/2006/relationships/hyperlink" Target="https://www.lsb.se/" TargetMode="External"/><Relationship Id="rId2590" Type="http://schemas.openxmlformats.org/officeDocument/2006/relationships/hyperlink" Target="http://vont.se/" TargetMode="External"/><Relationship Id="rId3641" Type="http://schemas.openxmlformats.org/officeDocument/2006/relationships/hyperlink" Target="https://fairinvestments.se/" TargetMode="External"/><Relationship Id="rId12184" Type="http://schemas.openxmlformats.org/officeDocument/2006/relationships/hyperlink" Target="https://businessmanualen.se/en-charmig-smastad-att-kalla-hem/" TargetMode="External"/><Relationship Id="rId13235" Type="http://schemas.openxmlformats.org/officeDocument/2006/relationships/hyperlink" Target="https://husmedia.se/effektiv-belysning-for-att-skapa-en-inbjudande-bostad/" TargetMode="External"/><Relationship Id="rId562" Type="http://schemas.openxmlformats.org/officeDocument/2006/relationships/hyperlink" Target="http://kopbarnvagn.se/" TargetMode="External"/><Relationship Id="rId1192" Type="http://schemas.openxmlformats.org/officeDocument/2006/relationships/hyperlink" Target="https://tiotak.se/byta-tak-jordbruksfastighet/" TargetMode="External"/><Relationship Id="rId2243" Type="http://schemas.openxmlformats.org/officeDocument/2006/relationships/hyperlink" Target="https://www.dejavubok.se/sjalvforverkligande-genom-utbildning" TargetMode="External"/><Relationship Id="rId6864" Type="http://schemas.openxmlformats.org/officeDocument/2006/relationships/hyperlink" Target="http://svenskiptv.com/" TargetMode="External"/><Relationship Id="rId7915" Type="http://schemas.openxmlformats.org/officeDocument/2006/relationships/hyperlink" Target="https://www.dagensnaringsliv.se/20250228/277696/svanenmarkt-vad-betyder-det-egentligen" TargetMode="External"/><Relationship Id="rId215" Type="http://schemas.openxmlformats.org/officeDocument/2006/relationships/hyperlink" Target="https://andrashop.se/b/hitta-ratt-verktygstavla-for-att-halla-rent-hemma/" TargetMode="External"/><Relationship Id="rId5466" Type="http://schemas.openxmlformats.org/officeDocument/2006/relationships/hyperlink" Target="https://www.cdg.io/services/virtual-ciso/" TargetMode="External"/><Relationship Id="rId6517" Type="http://schemas.openxmlformats.org/officeDocument/2006/relationships/hyperlink" Target="https://www.nodepositbonus.cc/" TargetMode="External"/><Relationship Id="rId4068" Type="http://schemas.openxmlformats.org/officeDocument/2006/relationships/hyperlink" Target="https://www.snusnetto.se/tobaksfritt-snus/" TargetMode="External"/><Relationship Id="rId5119" Type="http://schemas.openxmlformats.org/officeDocument/2006/relationships/hyperlink" Target="http://purakliniken.se/" TargetMode="External"/><Relationship Id="rId8689" Type="http://schemas.openxmlformats.org/officeDocument/2006/relationships/hyperlink" Target="http://tkw.se/" TargetMode="External"/><Relationship Id="rId1729" Type="http://schemas.openxmlformats.org/officeDocument/2006/relationships/hyperlink" Target="https://e-ciggbolaget.se/e-cigaretter/" TargetMode="External"/><Relationship Id="rId5600" Type="http://schemas.openxmlformats.org/officeDocument/2006/relationships/hyperlink" Target="https://sakraror.se/vara-tjanster/allman-service-vvs/vvs-i-sollentuna/" TargetMode="External"/><Relationship Id="rId13092" Type="http://schemas.openxmlformats.org/officeDocument/2006/relationships/hyperlink" Target="http://spelklubben.se/" TargetMode="External"/><Relationship Id="rId3151" Type="http://schemas.openxmlformats.org/officeDocument/2006/relationships/hyperlink" Target="https://darknsmart.se/utmarkt-kvalitativ-veterinarvard-i-sundsvall/" TargetMode="External"/><Relationship Id="rId4202" Type="http://schemas.openxmlformats.org/officeDocument/2006/relationships/hyperlink" Target="https://filmeye.se/casinospel-fran-filmduken-till-spelplanen/" TargetMode="External"/><Relationship Id="rId7772" Type="http://schemas.openxmlformats.org/officeDocument/2006/relationships/hyperlink" Target="http://svenskafonster.se/aluminiumfonster" TargetMode="External"/><Relationship Id="rId8823" Type="http://schemas.openxmlformats.org/officeDocument/2006/relationships/hyperlink" Target="http://lsb.se/" TargetMode="External"/><Relationship Id="rId10753" Type="http://schemas.openxmlformats.org/officeDocument/2006/relationships/hyperlink" Target="https://www.swedoffice.se/" TargetMode="External"/><Relationship Id="rId6374" Type="http://schemas.openxmlformats.org/officeDocument/2006/relationships/hyperlink" Target="http://myownwater.com/" TargetMode="External"/><Relationship Id="rId7425" Type="http://schemas.openxmlformats.org/officeDocument/2006/relationships/hyperlink" Target="http://spelapoker.se/casino-online/" TargetMode="External"/><Relationship Id="rId10406" Type="http://schemas.openxmlformats.org/officeDocument/2006/relationships/hyperlink" Target="https://www.videoslots.com/sv/mobile/casino/" TargetMode="External"/><Relationship Id="rId11804" Type="http://schemas.openxmlformats.org/officeDocument/2006/relationships/hyperlink" Target="https://www.tryggbil.se/" TargetMode="External"/><Relationship Id="rId6027" Type="http://schemas.openxmlformats.org/officeDocument/2006/relationships/hyperlink" Target="https://passioneffect.se/heminredningens-kraft-sa-paverkar-ditt-hem-hur-du-mar/" TargetMode="External"/><Relationship Id="rId9597" Type="http://schemas.openxmlformats.org/officeDocument/2006/relationships/hyperlink" Target="http://nettotobak.com/zyn/" TargetMode="External"/><Relationship Id="rId1586" Type="http://schemas.openxmlformats.org/officeDocument/2006/relationships/hyperlink" Target="https://www.oconnors.se/" TargetMode="External"/><Relationship Id="rId2984" Type="http://schemas.openxmlformats.org/officeDocument/2006/relationships/hyperlink" Target="https://elavtaldirekt.se/" TargetMode="External"/><Relationship Id="rId8199" Type="http://schemas.openxmlformats.org/officeDocument/2006/relationships/hyperlink" Target="https://veganbeauty.se/frisyrtrender-for-varje-tillfalle-hos-din-frisorsalong-i-stockholm/" TargetMode="External"/><Relationship Id="rId12578" Type="http://schemas.openxmlformats.org/officeDocument/2006/relationships/hyperlink" Target="https://www.omkull.se/kretaivt-bygge-nar-bor-man-hjalp-av-experter" TargetMode="External"/><Relationship Id="rId609" Type="http://schemas.openxmlformats.org/officeDocument/2006/relationships/hyperlink" Target="http://happysocks.com/" TargetMode="External"/><Relationship Id="rId956" Type="http://schemas.openxmlformats.org/officeDocument/2006/relationships/hyperlink" Target="http://happysocks.com/" TargetMode="External"/><Relationship Id="rId1239" Type="http://schemas.openxmlformats.org/officeDocument/2006/relationships/hyperlink" Target="https://www.happysocks.com/us/collection/socks-for-men" TargetMode="External"/><Relationship Id="rId2637" Type="http://schemas.openxmlformats.org/officeDocument/2006/relationships/hyperlink" Target="http://haxan.se/" TargetMode="External"/><Relationship Id="rId5110" Type="http://schemas.openxmlformats.org/officeDocument/2006/relationships/hyperlink" Target="https://www.favorreklambyra.se/man-ar-inte-alltid-overens" TargetMode="External"/><Relationship Id="rId8680" Type="http://schemas.openxmlformats.org/officeDocument/2006/relationships/hyperlink" Target="http://tiotak.se/" TargetMode="External"/><Relationship Id="rId9731" Type="http://schemas.openxmlformats.org/officeDocument/2006/relationships/hyperlink" Target="https://euroweeklynews.com/2025/06/06/why-uk-players-are-flocking-to-online-casinos/" TargetMode="External"/><Relationship Id="rId11661" Type="http://schemas.openxmlformats.org/officeDocument/2006/relationships/hyperlink" Target="https://markets.vontobel.com/sv-se/produkter/leverage/mini-future" TargetMode="External"/><Relationship Id="rId12712" Type="http://schemas.openxmlformats.org/officeDocument/2006/relationships/hyperlink" Target="https://mittvitahus.se/viktigheten-av-professionell-vvs-installation-i-ditt-hem/" TargetMode="External"/><Relationship Id="rId1720" Type="http://schemas.openxmlformats.org/officeDocument/2006/relationships/hyperlink" Target="https://www.tandea.se/" TargetMode="External"/><Relationship Id="rId7282" Type="http://schemas.openxmlformats.org/officeDocument/2006/relationships/hyperlink" Target="http://svenskafonster.se/trafonster" TargetMode="External"/><Relationship Id="rId8333" Type="http://schemas.openxmlformats.org/officeDocument/2006/relationships/hyperlink" Target="http://svenskafonster.se/" TargetMode="External"/><Relationship Id="rId10263" Type="http://schemas.openxmlformats.org/officeDocument/2006/relationships/hyperlink" Target="https://www.thehypemagazine.com/2025/07/15/the-role-of-rugs-in-modern-interior-design/" TargetMode="External"/><Relationship Id="rId11314" Type="http://schemas.openxmlformats.org/officeDocument/2006/relationships/hyperlink" Target="https://www.di.se/brandstudio/fair-investments/fair-investments-vi-tar-bara-betalt-for-verkliga-resultat-det-tjanar-alla-pa/" TargetMode="External"/><Relationship Id="rId3892" Type="http://schemas.openxmlformats.org/officeDocument/2006/relationships/hyperlink" Target="https://www.djungeltrumman.se/5-tips-for-ett-lyckat-bostadsrattskop-rad-och-tips/" TargetMode="External"/><Relationship Id="rId4943" Type="http://schemas.openxmlformats.org/officeDocument/2006/relationships/hyperlink" Target="http://bethard.com/" TargetMode="External"/><Relationship Id="rId2494" Type="http://schemas.openxmlformats.org/officeDocument/2006/relationships/hyperlink" Target="http://fairinvestments.se/" TargetMode="External"/><Relationship Id="rId3545" Type="http://schemas.openxmlformats.org/officeDocument/2006/relationships/hyperlink" Target="https://e-ciggbolaget.se/e-cigaretter/pod-system/pod-kit/voom-bar-engangs-e-cigarett/" TargetMode="External"/><Relationship Id="rId12088" Type="http://schemas.openxmlformats.org/officeDocument/2006/relationships/hyperlink" Target="https://www.villarelining.se/" TargetMode="External"/><Relationship Id="rId13139" Type="http://schemas.openxmlformats.org/officeDocument/2006/relationships/hyperlink" Target="https://morsdagpresent.se/mors-dag-nar-man-bor-langt-bort-satt-att-komma-nara-anda/" TargetMode="External"/><Relationship Id="rId466" Type="http://schemas.openxmlformats.org/officeDocument/2006/relationships/hyperlink" Target="https://eventeffect.se/swedoffice-se-kontorsmaterial-for-event/" TargetMode="External"/><Relationship Id="rId1096" Type="http://schemas.openxmlformats.org/officeDocument/2006/relationships/hyperlink" Target="https://www.robomarkets.com/se/forex-trading/assets/indices/" TargetMode="External"/><Relationship Id="rId2147" Type="http://schemas.openxmlformats.org/officeDocument/2006/relationships/hyperlink" Target="http://fairinvestments.se/" TargetMode="External"/><Relationship Id="rId119" Type="http://schemas.openxmlformats.org/officeDocument/2006/relationships/hyperlink" Target="https://nem.health/" TargetMode="External"/><Relationship Id="rId6768" Type="http://schemas.openxmlformats.org/officeDocument/2006/relationships/hyperlink" Target="http://fairinvestments.se/" TargetMode="External"/><Relationship Id="rId7819" Type="http://schemas.openxmlformats.org/officeDocument/2006/relationships/hyperlink" Target="http://glassfactory.fi/" TargetMode="External"/><Relationship Id="rId8190" Type="http://schemas.openxmlformats.org/officeDocument/2006/relationships/hyperlink" Target="http://skidvalla.se/" TargetMode="External"/><Relationship Id="rId9241" Type="http://schemas.openxmlformats.org/officeDocument/2006/relationships/hyperlink" Target="http://startmotor.se/" TargetMode="External"/><Relationship Id="rId11171" Type="http://schemas.openxmlformats.org/officeDocument/2006/relationships/hyperlink" Target="https://www.creditsafe.com/dk/da/kredit-risiko/kreditrapporter/kreditvurdering.html" TargetMode="External"/><Relationship Id="rId12222" Type="http://schemas.openxmlformats.org/officeDocument/2006/relationships/hyperlink" Target="https://mikroinvestor.se/fair-investments-en-hallbar-framtid-for-ekonomi-och-samhalle/" TargetMode="External"/><Relationship Id="rId600" Type="http://schemas.openxmlformats.org/officeDocument/2006/relationships/hyperlink" Target="http://fairinvestments.se/" TargetMode="External"/><Relationship Id="rId1230" Type="http://schemas.openxmlformats.org/officeDocument/2006/relationships/hyperlink" Target="http://aretrotale.com/" TargetMode="External"/><Relationship Id="rId5851" Type="http://schemas.openxmlformats.org/officeDocument/2006/relationships/hyperlink" Target="https://manligutveckling.se/generatorbil-framtidens-hallbara-transport/" TargetMode="External"/><Relationship Id="rId6902" Type="http://schemas.openxmlformats.org/officeDocument/2006/relationships/hyperlink" Target="http://cateringfabriken.se/" TargetMode="External"/><Relationship Id="rId4453" Type="http://schemas.openxmlformats.org/officeDocument/2006/relationships/hyperlink" Target="https://www.lansfast.se/maklare/stockholm/taby-danderyd/" TargetMode="External"/><Relationship Id="rId5504" Type="http://schemas.openxmlformats.org/officeDocument/2006/relationships/hyperlink" Target="http://fairinvestments.se/" TargetMode="External"/><Relationship Id="rId3055" Type="http://schemas.openxmlformats.org/officeDocument/2006/relationships/hyperlink" Target="http://tryggvi.se/" TargetMode="External"/><Relationship Id="rId4106" Type="http://schemas.openxmlformats.org/officeDocument/2006/relationships/hyperlink" Target="http://fairinvestments.se/" TargetMode="External"/><Relationship Id="rId7676" Type="http://schemas.openxmlformats.org/officeDocument/2006/relationships/hyperlink" Target="https://satsanu.se/spara-pengar-med-ratt-val-av-kopieringspapper-for-kontoret-och-hemmet/" TargetMode="External"/><Relationship Id="rId8727" Type="http://schemas.openxmlformats.org/officeDocument/2006/relationships/hyperlink" Target="https://www.dbet.com/" TargetMode="External"/><Relationship Id="rId6278" Type="http://schemas.openxmlformats.org/officeDocument/2006/relationships/hyperlink" Target="https://vackerhud.se/vo2-max-och-skonhet-hur-kardiovaskular-halsa-paverkar-ditt-utseende/" TargetMode="External"/><Relationship Id="rId7329" Type="http://schemas.openxmlformats.org/officeDocument/2006/relationships/hyperlink" Target="https://www.ataraxiavardcentral.se/" TargetMode="External"/><Relationship Id="rId10657" Type="http://schemas.openxmlformats.org/officeDocument/2006/relationships/hyperlink" Target="https://eventeffect.se/mobilitet-mil-och-matbarhet-eventlogistikens-raddare-i-noden/" TargetMode="External"/><Relationship Id="rId11708" Type="http://schemas.openxmlformats.org/officeDocument/2006/relationships/hyperlink" Target="http://vontabel.com/" TargetMode="External"/><Relationship Id="rId13130" Type="http://schemas.openxmlformats.org/officeDocument/2006/relationships/hyperlink" Target="https://www.mrvegas.com/mobile/casino/" TargetMode="External"/><Relationship Id="rId110" Type="http://schemas.openxmlformats.org/officeDocument/2006/relationships/hyperlink" Target="https://modernalivet.se/okategoriserade/vad-ar-blodsocker/" TargetMode="External"/><Relationship Id="rId2888" Type="http://schemas.openxmlformats.org/officeDocument/2006/relationships/hyperlink" Target="http://glitnor.com/" TargetMode="External"/><Relationship Id="rId3939" Type="http://schemas.openxmlformats.org/officeDocument/2006/relationships/hyperlink" Target="https://gulfinside.com/new-trend-nicotine-pouches/" TargetMode="External"/><Relationship Id="rId7810" Type="http://schemas.openxmlformats.org/officeDocument/2006/relationships/hyperlink" Target="http://fairinvestments.se/" TargetMode="External"/><Relationship Id="rId5361" Type="http://schemas.openxmlformats.org/officeDocument/2006/relationships/hyperlink" Target="http://restate.se/" TargetMode="External"/><Relationship Id="rId6412" Type="http://schemas.openxmlformats.org/officeDocument/2006/relationships/hyperlink" Target="https://www.mrnicco.com/" TargetMode="External"/><Relationship Id="rId9982" Type="http://schemas.openxmlformats.org/officeDocument/2006/relationships/hyperlink" Target="https://northfortynews.com/category/how-to/top-tips-for-training-your-dog-to-stay-safe-outdoors/" TargetMode="External"/><Relationship Id="rId12963" Type="http://schemas.openxmlformats.org/officeDocument/2006/relationships/hyperlink" Target="https://merchoteket.se/" TargetMode="External"/><Relationship Id="rId1971" Type="http://schemas.openxmlformats.org/officeDocument/2006/relationships/hyperlink" Target="https://haxan.se/products/haxan-silverputs" TargetMode="External"/><Relationship Id="rId5014" Type="http://schemas.openxmlformats.org/officeDocument/2006/relationships/hyperlink" Target="http://ekstromgaray.se/" TargetMode="External"/><Relationship Id="rId8584" Type="http://schemas.openxmlformats.org/officeDocument/2006/relationships/hyperlink" Target="https://www.dbet.com/sports/" TargetMode="External"/><Relationship Id="rId9635" Type="http://schemas.openxmlformats.org/officeDocument/2006/relationships/hyperlink" Target="https://www.byggnyheter.se/20250526/32128/framtidens-badplatser-i-stockholm-5-nya-satsningar-som-forandrar-sommaren-2025" TargetMode="External"/><Relationship Id="rId11565" Type="http://schemas.openxmlformats.org/officeDocument/2006/relationships/hyperlink" Target="http://sufracofinebrands.com/" TargetMode="External"/><Relationship Id="rId12616" Type="http://schemas.openxmlformats.org/officeDocument/2006/relationships/hyperlink" Target="https://www.uochd.se/lb-article/181929/saker-drift-borjar-med-samsyn" TargetMode="External"/><Relationship Id="rId1624" Type="http://schemas.openxmlformats.org/officeDocument/2006/relationships/hyperlink" Target="http://advancepointcap.com/" TargetMode="External"/><Relationship Id="rId7186" Type="http://schemas.openxmlformats.org/officeDocument/2006/relationships/hyperlink" Target="https://allaifamiljen.se/familjeliv-med-hund-att-skapa-en-harmonisk-tillvaro/" TargetMode="External"/><Relationship Id="rId8237" Type="http://schemas.openxmlformats.org/officeDocument/2006/relationships/hyperlink" Target="https://www.memoryhou.se/iptv-ar-det-framtidens-tv-eller-bara-annu-ett-teknikkrangel" TargetMode="External"/><Relationship Id="rId10167" Type="http://schemas.openxmlformats.org/officeDocument/2006/relationships/hyperlink" Target="https://tvprogram.nu/blogg/tv-tittande-och-digitalisering-sa-har-underhallningen-forndrats-i-sverige" TargetMode="External"/><Relationship Id="rId11218" Type="http://schemas.openxmlformats.org/officeDocument/2006/relationships/hyperlink" Target="https://b&#228;stf&#246;rs&#228;kringar.se/" TargetMode="External"/><Relationship Id="rId3796" Type="http://schemas.openxmlformats.org/officeDocument/2006/relationships/hyperlink" Target="https://www.lansfast.se/maklare/sodermanland/trosa/" TargetMode="External"/><Relationship Id="rId2398" Type="http://schemas.openxmlformats.org/officeDocument/2006/relationships/hyperlink" Target="https://e-ciggbolaget.se/e-cigaretter/engangs-vape/panther-bar/?hr-page=%7B%22product_count%22%3A24%7D" TargetMode="External"/><Relationship Id="rId3449" Type="http://schemas.openxmlformats.org/officeDocument/2006/relationships/hyperlink" Target="http://veterinarklinikenbirsta.se/" TargetMode="External"/><Relationship Id="rId4847" Type="http://schemas.openxmlformats.org/officeDocument/2006/relationships/hyperlink" Target="https://filmeye.se/topp-5-casinorelaterade-filmer/" TargetMode="External"/><Relationship Id="rId7320" Type="http://schemas.openxmlformats.org/officeDocument/2006/relationships/hyperlink" Target="https://www.startmotor.se/kategori/startmotorer" TargetMode="External"/><Relationship Id="rId10301" Type="http://schemas.openxmlformats.org/officeDocument/2006/relationships/hyperlink" Target="https://fargruppen.se/vikten-av-att-valja-ratt-bilverkstad-for-man-i-tyreso/" TargetMode="External"/><Relationship Id="rId3930" Type="http://schemas.openxmlformats.org/officeDocument/2006/relationships/hyperlink" Target="https://www.allthingsgreen.nu/" TargetMode="External"/><Relationship Id="rId8094" Type="http://schemas.openxmlformats.org/officeDocument/2006/relationships/hyperlink" Target="http://spelklubben.se/" TargetMode="External"/><Relationship Id="rId9492" Type="http://schemas.openxmlformats.org/officeDocument/2006/relationships/hyperlink" Target="https://www.filippa-k.com/de/de/damen/bekleidung/hemden" TargetMode="External"/><Relationship Id="rId12473" Type="http://schemas.openxmlformats.org/officeDocument/2006/relationships/hyperlink" Target="https://www.allabolag.se/5568169626/bokslut" TargetMode="External"/><Relationship Id="rId851" Type="http://schemas.openxmlformats.org/officeDocument/2006/relationships/hyperlink" Target="http://creditsafe.se/" TargetMode="External"/><Relationship Id="rId1481" Type="http://schemas.openxmlformats.org/officeDocument/2006/relationships/hyperlink" Target="https://advancepointcap.com/blog/construction-company-loc/" TargetMode="External"/><Relationship Id="rId2532" Type="http://schemas.openxmlformats.org/officeDocument/2006/relationships/hyperlink" Target="https://pontechmarina.com/se/flytbrygga/" TargetMode="External"/><Relationship Id="rId9145" Type="http://schemas.openxmlformats.org/officeDocument/2006/relationships/hyperlink" Target="https://greenheal.net/how-businesses-can-support-environmental-responsibility/" TargetMode="External"/><Relationship Id="rId11075" Type="http://schemas.openxmlformats.org/officeDocument/2006/relationships/hyperlink" Target="http://hajper.com/" TargetMode="External"/><Relationship Id="rId12126" Type="http://schemas.openxmlformats.org/officeDocument/2006/relationships/hyperlink" Target="https://www.bloglovin.com/@mariaurban/exploring-world-vaping-a-comprehensive-guide" TargetMode="External"/><Relationship Id="rId504" Type="http://schemas.openxmlformats.org/officeDocument/2006/relationships/hyperlink" Target="http://rehabgrossisten.com/" TargetMode="External"/><Relationship Id="rId1134" Type="http://schemas.openxmlformats.org/officeDocument/2006/relationships/hyperlink" Target="https://nouveaumodels.se/elevate-your-wardrobe-with-elegance-discover-the-overcoat-wool-dark-brown/" TargetMode="External"/><Relationship Id="rId5755" Type="http://schemas.openxmlformats.org/officeDocument/2006/relationships/hyperlink" Target="http://bbml.se/" TargetMode="External"/><Relationship Id="rId6806" Type="http://schemas.openxmlformats.org/officeDocument/2006/relationships/hyperlink" Target="https://everynightstudios.com/" TargetMode="External"/><Relationship Id="rId4357" Type="http://schemas.openxmlformats.org/officeDocument/2006/relationships/hyperlink" Target="https://www.gameelite.se/utvecklingen-av-online-slots/" TargetMode="External"/><Relationship Id="rId5408" Type="http://schemas.openxmlformats.org/officeDocument/2006/relationships/hyperlink" Target="http://tiotak.se/" TargetMode="External"/><Relationship Id="rId8978" Type="http://schemas.openxmlformats.org/officeDocument/2006/relationships/hyperlink" Target="https://www.mercurynews.com/2025/05/01/scandinavian-rugs-are-redefining-modern-interiors/" TargetMode="External"/><Relationship Id="rId11959" Type="http://schemas.openxmlformats.org/officeDocument/2006/relationships/hyperlink" Target="http://fairinvestments.se/" TargetMode="External"/><Relationship Id="rId361" Type="http://schemas.openxmlformats.org/officeDocument/2006/relationships/hyperlink" Target="https://schjodt.com/expertise/rekonstruktion-insolvens" TargetMode="External"/><Relationship Id="rId2042" Type="http://schemas.openxmlformats.org/officeDocument/2006/relationships/hyperlink" Target="http://villarelining.se/" TargetMode="External"/><Relationship Id="rId3440" Type="http://schemas.openxmlformats.org/officeDocument/2006/relationships/hyperlink" Target="http://alvtorpet.se/" TargetMode="External"/><Relationship Id="rId13034" Type="http://schemas.openxmlformats.org/officeDocument/2006/relationships/hyperlink" Target="http://videoslots.com/" TargetMode="External"/><Relationship Id="rId6663" Type="http://schemas.openxmlformats.org/officeDocument/2006/relationships/hyperlink" Target="https://beautyforyou.se/tandvard-och-skonhet-hur-en-frisk-mun-bidrar-till-ett-vackert-leende/" TargetMode="External"/><Relationship Id="rId7714" Type="http://schemas.openxmlformats.org/officeDocument/2006/relationships/hyperlink" Target="http://sesec.se/" TargetMode="External"/><Relationship Id="rId5265" Type="http://schemas.openxmlformats.org/officeDocument/2006/relationships/hyperlink" Target="https://tiotak.se/plattak/plattak-med-solceller/" TargetMode="External"/><Relationship Id="rId6316" Type="http://schemas.openxmlformats.org/officeDocument/2006/relationships/hyperlink" Target="https://swedenlongstay.se/sv" TargetMode="External"/><Relationship Id="rId9886" Type="http://schemas.openxmlformats.org/officeDocument/2006/relationships/hyperlink" Target="https://marketrealist.com/insurance/business-insurance-shields-small-companies/" TargetMode="External"/><Relationship Id="rId1875" Type="http://schemas.openxmlformats.org/officeDocument/2006/relationships/hyperlink" Target="http://rehabgrossisten.com/" TargetMode="External"/><Relationship Id="rId8488" Type="http://schemas.openxmlformats.org/officeDocument/2006/relationships/hyperlink" Target="https://www.digitaljournal.com/business/understanding-what-ai-agents-mean-for-the-future-of-work/article" TargetMode="External"/><Relationship Id="rId9539" Type="http://schemas.openxmlformats.org/officeDocument/2006/relationships/hyperlink" Target="https://www.executiveeffect.se/fast-eller-rorlig-ranta/" TargetMode="External"/><Relationship Id="rId11469" Type="http://schemas.openxmlformats.org/officeDocument/2006/relationships/hyperlink" Target="https://ledarsidorna.se/2022/06/satsa-pa-din-halsa-utan-langa-vardkoer/" TargetMode="External"/><Relationship Id="rId12867" Type="http://schemas.openxmlformats.org/officeDocument/2006/relationships/hyperlink" Target="http://technobark.com/" TargetMode="External"/><Relationship Id="rId1528" Type="http://schemas.openxmlformats.org/officeDocument/2006/relationships/hyperlink" Target="http://happysocks.com/" TargetMode="External"/><Relationship Id="rId2926" Type="http://schemas.openxmlformats.org/officeDocument/2006/relationships/hyperlink" Target="http://cannabislight.se/" TargetMode="External"/><Relationship Id="rId4001" Type="http://schemas.openxmlformats.org/officeDocument/2006/relationships/hyperlink" Target="https://moveitmama.se/att-spara-pengar-som-pensionar" TargetMode="External"/><Relationship Id="rId11950" Type="http://schemas.openxmlformats.org/officeDocument/2006/relationships/hyperlink" Target="http://conclean.se/" TargetMode="External"/><Relationship Id="rId6173" Type="http://schemas.openxmlformats.org/officeDocument/2006/relationships/hyperlink" Target="https://aretrotale.com/" TargetMode="External"/><Relationship Id="rId7571" Type="http://schemas.openxmlformats.org/officeDocument/2006/relationships/hyperlink" Target="http://dryft.se/" TargetMode="External"/><Relationship Id="rId8622" Type="http://schemas.openxmlformats.org/officeDocument/2006/relationships/hyperlink" Target="http://fairinvestments.se/" TargetMode="External"/><Relationship Id="rId10552" Type="http://schemas.openxmlformats.org/officeDocument/2006/relationships/hyperlink" Target="https://passioneffect.se/journalen-som-hjalper-ditt-foretag-nagra-myter-om-tidsbesparing-och-kostnader/" TargetMode="External"/><Relationship Id="rId11603" Type="http://schemas.openxmlformats.org/officeDocument/2006/relationships/hyperlink" Target="http://tiotak.se/" TargetMode="External"/><Relationship Id="rId7224" Type="http://schemas.openxmlformats.org/officeDocument/2006/relationships/hyperlink" Target="http://mrnicco.com/" TargetMode="External"/><Relationship Id="rId10205" Type="http://schemas.openxmlformats.org/officeDocument/2006/relationships/hyperlink" Target="https://leaptodigital.com/roofing-crm" TargetMode="External"/><Relationship Id="rId2783" Type="http://schemas.openxmlformats.org/officeDocument/2006/relationships/hyperlink" Target="https://www.spelklubben.se/sv" TargetMode="External"/><Relationship Id="rId3834" Type="http://schemas.openxmlformats.org/officeDocument/2006/relationships/hyperlink" Target="http://e-ciggbolaget.se/" TargetMode="External"/><Relationship Id="rId9396" Type="http://schemas.openxmlformats.org/officeDocument/2006/relationships/hyperlink" Target="https://www.spelklubben.se/sv" TargetMode="External"/><Relationship Id="rId12377" Type="http://schemas.openxmlformats.org/officeDocument/2006/relationships/hyperlink" Target="https://amandajnsn.se/" TargetMode="External"/><Relationship Id="rId755" Type="http://schemas.openxmlformats.org/officeDocument/2006/relationships/hyperlink" Target="https://smartkonstruktion.se/darfor-ar-det-sa-viktigt-att-underhalla-din-villa/" TargetMode="External"/><Relationship Id="rId1385" Type="http://schemas.openxmlformats.org/officeDocument/2006/relationships/hyperlink" Target="https://thejeansblog.com/jeans-advice/vintage-denim-what-you-need-to-know-before-buying/" TargetMode="External"/><Relationship Id="rId2436" Type="http://schemas.openxmlformats.org/officeDocument/2006/relationships/hyperlink" Target="https://kalkulator.io/barnebidrag-kalkulator/" TargetMode="External"/><Relationship Id="rId9049" Type="http://schemas.openxmlformats.org/officeDocument/2006/relationships/hyperlink" Target="https://lindenytt.com/extra/lindlovens-if-tar-sikte-mot-framtiden-med-hockeyettan-play/" TargetMode="External"/><Relationship Id="rId91" Type="http://schemas.openxmlformats.org/officeDocument/2006/relationships/hyperlink" Target="https://haxan.se/products/fonsterskrapa" TargetMode="External"/><Relationship Id="rId408" Type="http://schemas.openxmlformats.org/officeDocument/2006/relationships/hyperlink" Target="https://www.askskinfo.com/varumarke/all-i-am-beauty" TargetMode="External"/><Relationship Id="rId1038" Type="http://schemas.openxmlformats.org/officeDocument/2006/relationships/hyperlink" Target="http://happysocks.com/" TargetMode="External"/><Relationship Id="rId5659" Type="http://schemas.openxmlformats.org/officeDocument/2006/relationships/hyperlink" Target="https://www.larsmolinsallskapet.se/" TargetMode="External"/><Relationship Id="rId9530" Type="http://schemas.openxmlformats.org/officeDocument/2006/relationships/hyperlink" Target="https://eventeffect.se/ska-du-halla-i-ett-event-testa-att-tanka-som-en-maklare/" TargetMode="External"/><Relationship Id="rId7081" Type="http://schemas.openxmlformats.org/officeDocument/2006/relationships/hyperlink" Target="http://svenskiptv.com/" TargetMode="External"/><Relationship Id="rId8132" Type="http://schemas.openxmlformats.org/officeDocument/2006/relationships/hyperlink" Target="https://www.lansfast.se/maklare/sodermanland/trosa/" TargetMode="External"/><Relationship Id="rId11460" Type="http://schemas.openxmlformats.org/officeDocument/2006/relationships/hyperlink" Target="http://ljusgrossisten.se/" TargetMode="External"/><Relationship Id="rId12511" Type="http://schemas.openxmlformats.org/officeDocument/2006/relationships/hyperlink" Target="https://industrimagasinet.se/kom-igang-med-aktieinvesteringar-en-enkel-guide-for-nyborjare/" TargetMode="External"/><Relationship Id="rId10062" Type="http://schemas.openxmlformats.org/officeDocument/2006/relationships/hyperlink" Target="http://svenskafonster.se/" TargetMode="External"/><Relationship Id="rId11113" Type="http://schemas.openxmlformats.org/officeDocument/2006/relationships/hyperlink" Target="https://villalivet.se/allmant/vilken-typ-av-villaagare-ar-du/" TargetMode="External"/><Relationship Id="rId3691" Type="http://schemas.openxmlformats.org/officeDocument/2006/relationships/hyperlink" Target="https://sakraror.se/vara-tjanster/allman-service-vvs/vvs-i-sollentuna/" TargetMode="External"/><Relationship Id="rId4742" Type="http://schemas.openxmlformats.org/officeDocument/2006/relationships/hyperlink" Target="https://www.nyaprojekt.se/2024/07/25/digitaliseringens-inverkan-pa-svensk-industri/" TargetMode="External"/><Relationship Id="rId13285" Type="http://schemas.openxmlformats.org/officeDocument/2006/relationships/hyperlink" Target="https://industrilinjen.se/effektiv-kontorsstadning-skapar-en-battre-arbetsmiljo-i-goteborg/" TargetMode="External"/><Relationship Id="rId2293" Type="http://schemas.openxmlformats.org/officeDocument/2006/relationships/hyperlink" Target="http://fairinvestments.se/" TargetMode="External"/><Relationship Id="rId3344" Type="http://schemas.openxmlformats.org/officeDocument/2006/relationships/hyperlink" Target="https://malm&#246;cloud.se/he-teknik-skapare-av-oforglomliga-foretagsevent-i-visby/" TargetMode="External"/><Relationship Id="rId7965" Type="http://schemas.openxmlformats.org/officeDocument/2006/relationships/hyperlink" Target="http://dryft.se/" TargetMode="External"/><Relationship Id="rId265" Type="http://schemas.openxmlformats.org/officeDocument/2006/relationships/hyperlink" Target="http://chronos.se/" TargetMode="External"/><Relationship Id="rId6567" Type="http://schemas.openxmlformats.org/officeDocument/2006/relationships/hyperlink" Target="https://www.executiveeffect.se/strikt-reglerade-branscher-strategier-for-effektiv-efterlevnad/" TargetMode="External"/><Relationship Id="rId7618" Type="http://schemas.openxmlformats.org/officeDocument/2006/relationships/hyperlink" Target="https://www.acnespecialisten.se/perioral-dermatit.php" TargetMode="External"/><Relationship Id="rId10946" Type="http://schemas.openxmlformats.org/officeDocument/2006/relationships/hyperlink" Target="https://caboo.se/har-ar-kandisarna-som-spelat-stort-och-vunnit-eller-forlorat-annu-storre/" TargetMode="External"/><Relationship Id="rId5169" Type="http://schemas.openxmlformats.org/officeDocument/2006/relationships/hyperlink" Target="https://www.visualrank.se/" TargetMode="External"/><Relationship Id="rId9040" Type="http://schemas.openxmlformats.org/officeDocument/2006/relationships/hyperlink" Target="https://dailyemerald.com/165297/promotedposts/a-peaceful-mind-for-better-exam-performance/" TargetMode="External"/><Relationship Id="rId12021" Type="http://schemas.openxmlformats.org/officeDocument/2006/relationships/hyperlink" Target="https://miamipool.se/swimmingpool/" TargetMode="External"/><Relationship Id="rId1779" Type="http://schemas.openxmlformats.org/officeDocument/2006/relationships/hyperlink" Target="https://varmlandsbygden.se/partner/upptack-varlden-av-flytbryggor/" TargetMode="External"/><Relationship Id="rId4252" Type="http://schemas.openxmlformats.org/officeDocument/2006/relationships/hyperlink" Target="http://jovialsundsvall.se/" TargetMode="External"/><Relationship Id="rId5650" Type="http://schemas.openxmlformats.org/officeDocument/2006/relationships/hyperlink" Target="https://madforit.se/blogg/olika-typer-av-jackpots-var-man-hittar-varldens-storsta-vinstmojligheter/" TargetMode="External"/><Relationship Id="rId6701" Type="http://schemas.openxmlformats.org/officeDocument/2006/relationships/hyperlink" Target="https://www.swedoffice.se/" TargetMode="External"/><Relationship Id="rId5303" Type="http://schemas.openxmlformats.org/officeDocument/2006/relationships/hyperlink" Target="https://www.favorreklambyra.se/" TargetMode="External"/><Relationship Id="rId8873" Type="http://schemas.openxmlformats.org/officeDocument/2006/relationships/hyperlink" Target="https://www.bus4you.se/populara-relationer/res-mellan-goteborg-och-oslo/" TargetMode="External"/><Relationship Id="rId9924" Type="http://schemas.openxmlformats.org/officeDocument/2006/relationships/hyperlink" Target="https://www.foodnet.se/lb-article/181646/maten-som-ar-bra-for-leendet-sa-ater-du-dig-till-ett-friskare-vackrare-leende" TargetMode="External"/><Relationship Id="rId11854" Type="http://schemas.openxmlformats.org/officeDocument/2006/relationships/hyperlink" Target="https://www.bytabil.net/att-valja-ratt-nyckeln-till-en-framgangsrik-bilupplevelse/" TargetMode="External"/><Relationship Id="rId12905" Type="http://schemas.openxmlformats.org/officeDocument/2006/relationships/hyperlink" Target="https://www.dbet.com/se/" TargetMode="External"/><Relationship Id="rId1913" Type="http://schemas.openxmlformats.org/officeDocument/2006/relationships/hyperlink" Target="https://www.genvag.nu/" TargetMode="External"/><Relationship Id="rId7475" Type="http://schemas.openxmlformats.org/officeDocument/2006/relationships/hyperlink" Target="http://hajper.com/" TargetMode="External"/><Relationship Id="rId8526" Type="http://schemas.openxmlformats.org/officeDocument/2006/relationships/hyperlink" Target="https://www.totallyorebro.se/leva-bo/har-ar-det-dyrast-att-bo-i-orebro/" TargetMode="External"/><Relationship Id="rId10456" Type="http://schemas.openxmlformats.org/officeDocument/2006/relationships/hyperlink" Target="http://glassfactory.fi/" TargetMode="External"/><Relationship Id="rId11507" Type="http://schemas.openxmlformats.org/officeDocument/2006/relationships/hyperlink" Target="https://www.robomarkets.com/se/" TargetMode="External"/><Relationship Id="rId6077" Type="http://schemas.openxmlformats.org/officeDocument/2006/relationships/hyperlink" Target="http://ekstromgaray.se/" TargetMode="External"/><Relationship Id="rId7128" Type="http://schemas.openxmlformats.org/officeDocument/2006/relationships/hyperlink" Target="https://kundkarma.se/kopieringspapper-for-foretag-sa-valjer-du-ratt-alternativ/" TargetMode="External"/><Relationship Id="rId10109" Type="http://schemas.openxmlformats.org/officeDocument/2006/relationships/hyperlink" Target="http://rusta.se/" TargetMode="External"/><Relationship Id="rId2687" Type="http://schemas.openxmlformats.org/officeDocument/2006/relationships/hyperlink" Target="https://www.alfa.no/" TargetMode="External"/><Relationship Id="rId3738" Type="http://schemas.openxmlformats.org/officeDocument/2006/relationships/hyperlink" Target="https://www.klintabykrog.se/" TargetMode="External"/><Relationship Id="rId659" Type="http://schemas.openxmlformats.org/officeDocument/2006/relationships/hyperlink" Target="http://happysocks.com/" TargetMode="External"/><Relationship Id="rId1289" Type="http://schemas.openxmlformats.org/officeDocument/2006/relationships/hyperlink" Target="https://sek-converter.se/framtiden-for-utbildning-inom-ekonomi/" TargetMode="External"/><Relationship Id="rId5160" Type="http://schemas.openxmlformats.org/officeDocument/2006/relationships/hyperlink" Target="https://www.guch.nu/" TargetMode="External"/><Relationship Id="rId6211" Type="http://schemas.openxmlformats.org/officeDocument/2006/relationships/hyperlink" Target="http://dinkorskola.se/" TargetMode="External"/><Relationship Id="rId8383" Type="http://schemas.openxmlformats.org/officeDocument/2006/relationships/hyperlink" Target="https://tvprogram.nu/blogg/8-basta-programmen-for-dig-som-alskar-design" TargetMode="External"/><Relationship Id="rId9781" Type="http://schemas.openxmlformats.org/officeDocument/2006/relationships/hyperlink" Target="https://www.purakliniken.se/estetisk-tandvard/skalfasader/" TargetMode="External"/><Relationship Id="rId12762" Type="http://schemas.openxmlformats.org/officeDocument/2006/relationships/hyperlink" Target="http://tkw.se/" TargetMode="External"/><Relationship Id="rId1770" Type="http://schemas.openxmlformats.org/officeDocument/2006/relationships/hyperlink" Target="https://haxan.se/products/haxan-silverputs" TargetMode="External"/><Relationship Id="rId2821" Type="http://schemas.openxmlformats.org/officeDocument/2006/relationships/hyperlink" Target="https://e-ciggbolaget.se/e-cigaretter/engangs-vape/?hr-page=%7B%22product_count%22%3A24%7D" TargetMode="External"/><Relationship Id="rId8036" Type="http://schemas.openxmlformats.org/officeDocument/2006/relationships/hyperlink" Target="http://kvarnx.com/" TargetMode="External"/><Relationship Id="rId9434" Type="http://schemas.openxmlformats.org/officeDocument/2006/relationships/hyperlink" Target="https://www.mrvegas.com/sv/the-wheel-of-vegas-info/" TargetMode="External"/><Relationship Id="rId11364" Type="http://schemas.openxmlformats.org/officeDocument/2006/relationships/hyperlink" Target="https://www.linkedin.com/company/fair-investments-sweden-ab/?originalSubdomain=se" TargetMode="External"/><Relationship Id="rId12415" Type="http://schemas.openxmlformats.org/officeDocument/2006/relationships/hyperlink" Target="https://jimmys.se/den-irlandska-pubens-episka-inflytande-pa-pubkulturen-varlden-over-en-resa-genom-tid-och-tradition/" TargetMode="External"/><Relationship Id="rId1423" Type="http://schemas.openxmlformats.org/officeDocument/2006/relationships/hyperlink" Target="https://easyreadernews.com/5-tips-for-succeeding-as-a-business-contractor-in-california/" TargetMode="External"/><Relationship Id="rId4993" Type="http://schemas.openxmlformats.org/officeDocument/2006/relationships/hyperlink" Target="http://fairinvestments.se/" TargetMode="External"/><Relationship Id="rId11017" Type="http://schemas.openxmlformats.org/officeDocument/2006/relationships/hyperlink" Target="http://megariches.com/" TargetMode="External"/><Relationship Id="rId3595" Type="http://schemas.openxmlformats.org/officeDocument/2006/relationships/hyperlink" Target="https://teknologihjelp.com/ga-pa-eventyr-med-de-helt-rette-skoene/?utm_content=cmp-true" TargetMode="External"/><Relationship Id="rId4646" Type="http://schemas.openxmlformats.org/officeDocument/2006/relationships/hyperlink" Target="https://ledarsidorna.se/hallbara-investeringar-och-deras-betydelse-for-framtiden/" TargetMode="External"/><Relationship Id="rId13189" Type="http://schemas.openxmlformats.org/officeDocument/2006/relationships/hyperlink" Target="http://megariches.com/" TargetMode="External"/><Relationship Id="rId2197" Type="http://schemas.openxmlformats.org/officeDocument/2006/relationships/hyperlink" Target="https://www.vont.se/nicotine-pouches" TargetMode="External"/><Relationship Id="rId3248" Type="http://schemas.openxmlformats.org/officeDocument/2006/relationships/hyperlink" Target="https://kelleher-international.com/" TargetMode="External"/><Relationship Id="rId7869" Type="http://schemas.openxmlformats.org/officeDocument/2006/relationships/hyperlink" Target="https://iptvdansk.com/" TargetMode="External"/><Relationship Id="rId10100" Type="http://schemas.openxmlformats.org/officeDocument/2006/relationships/hyperlink" Target="http://lsb.se/" TargetMode="External"/><Relationship Id="rId169" Type="http://schemas.openxmlformats.org/officeDocument/2006/relationships/hyperlink" Target="http://kopbarnvagn.se/" TargetMode="External"/><Relationship Id="rId9291" Type="http://schemas.openxmlformats.org/officeDocument/2006/relationships/hyperlink" Target="https://skaparum.se/effektiv-markskotsel-for-byggprojekt-i-stockholm/" TargetMode="External"/><Relationship Id="rId650" Type="http://schemas.openxmlformats.org/officeDocument/2006/relationships/hyperlink" Target="http://happysocks.com/" TargetMode="External"/><Relationship Id="rId1280" Type="http://schemas.openxmlformats.org/officeDocument/2006/relationships/hyperlink" Target="https://andreanorrman.se/framtiden-for-utbildning-inom-human-resources-hr-pa-distans/" TargetMode="External"/><Relationship Id="rId2331" Type="http://schemas.openxmlformats.org/officeDocument/2006/relationships/hyperlink" Target="https://www.vont.co/de/nikotinpouches" TargetMode="External"/><Relationship Id="rId12272" Type="http://schemas.openxmlformats.org/officeDocument/2006/relationships/hyperlink" Target="https://www.askskinfo.com/varumarke/skinome" TargetMode="External"/><Relationship Id="rId303" Type="http://schemas.openxmlformats.org/officeDocument/2006/relationships/hyperlink" Target="http://askskinfo.com/" TargetMode="External"/><Relationship Id="rId6952" Type="http://schemas.openxmlformats.org/officeDocument/2006/relationships/hyperlink" Target="http://swedenlongstay.se/" TargetMode="External"/><Relationship Id="rId5554" Type="http://schemas.openxmlformats.org/officeDocument/2006/relationships/hyperlink" Target="https://www.cherry.com/sv/casino" TargetMode="External"/><Relationship Id="rId6605" Type="http://schemas.openxmlformats.org/officeDocument/2006/relationships/hyperlink" Target="http://upplevelse.com/" TargetMode="External"/><Relationship Id="rId4156" Type="http://schemas.openxmlformats.org/officeDocument/2006/relationships/hyperlink" Target="http://campsite.se/" TargetMode="External"/><Relationship Id="rId5207" Type="http://schemas.openxmlformats.org/officeDocument/2006/relationships/hyperlink" Target="https://navx.store/nl/" TargetMode="External"/><Relationship Id="rId8777" Type="http://schemas.openxmlformats.org/officeDocument/2006/relationships/hyperlink" Target="https://www.bethard.com/sv/sports" TargetMode="External"/><Relationship Id="rId9828" Type="http://schemas.openxmlformats.org/officeDocument/2006/relationships/hyperlink" Target="https://feriebloggen.se/skidvalla-for-din-nasta-vinterresa/" TargetMode="External"/><Relationship Id="rId11758" Type="http://schemas.openxmlformats.org/officeDocument/2006/relationships/hyperlink" Target="https://yagya.com/" TargetMode="External"/><Relationship Id="rId1817" Type="http://schemas.openxmlformats.org/officeDocument/2006/relationships/hyperlink" Target="http://saneringscompaniet.se/" TargetMode="External"/><Relationship Id="rId7379" Type="http://schemas.openxmlformats.org/officeDocument/2006/relationships/hyperlink" Target="https://www.amazon.com/Racha-Organics-Sriracha-Sauce-Certified/dp/B0CYLCC464" TargetMode="External"/><Relationship Id="rId12809" Type="http://schemas.openxmlformats.org/officeDocument/2006/relationships/hyperlink" Target="https://www.mrvegas.com/sv/live-casino/" TargetMode="External"/><Relationship Id="rId13180" Type="http://schemas.openxmlformats.org/officeDocument/2006/relationships/hyperlink" Target="http://merchoteket.se/" TargetMode="External"/><Relationship Id="rId160" Type="http://schemas.openxmlformats.org/officeDocument/2006/relationships/hyperlink" Target="http://kopbarnvagn.se/" TargetMode="External"/><Relationship Id="rId3989" Type="http://schemas.openxmlformats.org/officeDocument/2006/relationships/hyperlink" Target="https://nem.health/vo2-max-indikator-for-livslangd-och-kardiovaskular-halsa/" TargetMode="External"/><Relationship Id="rId6462" Type="http://schemas.openxmlformats.org/officeDocument/2006/relationships/hyperlink" Target="https://www.dagensnaringsliv.se/20241129/274997/hantering-av-akuta-vvs-problem-en-viktig-fraga-foretag" TargetMode="External"/><Relationship Id="rId7860" Type="http://schemas.openxmlformats.org/officeDocument/2006/relationships/hyperlink" Target="http://mockfjards.se/" TargetMode="External"/><Relationship Id="rId8911" Type="http://schemas.openxmlformats.org/officeDocument/2006/relationships/hyperlink" Target="https://usawire.com/10-minute-habits-quick-home-efficiency-hacks-for-busy-schedules/" TargetMode="External"/><Relationship Id="rId10841" Type="http://schemas.openxmlformats.org/officeDocument/2006/relationships/hyperlink" Target="https://www.sfexaminer.com/marketplace/boosting-athlete-performance-with-smarter-coaching-platforms/article_790d26b3-5cc1-4105-a1ed-ddfa3fc680d3.html" TargetMode="External"/><Relationship Id="rId5064" Type="http://schemas.openxmlformats.org/officeDocument/2006/relationships/hyperlink" Target="http://bethard.com/" TargetMode="External"/><Relationship Id="rId6115" Type="http://schemas.openxmlformats.org/officeDocument/2006/relationships/hyperlink" Target="http://kvarnx.com/" TargetMode="External"/><Relationship Id="rId7513" Type="http://schemas.openxmlformats.org/officeDocument/2006/relationships/hyperlink" Target="http://vardagsfrid.se/" TargetMode="External"/><Relationship Id="rId9685" Type="http://schemas.openxmlformats.org/officeDocument/2006/relationships/hyperlink" Target="https://www.dagensfastigheter.se/20250603/12912/smart-belysning-ett-maste-moderna-fastigheter" TargetMode="External"/><Relationship Id="rId12666" Type="http://schemas.openxmlformats.org/officeDocument/2006/relationships/hyperlink" Target="http://comfydence.se/" TargetMode="External"/><Relationship Id="rId1674" Type="http://schemas.openxmlformats.org/officeDocument/2006/relationships/hyperlink" Target="https://advancepointcap.com/blog/same-day-smb-loan/" TargetMode="External"/><Relationship Id="rId2725" Type="http://schemas.openxmlformats.org/officeDocument/2006/relationships/hyperlink" Target="http://finansplassen.no/" TargetMode="External"/><Relationship Id="rId8287" Type="http://schemas.openxmlformats.org/officeDocument/2006/relationships/hyperlink" Target="https://www.fri-kopenskap.se/lb-article/181362/branscher-vi-raknade-bort-men-som-gar-som-taget" TargetMode="External"/><Relationship Id="rId9338" Type="http://schemas.openxmlformats.org/officeDocument/2006/relationships/hyperlink" Target="https://www.svenskbyggtidning.se/2025/05/26/kontorsmaterial-bortom-kontoret-overraskande-anvandningsomraden-i-andra-branscher/" TargetMode="External"/><Relationship Id="rId11268" Type="http://schemas.openxmlformats.org/officeDocument/2006/relationships/hyperlink" Target="https://lifehacking.se/4-anledningar-till-att-en-chiptrim-kommer-att-forbattra-din-bil/" TargetMode="External"/><Relationship Id="rId12319" Type="http://schemas.openxmlformats.org/officeDocument/2006/relationships/hyperlink" Target="http://arctic.se/" TargetMode="External"/><Relationship Id="rId1327" Type="http://schemas.openxmlformats.org/officeDocument/2006/relationships/hyperlink" Target="http://robomarkets.com/" TargetMode="External"/><Relationship Id="rId4897" Type="http://schemas.openxmlformats.org/officeDocument/2006/relationships/hyperlink" Target="https://www.bethard.com/sv/sports/live/fotboll" TargetMode="External"/><Relationship Id="rId5948" Type="http://schemas.openxmlformats.org/officeDocument/2006/relationships/hyperlink" Target="https://www.medtechmagazine.se/lb-article/180909/lakemedel-for-viktnedgang-vad-du-bor-veta-om-rybelsus" TargetMode="External"/><Relationship Id="rId33" Type="http://schemas.openxmlformats.org/officeDocument/2006/relationships/hyperlink" Target="https://b&#228;stf&#246;rs&#228;kringar.se/" TargetMode="External"/><Relationship Id="rId3499" Type="http://schemas.openxmlformats.org/officeDocument/2006/relationships/hyperlink" Target="http://fairinvestments.se/" TargetMode="External"/><Relationship Id="rId7370" Type="http://schemas.openxmlformats.org/officeDocument/2006/relationships/hyperlink" Target="https://blinklist.com/tech/role-of-technology-in-medicine/" TargetMode="External"/><Relationship Id="rId8421" Type="http://schemas.openxmlformats.org/officeDocument/2006/relationships/hyperlink" Target="http://upplevelse.com/" TargetMode="External"/><Relationship Id="rId12800" Type="http://schemas.openxmlformats.org/officeDocument/2006/relationships/hyperlink" Target="https://influencereffect.se/den-numera-ofrivilliga-drommen-om-frihet-kan-alla-sidoprojekt-bli-heltidskarriarer-2025/" TargetMode="External"/><Relationship Id="rId7023" Type="http://schemas.openxmlformats.org/officeDocument/2006/relationships/hyperlink" Target="http://chattanoogarehab.com/" TargetMode="External"/><Relationship Id="rId10351" Type="http://schemas.openxmlformats.org/officeDocument/2006/relationships/hyperlink" Target="http://dbet.com/" TargetMode="External"/><Relationship Id="rId11402" Type="http://schemas.openxmlformats.org/officeDocument/2006/relationships/hyperlink" Target="http://kopbarnvagn.se/" TargetMode="External"/><Relationship Id="rId3980" Type="http://schemas.openxmlformats.org/officeDocument/2006/relationships/hyperlink" Target="http://tandea.se/" TargetMode="External"/><Relationship Id="rId9195" Type="http://schemas.openxmlformats.org/officeDocument/2006/relationships/hyperlink" Target="http://cdbilvardsprodukter.se/" TargetMode="External"/><Relationship Id="rId10004" Type="http://schemas.openxmlformats.org/officeDocument/2006/relationships/hyperlink" Target="https://www.mrvegas.com/" TargetMode="External"/><Relationship Id="rId1184" Type="http://schemas.openxmlformats.org/officeDocument/2006/relationships/hyperlink" Target="http://haxan.se/" TargetMode="External"/><Relationship Id="rId2582" Type="http://schemas.openxmlformats.org/officeDocument/2006/relationships/hyperlink" Target="https://arctic.se/nibe-warmepumpe-versicherung/" TargetMode="External"/><Relationship Id="rId3633" Type="http://schemas.openxmlformats.org/officeDocument/2006/relationships/hyperlink" Target="https://www.spelklubben.se/sv/casino" TargetMode="External"/><Relationship Id="rId12176" Type="http://schemas.openxmlformats.org/officeDocument/2006/relationships/hyperlink" Target="https://schjodt.com/expertise/rekonstruktion-insolvens" TargetMode="External"/><Relationship Id="rId13227" Type="http://schemas.openxmlformats.org/officeDocument/2006/relationships/hyperlink" Target="https://arctic.se/se/forsakringslosningar/svensksolenergi/" TargetMode="External"/><Relationship Id="rId554" Type="http://schemas.openxmlformats.org/officeDocument/2006/relationships/hyperlink" Target="https://www.godfatherstyle.com/3-fool-proof-tips-on-how-to-create-your-personal-style/" TargetMode="External"/><Relationship Id="rId2235" Type="http://schemas.openxmlformats.org/officeDocument/2006/relationships/hyperlink" Target="https://distansinstitutet.se/distansutbildningar/pedagogik/vardbitrade/" TargetMode="External"/><Relationship Id="rId6856" Type="http://schemas.openxmlformats.org/officeDocument/2006/relationships/hyperlink" Target="http://upplevelse.com/" TargetMode="External"/><Relationship Id="rId7907" Type="http://schemas.openxmlformats.org/officeDocument/2006/relationships/hyperlink" Target="http://nettotobak.com/" TargetMode="External"/><Relationship Id="rId207" Type="http://schemas.openxmlformats.org/officeDocument/2006/relationships/hyperlink" Target="http://blugiallo.com/" TargetMode="External"/><Relationship Id="rId5458" Type="http://schemas.openxmlformats.org/officeDocument/2006/relationships/hyperlink" Target="http://spelklubben.se/" TargetMode="External"/><Relationship Id="rId6509" Type="http://schemas.openxmlformats.org/officeDocument/2006/relationships/hyperlink" Target="http://kleer.se/" TargetMode="External"/><Relationship Id="rId12310" Type="http://schemas.openxmlformats.org/officeDocument/2006/relationships/hyperlink" Target="https://www.spoors.health/" TargetMode="External"/><Relationship Id="rId3490" Type="http://schemas.openxmlformats.org/officeDocument/2006/relationships/hyperlink" Target="https://alltomnorrtalje.se/n-one-ett-djarvt-steg-framat-i-varlden-av-engangsvapes/" TargetMode="External"/><Relationship Id="rId4541" Type="http://schemas.openxmlformats.org/officeDocument/2006/relationships/hyperlink" Target="https://nordenhydraulic.se/" TargetMode="External"/><Relationship Id="rId13084" Type="http://schemas.openxmlformats.org/officeDocument/2006/relationships/hyperlink" Target="https://kulturbloggen.com/?p=197690" TargetMode="External"/><Relationship Id="rId2092" Type="http://schemas.openxmlformats.org/officeDocument/2006/relationships/hyperlink" Target="https://vainu.io/company/fair-investments-sweden-ab-omsattning-och-nyckeltal/1180004/foretagsinfo" TargetMode="External"/><Relationship Id="rId3143" Type="http://schemas.openxmlformats.org/officeDocument/2006/relationships/hyperlink" Target="https://conclean.se/produkter/minireningsverk/" TargetMode="External"/><Relationship Id="rId7764" Type="http://schemas.openxmlformats.org/officeDocument/2006/relationships/hyperlink" Target="http://startmotor.se/" TargetMode="External"/><Relationship Id="rId8815" Type="http://schemas.openxmlformats.org/officeDocument/2006/relationships/hyperlink" Target="http://lilla-varlden.se/" TargetMode="External"/><Relationship Id="rId10745" Type="http://schemas.openxmlformats.org/officeDocument/2006/relationships/hyperlink" Target="https://kvinnan.se/effektiv-och-hallbar-viktnedgang-for-kvinnor-genom-vetenskapsbaserade-metoder/" TargetMode="External"/><Relationship Id="rId6366" Type="http://schemas.openxmlformats.org/officeDocument/2006/relationships/hyperlink" Target="https://www.joyfreak.com/threads/your-gaming-setup-isnt-as-safe-as-you-think-5-must-know-security-tips.15527/" TargetMode="External"/><Relationship Id="rId7417" Type="http://schemas.openxmlformats.org/officeDocument/2006/relationships/hyperlink" Target="https://technobark.com/best-gps-dog-fences/" TargetMode="External"/><Relationship Id="rId2976" Type="http://schemas.openxmlformats.org/officeDocument/2006/relationships/hyperlink" Target="http://e-ciggbolaget.se/" TargetMode="External"/><Relationship Id="rId6019" Type="http://schemas.openxmlformats.org/officeDocument/2006/relationships/hyperlink" Target="https://swedenlongstay.se/sv" TargetMode="External"/><Relationship Id="rId9589" Type="http://schemas.openxmlformats.org/officeDocument/2006/relationships/hyperlink" Target="http://svenskalasjouren.se/" TargetMode="External"/><Relationship Id="rId948" Type="http://schemas.openxmlformats.org/officeDocument/2006/relationships/hyperlink" Target="https://poolstart.se/mjolkigt-vatten-i-poolen/" TargetMode="External"/><Relationship Id="rId1578" Type="http://schemas.openxmlformats.org/officeDocument/2006/relationships/hyperlink" Target="http://tryggbil.se/" TargetMode="External"/><Relationship Id="rId2629" Type="http://schemas.openxmlformats.org/officeDocument/2006/relationships/hyperlink" Target="https://ingelaclarin.se/tankar-kring-tobak" TargetMode="External"/><Relationship Id="rId6500" Type="http://schemas.openxmlformats.org/officeDocument/2006/relationships/hyperlink" Target="http://everynightstudios.com/" TargetMode="External"/><Relationship Id="rId4051" Type="http://schemas.openxmlformats.org/officeDocument/2006/relationships/hyperlink" Target="https://www.creditsafe.com/dk/da/kredit-risiko/kreditrapporter/kreditvurdering.html" TargetMode="External"/><Relationship Id="rId5102" Type="http://schemas.openxmlformats.org/officeDocument/2006/relationships/hyperlink" Target="https://seniorrabatt.se/" TargetMode="External"/><Relationship Id="rId8672" Type="http://schemas.openxmlformats.org/officeDocument/2006/relationships/hyperlink" Target="https://industrimagasinet.se/effektivt-kontorsmaterial-for-att-driva-ditt-foretag-framat/" TargetMode="External"/><Relationship Id="rId7274" Type="http://schemas.openxmlformats.org/officeDocument/2006/relationships/hyperlink" Target="http://hund.se/" TargetMode="External"/><Relationship Id="rId8325" Type="http://schemas.openxmlformats.org/officeDocument/2006/relationships/hyperlink" Target="http://svenskiptv.com/" TargetMode="External"/><Relationship Id="rId9723" Type="http://schemas.openxmlformats.org/officeDocument/2006/relationships/hyperlink" Target="https://nordicknots.com/us/rugs" TargetMode="External"/><Relationship Id="rId11653" Type="http://schemas.openxmlformats.org/officeDocument/2006/relationships/hyperlink" Target="http://vontabel.com/" TargetMode="External"/><Relationship Id="rId12704" Type="http://schemas.openxmlformats.org/officeDocument/2006/relationships/hyperlink" Target="http://swedenlongstay.se/" TargetMode="External"/><Relationship Id="rId1712" Type="http://schemas.openxmlformats.org/officeDocument/2006/relationships/hyperlink" Target="http://lemontree.se/" TargetMode="External"/><Relationship Id="rId10255" Type="http://schemas.openxmlformats.org/officeDocument/2006/relationships/hyperlink" Target="https://himala.ai/)%E2%80%94a" TargetMode="External"/><Relationship Id="rId11306" Type="http://schemas.openxmlformats.org/officeDocument/2006/relationships/hyperlink" Target="http://fairinvestments.se/" TargetMode="External"/><Relationship Id="rId3884" Type="http://schemas.openxmlformats.org/officeDocument/2006/relationships/hyperlink" Target="https://www.totallystockholm.se/dyrare-tandvard-vad-hander-med-svenska-folkhalsan/" TargetMode="External"/><Relationship Id="rId4935" Type="http://schemas.openxmlformats.org/officeDocument/2006/relationships/hyperlink" Target="https://www.totallystockholm.se/tobak-och-vitt-snus-utmaningar-och-losningar-for-effektiv-alderskontroll-i-sverige/" TargetMode="External"/><Relationship Id="rId9099" Type="http://schemas.openxmlformats.org/officeDocument/2006/relationships/hyperlink" Target="https://www.svenskbyggtidning.se/2025/05/16/forebygga-vattenskador-kraver-bade-teknik-och-rutin/" TargetMode="External"/><Relationship Id="rId2486" Type="http://schemas.openxmlformats.org/officeDocument/2006/relationships/hyperlink" Target="https://e-ciggbolaget.se/e-cigaretter/pod-system/pod-kit/voom-bar-engangs-e-cigarett/" TargetMode="External"/><Relationship Id="rId3537" Type="http://schemas.openxmlformats.org/officeDocument/2006/relationships/hyperlink" Target="http://glitnor.com/" TargetMode="External"/><Relationship Id="rId458" Type="http://schemas.openxmlformats.org/officeDocument/2006/relationships/hyperlink" Target="https://www.kopbarnvagn.se/sv/artiklar/bugaboo/index.html" TargetMode="External"/><Relationship Id="rId1088" Type="http://schemas.openxmlformats.org/officeDocument/2006/relationships/hyperlink" Target="http://bigbenstandup.com/" TargetMode="External"/><Relationship Id="rId2139" Type="http://schemas.openxmlformats.org/officeDocument/2006/relationships/hyperlink" Target="https://www.beautyboulevard.se/ingen-bradska-med-att-hitta-sitt-kall" TargetMode="External"/><Relationship Id="rId6010" Type="http://schemas.openxmlformats.org/officeDocument/2006/relationships/hyperlink" Target="https://pley.gg/news/cybersecurity-cs-go-fight-fair-play" TargetMode="External"/><Relationship Id="rId9580" Type="http://schemas.openxmlformats.org/officeDocument/2006/relationships/hyperlink" Target="http://fairinvestments.se/" TargetMode="External"/><Relationship Id="rId2620" Type="http://schemas.openxmlformats.org/officeDocument/2006/relationships/hyperlink" Target="http://fairinvestments.se/" TargetMode="External"/><Relationship Id="rId8182" Type="http://schemas.openxmlformats.org/officeDocument/2006/relationships/hyperlink" Target="http://tkw.se/" TargetMode="External"/><Relationship Id="rId9233" Type="http://schemas.openxmlformats.org/officeDocument/2006/relationships/hyperlink" Target="https://gladafamiljer.se/ett-lyckligt-familjeliv-med-den-ratta-hunden-och-hundfodret/" TargetMode="External"/><Relationship Id="rId11163" Type="http://schemas.openxmlformats.org/officeDocument/2006/relationships/hyperlink" Target="https://www.ideum.nu/" TargetMode="External"/><Relationship Id="rId12214" Type="http://schemas.openxmlformats.org/officeDocument/2006/relationships/hyperlink" Target="https://hemplybalance.se/" TargetMode="External"/><Relationship Id="rId12561" Type="http://schemas.openxmlformats.org/officeDocument/2006/relationships/hyperlink" Target="http://finansplassen.no/" TargetMode="External"/><Relationship Id="rId1222" Type="http://schemas.openxmlformats.org/officeDocument/2006/relationships/hyperlink" Target="https://schjodt.com/expertise/rekonstruktion-insolvens" TargetMode="External"/><Relationship Id="rId3394" Type="http://schemas.openxmlformats.org/officeDocument/2006/relationships/hyperlink" Target="https://www.norteam.se/cloud-portal" TargetMode="External"/><Relationship Id="rId4792" Type="http://schemas.openxmlformats.org/officeDocument/2006/relationships/hyperlink" Target="https://www.dagensinfrastruktur.se/2024/07/29/hallbar-utveckling-och-effektiva-losningar-i-svensk-infrastruktur/" TargetMode="External"/><Relationship Id="rId5843" Type="http://schemas.openxmlformats.org/officeDocument/2006/relationships/hyperlink" Target="https://rehabgrossisten.com/skydd-bandage/kna/knaskydd/" TargetMode="External"/><Relationship Id="rId3047" Type="http://schemas.openxmlformats.org/officeDocument/2006/relationships/hyperlink" Target="http://spelklubben.se/" TargetMode="External"/><Relationship Id="rId4445" Type="http://schemas.openxmlformats.org/officeDocument/2006/relationships/hyperlink" Target="https://gravnorrkoping.se/byggprojekt-som-kan-uppgradera-din-hemester/" TargetMode="External"/><Relationship Id="rId10996" Type="http://schemas.openxmlformats.org/officeDocument/2006/relationships/hyperlink" Target="https://www.battrestadsdel.se/samarbete-2/hur-granser-dras-i-den-digitala-nojesindustrin/" TargetMode="External"/><Relationship Id="rId7668" Type="http://schemas.openxmlformats.org/officeDocument/2006/relationships/hyperlink" Target="http://startmotor.se/" TargetMode="External"/><Relationship Id="rId8719" Type="http://schemas.openxmlformats.org/officeDocument/2006/relationships/hyperlink" Target="http://petster.se/" TargetMode="External"/><Relationship Id="rId10649" Type="http://schemas.openxmlformats.org/officeDocument/2006/relationships/hyperlink" Target="http://kvarnx.com/" TargetMode="External"/><Relationship Id="rId9090" Type="http://schemas.openxmlformats.org/officeDocument/2006/relationships/hyperlink" Target="https://www.saleseffect.se/for-egenforetagande-hantverkare-sa-sticker-du-ut-ur-mangden/" TargetMode="External"/><Relationship Id="rId12071" Type="http://schemas.openxmlformats.org/officeDocument/2006/relationships/hyperlink" Target="https://www.robomarkets.com/se/forex-trading/assets/forex/" TargetMode="External"/><Relationship Id="rId13122" Type="http://schemas.openxmlformats.org/officeDocument/2006/relationships/hyperlink" Target="http://mrvegas.com/" TargetMode="External"/><Relationship Id="rId2130" Type="http://schemas.openxmlformats.org/officeDocument/2006/relationships/hyperlink" Target="https://www.spoors.health/" TargetMode="External"/><Relationship Id="rId6751" Type="http://schemas.openxmlformats.org/officeDocument/2006/relationships/hyperlink" Target="http://vardagsfrid.se/" TargetMode="External"/><Relationship Id="rId102" Type="http://schemas.openxmlformats.org/officeDocument/2006/relationships/hyperlink" Target="https://r1ekonomi.se/bra-rad/sa-kan-man-spara-pengar-under-vintern-som-kommer" TargetMode="External"/><Relationship Id="rId5353" Type="http://schemas.openxmlformats.org/officeDocument/2006/relationships/hyperlink" Target="http://kvarnx.com/" TargetMode="External"/><Relationship Id="rId6404" Type="http://schemas.openxmlformats.org/officeDocument/2006/relationships/hyperlink" Target="http://chattanoogarehab.com/" TargetMode="External"/><Relationship Id="rId7802" Type="http://schemas.openxmlformats.org/officeDocument/2006/relationships/hyperlink" Target="https://alltomnorrtalje.se/vandra-med-hund-i-norrtalje-tips-for-en-trygg-harlig-naturupplevelse/" TargetMode="External"/><Relationship Id="rId5006" Type="http://schemas.openxmlformats.org/officeDocument/2006/relationships/hyperlink" Target="https://www.food-supply.se/lb-article/180738/sa-paverkar-trender-inom-livsmedelsindustrin-hundfoderbranschen" TargetMode="External"/><Relationship Id="rId9974" Type="http://schemas.openxmlformats.org/officeDocument/2006/relationships/hyperlink" Target="https://www.myownwater.com/" TargetMode="External"/><Relationship Id="rId12955" Type="http://schemas.openxmlformats.org/officeDocument/2006/relationships/hyperlink" Target="http://fairinvestments.se/" TargetMode="External"/><Relationship Id="rId1963" Type="http://schemas.openxmlformats.org/officeDocument/2006/relationships/hyperlink" Target="https://www.bfhq.se/cbd-olja-for-okat-valmaende" TargetMode="External"/><Relationship Id="rId7178" Type="http://schemas.openxmlformats.org/officeDocument/2006/relationships/hyperlink" Target="https://supernormal.health/se/" TargetMode="External"/><Relationship Id="rId8576" Type="http://schemas.openxmlformats.org/officeDocument/2006/relationships/hyperlink" Target="https://mockfjards.se/att-byta-fonster" TargetMode="External"/><Relationship Id="rId9627" Type="http://schemas.openxmlformats.org/officeDocument/2006/relationships/hyperlink" Target="https://www.kingmagazine.se/partner/kandisarna-som-gillar-att-spela/" TargetMode="External"/><Relationship Id="rId11557" Type="http://schemas.openxmlformats.org/officeDocument/2006/relationships/hyperlink" Target="https://traningskort.se/en-introduktion-till-compagnie-de-provence-tvalar/" TargetMode="External"/><Relationship Id="rId12608" Type="http://schemas.openxmlformats.org/officeDocument/2006/relationships/hyperlink" Target="https://passioneffect.se/fran-kub-till-kreativ-kraftcentral-sa-lyckas-du-med-helrenoveringen-av-kontoret/" TargetMode="External"/><Relationship Id="rId1616" Type="http://schemas.openxmlformats.org/officeDocument/2006/relationships/hyperlink" Target="https://ritty.se/hyr-kassa/" TargetMode="External"/><Relationship Id="rId8229" Type="http://schemas.openxmlformats.org/officeDocument/2006/relationships/hyperlink" Target="http://svenskiptv.com/" TargetMode="External"/><Relationship Id="rId10159" Type="http://schemas.openxmlformats.org/officeDocument/2006/relationships/hyperlink" Target="https://www.chattanoogarehab.com/us/hot-cold/hot-cold-packs" TargetMode="External"/><Relationship Id="rId3788" Type="http://schemas.openxmlformats.org/officeDocument/2006/relationships/hyperlink" Target="https://www.freckeus.se/" TargetMode="External"/><Relationship Id="rId4839" Type="http://schemas.openxmlformats.org/officeDocument/2006/relationships/hyperlink" Target="https://sakraror.se/vara-tjanster/allman-service-vvs/vvs-i-sollentuna/" TargetMode="External"/><Relationship Id="rId8710" Type="http://schemas.openxmlformats.org/officeDocument/2006/relationships/hyperlink" Target="http://rbentreprenad.se/" TargetMode="External"/><Relationship Id="rId6261" Type="http://schemas.openxmlformats.org/officeDocument/2006/relationships/hyperlink" Target="https://www.rusta.com/se/sv/hem--inredning/mattor/" TargetMode="External"/><Relationship Id="rId7312" Type="http://schemas.openxmlformats.org/officeDocument/2006/relationships/hyperlink" Target="https://oljedroppen.se/" TargetMode="External"/><Relationship Id="rId10640" Type="http://schemas.openxmlformats.org/officeDocument/2006/relationships/hyperlink" Target="https://www.zmarta.fi/" TargetMode="External"/><Relationship Id="rId9484" Type="http://schemas.openxmlformats.org/officeDocument/2006/relationships/hyperlink" Target="http://spelklubben.se/" TargetMode="External"/><Relationship Id="rId1473" Type="http://schemas.openxmlformats.org/officeDocument/2006/relationships/hyperlink" Target="http://advancepointcap.com/" TargetMode="External"/><Relationship Id="rId2871" Type="http://schemas.openxmlformats.org/officeDocument/2006/relationships/hyperlink" Target="https://svenskasnapsvisor.se/frunk-bar-frozen-strawberry-vape-det-ultimata-valet-for-alla-vape-entusiaster/" TargetMode="External"/><Relationship Id="rId3922" Type="http://schemas.openxmlformats.org/officeDocument/2006/relationships/hyperlink" Target="https://www.jaktsidan.se/2024/06/01/hitta-ratt-avslappningsmetod-nar-du-ar-ute-i-skogen/" TargetMode="External"/><Relationship Id="rId8086" Type="http://schemas.openxmlformats.org/officeDocument/2006/relationships/hyperlink" Target="http://spelklubben.se/" TargetMode="External"/><Relationship Id="rId9137" Type="http://schemas.openxmlformats.org/officeDocument/2006/relationships/hyperlink" Target="https://greenheal.net/finding-balance-in-holistic-health-and-sustainable-living/" TargetMode="External"/><Relationship Id="rId12465" Type="http://schemas.openxmlformats.org/officeDocument/2006/relationships/hyperlink" Target="http://fairinvestments.se/" TargetMode="External"/><Relationship Id="rId843" Type="http://schemas.openxmlformats.org/officeDocument/2006/relationships/hyperlink" Target="https://uppsalabostad.se/" TargetMode="External"/><Relationship Id="rId1126" Type="http://schemas.openxmlformats.org/officeDocument/2006/relationships/hyperlink" Target="https://haronaglarspa.se/chanel-allure-homme-sport-en-dynamisk-elegans/" TargetMode="External"/><Relationship Id="rId2524" Type="http://schemas.openxmlformats.org/officeDocument/2006/relationships/hyperlink" Target="https://www.mynewsdesk.com/se/visibility-punktum-group/blog_posts/fritidsskor-foer-herr-en-guide-till-stil-och-komfort-117309" TargetMode="External"/><Relationship Id="rId11067" Type="http://schemas.openxmlformats.org/officeDocument/2006/relationships/hyperlink" Target="https://ekonomikunskap.se/trivsamt-tryggt-och-lonsamt-hemmets-ljus-som-investering/" TargetMode="External"/><Relationship Id="rId12118" Type="http://schemas.openxmlformats.org/officeDocument/2006/relationships/hyperlink" Target="https://dinkanal.se/blogg/stil-och-elegans-en-resa-genom-kladval/" TargetMode="External"/><Relationship Id="rId4696" Type="http://schemas.openxmlformats.org/officeDocument/2006/relationships/hyperlink" Target="https://www.lansfast.se/maklare/sodermanland/trosa/" TargetMode="External"/><Relationship Id="rId5747" Type="http://schemas.openxmlformats.org/officeDocument/2006/relationships/hyperlink" Target="https://passioneffect.se/copy-with-pride-bor-ledaren-kopiera/" TargetMode="External"/><Relationship Id="rId3298" Type="http://schemas.openxmlformats.org/officeDocument/2006/relationships/hyperlink" Target="https://www.lansfast.se/maklare/stockholm/taby-danderyd/" TargetMode="External"/><Relationship Id="rId4349" Type="http://schemas.openxmlformats.org/officeDocument/2006/relationships/hyperlink" Target="https://www.spelklubben.se/sv/live-casino" TargetMode="External"/><Relationship Id="rId8220" Type="http://schemas.openxmlformats.org/officeDocument/2006/relationships/hyperlink" Target="http://svenskiptv.com/" TargetMode="External"/><Relationship Id="rId10150" Type="http://schemas.openxmlformats.org/officeDocument/2006/relationships/hyperlink" Target="https://www.lsb.se/privatlan" TargetMode="External"/><Relationship Id="rId11201" Type="http://schemas.openxmlformats.org/officeDocument/2006/relationships/hyperlink" Target="http://blugiallo.com/" TargetMode="External"/><Relationship Id="rId4830" Type="http://schemas.openxmlformats.org/officeDocument/2006/relationships/hyperlink" Target="https://www.videoslots.com/sv" TargetMode="External"/><Relationship Id="rId2381" Type="http://schemas.openxmlformats.org/officeDocument/2006/relationships/hyperlink" Target="https://pontechmarina.com/se/flytbrygga/vagbrytare/" TargetMode="External"/><Relationship Id="rId3432" Type="http://schemas.openxmlformats.org/officeDocument/2006/relationships/hyperlink" Target="https://socialsummit17.se/tiotak-ledande-inom-solcellsinstallationer/" TargetMode="External"/><Relationship Id="rId13026" Type="http://schemas.openxmlformats.org/officeDocument/2006/relationships/hyperlink" Target="http://stockholms-rorvvs.se/" TargetMode="External"/><Relationship Id="rId353" Type="http://schemas.openxmlformats.org/officeDocument/2006/relationships/hyperlink" Target="https://arctic.se/de/" TargetMode="External"/><Relationship Id="rId2034" Type="http://schemas.openxmlformats.org/officeDocument/2006/relationships/hyperlink" Target="https://www.rightonblog.net/mysigt-att-hanga-pa-pub" TargetMode="External"/><Relationship Id="rId5257" Type="http://schemas.openxmlformats.org/officeDocument/2006/relationships/hyperlink" Target="https://www.cdg.io/services/virtual-ciso/" TargetMode="External"/><Relationship Id="rId6655" Type="http://schemas.openxmlformats.org/officeDocument/2006/relationships/hyperlink" Target="http://standupsverige.se/" TargetMode="External"/><Relationship Id="rId7706" Type="http://schemas.openxmlformats.org/officeDocument/2006/relationships/hyperlink" Target="https://beautyagenten.se/vikten-av-en-vacker-leende-tandlakare-i-goteborg-hjalper-dig-att-strala/" TargetMode="External"/><Relationship Id="rId6308" Type="http://schemas.openxmlformats.org/officeDocument/2006/relationships/hyperlink" Target="https://ekstromgaray.se/skicka-in-manus/" TargetMode="External"/><Relationship Id="rId9878" Type="http://schemas.openxmlformats.org/officeDocument/2006/relationships/hyperlink" Target="http://joinstriveon.com/" TargetMode="External"/><Relationship Id="rId12859" Type="http://schemas.openxmlformats.org/officeDocument/2006/relationships/hyperlink" Target="https://betterthisworld.com/latest-news/sustainability-and-pet-care-how-modern-tools-contribute-to-responsible-animal-ownership/" TargetMode="External"/><Relationship Id="rId1867" Type="http://schemas.openxmlformats.org/officeDocument/2006/relationships/hyperlink" Target="https://www.lansfast.se/maklare/stockholm/taby-danderyd/" TargetMode="External"/><Relationship Id="rId2918" Type="http://schemas.openxmlformats.org/officeDocument/2006/relationships/hyperlink" Target="https://www.moviezine.se/nyheter/annons-happy-casino" TargetMode="External"/><Relationship Id="rId4340" Type="http://schemas.openxmlformats.org/officeDocument/2006/relationships/hyperlink" Target="https://www.spelklubben.se/sv/casino/slots" TargetMode="External"/><Relationship Id="rId8961" Type="http://schemas.openxmlformats.org/officeDocument/2006/relationships/hyperlink" Target="http://hajper.com/" TargetMode="External"/><Relationship Id="rId7563" Type="http://schemas.openxmlformats.org/officeDocument/2006/relationships/hyperlink" Target="https://torrfoder.se/blogg/myterna-om-hundfoder/" TargetMode="External"/><Relationship Id="rId8614" Type="http://schemas.openxmlformats.org/officeDocument/2006/relationships/hyperlink" Target="https://dinbyggnad.se/fokus-pa-bilvard-for-att-forlanga-livslangden-pa-arbetsfordon-i-byggbranschen/" TargetMode="External"/><Relationship Id="rId10891" Type="http://schemas.openxmlformats.org/officeDocument/2006/relationships/hyperlink" Target="https://www.4him4her.com/sv-se" TargetMode="External"/><Relationship Id="rId11942" Type="http://schemas.openxmlformats.org/officeDocument/2006/relationships/hyperlink" Target="https://www.zappakeramik.se/2023/09/27/varfor-du-borde-investera-i-en-swimmingpool/" TargetMode="External"/><Relationship Id="rId6165" Type="http://schemas.openxmlformats.org/officeDocument/2006/relationships/hyperlink" Target="http://arctic.se/" TargetMode="External"/><Relationship Id="rId7216" Type="http://schemas.openxmlformats.org/officeDocument/2006/relationships/hyperlink" Target="http://acnespecialisten.se/" TargetMode="External"/><Relationship Id="rId10544" Type="http://schemas.openxmlformats.org/officeDocument/2006/relationships/hyperlink" Target="http://upplevelse.com/" TargetMode="External"/><Relationship Id="rId9388" Type="http://schemas.openxmlformats.org/officeDocument/2006/relationships/hyperlink" Target="http://lsb.se/" TargetMode="External"/><Relationship Id="rId2775" Type="http://schemas.openxmlformats.org/officeDocument/2006/relationships/hyperlink" Target="http://glitnor.com/" TargetMode="External"/><Relationship Id="rId3826" Type="http://schemas.openxmlformats.org/officeDocument/2006/relationships/hyperlink" Target="https://diakoniablogg.se/fordelar-med-solenergi-ekonomiskt-och-miljovanligt/" TargetMode="External"/><Relationship Id="rId12369" Type="http://schemas.openxmlformats.org/officeDocument/2006/relationships/hyperlink" Target="https://ritty.se/hyr-kassa/" TargetMode="External"/><Relationship Id="rId747" Type="http://schemas.openxmlformats.org/officeDocument/2006/relationships/hyperlink" Target="http://tiotak.se/" TargetMode="External"/><Relationship Id="rId1377" Type="http://schemas.openxmlformats.org/officeDocument/2006/relationships/hyperlink" Target="https://www.affarsvarlden.se/tagg/fair-investments" TargetMode="External"/><Relationship Id="rId2428" Type="http://schemas.openxmlformats.org/officeDocument/2006/relationships/hyperlink" Target="https://distansinstitutet.se/distansutbildningar/pedagogik/vardbitrade/" TargetMode="External"/><Relationship Id="rId5998" Type="http://schemas.openxmlformats.org/officeDocument/2006/relationships/hyperlink" Target="https://www.impraise.com/why-professional-matchmaking-services-are-for-everyone/" TargetMode="External"/><Relationship Id="rId83" Type="http://schemas.openxmlformats.org/officeDocument/2006/relationships/hyperlink" Target="http://blugiallo.com/" TargetMode="External"/><Relationship Id="rId8471" Type="http://schemas.openxmlformats.org/officeDocument/2006/relationships/hyperlink" Target="https://www.kelleher-international.com/" TargetMode="External"/><Relationship Id="rId9522" Type="http://schemas.openxmlformats.org/officeDocument/2006/relationships/hyperlink" Target="https://svenskafonster.se/skjutdorr" TargetMode="External"/><Relationship Id="rId11452" Type="http://schemas.openxmlformats.org/officeDocument/2006/relationships/hyperlink" Target="https://tidskriftenskeppet.se/tips-for-dig-som-ska-kopa-en-bostad-for-forsta-gangen/" TargetMode="External"/><Relationship Id="rId12503" Type="http://schemas.openxmlformats.org/officeDocument/2006/relationships/hyperlink" Target="https://sundsvallbergvarme.se/" TargetMode="External"/><Relationship Id="rId12850" Type="http://schemas.openxmlformats.org/officeDocument/2006/relationships/hyperlink" Target="https://wiereich.net/standard-wohngebaeudeversicherung-vs-spezielle-waermepumpenversicherung/" TargetMode="External"/><Relationship Id="rId1511" Type="http://schemas.openxmlformats.org/officeDocument/2006/relationships/hyperlink" Target="http://happysocks.com/" TargetMode="External"/><Relationship Id="rId7073" Type="http://schemas.openxmlformats.org/officeDocument/2006/relationships/hyperlink" Target="https://www.spelklubben.se/sv/responsible-gaming" TargetMode="External"/><Relationship Id="rId8124" Type="http://schemas.openxmlformats.org/officeDocument/2006/relationships/hyperlink" Target="http://fairinvestments.se/" TargetMode="External"/><Relationship Id="rId10054" Type="http://schemas.openxmlformats.org/officeDocument/2006/relationships/hyperlink" Target="https://readwrite.com/electrical-stimulation/" TargetMode="External"/><Relationship Id="rId11105" Type="http://schemas.openxmlformats.org/officeDocument/2006/relationships/hyperlink" Target="https://www.lsb.se/samla-lan-och-krediter" TargetMode="External"/><Relationship Id="rId3683" Type="http://schemas.openxmlformats.org/officeDocument/2006/relationships/hyperlink" Target="https://www.creditsafe.com/dk/da/kredit-risiko/kreditrapporter/kreditvurdering.html" TargetMode="External"/><Relationship Id="rId2285" Type="http://schemas.openxmlformats.org/officeDocument/2006/relationships/hyperlink" Target="https://www.artscreen.se/fa-nytt-liv-i-metaller" TargetMode="External"/><Relationship Id="rId3336" Type="http://schemas.openxmlformats.org/officeDocument/2006/relationships/hyperlink" Target="https://aaatak.se/" TargetMode="External"/><Relationship Id="rId4734" Type="http://schemas.openxmlformats.org/officeDocument/2006/relationships/hyperlink" Target="http://spelklubben.se/" TargetMode="External"/><Relationship Id="rId13277" Type="http://schemas.openxmlformats.org/officeDocument/2006/relationships/hyperlink" Target="https://barnkatalogen.se/brett-utbud-av-produkter-for-barn-och-foraldrar-i-var-onlinebutik/" TargetMode="External"/><Relationship Id="rId257" Type="http://schemas.openxmlformats.org/officeDocument/2006/relationships/hyperlink" Target="https://galamagazine.se/detta-bor-du-tanka-pa-om-du-ar-intresserad-av-att-kopa-ett-fritidshus/" TargetMode="External"/><Relationship Id="rId7957" Type="http://schemas.openxmlformats.org/officeDocument/2006/relationships/hyperlink" Target="https://www.executiveeffect.se/poker-schack-och-datorspel-var-gar-gransen-for-sport/" TargetMode="External"/><Relationship Id="rId10938" Type="http://schemas.openxmlformats.org/officeDocument/2006/relationships/hyperlink" Target="https://www.newst.se/ta-klivet-utanfor-din-komfortzon/" TargetMode="External"/><Relationship Id="rId6559" Type="http://schemas.openxmlformats.org/officeDocument/2006/relationships/hyperlink" Target="http://tryggbil.se/" TargetMode="External"/><Relationship Id="rId12360" Type="http://schemas.openxmlformats.org/officeDocument/2006/relationships/hyperlink" Target="https://passioneffect.se/vaping-en-djupdykning-i-varlden-av-vape-teknik-och-dess-olika-aspekter/" TargetMode="External"/><Relationship Id="rId9032" Type="http://schemas.openxmlformats.org/officeDocument/2006/relationships/hyperlink" Target="https://www.lsb.se/privatlan" TargetMode="External"/><Relationship Id="rId12013" Type="http://schemas.openxmlformats.org/officeDocument/2006/relationships/hyperlink" Target="http://tryggbil.se/" TargetMode="External"/><Relationship Id="rId1021" Type="http://schemas.openxmlformats.org/officeDocument/2006/relationships/hyperlink" Target="https://haronaglarspa.se/projektledning-pa-distans-flexibel-utbildning-for-framtida-projektledare/" TargetMode="External"/><Relationship Id="rId4177" Type="http://schemas.openxmlformats.org/officeDocument/2006/relationships/hyperlink" Target="http://svenskaeljouren.se/" TargetMode="External"/><Relationship Id="rId4591" Type="http://schemas.openxmlformats.org/officeDocument/2006/relationships/hyperlink" Target="https://storgruppen.se/asbestsanering/" TargetMode="External"/><Relationship Id="rId5228" Type="http://schemas.openxmlformats.org/officeDocument/2006/relationships/hyperlink" Target="https://www.summsystems.se/sa-tar-du-hand-om-ditt-hem-for-att-undvika-vanliga-elproblem/" TargetMode="External"/><Relationship Id="rId5642" Type="http://schemas.openxmlformats.org/officeDocument/2006/relationships/hyperlink" Target="https://www.kvarnx.com/sv/kryptovalutor" TargetMode="External"/><Relationship Id="rId8798" Type="http://schemas.openxmlformats.org/officeDocument/2006/relationships/hyperlink" Target="https://www.byggnyheter.se/20250425/31963/sa-mycket-byggs-under-vattenytan-en-okand-varld-av-ingenjorskonst" TargetMode="External"/><Relationship Id="rId9849" Type="http://schemas.openxmlformats.org/officeDocument/2006/relationships/hyperlink" Target="https://digitalfritid.se/bilvard-som-en-passion-hall-din-bil-i-basta-skick-som-hobby/" TargetMode="External"/><Relationship Id="rId3193" Type="http://schemas.openxmlformats.org/officeDocument/2006/relationships/hyperlink" Target="http://filippa-k.com/se/sv/" TargetMode="External"/><Relationship Id="rId4244" Type="http://schemas.openxmlformats.org/officeDocument/2006/relationships/hyperlink" Target="https://onmovies.se/big-ben-stand-up-stockholms-legend-inom-standup-komedi/" TargetMode="External"/><Relationship Id="rId11779" Type="http://schemas.openxmlformats.org/officeDocument/2006/relationships/hyperlink" Target="https://www.womendailymagazine.com/athleisure-heres-what-to-know-about-it/" TargetMode="External"/><Relationship Id="rId1838" Type="http://schemas.openxmlformats.org/officeDocument/2006/relationships/hyperlink" Target="http://tandea.se/" TargetMode="External"/><Relationship Id="rId3260" Type="http://schemas.openxmlformats.org/officeDocument/2006/relationships/hyperlink" Target="https://distansinstitutet.se/distansutbildningar/administration/loneadministrator/" TargetMode="External"/><Relationship Id="rId4311" Type="http://schemas.openxmlformats.org/officeDocument/2006/relationships/hyperlink" Target="http://tryggbil.se/" TargetMode="External"/><Relationship Id="rId7467" Type="http://schemas.openxmlformats.org/officeDocument/2006/relationships/hyperlink" Target="http://spelklubben.se/sv/betting/fotboll" TargetMode="External"/><Relationship Id="rId8865" Type="http://schemas.openxmlformats.org/officeDocument/2006/relationships/hyperlink" Target="http://mynicco.com/" TargetMode="External"/><Relationship Id="rId9916" Type="http://schemas.openxmlformats.org/officeDocument/2006/relationships/hyperlink" Target="https://flyttgaranti.se/flytt" TargetMode="External"/><Relationship Id="rId10795" Type="http://schemas.openxmlformats.org/officeDocument/2006/relationships/hyperlink" Target="https://www.maklarringen.se/" TargetMode="External"/><Relationship Id="rId11846" Type="http://schemas.openxmlformats.org/officeDocument/2006/relationships/hyperlink" Target="https://www.askskinfo.com/varumarke/all-i-am-beauty" TargetMode="External"/><Relationship Id="rId181" Type="http://schemas.openxmlformats.org/officeDocument/2006/relationships/hyperlink" Target="https://www.frii.se/hur-du-haller-koll-pa-ditt-elpris/" TargetMode="External"/><Relationship Id="rId1905" Type="http://schemas.openxmlformats.org/officeDocument/2006/relationships/hyperlink" Target="http://triwa.com/" TargetMode="External"/><Relationship Id="rId6069" Type="http://schemas.openxmlformats.org/officeDocument/2006/relationships/hyperlink" Target="https://fairinvestments.se/" TargetMode="External"/><Relationship Id="rId7881" Type="http://schemas.openxmlformats.org/officeDocument/2006/relationships/hyperlink" Target="https://erothotsd.com/hydration-stress-relief-and-flexibility-a-holistic-approach-to-self-care/" TargetMode="External"/><Relationship Id="rId8518" Type="http://schemas.openxmlformats.org/officeDocument/2006/relationships/hyperlink" Target="https://www.tandea.se/kliniker/haninge/" TargetMode="External"/><Relationship Id="rId8932" Type="http://schemas.openxmlformats.org/officeDocument/2006/relationships/hyperlink" Target="http://technobark.com/" TargetMode="External"/><Relationship Id="rId10448" Type="http://schemas.openxmlformats.org/officeDocument/2006/relationships/hyperlink" Target="https://www.fri-kopenskap.se/lb-article/181803/vilken-matta-ar-du-ute-efter-en-guide-till-ratt-val-for-ditt-hem" TargetMode="External"/><Relationship Id="rId10862" Type="http://schemas.openxmlformats.org/officeDocument/2006/relationships/hyperlink" Target="https://eventeffect.se/din-game-changer-pa-scen-eventplattformens-spelfunktioner/" TargetMode="External"/><Relationship Id="rId11913" Type="http://schemas.openxmlformats.org/officeDocument/2006/relationships/hyperlink" Target="https://www.robomarkets.com/se/" TargetMode="External"/><Relationship Id="rId5085" Type="http://schemas.openxmlformats.org/officeDocument/2006/relationships/hyperlink" Target="https://e-ciggbolaget.se/e-cigaretter/" TargetMode="External"/><Relationship Id="rId6483" Type="http://schemas.openxmlformats.org/officeDocument/2006/relationships/hyperlink" Target="https://www.executiveeffect.se/effektiv-arbetsmiljo-genom-optimal-ventilation/" TargetMode="External"/><Relationship Id="rId7534" Type="http://schemas.openxmlformats.org/officeDocument/2006/relationships/hyperlink" Target="https://byggtipsen.se/ai-hotar-manga-jobb-men-inte-hantverksyrkena/" TargetMode="External"/><Relationship Id="rId10515" Type="http://schemas.openxmlformats.org/officeDocument/2006/relationships/hyperlink" Target="https://thecastle.nu/sa-gor-du-ditt-dromprojekt-mojligt/" TargetMode="External"/><Relationship Id="rId998" Type="http://schemas.openxmlformats.org/officeDocument/2006/relationships/hyperlink" Target="https://distansinstitutet.se/distansutbildningar/pedagogik/socialpedagog/" TargetMode="External"/><Relationship Id="rId2679" Type="http://schemas.openxmlformats.org/officeDocument/2006/relationships/hyperlink" Target="http://e-ciggbolaget.se/" TargetMode="External"/><Relationship Id="rId6136" Type="http://schemas.openxmlformats.org/officeDocument/2006/relationships/hyperlink" Target="http://nodepositbonus.cc/" TargetMode="External"/><Relationship Id="rId6550" Type="http://schemas.openxmlformats.org/officeDocument/2006/relationships/hyperlink" Target="http://arctic.se/" TargetMode="External"/><Relationship Id="rId7601" Type="http://schemas.openxmlformats.org/officeDocument/2006/relationships/hyperlink" Target="http://nettotobak.com/" TargetMode="External"/><Relationship Id="rId12687" Type="http://schemas.openxmlformats.org/officeDocument/2006/relationships/hyperlink" Target="http://rusta.se/" TargetMode="External"/><Relationship Id="rId1695" Type="http://schemas.openxmlformats.org/officeDocument/2006/relationships/hyperlink" Target="https://industrimagasinet.se/mellan-land-och-hav/" TargetMode="External"/><Relationship Id="rId2746" Type="http://schemas.openxmlformats.org/officeDocument/2006/relationships/hyperlink" Target="https://jesperlandberg.se/navigera-tryggt-uppe-i-molnen" TargetMode="External"/><Relationship Id="rId5152" Type="http://schemas.openxmlformats.org/officeDocument/2006/relationships/hyperlink" Target="https://arctic.se/se/forsakringslosningar/svensksolenergi/" TargetMode="External"/><Relationship Id="rId6203" Type="http://schemas.openxmlformats.org/officeDocument/2006/relationships/hyperlink" Target="http://spelklubben.se/" TargetMode="External"/><Relationship Id="rId9359" Type="http://schemas.openxmlformats.org/officeDocument/2006/relationships/hyperlink" Target="https://100krcasino.se/arkadspel-vs-slots-vad-ar-skillnaden/" TargetMode="External"/><Relationship Id="rId9773" Type="http://schemas.openxmlformats.org/officeDocument/2006/relationships/hyperlink" Target="https://retrohus.se/att-inreda-hemmet-for-hundens-valbefinnande-och-trivsel/" TargetMode="External"/><Relationship Id="rId11289" Type="http://schemas.openxmlformats.org/officeDocument/2006/relationships/hyperlink" Target="https://lifehacking.se/basta-sovstallningen-vid-ryggskott/" TargetMode="External"/><Relationship Id="rId718" Type="http://schemas.openxmlformats.org/officeDocument/2006/relationships/hyperlink" Target="https://heimundmehr.de/das-mussen-sie-wissen-bevor-sie-in-eine-warmepumpe-investieren/" TargetMode="External"/><Relationship Id="rId1348" Type="http://schemas.openxmlformats.org/officeDocument/2006/relationships/hyperlink" Target="http://lemontree.se/" TargetMode="External"/><Relationship Id="rId1762" Type="http://schemas.openxmlformats.org/officeDocument/2006/relationships/hyperlink" Target="https://www.alfa.no/collections/fritidssko-til-dame" TargetMode="External"/><Relationship Id="rId8375" Type="http://schemas.openxmlformats.org/officeDocument/2006/relationships/hyperlink" Target="https://www.rusta.com/sv-se/hem-och-inredning/belysning" TargetMode="External"/><Relationship Id="rId9426" Type="http://schemas.openxmlformats.org/officeDocument/2006/relationships/hyperlink" Target="http://nettotobak.com/" TargetMode="External"/><Relationship Id="rId12754" Type="http://schemas.openxmlformats.org/officeDocument/2006/relationships/hyperlink" Target="https://retrohus.se/professionella-stadtjanster-for-ett-halsosamt-och-hallbart-boende-i-stockholm/" TargetMode="External"/><Relationship Id="rId1415" Type="http://schemas.openxmlformats.org/officeDocument/2006/relationships/hyperlink" Target="https://ledkungen.se/" TargetMode="External"/><Relationship Id="rId2813" Type="http://schemas.openxmlformats.org/officeDocument/2006/relationships/hyperlink" Target="http://spelklubben.se/" TargetMode="External"/><Relationship Id="rId5969" Type="http://schemas.openxmlformats.org/officeDocument/2006/relationships/hyperlink" Target="http://upplevelse.com/" TargetMode="External"/><Relationship Id="rId7391" Type="http://schemas.openxmlformats.org/officeDocument/2006/relationships/hyperlink" Target="http://mockfjards.se/" TargetMode="External"/><Relationship Id="rId8028" Type="http://schemas.openxmlformats.org/officeDocument/2006/relationships/hyperlink" Target="http://clearfuze.com/" TargetMode="External"/><Relationship Id="rId8442" Type="http://schemas.openxmlformats.org/officeDocument/2006/relationships/hyperlink" Target="https://www.talkandroid.com/503632-building-a-thriving-remote-team-with-the-right-technology-systems/" TargetMode="External"/><Relationship Id="rId9840" Type="http://schemas.openxmlformats.org/officeDocument/2006/relationships/hyperlink" Target="http://lilla-varlden.se/" TargetMode="External"/><Relationship Id="rId11009" Type="http://schemas.openxmlformats.org/officeDocument/2006/relationships/hyperlink" Target="https://l&#229;nen.nu/den-personliga-ekonomins-fem-pelare/" TargetMode="External"/><Relationship Id="rId11356" Type="http://schemas.openxmlformats.org/officeDocument/2006/relationships/hyperlink" Target="http://fairinvestments.se/" TargetMode="External"/><Relationship Id="rId11770" Type="http://schemas.openxmlformats.org/officeDocument/2006/relationships/hyperlink" Target="https://citygoldmedia.com/why-buying-expensive-clothing-items-more-often-than-not-can-be-cheaper-in-the-long-run/" TargetMode="External"/><Relationship Id="rId12407" Type="http://schemas.openxmlformats.org/officeDocument/2006/relationships/hyperlink" Target="https://www.lansfast.se/maklare/sodermanland/trosa/" TargetMode="External"/><Relationship Id="rId12821" Type="http://schemas.openxmlformats.org/officeDocument/2006/relationships/hyperlink" Target="https://turner.fi/autotallin-ovet-ja-oviremontti/" TargetMode="External"/><Relationship Id="rId54" Type="http://schemas.openxmlformats.org/officeDocument/2006/relationships/hyperlink" Target="https://elenkelt.se/installera-dimmer/" TargetMode="External"/><Relationship Id="rId4985" Type="http://schemas.openxmlformats.org/officeDocument/2006/relationships/hyperlink" Target="https://www.entreprenad.com/lb-article/180715/investeringsmojligheter-inom-infrastruktur" TargetMode="External"/><Relationship Id="rId7044" Type="http://schemas.openxmlformats.org/officeDocument/2006/relationships/hyperlink" Target="https://www.cdg.io/" TargetMode="External"/><Relationship Id="rId10372" Type="http://schemas.openxmlformats.org/officeDocument/2006/relationships/hyperlink" Target="http://kungaslottet.se/" TargetMode="External"/><Relationship Id="rId11423" Type="http://schemas.openxmlformats.org/officeDocument/2006/relationships/hyperlink" Target="http://lansfast.se/" TargetMode="External"/><Relationship Id="rId2189" Type="http://schemas.openxmlformats.org/officeDocument/2006/relationships/hyperlink" Target="https://e-ciggbolaget.se/e-cigaretter/startpaket/?hr-page=%7B%22product_count%22%3A24%7D" TargetMode="External"/><Relationship Id="rId3587" Type="http://schemas.openxmlformats.org/officeDocument/2006/relationships/hyperlink" Target="https://www.lsb.se/ekonomiskolan/amortera-eller-spara-det-basta-valet-din-ekonomi" TargetMode="External"/><Relationship Id="rId4638" Type="http://schemas.openxmlformats.org/officeDocument/2006/relationships/hyperlink" Target="https://misterdubai.ae/exploring-the-rise-of-smoke-free-alternatives/" TargetMode="External"/><Relationship Id="rId6060" Type="http://schemas.openxmlformats.org/officeDocument/2006/relationships/hyperlink" Target="https://www.cherry.com/sv/live-casino" TargetMode="External"/><Relationship Id="rId10025" Type="http://schemas.openxmlformats.org/officeDocument/2006/relationships/hyperlink" Target="https://www.executiveeffect.se/ledarskapets-spegelbild-vad-reflekterar-du-egentligen/" TargetMode="External"/><Relationship Id="rId3654" Type="http://schemas.openxmlformats.org/officeDocument/2006/relationships/hyperlink" Target="https://finansplassen.no/" TargetMode="External"/><Relationship Id="rId4705" Type="http://schemas.openxmlformats.org/officeDocument/2006/relationships/hyperlink" Target="http://tiotak.se/" TargetMode="External"/><Relationship Id="rId7111" Type="http://schemas.openxmlformats.org/officeDocument/2006/relationships/hyperlink" Target="https://www.dagenshandel.se/lb-article/181112/har-du-koll-pa-reservdelarna" TargetMode="External"/><Relationship Id="rId12197" Type="http://schemas.openxmlformats.org/officeDocument/2006/relationships/hyperlink" Target="https://conclean.se/produkter/minireningsverk/" TargetMode="External"/><Relationship Id="rId13248" Type="http://schemas.openxmlformats.org/officeDocument/2006/relationships/hyperlink" Target="http://swedenlongstay.se/" TargetMode="External"/><Relationship Id="rId575" Type="http://schemas.openxmlformats.org/officeDocument/2006/relationships/hyperlink" Target="https://andrashop.se/b/lagga-klinker-for-hand/" TargetMode="External"/><Relationship Id="rId2256" Type="http://schemas.openxmlformats.org/officeDocument/2006/relationships/hyperlink" Target="http://triwa.com/" TargetMode="External"/><Relationship Id="rId2670" Type="http://schemas.openxmlformats.org/officeDocument/2006/relationships/hyperlink" Target="http://fairinvestments.se/" TargetMode="External"/><Relationship Id="rId3307" Type="http://schemas.openxmlformats.org/officeDocument/2006/relationships/hyperlink" Target="https://www.tandea.se/tandvard/tandimplantat/" TargetMode="External"/><Relationship Id="rId3721" Type="http://schemas.openxmlformats.org/officeDocument/2006/relationships/hyperlink" Target="https://www.casinocenter.se/allt-du-behover-veta-om-fotbolls-em-2024/" TargetMode="External"/><Relationship Id="rId6877" Type="http://schemas.openxmlformats.org/officeDocument/2006/relationships/hyperlink" Target="https://www.washingtontimes.com/sponsored/tradition-meets-modernity-scandinavian-design-american-values/" TargetMode="External"/><Relationship Id="rId7928" Type="http://schemas.openxmlformats.org/officeDocument/2006/relationships/hyperlink" Target="https://www.rusta.com/sv-se/hem-och-inredning/belysning" TargetMode="External"/><Relationship Id="rId9283" Type="http://schemas.openxmlformats.org/officeDocument/2006/relationships/hyperlink" Target="https://www.tandlakare.se/stad/goteborg/" TargetMode="External"/><Relationship Id="rId12264" Type="http://schemas.openxmlformats.org/officeDocument/2006/relationships/hyperlink" Target="https://lomelina.se/blogg/hur-du-valjer-vilket-material-dina-kostymbyxor-ska-ha/" TargetMode="External"/><Relationship Id="rId13315" Type="http://schemas.openxmlformats.org/officeDocument/2006/relationships/hyperlink" Target="https://www.videoslots.com/" TargetMode="External"/><Relationship Id="rId228" Type="http://schemas.openxmlformats.org/officeDocument/2006/relationships/hyperlink" Target="https://ljusgrossisten.se/" TargetMode="External"/><Relationship Id="rId642" Type="http://schemas.openxmlformats.org/officeDocument/2006/relationships/hyperlink" Target="https://www.catwalkyourself.com/create-chic-wardrobe-garments-love/" TargetMode="External"/><Relationship Id="rId1272" Type="http://schemas.openxmlformats.org/officeDocument/2006/relationships/hyperlink" Target="https://distansinstitutet.se/" TargetMode="External"/><Relationship Id="rId2323" Type="http://schemas.openxmlformats.org/officeDocument/2006/relationships/hyperlink" Target="http://distansinstitutet.se/" TargetMode="External"/><Relationship Id="rId5479" Type="http://schemas.openxmlformats.org/officeDocument/2006/relationships/hyperlink" Target="https://presenttipsaren.nu/moderna-presenter-som-utmanar-gamla-tabun/" TargetMode="External"/><Relationship Id="rId5893" Type="http://schemas.openxmlformats.org/officeDocument/2006/relationships/hyperlink" Target="http://ekstromgaray.se/" TargetMode="External"/><Relationship Id="rId9350" Type="http://schemas.openxmlformats.org/officeDocument/2006/relationships/hyperlink" Target="https://casinoexpo.se/artiklar/20250527103757-tipsen-for-att-hitta-ditt-nya-favoritspel/" TargetMode="External"/><Relationship Id="rId10909" Type="http://schemas.openxmlformats.org/officeDocument/2006/relationships/hyperlink" Target="https://aretrotale.com/en-gb" TargetMode="External"/><Relationship Id="rId11280" Type="http://schemas.openxmlformats.org/officeDocument/2006/relationships/hyperlink" Target="https://kilander-racing.se/" TargetMode="External"/><Relationship Id="rId4495" Type="http://schemas.openxmlformats.org/officeDocument/2006/relationships/hyperlink" Target="http://seniorrabatt.se/" TargetMode="External"/><Relationship Id="rId5546" Type="http://schemas.openxmlformats.org/officeDocument/2006/relationships/hyperlink" Target="http://spelklubben.se/" TargetMode="External"/><Relationship Id="rId6944" Type="http://schemas.openxmlformats.org/officeDocument/2006/relationships/hyperlink" Target="https://pontechmarina.com/se/flytbrygga/" TargetMode="External"/><Relationship Id="rId9003" Type="http://schemas.openxmlformats.org/officeDocument/2006/relationships/hyperlink" Target="https://www.godies.fi/collections/meikki" TargetMode="External"/><Relationship Id="rId12331" Type="http://schemas.openxmlformats.org/officeDocument/2006/relationships/hyperlink" Target="https://www.vont.se/nicotine-pouches" TargetMode="External"/><Relationship Id="rId3097" Type="http://schemas.openxmlformats.org/officeDocument/2006/relationships/hyperlink" Target="http://reveljens.se/" TargetMode="External"/><Relationship Id="rId4148" Type="http://schemas.openxmlformats.org/officeDocument/2006/relationships/hyperlink" Target="https://www.kvarnx.com/sv" TargetMode="External"/><Relationship Id="rId5960" Type="http://schemas.openxmlformats.org/officeDocument/2006/relationships/hyperlink" Target="https://www.cherry.com/sv/" TargetMode="External"/><Relationship Id="rId3164" Type="http://schemas.openxmlformats.org/officeDocument/2006/relationships/hyperlink" Target="https://hemplybalance.se/cbd-hampaoljor/" TargetMode="External"/><Relationship Id="rId4562" Type="http://schemas.openxmlformats.org/officeDocument/2006/relationships/hyperlink" Target="http://optione.se/adblue-off/" TargetMode="External"/><Relationship Id="rId5613" Type="http://schemas.openxmlformats.org/officeDocument/2006/relationships/hyperlink" Target="https://harmonyhomeorganic.se/friskvardsbidrag-och-massage-vad-galler/" TargetMode="External"/><Relationship Id="rId8769" Type="http://schemas.openxmlformats.org/officeDocument/2006/relationships/hyperlink" Target="http://cherry.com/" TargetMode="External"/><Relationship Id="rId10699" Type="http://schemas.openxmlformats.org/officeDocument/2006/relationships/hyperlink" Target="https://www.kronantillmiljonen.se/annat/lan-som-verktyg-pa-vagen-mot-ekonomisk-frihet/" TargetMode="External"/><Relationship Id="rId11000" Type="http://schemas.openxmlformats.org/officeDocument/2006/relationships/hyperlink" Target="https://swedenlongstay.se/sv/foretagsbostader/stockholm/" TargetMode="External"/><Relationship Id="rId1809" Type="http://schemas.openxmlformats.org/officeDocument/2006/relationships/hyperlink" Target="https://socialsummit17.se/skapa-ett-vinterparadis-med-en-egen-swimming-pool-eller-spabad/" TargetMode="External"/><Relationship Id="rId4215" Type="http://schemas.openxmlformats.org/officeDocument/2006/relationships/hyperlink" Target="https://www.startmotor.se/kategori/generatorer" TargetMode="External"/><Relationship Id="rId7785" Type="http://schemas.openxmlformats.org/officeDocument/2006/relationships/hyperlink" Target="http://tryggbil.se/" TargetMode="External"/><Relationship Id="rId8836" Type="http://schemas.openxmlformats.org/officeDocument/2006/relationships/hyperlink" Target="https://mariefredstidning.se/2025/04/28/hur-kreditvardig-ar-du-rakna-ut-din-belaningsgrad-och-skuldkvot/" TargetMode="External"/><Relationship Id="rId10766" Type="http://schemas.openxmlformats.org/officeDocument/2006/relationships/hyperlink" Target="https://snabbinfo.se/att-ta-hand-om-ditt-leende-i-goteborg-en-guide-till-tandlakare-och-akuttandvard/" TargetMode="External"/><Relationship Id="rId11817" Type="http://schemas.openxmlformats.org/officeDocument/2006/relationships/hyperlink" Target="https://www.dagens.no/sponset-innhold/slik-faar-du-suksess-med-investeringene-dine" TargetMode="External"/><Relationship Id="rId13172" Type="http://schemas.openxmlformats.org/officeDocument/2006/relationships/hyperlink" Target="http://www.spelklubben.se/sv" TargetMode="External"/><Relationship Id="rId2180" Type="http://schemas.openxmlformats.org/officeDocument/2006/relationships/hyperlink" Target="http://norteam.se/" TargetMode="External"/><Relationship Id="rId3231" Type="http://schemas.openxmlformats.org/officeDocument/2006/relationships/hyperlink" Target="https://www.safsenlogi.se/" TargetMode="External"/><Relationship Id="rId6387" Type="http://schemas.openxmlformats.org/officeDocument/2006/relationships/hyperlink" Target="https://www.chattanoogarehab.com/shock-wave-rpw" TargetMode="External"/><Relationship Id="rId7438" Type="http://schemas.openxmlformats.org/officeDocument/2006/relationships/hyperlink" Target="https://www.merinfo.se/foretag/Fair-Investments-Sweden-AB-5568169626/2k3576i-kqah" TargetMode="External"/><Relationship Id="rId7852" Type="http://schemas.openxmlformats.org/officeDocument/2006/relationships/hyperlink" Target="http://hund.se/" TargetMode="External"/><Relationship Id="rId8903" Type="http://schemas.openxmlformats.org/officeDocument/2006/relationships/hyperlink" Target="https://leaptodigital.com/roofing-crm" TargetMode="External"/><Relationship Id="rId10419" Type="http://schemas.openxmlformats.org/officeDocument/2006/relationships/hyperlink" Target="https://agslo.se/kan-alla-skriva-bocker-en-vag-in-i-skrivandets-varld/" TargetMode="External"/><Relationship Id="rId152" Type="http://schemas.openxmlformats.org/officeDocument/2006/relationships/hyperlink" Target="https://stilero.se/b/hur-satter-man-upp-en-taklampa/" TargetMode="External"/><Relationship Id="rId2997" Type="http://schemas.openxmlformats.org/officeDocument/2006/relationships/hyperlink" Target="http://e-ciggbolaget.se/" TargetMode="External"/><Relationship Id="rId6454" Type="http://schemas.openxmlformats.org/officeDocument/2006/relationships/hyperlink" Target="https://stryktips.nu/utlandska-motsvarigheter-till-stryktipset/" TargetMode="External"/><Relationship Id="rId7505" Type="http://schemas.openxmlformats.org/officeDocument/2006/relationships/hyperlink" Target="https://uutisankka.com/uncategorized/talviajamisen-abc-vinkit-turvalliseen-autoiluun-aariolosuhteissa/" TargetMode="External"/><Relationship Id="rId10833" Type="http://schemas.openxmlformats.org/officeDocument/2006/relationships/hyperlink" Target="https://www.lsb.se/privatlan" TargetMode="External"/><Relationship Id="rId969" Type="http://schemas.openxmlformats.org/officeDocument/2006/relationships/hyperlink" Target="https://socialsummit17.se/skadeverkstader-en-omfattande-studie-av-skadeaterstallning-och-kundtjanst/" TargetMode="External"/><Relationship Id="rId1599" Type="http://schemas.openxmlformats.org/officeDocument/2006/relationships/hyperlink" Target="http://arctic.se/" TargetMode="External"/><Relationship Id="rId5056" Type="http://schemas.openxmlformats.org/officeDocument/2006/relationships/hyperlink" Target="https://www.allaannonser.se/samarb-casino.html" TargetMode="External"/><Relationship Id="rId5470" Type="http://schemas.openxmlformats.org/officeDocument/2006/relationships/hyperlink" Target="http://mynicco.com/" TargetMode="External"/><Relationship Id="rId6107" Type="http://schemas.openxmlformats.org/officeDocument/2006/relationships/hyperlink" Target="http://hajper.com/" TargetMode="External"/><Relationship Id="rId6521" Type="http://schemas.openxmlformats.org/officeDocument/2006/relationships/hyperlink" Target="https://www.nodepositbonus.cc/canada-no-deposit-casino-bonuses/" TargetMode="External"/><Relationship Id="rId9677" Type="http://schemas.openxmlformats.org/officeDocument/2006/relationships/hyperlink" Target="https://gpser.se/produkter/gps-tracker/" TargetMode="External"/><Relationship Id="rId10900" Type="http://schemas.openxmlformats.org/officeDocument/2006/relationships/hyperlink" Target="http://mynicco.com/" TargetMode="External"/><Relationship Id="rId4072" Type="http://schemas.openxmlformats.org/officeDocument/2006/relationships/hyperlink" Target="https://www.allabolag.se/5568169626/bokslut" TargetMode="External"/><Relationship Id="rId5123" Type="http://schemas.openxmlformats.org/officeDocument/2006/relationships/hyperlink" Target="https://www.streetnstrip.se/hur-en-solenoid-i-bilmotorn-fungerar" TargetMode="External"/><Relationship Id="rId8279" Type="http://schemas.openxmlformats.org/officeDocument/2006/relationships/hyperlink" Target="http://bus4you.se/" TargetMode="External"/><Relationship Id="rId12658" Type="http://schemas.openxmlformats.org/officeDocument/2006/relationships/hyperlink" Target="https://www.rollingstone.co.uk/culture/london-nights-dont-end-at-last-orders-53710/" TargetMode="External"/><Relationship Id="rId1666" Type="http://schemas.openxmlformats.org/officeDocument/2006/relationships/hyperlink" Target="http://tandea.se/" TargetMode="External"/><Relationship Id="rId2717" Type="http://schemas.openxmlformats.org/officeDocument/2006/relationships/hyperlink" Target="https://luckycasino.com/en/" TargetMode="External"/><Relationship Id="rId7295" Type="http://schemas.openxmlformats.org/officeDocument/2006/relationships/hyperlink" Target="http://fairinvestments.se/" TargetMode="External"/><Relationship Id="rId8693" Type="http://schemas.openxmlformats.org/officeDocument/2006/relationships/hyperlink" Target="https://retrohus.se/vikten-av-att-halla-bilen-i-gott-skick-nar-du-ager-ett-hus/" TargetMode="External"/><Relationship Id="rId9744" Type="http://schemas.openxmlformats.org/officeDocument/2006/relationships/hyperlink" Target="https://turner.fi/teollisuusovet/" TargetMode="External"/><Relationship Id="rId11674" Type="http://schemas.openxmlformats.org/officeDocument/2006/relationships/hyperlink" Target="http://vontabel.com/" TargetMode="External"/><Relationship Id="rId12725" Type="http://schemas.openxmlformats.org/officeDocument/2006/relationships/hyperlink" Target="https://tryggbil.se/" TargetMode="External"/><Relationship Id="rId1319" Type="http://schemas.openxmlformats.org/officeDocument/2006/relationships/hyperlink" Target="https://andreanorrman.se/?p=307" TargetMode="External"/><Relationship Id="rId1733" Type="http://schemas.openxmlformats.org/officeDocument/2006/relationships/hyperlink" Target="http://e-ciggbolaget.se/" TargetMode="External"/><Relationship Id="rId4889" Type="http://schemas.openxmlformats.org/officeDocument/2006/relationships/hyperlink" Target="https://www.kingsizemag.se/okategoriserat/guldstriden-i-fotbollsallsvenskan-vilka-lag-star-starkast-infor-hostsasongen/" TargetMode="External"/><Relationship Id="rId8346" Type="http://schemas.openxmlformats.org/officeDocument/2006/relationships/hyperlink" Target="https://www.industrinyheter.se/20250327/43650/nar-digitala-visioner-och-svensk-industrikultur-smalter-samman" TargetMode="External"/><Relationship Id="rId8760" Type="http://schemas.openxmlformats.org/officeDocument/2006/relationships/hyperlink" Target="http://nettotobak.com/" TargetMode="External"/><Relationship Id="rId9811" Type="http://schemas.openxmlformats.org/officeDocument/2006/relationships/hyperlink" Target="https://sakraror.se/vara-tjanster/allman-service-vvs/vvs-i-taby/" TargetMode="External"/><Relationship Id="rId10276" Type="http://schemas.openxmlformats.org/officeDocument/2006/relationships/hyperlink" Target="http://hund.se/" TargetMode="External"/><Relationship Id="rId10690" Type="http://schemas.openxmlformats.org/officeDocument/2006/relationships/hyperlink" Target="http://kleer.se/" TargetMode="External"/><Relationship Id="rId11327" Type="http://schemas.openxmlformats.org/officeDocument/2006/relationships/hyperlink" Target="http://fairinvestments.se/" TargetMode="External"/><Relationship Id="rId11741" Type="http://schemas.openxmlformats.org/officeDocument/2006/relationships/hyperlink" Target="https://canvas.yc.edu/eportfolios/18496/Home/Every_Thing_That_You_Need_to_Know_about_Breeches_and_Tights" TargetMode="External"/><Relationship Id="rId25" Type="http://schemas.openxmlformats.org/officeDocument/2006/relationships/hyperlink" Target="http://chronos.se/" TargetMode="External"/><Relationship Id="rId1800" Type="http://schemas.openxmlformats.org/officeDocument/2006/relationships/hyperlink" Target="https://kollektomat.se/professionell-vagledning-genom-ekonomiska-kriser/" TargetMode="External"/><Relationship Id="rId4956" Type="http://schemas.openxmlformats.org/officeDocument/2006/relationships/hyperlink" Target="https://www.lidingonyheter.se/cbd-industrins-snabba-tillvaxt-i-sverige/" TargetMode="External"/><Relationship Id="rId7362" Type="http://schemas.openxmlformats.org/officeDocument/2006/relationships/hyperlink" Target="https://www.starleaf.com/blog/modern-dating-from-apps-to-professional-matchmakers/" TargetMode="External"/><Relationship Id="rId8413" Type="http://schemas.openxmlformats.org/officeDocument/2006/relationships/hyperlink" Target="https://www.swenico.se/miljontals-amerikanska-grabbar-snusar-svenskt/" TargetMode="External"/><Relationship Id="rId10343" Type="http://schemas.openxmlformats.org/officeDocument/2006/relationships/hyperlink" Target="https://fragbite.se/all/news/58724/skin-gambling-vs-licensierade-casinon--vad-ar-skillnaden" TargetMode="External"/><Relationship Id="rId3558" Type="http://schemas.openxmlformats.org/officeDocument/2006/relationships/hyperlink" Target="https://e-ciggbolaget.se/" TargetMode="External"/><Relationship Id="rId3972" Type="http://schemas.openxmlformats.org/officeDocument/2006/relationships/hyperlink" Target="https://www.aktasylt.se/" TargetMode="External"/><Relationship Id="rId4609" Type="http://schemas.openxmlformats.org/officeDocument/2006/relationships/hyperlink" Target="https://webbkrysset.se/blogg/recension-av-spelklubben-ett-nytt-casino-pa-uppgang/" TargetMode="External"/><Relationship Id="rId7015" Type="http://schemas.openxmlformats.org/officeDocument/2006/relationships/hyperlink" Target="https://sosialnytt.com/hva-du-bor-vite-om-kredittvurdering-og-kredittgjeld/" TargetMode="External"/><Relationship Id="rId479" Type="http://schemas.openxmlformats.org/officeDocument/2006/relationships/hyperlink" Target="https://markets.vontobel.com/nb-no/produkter/leverage/bull-bear-sertifikater/DE000VV87KH8" TargetMode="External"/><Relationship Id="rId893" Type="http://schemas.openxmlformats.org/officeDocument/2006/relationships/hyperlink" Target="https://www.creditsafe.com/dk/da/kredit-risiko/kreditrapporter/kreditvurdering.html" TargetMode="External"/><Relationship Id="rId2574" Type="http://schemas.openxmlformats.org/officeDocument/2006/relationships/hyperlink" Target="http://fairinvestments.se/" TargetMode="External"/><Relationship Id="rId3625" Type="http://schemas.openxmlformats.org/officeDocument/2006/relationships/hyperlink" Target="http://fairinvestments.se/" TargetMode="External"/><Relationship Id="rId6031" Type="http://schemas.openxmlformats.org/officeDocument/2006/relationships/hyperlink" Target="http://acnespecialisten.se/acne.php" TargetMode="External"/><Relationship Id="rId9187" Type="http://schemas.openxmlformats.org/officeDocument/2006/relationships/hyperlink" Target="https://villahagen.se/forsakringar-for-solcellsanlaggningar-ger-trygghet-i-ditt-boende/" TargetMode="External"/><Relationship Id="rId10410" Type="http://schemas.openxmlformats.org/officeDocument/2006/relationships/hyperlink" Target="http://mrvegas.com/" TargetMode="External"/><Relationship Id="rId12168" Type="http://schemas.openxmlformats.org/officeDocument/2006/relationships/hyperlink" Target="http://villarelining.se/" TargetMode="External"/><Relationship Id="rId13219" Type="http://schemas.openxmlformats.org/officeDocument/2006/relationships/hyperlink" Target="http://joinstriveon.com/" TargetMode="External"/><Relationship Id="rId546" Type="http://schemas.openxmlformats.org/officeDocument/2006/relationships/hyperlink" Target="https://chronos.se/" TargetMode="External"/><Relationship Id="rId1176" Type="http://schemas.openxmlformats.org/officeDocument/2006/relationships/hyperlink" Target="https://www.mynewsdesk.com/se/visibility-punktum-group/blog_posts/saett-retrotrenden-i-fokus-uppdatera-din-pr-och-kommunikationsstrategi-115051" TargetMode="External"/><Relationship Id="rId2227" Type="http://schemas.openxmlformats.org/officeDocument/2006/relationships/hyperlink" Target="http://cdg.io/" TargetMode="External"/><Relationship Id="rId9254" Type="http://schemas.openxmlformats.org/officeDocument/2006/relationships/hyperlink" Target="https://hittafritidsintressen.se/lat-kreativiteten-floda-med-budgetvanliga-kontorsmaterial-for-dina-hobbys/" TargetMode="External"/><Relationship Id="rId12582" Type="http://schemas.openxmlformats.org/officeDocument/2006/relationships/hyperlink" Target="https://bbml.se/totalrenovering/" TargetMode="External"/><Relationship Id="rId960" Type="http://schemas.openxmlformats.org/officeDocument/2006/relationships/hyperlink" Target="https://waterwaysmagazine.com/how-dress-socks-can-transform-your-outfit/" TargetMode="External"/><Relationship Id="rId1243" Type="http://schemas.openxmlformats.org/officeDocument/2006/relationships/hyperlink" Target="https://stilrenahem.se/hur-man-skapar-det-optimala-arbetsrummet/" TargetMode="External"/><Relationship Id="rId1590" Type="http://schemas.openxmlformats.org/officeDocument/2006/relationships/hyperlink" Target="http://fairinvestments.se/" TargetMode="External"/><Relationship Id="rId2641" Type="http://schemas.openxmlformats.org/officeDocument/2006/relationships/hyperlink" Target="https://www.tivedshandel.se/" TargetMode="External"/><Relationship Id="rId4399" Type="http://schemas.openxmlformats.org/officeDocument/2006/relationships/hyperlink" Target="http://fairinvestments.se/" TargetMode="External"/><Relationship Id="rId5797" Type="http://schemas.openxmlformats.org/officeDocument/2006/relationships/hyperlink" Target="https://tiotak.se/" TargetMode="External"/><Relationship Id="rId6848" Type="http://schemas.openxmlformats.org/officeDocument/2006/relationships/hyperlink" Target="https://www.lifesciencesweden.se/lb-article/181082/rent-kontor-och-ren-luft-a-och-o-for-arbetsmiljon" TargetMode="External"/><Relationship Id="rId8270" Type="http://schemas.openxmlformats.org/officeDocument/2006/relationships/hyperlink" Target="https://www.fri-kopenskap.se/lb-article/181362/branscher-vi-raknade-bort-men-som-gar-som-taget" TargetMode="External"/><Relationship Id="rId11184" Type="http://schemas.openxmlformats.org/officeDocument/2006/relationships/hyperlink" Target="http://adligo.io/" TargetMode="External"/><Relationship Id="rId12235" Type="http://schemas.openxmlformats.org/officeDocument/2006/relationships/hyperlink" Target="http://blugiallo.com/" TargetMode="External"/><Relationship Id="rId613" Type="http://schemas.openxmlformats.org/officeDocument/2006/relationships/hyperlink" Target="https://emmabodagranit.se/b/takpapp-en-guide/" TargetMode="External"/><Relationship Id="rId5864" Type="http://schemas.openxmlformats.org/officeDocument/2006/relationships/hyperlink" Target="http://tiotak.se/" TargetMode="External"/><Relationship Id="rId6915" Type="http://schemas.openxmlformats.org/officeDocument/2006/relationships/hyperlink" Target="https://www.totallystockholm.se/de-basta-hundvanliga-promenadstraken-i-stockholm-vilket-koppel-som-passar-bast/" TargetMode="External"/><Relationship Id="rId9321" Type="http://schemas.openxmlformats.org/officeDocument/2006/relationships/hyperlink" Target="http://hajper.com/" TargetMode="External"/><Relationship Id="rId11251" Type="http://schemas.openxmlformats.org/officeDocument/2006/relationships/hyperlink" Target="http://dieselkraft.se/" TargetMode="External"/><Relationship Id="rId12302" Type="http://schemas.openxmlformats.org/officeDocument/2006/relationships/hyperlink" Target="https://www.vont.se/nicotine-pouches" TargetMode="External"/><Relationship Id="rId1310" Type="http://schemas.openxmlformats.org/officeDocument/2006/relationships/hyperlink" Target="https://www.gudstory.com/what-does-our-fashion-attire-reveal-about-us/" TargetMode="External"/><Relationship Id="rId4466" Type="http://schemas.openxmlformats.org/officeDocument/2006/relationships/hyperlink" Target="https://www.mariatand.se/" TargetMode="External"/><Relationship Id="rId4880" Type="http://schemas.openxmlformats.org/officeDocument/2006/relationships/hyperlink" Target="http://kvarnx.com/" TargetMode="External"/><Relationship Id="rId5517" Type="http://schemas.openxmlformats.org/officeDocument/2006/relationships/hyperlink" Target="http://tandea.se/" TargetMode="External"/><Relationship Id="rId5931" Type="http://schemas.openxmlformats.org/officeDocument/2006/relationships/hyperlink" Target="https://www.tidningenhalsa.se/artiklar/annons/20241018/spelinspektionens-senaste-undersokningar-kartlagger-svenskarnas-spelvanor/" TargetMode="External"/><Relationship Id="rId3068" Type="http://schemas.openxmlformats.org/officeDocument/2006/relationships/hyperlink" Target="https://carpcon.se/fonsterbyte/" TargetMode="External"/><Relationship Id="rId3482" Type="http://schemas.openxmlformats.org/officeDocument/2006/relationships/hyperlink" Target="https://peacock.nu/livsstil/svenskt-dammode-i-kavaj-en-resa-genom-tid-och-trender/" TargetMode="External"/><Relationship Id="rId4119" Type="http://schemas.openxmlformats.org/officeDocument/2006/relationships/hyperlink" Target="https://www.kvarnx.com/sv/kryptovalutor" TargetMode="External"/><Relationship Id="rId4533" Type="http://schemas.openxmlformats.org/officeDocument/2006/relationships/hyperlink" Target="https://andreanorrman.se/framtiden-for-hallbar-forpackning-inom-tobaksindustrin/" TargetMode="External"/><Relationship Id="rId7689" Type="http://schemas.openxmlformats.org/officeDocument/2006/relationships/hyperlink" Target="http://tkw.se/" TargetMode="External"/><Relationship Id="rId13076" Type="http://schemas.openxmlformats.org/officeDocument/2006/relationships/hyperlink" Target="https://tryggbil.se/tjanster/dackbyte-och-dackhotell/" TargetMode="External"/><Relationship Id="rId2084" Type="http://schemas.openxmlformats.org/officeDocument/2006/relationships/hyperlink" Target="https://www.kulturakademintrappan.se/" TargetMode="External"/><Relationship Id="rId3135" Type="http://schemas.openxmlformats.org/officeDocument/2006/relationships/hyperlink" Target="http://alvtorpet.se/" TargetMode="External"/><Relationship Id="rId4600" Type="http://schemas.openxmlformats.org/officeDocument/2006/relationships/hyperlink" Target="https://www.tandea.se/" TargetMode="External"/><Relationship Id="rId7756" Type="http://schemas.openxmlformats.org/officeDocument/2006/relationships/hyperlink" Target="http://fairinvestments.se/" TargetMode="External"/><Relationship Id="rId12092" Type="http://schemas.openxmlformats.org/officeDocument/2006/relationships/hyperlink" Target="http://schjodt.com/" TargetMode="External"/><Relationship Id="rId13143" Type="http://schemas.openxmlformats.org/officeDocument/2006/relationships/hyperlink" Target="https://www.di.se/brandstudio/fair-investments/fair-investments-vi-tar-bara-betalt-for-verkliga-resultat-det-tjanar-alla-pa/" TargetMode="External"/><Relationship Id="rId470" Type="http://schemas.openxmlformats.org/officeDocument/2006/relationships/hyperlink" Target="https://chronos.se/diabetes/blodsocker" TargetMode="External"/><Relationship Id="rId2151" Type="http://schemas.openxmlformats.org/officeDocument/2006/relationships/hyperlink" Target="https://www.streetnstrip.se/laga-bilen-i-stockholm" TargetMode="External"/><Relationship Id="rId3202" Type="http://schemas.openxmlformats.org/officeDocument/2006/relationships/hyperlink" Target="http://filippa-k.com/se/sv/" TargetMode="External"/><Relationship Id="rId6358" Type="http://schemas.openxmlformats.org/officeDocument/2006/relationships/hyperlink" Target="https://pontonhamnar.se/" TargetMode="External"/><Relationship Id="rId7409" Type="http://schemas.openxmlformats.org/officeDocument/2006/relationships/hyperlink" Target="http://purakliniken.se/" TargetMode="External"/><Relationship Id="rId8807" Type="http://schemas.openxmlformats.org/officeDocument/2006/relationships/hyperlink" Target="https://www.swedoffice.se/kategori/69602-gaffelparm-trarygg" TargetMode="External"/><Relationship Id="rId10737" Type="http://schemas.openxmlformats.org/officeDocument/2006/relationships/hyperlink" Target="https://trevligahem.se/belysning-som-forskonar-ditt-hem-och-skapar-ratt-stamning/" TargetMode="External"/><Relationship Id="rId123" Type="http://schemas.openxmlformats.org/officeDocument/2006/relationships/hyperlink" Target="http://blugiallo.com/" TargetMode="External"/><Relationship Id="rId5374" Type="http://schemas.openxmlformats.org/officeDocument/2006/relationships/hyperlink" Target="https://www.mestmotor.se/automotorsport/artiklar/annons/20240910/jackpotspel-med-racingtema-blir-allt-vanligare/" TargetMode="External"/><Relationship Id="rId6772" Type="http://schemas.openxmlformats.org/officeDocument/2006/relationships/hyperlink" Target="http://upplevelse.com/" TargetMode="External"/><Relationship Id="rId7823" Type="http://schemas.openxmlformats.org/officeDocument/2006/relationships/hyperlink" Target="https://www.svenskbyggtidning.se/2025/02/24/det-moderna-byggtanket-fonster-fonster-fonster/" TargetMode="External"/><Relationship Id="rId10804" Type="http://schemas.openxmlformats.org/officeDocument/2006/relationships/hyperlink" Target="http://fairinvestments.se/" TargetMode="External"/><Relationship Id="rId13210" Type="http://schemas.openxmlformats.org/officeDocument/2006/relationships/hyperlink" Target="http://videoslots.com/" TargetMode="External"/><Relationship Id="rId2968" Type="http://schemas.openxmlformats.org/officeDocument/2006/relationships/hyperlink" Target="https://yearlymagazine.com/exploring-the-growing-trend-of-professional-matchmaking-services/" TargetMode="External"/><Relationship Id="rId5027" Type="http://schemas.openxmlformats.org/officeDocument/2006/relationships/hyperlink" Target="https://www.lidingonyheter.se/hallbarhet-sa-kan-sma-steg-gora-stor-skillnad/" TargetMode="External"/><Relationship Id="rId6425" Type="http://schemas.openxmlformats.org/officeDocument/2006/relationships/hyperlink" Target="http://oljedroppen.se/" TargetMode="External"/><Relationship Id="rId9995" Type="http://schemas.openxmlformats.org/officeDocument/2006/relationships/hyperlink" Target="https://willabgarden.de/" TargetMode="External"/><Relationship Id="rId12976" Type="http://schemas.openxmlformats.org/officeDocument/2006/relationships/hyperlink" Target="https://www.megariches.com/sv/welcome-bonus" TargetMode="External"/><Relationship Id="rId1984" Type="http://schemas.openxmlformats.org/officeDocument/2006/relationships/hyperlink" Target="https://klubbace.se/sluta-snusa-utan-att-sluta-snusa" TargetMode="External"/><Relationship Id="rId4390" Type="http://schemas.openxmlformats.org/officeDocument/2006/relationships/hyperlink" Target="http://fairinvestments.se/" TargetMode="External"/><Relationship Id="rId5441" Type="http://schemas.openxmlformats.org/officeDocument/2006/relationships/hyperlink" Target="https://www.kelleher-international.com/" TargetMode="External"/><Relationship Id="rId8597" Type="http://schemas.openxmlformats.org/officeDocument/2006/relationships/hyperlink" Target="http://kleer.se/" TargetMode="External"/><Relationship Id="rId9648" Type="http://schemas.openxmlformats.org/officeDocument/2006/relationships/hyperlink" Target="http://svenskafonster.se/" TargetMode="External"/><Relationship Id="rId11578" Type="http://schemas.openxmlformats.org/officeDocument/2006/relationships/hyperlink" Target="https://alltombeauty.se/dessa-skonhetsprodukter-ar-ett-maste-under-varen/" TargetMode="External"/><Relationship Id="rId12629" Type="http://schemas.openxmlformats.org/officeDocument/2006/relationships/hyperlink" Target="https://bettingsyndikatet.se/" TargetMode="External"/><Relationship Id="rId1637" Type="http://schemas.openxmlformats.org/officeDocument/2006/relationships/hyperlink" Target="http://advancepointcap.com/" TargetMode="External"/><Relationship Id="rId4043" Type="http://schemas.openxmlformats.org/officeDocument/2006/relationships/hyperlink" Target="https://rehabgrossisten.com/skydd-bandage/kna/knaskydd/" TargetMode="External"/><Relationship Id="rId7199" Type="http://schemas.openxmlformats.org/officeDocument/2006/relationships/hyperlink" Target="https://mittlillahus.se/sakerhet-for-ditt-hem-forsakringslosningar-for-solcellsanlaggningar/" TargetMode="External"/><Relationship Id="rId8664" Type="http://schemas.openxmlformats.org/officeDocument/2006/relationships/hyperlink" Target="http://swedenlongstay.se/" TargetMode="External"/><Relationship Id="rId9715" Type="http://schemas.openxmlformats.org/officeDocument/2006/relationships/hyperlink" Target="http://spelklubben.se/" TargetMode="External"/><Relationship Id="rId10594" Type="http://schemas.openxmlformats.org/officeDocument/2006/relationships/hyperlink" Target="http://technobark.com/" TargetMode="External"/><Relationship Id="rId11992" Type="http://schemas.openxmlformats.org/officeDocument/2006/relationships/hyperlink" Target="https://brafiler.se/nyheter/testautomatisering-en-nyckelkomponent-i-dators%C3%A4kerhet-online/1039" TargetMode="External"/><Relationship Id="rId1704" Type="http://schemas.openxmlformats.org/officeDocument/2006/relationships/hyperlink" Target="https://aretrotale.com/" TargetMode="External"/><Relationship Id="rId4110" Type="http://schemas.openxmlformats.org/officeDocument/2006/relationships/hyperlink" Target="http://tandea.se/" TargetMode="External"/><Relationship Id="rId7266" Type="http://schemas.openxmlformats.org/officeDocument/2006/relationships/hyperlink" Target="https://ourculturemag.com/2025/01/21/the-art-of-interior-design/" TargetMode="External"/><Relationship Id="rId7680" Type="http://schemas.openxmlformats.org/officeDocument/2006/relationships/hyperlink" Target="http://sakraror.se/" TargetMode="External"/><Relationship Id="rId8317" Type="http://schemas.openxmlformats.org/officeDocument/2006/relationships/hyperlink" Target="http://fairinvestments.se/" TargetMode="External"/><Relationship Id="rId8731" Type="http://schemas.openxmlformats.org/officeDocument/2006/relationships/hyperlink" Target="https://invozio.com/" TargetMode="External"/><Relationship Id="rId10247" Type="http://schemas.openxmlformats.org/officeDocument/2006/relationships/hyperlink" Target="http://nordicknots.com/" TargetMode="External"/><Relationship Id="rId11645" Type="http://schemas.openxmlformats.org/officeDocument/2006/relationships/hyperlink" Target="http://vontabel.com/" TargetMode="External"/><Relationship Id="rId6282" Type="http://schemas.openxmlformats.org/officeDocument/2006/relationships/hyperlink" Target="https://rehabgrossisten.com/skydd-bandage/kna/knaskydd/" TargetMode="External"/><Relationship Id="rId7333" Type="http://schemas.openxmlformats.org/officeDocument/2006/relationships/hyperlink" Target="http://dryft.se/" TargetMode="External"/><Relationship Id="rId10661" Type="http://schemas.openxmlformats.org/officeDocument/2006/relationships/hyperlink" Target="https://www.lsb.se/privatlan" TargetMode="External"/><Relationship Id="rId11712" Type="http://schemas.openxmlformats.org/officeDocument/2006/relationships/hyperlink" Target="https://wartsila-osake.fi/oletko-paassyt-jo-alkuun-osakesijoittamisessa-ja-haluat-laajentaa-salkkuasi/" TargetMode="External"/><Relationship Id="rId797" Type="http://schemas.openxmlformats.org/officeDocument/2006/relationships/hyperlink" Target="https://www.happysocks.com/us/collection/socks-for-women" TargetMode="External"/><Relationship Id="rId2478" Type="http://schemas.openxmlformats.org/officeDocument/2006/relationships/hyperlink" Target="http://distansinstitutet.se/" TargetMode="External"/><Relationship Id="rId3876" Type="http://schemas.openxmlformats.org/officeDocument/2006/relationships/hyperlink" Target="https://www.executiveeffect.se/vad-ar-fair-investments/" TargetMode="External"/><Relationship Id="rId4927" Type="http://schemas.openxmlformats.org/officeDocument/2006/relationships/hyperlink" Target="http://kvarnx.com/" TargetMode="External"/><Relationship Id="rId10314" Type="http://schemas.openxmlformats.org/officeDocument/2006/relationships/hyperlink" Target="https://herrexperten.se/frisyrtips-for-man-som-vill-ha-stiliga-harklippningar-pa-sodermalm/" TargetMode="External"/><Relationship Id="rId2892" Type="http://schemas.openxmlformats.org/officeDocument/2006/relationships/hyperlink" Target="https://diginyt.fi/syvallinen-tutkimus-online-kasinosta-ja-pelin-suosiosta/" TargetMode="External"/><Relationship Id="rId3529" Type="http://schemas.openxmlformats.org/officeDocument/2006/relationships/hyperlink" Target="https://varmlandsbygden.se/partner/cbd-olja-hos-cannabislight-sveriges-bredaste-sortiment-av-hogkvalitativa-produkter/" TargetMode="External"/><Relationship Id="rId3943" Type="http://schemas.openxmlformats.org/officeDocument/2006/relationships/hyperlink" Target="https://sakraror.se/vara-tjanster/allman-service-vvs/vvs-i-sollentuna/" TargetMode="External"/><Relationship Id="rId6002" Type="http://schemas.openxmlformats.org/officeDocument/2006/relationships/hyperlink" Target="http://kamux.fi/" TargetMode="External"/><Relationship Id="rId7400" Type="http://schemas.openxmlformats.org/officeDocument/2006/relationships/hyperlink" Target="http://svenskafonster.se/" TargetMode="External"/><Relationship Id="rId9158" Type="http://schemas.openxmlformats.org/officeDocument/2006/relationships/hyperlink" Target="https://discountsover60s.co.uk/" TargetMode="External"/><Relationship Id="rId12486" Type="http://schemas.openxmlformats.org/officeDocument/2006/relationships/hyperlink" Target="http://fairinvestments.se/" TargetMode="External"/><Relationship Id="rId864" Type="http://schemas.openxmlformats.org/officeDocument/2006/relationships/hyperlink" Target="https://svenskarbetsratt.se/marknadsledande-byra-inom-rekonstruktion/" TargetMode="External"/><Relationship Id="rId1494" Type="http://schemas.openxmlformats.org/officeDocument/2006/relationships/hyperlink" Target="https://www.tandea.se/" TargetMode="External"/><Relationship Id="rId2545" Type="http://schemas.openxmlformats.org/officeDocument/2006/relationships/hyperlink" Target="https://distansinstitutet.se/distansutbildningar/pedagogik/vardbitrade/" TargetMode="External"/><Relationship Id="rId9572" Type="http://schemas.openxmlformats.org/officeDocument/2006/relationships/hyperlink" Target="http://sesec.se/" TargetMode="External"/><Relationship Id="rId11088" Type="http://schemas.openxmlformats.org/officeDocument/2006/relationships/hyperlink" Target="http://megariches.com/" TargetMode="External"/><Relationship Id="rId12139" Type="http://schemas.openxmlformats.org/officeDocument/2006/relationships/hyperlink" Target="https://nostalgeek.se/vaping-ett-innovativt-alternativ-till-traditionell-rokning/" TargetMode="External"/><Relationship Id="rId12553" Type="http://schemas.openxmlformats.org/officeDocument/2006/relationships/hyperlink" Target="http://notyfile.se/sv" TargetMode="External"/><Relationship Id="rId517" Type="http://schemas.openxmlformats.org/officeDocument/2006/relationships/hyperlink" Target="https://ekonomiboken.se/fixa-en-praktisk-arbetsplats-darhemma/" TargetMode="External"/><Relationship Id="rId931" Type="http://schemas.openxmlformats.org/officeDocument/2006/relationships/hyperlink" Target="http://happysocks.com/" TargetMode="External"/><Relationship Id="rId1147" Type="http://schemas.openxmlformats.org/officeDocument/2006/relationships/hyperlink" Target="https://jetshopfree.se/framtida-finansiell-trygghet-forvaltning-radgivning-och-pension/" TargetMode="External"/><Relationship Id="rId1561" Type="http://schemas.openxmlformats.org/officeDocument/2006/relationships/hyperlink" Target="https://socialsummit17.se/cady-utbildning-en-vag-till-arbete-eller-en-falla/" TargetMode="External"/><Relationship Id="rId2612" Type="http://schemas.openxmlformats.org/officeDocument/2006/relationships/hyperlink" Target="http://triwa.com/" TargetMode="External"/><Relationship Id="rId5768" Type="http://schemas.openxmlformats.org/officeDocument/2006/relationships/hyperlink" Target="http://bethard.com/" TargetMode="External"/><Relationship Id="rId6819" Type="http://schemas.openxmlformats.org/officeDocument/2006/relationships/hyperlink" Target="http://spelklubben.se/" TargetMode="External"/><Relationship Id="rId8174" Type="http://schemas.openxmlformats.org/officeDocument/2006/relationships/hyperlink" Target="http://tiotak.se/" TargetMode="External"/><Relationship Id="rId9225" Type="http://schemas.openxmlformats.org/officeDocument/2006/relationships/hyperlink" Target="https://www.kleer.se/lonesystem/" TargetMode="External"/><Relationship Id="rId11155" Type="http://schemas.openxmlformats.org/officeDocument/2006/relationships/hyperlink" Target="https://schjodt.com/expertise/rekonstruktion-insolvens" TargetMode="External"/><Relationship Id="rId12206" Type="http://schemas.openxmlformats.org/officeDocument/2006/relationships/hyperlink" Target="https://news.cision.com/se/fair-investments" TargetMode="External"/><Relationship Id="rId1214" Type="http://schemas.openxmlformats.org/officeDocument/2006/relationships/hyperlink" Target="http://villarelining.se/" TargetMode="External"/><Relationship Id="rId4784" Type="http://schemas.openxmlformats.org/officeDocument/2006/relationships/hyperlink" Target="https://amcrazytourists.com/the-cultural-importance-of-2nd-hand-vintage-products-in-a-sustainable-fashion-landscape/" TargetMode="External"/><Relationship Id="rId5835" Type="http://schemas.openxmlformats.org/officeDocument/2006/relationships/hyperlink" Target="https://www.mariatand.se/behandling/tandimplantat-stockholm" TargetMode="External"/><Relationship Id="rId7190" Type="http://schemas.openxmlformats.org/officeDocument/2006/relationships/hyperlink" Target="https://familjensmart.se/hundar-som-en-del-av-familjen-sa-hittar-du-ratt-koppel-och-tillbehor/" TargetMode="External"/><Relationship Id="rId8241" Type="http://schemas.openxmlformats.org/officeDocument/2006/relationships/hyperlink" Target="https://willabgarden.de/" TargetMode="External"/><Relationship Id="rId10171" Type="http://schemas.openxmlformats.org/officeDocument/2006/relationships/hyperlink" Target="https://cateringfabriken.se/" TargetMode="External"/><Relationship Id="rId11222" Type="http://schemas.openxmlformats.org/officeDocument/2006/relationships/hyperlink" Target="https://ledarsidorna.se/2022/06/behandla-diabetes-digitalt/" TargetMode="External"/><Relationship Id="rId12620" Type="http://schemas.openxmlformats.org/officeDocument/2006/relationships/hyperlink" Target="https://ljudia.se/artiklar/gemenskap/" TargetMode="External"/><Relationship Id="rId3386" Type="http://schemas.openxmlformats.org/officeDocument/2006/relationships/hyperlink" Target="http://spelklubben.se/" TargetMode="External"/><Relationship Id="rId4437" Type="http://schemas.openxmlformats.org/officeDocument/2006/relationships/hyperlink" Target="https://conclean.se/produkter/minireningsverk/" TargetMode="External"/><Relationship Id="rId3039" Type="http://schemas.openxmlformats.org/officeDocument/2006/relationships/hyperlink" Target="https://sipski.se/spelklubben-ditt-ultimata-mal-for-online-casinounderhallning/" TargetMode="External"/><Relationship Id="rId3453" Type="http://schemas.openxmlformats.org/officeDocument/2006/relationships/hyperlink" Target="https://edgehyllie.se/den-framvaxande-solkrafts-revolutionen-genom-w3s-tjanster/" TargetMode="External"/><Relationship Id="rId4851" Type="http://schemas.openxmlformats.org/officeDocument/2006/relationships/hyperlink" Target="https://www.spelklubben.se/sv/betting/" TargetMode="External"/><Relationship Id="rId5902" Type="http://schemas.openxmlformats.org/officeDocument/2006/relationships/hyperlink" Target="http://acnespecialisten.se/" TargetMode="External"/><Relationship Id="rId10988" Type="http://schemas.openxmlformats.org/officeDocument/2006/relationships/hyperlink" Target="https://www.energinyheter.se/20250902/33674/nar-lonar-sig-solceller-sa-vander-du-utmaningar-till-varde" TargetMode="External"/><Relationship Id="rId374" Type="http://schemas.openxmlformats.org/officeDocument/2006/relationships/hyperlink" Target="https://www.kopbarnvagn.se/sv/artiklar/stokke-tripp-trapp/index.html" TargetMode="External"/><Relationship Id="rId2055" Type="http://schemas.openxmlformats.org/officeDocument/2006/relationships/hyperlink" Target="https://www.bodhi.se/finn-mening-och-nya-mal-karriarsskifte-pa-distans" TargetMode="External"/><Relationship Id="rId3106" Type="http://schemas.openxmlformats.org/officeDocument/2006/relationships/hyperlink" Target="http://mariatand.se/" TargetMode="External"/><Relationship Id="rId4504" Type="http://schemas.openxmlformats.org/officeDocument/2006/relationships/hyperlink" Target="http://startmotor.se/" TargetMode="External"/><Relationship Id="rId9082" Type="http://schemas.openxmlformats.org/officeDocument/2006/relationships/hyperlink" Target="http://borskollen.se/basta-banken" TargetMode="External"/><Relationship Id="rId13047" Type="http://schemas.openxmlformats.org/officeDocument/2006/relationships/hyperlink" Target="https://avtalsguiden.com/2025/09/30/de-flesta-bara-skriver-pa-sa-fungerar-kontrakt/" TargetMode="External"/><Relationship Id="rId3520" Type="http://schemas.openxmlformats.org/officeDocument/2006/relationships/hyperlink" Target="https://varmlandsbygden.se/partner/tandea-ett-kompetent-tandvardscenter-i-stockholm/" TargetMode="External"/><Relationship Id="rId6676" Type="http://schemas.openxmlformats.org/officeDocument/2006/relationships/hyperlink" Target="http://kleer.se/" TargetMode="External"/><Relationship Id="rId7727" Type="http://schemas.openxmlformats.org/officeDocument/2006/relationships/hyperlink" Target="https://www.artikelparadis.se/svensk-iptv-framtidens-tv-tittande" TargetMode="External"/><Relationship Id="rId10708" Type="http://schemas.openxmlformats.org/officeDocument/2006/relationships/hyperlink" Target="http://spelklubben.se/" TargetMode="External"/><Relationship Id="rId12063" Type="http://schemas.openxmlformats.org/officeDocument/2006/relationships/hyperlink" Target="https://www.totallyorebro.se/uncategorized/minireningsverk-den-perfekta-losningen-for-avloppsrening-pa-avlagsna-fastigheter/" TargetMode="External"/><Relationship Id="rId13114" Type="http://schemas.openxmlformats.org/officeDocument/2006/relationships/hyperlink" Target="http://hajper.com/" TargetMode="External"/><Relationship Id="rId441" Type="http://schemas.openxmlformats.org/officeDocument/2006/relationships/hyperlink" Target="http://happysocks.com/" TargetMode="External"/><Relationship Id="rId1071" Type="http://schemas.openxmlformats.org/officeDocument/2006/relationships/hyperlink" Target="http://lansfast.se/" TargetMode="External"/><Relationship Id="rId2122" Type="http://schemas.openxmlformats.org/officeDocument/2006/relationships/hyperlink" Target="https://www.freckeus.se/" TargetMode="External"/><Relationship Id="rId5278" Type="http://schemas.openxmlformats.org/officeDocument/2006/relationships/hyperlink" Target="http://cherry.com/" TargetMode="External"/><Relationship Id="rId5692" Type="http://schemas.openxmlformats.org/officeDocument/2006/relationships/hyperlink" Target="https://www.cherry.com/sv/casino" TargetMode="External"/><Relationship Id="rId6329" Type="http://schemas.openxmlformats.org/officeDocument/2006/relationships/hyperlink" Target="http://everynightstudios.com/" TargetMode="External"/><Relationship Id="rId6743" Type="http://schemas.openxmlformats.org/officeDocument/2006/relationships/hyperlink" Target="https://stilrenahem.se/trygghet-for-ditt-hem-forsakringslosningar-for-solcellsanlaggningar/" TargetMode="External"/><Relationship Id="rId9899" Type="http://schemas.openxmlformats.org/officeDocument/2006/relationships/hyperlink" Target="https://mynicco.com/" TargetMode="External"/><Relationship Id="rId12130" Type="http://schemas.openxmlformats.org/officeDocument/2006/relationships/hyperlink" Target="https://miamipool.se/swimmingpool/" TargetMode="External"/><Relationship Id="rId1888" Type="http://schemas.openxmlformats.org/officeDocument/2006/relationships/hyperlink" Target="https://eventeffect.se/att-navigera-genom-fastighetsmarknaden-att-hitta-ratt-fastighetsmaklare/" TargetMode="External"/><Relationship Id="rId2939" Type="http://schemas.openxmlformats.org/officeDocument/2006/relationships/hyperlink" Target="https://ledarsidorna.se/revolutionen-av-online-casinon/" TargetMode="External"/><Relationship Id="rId4294" Type="http://schemas.openxmlformats.org/officeDocument/2006/relationships/hyperlink" Target="https://www.spelklubben.se/sv/casino" TargetMode="External"/><Relationship Id="rId5345" Type="http://schemas.openxmlformats.org/officeDocument/2006/relationships/hyperlink" Target="https://eventeffect.se/digitaliseringens-paverkan-pa-evenemangsindustrin-mellan-det-fysiska-och-det-virtuella/" TargetMode="External"/><Relationship Id="rId6810" Type="http://schemas.openxmlformats.org/officeDocument/2006/relationships/hyperlink" Target="http://svenskafonster.se/" TargetMode="External"/><Relationship Id="rId9966" Type="http://schemas.openxmlformats.org/officeDocument/2006/relationships/hyperlink" Target="http://aretrotale.com/" TargetMode="External"/><Relationship Id="rId4361" Type="http://schemas.openxmlformats.org/officeDocument/2006/relationships/hyperlink" Target="https://www.cherry.com/sv/casino" TargetMode="External"/><Relationship Id="rId5412" Type="http://schemas.openxmlformats.org/officeDocument/2006/relationships/hyperlink" Target="https://www.slbk.se/" TargetMode="External"/><Relationship Id="rId8568" Type="http://schemas.openxmlformats.org/officeDocument/2006/relationships/hyperlink" Target="http://purakliniken.se/" TargetMode="External"/><Relationship Id="rId9619" Type="http://schemas.openxmlformats.org/officeDocument/2006/relationships/hyperlink" Target="https://www.nettotobak.com/velo/" TargetMode="External"/><Relationship Id="rId11896" Type="http://schemas.openxmlformats.org/officeDocument/2006/relationships/hyperlink" Target="http://villarelining.se/" TargetMode="External"/><Relationship Id="rId12947" Type="http://schemas.openxmlformats.org/officeDocument/2006/relationships/hyperlink" Target="https://www.battrestadsdel.se/i-samarbete-med-2/det-ar-skillnad-pa-overvakning-och-overvakning/" TargetMode="External"/><Relationship Id="rId1955" Type="http://schemas.openxmlformats.org/officeDocument/2006/relationships/hyperlink" Target="https://www.lula.se/fonsterna-ar-husets-ogon" TargetMode="External"/><Relationship Id="rId4014" Type="http://schemas.openxmlformats.org/officeDocument/2006/relationships/hyperlink" Target="https://arctic.se/se/forsakringslosningar/svensksolenergi/" TargetMode="External"/><Relationship Id="rId7584" Type="http://schemas.openxmlformats.org/officeDocument/2006/relationships/hyperlink" Target="https://www.nodepositbonus.cc/" TargetMode="External"/><Relationship Id="rId8982" Type="http://schemas.openxmlformats.org/officeDocument/2006/relationships/hyperlink" Target="https://himala.ai/" TargetMode="External"/><Relationship Id="rId10498" Type="http://schemas.openxmlformats.org/officeDocument/2006/relationships/hyperlink" Target="https://duochjobbet.se/att-byta-kontor-utan-att-forlora-teamkanslan/" TargetMode="External"/><Relationship Id="rId11549" Type="http://schemas.openxmlformats.org/officeDocument/2006/relationships/hyperlink" Target="http://sufracofinebrands.com/" TargetMode="External"/><Relationship Id="rId11963" Type="http://schemas.openxmlformats.org/officeDocument/2006/relationships/hyperlink" Target="https://www.ossn.se/2023/09/27/avancerade-investeringstips-for-erfarna-investerare/" TargetMode="External"/><Relationship Id="rId1608" Type="http://schemas.openxmlformats.org/officeDocument/2006/relationships/hyperlink" Target="http://ledkungen.se/" TargetMode="External"/><Relationship Id="rId3030" Type="http://schemas.openxmlformats.org/officeDocument/2006/relationships/hyperlink" Target="https://awaio.com/" TargetMode="External"/><Relationship Id="rId6186" Type="http://schemas.openxmlformats.org/officeDocument/2006/relationships/hyperlink" Target="https://www.chattanoogarehab.com/us/hot-cold/hot-cold-packs" TargetMode="External"/><Relationship Id="rId7237" Type="http://schemas.openxmlformats.org/officeDocument/2006/relationships/hyperlink" Target="https://www.tigerofsweden.com/se/sv/herr/kostymer/" TargetMode="External"/><Relationship Id="rId8635" Type="http://schemas.openxmlformats.org/officeDocument/2006/relationships/hyperlink" Target="https://nutidshuset.se/bostadsmarknaden-i-trosa-och-dess-mojligheter/" TargetMode="External"/><Relationship Id="rId10565" Type="http://schemas.openxmlformats.org/officeDocument/2006/relationships/hyperlink" Target="http://mynicco.com/" TargetMode="External"/><Relationship Id="rId11616" Type="http://schemas.openxmlformats.org/officeDocument/2006/relationships/hyperlink" Target="https://direktbygg.se/tank-pa-detta-om-du-ska-ta-ett-lan-infor-en-renovering/" TargetMode="External"/><Relationship Id="rId7651" Type="http://schemas.openxmlformats.org/officeDocument/2006/relationships/hyperlink" Target="https://bonusfamiljer.se/viktigheten-av-ratt-utrustning-for-hundar-i-familjen/" TargetMode="External"/><Relationship Id="rId8702" Type="http://schemas.openxmlformats.org/officeDocument/2006/relationships/hyperlink" Target="http://sesec.se/" TargetMode="External"/><Relationship Id="rId10218" Type="http://schemas.openxmlformats.org/officeDocument/2006/relationships/hyperlink" Target="http://minifinder.se/" TargetMode="External"/><Relationship Id="rId10632" Type="http://schemas.openxmlformats.org/officeDocument/2006/relationships/hyperlink" Target="https://www.videoslots.com/" TargetMode="External"/><Relationship Id="rId2796" Type="http://schemas.openxmlformats.org/officeDocument/2006/relationships/hyperlink" Target="http://spelklubben.se/" TargetMode="External"/><Relationship Id="rId3847" Type="http://schemas.openxmlformats.org/officeDocument/2006/relationships/hyperlink" Target="https://aktiefeed.se/investeringar-i-vape-industrin-en-vaxande-marknad/" TargetMode="External"/><Relationship Id="rId6253" Type="http://schemas.openxmlformats.org/officeDocument/2006/relationships/hyperlink" Target="http://tryggbil.se/" TargetMode="External"/><Relationship Id="rId7304" Type="http://schemas.openxmlformats.org/officeDocument/2006/relationships/hyperlink" Target="https://www.coface.se/kreditfoersaekring" TargetMode="External"/><Relationship Id="rId768" Type="http://schemas.openxmlformats.org/officeDocument/2006/relationships/hyperlink" Target="https://bonuskillen.se/en-snabbguide-till-vapes/" TargetMode="External"/><Relationship Id="rId1398" Type="http://schemas.openxmlformats.org/officeDocument/2006/relationships/hyperlink" Target="https://fashionisers.com/2023/09/12/how-to-style-your-outfit-with-the-perfect-pair-of-socks/" TargetMode="External"/><Relationship Id="rId2449" Type="http://schemas.openxmlformats.org/officeDocument/2006/relationships/hyperlink" Target="https://pontonhamnar.se/" TargetMode="External"/><Relationship Id="rId2863" Type="http://schemas.openxmlformats.org/officeDocument/2006/relationships/hyperlink" Target="https://www.reinertsen.se/" TargetMode="External"/><Relationship Id="rId3914" Type="http://schemas.openxmlformats.org/officeDocument/2006/relationships/hyperlink" Target="https://www.tandea.se/" TargetMode="External"/><Relationship Id="rId6320" Type="http://schemas.openxmlformats.org/officeDocument/2006/relationships/hyperlink" Target="http://cateringfabriken.se/" TargetMode="External"/><Relationship Id="rId9476" Type="http://schemas.openxmlformats.org/officeDocument/2006/relationships/hyperlink" Target="https://www.borskollen.se/tjana-pengar-snabbt" TargetMode="External"/><Relationship Id="rId9890" Type="http://schemas.openxmlformats.org/officeDocument/2006/relationships/hyperlink" Target="https://joinstriveon.com/solutions/training-management" TargetMode="External"/><Relationship Id="rId12457" Type="http://schemas.openxmlformats.org/officeDocument/2006/relationships/hyperlink" Target="http://m6bygg.se/" TargetMode="External"/><Relationship Id="rId835" Type="http://schemas.openxmlformats.org/officeDocument/2006/relationships/hyperlink" Target="http://vont.se/" TargetMode="External"/><Relationship Id="rId1465" Type="http://schemas.openxmlformats.org/officeDocument/2006/relationships/hyperlink" Target="https://newcarbike.com/applying-for-auto-repair-business-loans/" TargetMode="External"/><Relationship Id="rId2516" Type="http://schemas.openxmlformats.org/officeDocument/2006/relationships/hyperlink" Target="https://www.lansfast.se/maklare/stockholm/taby-danderyd/" TargetMode="External"/><Relationship Id="rId8078" Type="http://schemas.openxmlformats.org/officeDocument/2006/relationships/hyperlink" Target="https://www.idrottsplats.se/a/de-100-basta-fotbollsspelarna-genom-tiderna" TargetMode="External"/><Relationship Id="rId8492" Type="http://schemas.openxmlformats.org/officeDocument/2006/relationships/hyperlink" Target="https://www.kleer.se/lonesystem/" TargetMode="External"/><Relationship Id="rId9129" Type="http://schemas.openxmlformats.org/officeDocument/2006/relationships/hyperlink" Target="https://katescreativespace.com/exploring-the-latest-trends-in-wellness-work-and-leisure/" TargetMode="External"/><Relationship Id="rId9543" Type="http://schemas.openxmlformats.org/officeDocument/2006/relationships/hyperlink" Target="http://maklarringen.se/" TargetMode="External"/><Relationship Id="rId11059" Type="http://schemas.openxmlformats.org/officeDocument/2006/relationships/hyperlink" Target="https://ekonomikunskap.se/sa-planerar-du-semesterbudgeten-de-basta-knepen-for-att-undvika-onodiga-kostnader/" TargetMode="External"/><Relationship Id="rId12871" Type="http://schemas.openxmlformats.org/officeDocument/2006/relationships/hyperlink" Target="https://wiereich.net/mit-praktischen-schritten-den-wert-ihres-eigentums-steigern/" TargetMode="External"/><Relationship Id="rId1118" Type="http://schemas.openxmlformats.org/officeDocument/2006/relationships/hyperlink" Target="https://www.happysocks.com/us/collection/socks-for-men" TargetMode="External"/><Relationship Id="rId1532" Type="http://schemas.openxmlformats.org/officeDocument/2006/relationships/hyperlink" Target="https://theinscribermag.com/sock-game-strong-a-comprehensive-guide-to-dress-sock-fashion/" TargetMode="External"/><Relationship Id="rId2930" Type="http://schemas.openxmlformats.org/officeDocument/2006/relationships/hyperlink" Target="http://tandea.se/" TargetMode="External"/><Relationship Id="rId4688" Type="http://schemas.openxmlformats.org/officeDocument/2006/relationships/hyperlink" Target="http://bigbenstandup.com/" TargetMode="External"/><Relationship Id="rId7094" Type="http://schemas.openxmlformats.org/officeDocument/2006/relationships/hyperlink" Target="http://kvarnx.com/" TargetMode="External"/><Relationship Id="rId8145" Type="http://schemas.openxmlformats.org/officeDocument/2006/relationships/hyperlink" Target="https://www.purakliniken.se/estetisk-tandvard/skalfasader/" TargetMode="External"/><Relationship Id="rId10075" Type="http://schemas.openxmlformats.org/officeDocument/2006/relationships/hyperlink" Target="https://kulturkompis.nu/synen-pa-casinospel-runtom-i-varlden/" TargetMode="External"/><Relationship Id="rId11473" Type="http://schemas.openxmlformats.org/officeDocument/2006/relationships/hyperlink" Target="https://affarsstaden.se/esb-aditorial/just-nu-soker-nem-copywriters/" TargetMode="External"/><Relationship Id="rId12524" Type="http://schemas.openxmlformats.org/officeDocument/2006/relationships/hyperlink" Target="https://www.executiveeffect.se/vad-ar-fair-investments/" TargetMode="External"/><Relationship Id="rId902" Type="http://schemas.openxmlformats.org/officeDocument/2006/relationships/hyperlink" Target="https://haxan.se/" TargetMode="External"/><Relationship Id="rId5739" Type="http://schemas.openxmlformats.org/officeDocument/2006/relationships/hyperlink" Target="https://www.spelklubben.se/sv/betting/esports" TargetMode="External"/><Relationship Id="rId7161" Type="http://schemas.openxmlformats.org/officeDocument/2006/relationships/hyperlink" Target="https://familjenguider.se/familjeliv-och-seniorrabatter-utforska-mojligheterna/" TargetMode="External"/><Relationship Id="rId8212" Type="http://schemas.openxmlformats.org/officeDocument/2006/relationships/hyperlink" Target="http://tandea.se/tandvard/akut-tandvard-stockholm/" TargetMode="External"/><Relationship Id="rId9610" Type="http://schemas.openxmlformats.org/officeDocument/2006/relationships/hyperlink" Target="https://invozio.com/frilans-konsult-lon-fakturera-utan-foretag" TargetMode="External"/><Relationship Id="rId11126" Type="http://schemas.openxmlformats.org/officeDocument/2006/relationships/hyperlink" Target="http://lilla-varlden.se/" TargetMode="External"/><Relationship Id="rId11540" Type="http://schemas.openxmlformats.org/officeDocument/2006/relationships/hyperlink" Target="http://sufracofinebrands.com/" TargetMode="External"/><Relationship Id="rId4755" Type="http://schemas.openxmlformats.org/officeDocument/2006/relationships/hyperlink" Target="https://e-ciggbolaget.se/vitt-snus/" TargetMode="External"/><Relationship Id="rId5806" Type="http://schemas.openxmlformats.org/officeDocument/2006/relationships/hyperlink" Target="https://www.rusta.com/se/sv/hem--inredning/mattor/" TargetMode="External"/><Relationship Id="rId10142" Type="http://schemas.openxmlformats.org/officeDocument/2006/relationships/hyperlink" Target="http://svenskalasjouren.se/" TargetMode="External"/><Relationship Id="rId13298" Type="http://schemas.openxmlformats.org/officeDocument/2006/relationships/hyperlink" Target="https://tkw.se/" TargetMode="External"/><Relationship Id="rId278" Type="http://schemas.openxmlformats.org/officeDocument/2006/relationships/hyperlink" Target="https://bloggfamiljen.se/inkopslista-for-nyblivna-foraldrar/" TargetMode="External"/><Relationship Id="rId3357" Type="http://schemas.openxmlformats.org/officeDocument/2006/relationships/hyperlink" Target="https://notyfile.se/" TargetMode="External"/><Relationship Id="rId3771" Type="http://schemas.openxmlformats.org/officeDocument/2006/relationships/hyperlink" Target="http://sundsvallbergvarme.se/" TargetMode="External"/><Relationship Id="rId4408" Type="http://schemas.openxmlformats.org/officeDocument/2006/relationships/hyperlink" Target="http://arctic.se/" TargetMode="External"/><Relationship Id="rId4822" Type="http://schemas.openxmlformats.org/officeDocument/2006/relationships/hyperlink" Target="http://alfa.no/" TargetMode="External"/><Relationship Id="rId7978" Type="http://schemas.openxmlformats.org/officeDocument/2006/relationships/hyperlink" Target="http://petster.se/" TargetMode="External"/><Relationship Id="rId10959" Type="http://schemas.openxmlformats.org/officeDocument/2006/relationships/hyperlink" Target="https://www.mrvegas.com/sv/responsible-gaming/" TargetMode="External"/><Relationship Id="rId692" Type="http://schemas.openxmlformats.org/officeDocument/2006/relationships/hyperlink" Target="https://www.vont.se/" TargetMode="External"/><Relationship Id="rId2373" Type="http://schemas.openxmlformats.org/officeDocument/2006/relationships/hyperlink" Target="http://svenskaeljouren.se/" TargetMode="External"/><Relationship Id="rId3424" Type="http://schemas.openxmlformats.org/officeDocument/2006/relationships/hyperlink" Target="https://sundsvallbergvarme.se/" TargetMode="External"/><Relationship Id="rId6994" Type="http://schemas.openxmlformats.org/officeDocument/2006/relationships/hyperlink" Target="http://svenskafonster.se/" TargetMode="External"/><Relationship Id="rId12381" Type="http://schemas.openxmlformats.org/officeDocument/2006/relationships/hyperlink" Target="https://www.merinfo.se/foretag/Fair-Investments-Sweden-AB-5568169626/2k3576i-kqah" TargetMode="External"/><Relationship Id="rId13018" Type="http://schemas.openxmlformats.org/officeDocument/2006/relationships/hyperlink" Target="http://lsb.se/" TargetMode="External"/><Relationship Id="rId345" Type="http://schemas.openxmlformats.org/officeDocument/2006/relationships/hyperlink" Target="https://b&#228;stf&#246;rs&#228;kringar.se/" TargetMode="External"/><Relationship Id="rId2026" Type="http://schemas.openxmlformats.org/officeDocument/2006/relationships/hyperlink" Target="https://www.triwa.com/time-for-solar" TargetMode="External"/><Relationship Id="rId2440" Type="http://schemas.openxmlformats.org/officeDocument/2006/relationships/hyperlink" Target="https://e-ciggbolaget.se/e-cigaretter/engangs-vape/aroma-king/?hr-page=%7B%22product_count%22%3A24%7D" TargetMode="External"/><Relationship Id="rId5596" Type="http://schemas.openxmlformats.org/officeDocument/2006/relationships/hyperlink" Target="https://castaluna.se/vanliga-vvs-problem-i-hemmet-hur-du-atgardar-dem/" TargetMode="External"/><Relationship Id="rId6647" Type="http://schemas.openxmlformats.org/officeDocument/2006/relationships/hyperlink" Target="http://cherry.com/" TargetMode="External"/><Relationship Id="rId9053" Type="http://schemas.openxmlformats.org/officeDocument/2006/relationships/hyperlink" Target="http://rusta.com/sv-se/fritid/husdjur/hundfoder" TargetMode="External"/><Relationship Id="rId12034" Type="http://schemas.openxmlformats.org/officeDocument/2006/relationships/hyperlink" Target="https://haronaglarspa.se/renhet-med-rosmarinolja" TargetMode="External"/><Relationship Id="rId412" Type="http://schemas.openxmlformats.org/officeDocument/2006/relationships/hyperlink" Target="http://blugiallo.com/" TargetMode="External"/><Relationship Id="rId1042" Type="http://schemas.openxmlformats.org/officeDocument/2006/relationships/hyperlink" Target="https://www.fashionabc.org/socks-as-gifts-unique-and-thoughtful-ideas-for-any-occasion/" TargetMode="External"/><Relationship Id="rId4198" Type="http://schemas.openxmlformats.org/officeDocument/2006/relationships/hyperlink" Target="https://m6bygg.se/" TargetMode="External"/><Relationship Id="rId5249" Type="http://schemas.openxmlformats.org/officeDocument/2006/relationships/hyperlink" Target="http://myownwater.com/" TargetMode="External"/><Relationship Id="rId5663" Type="http://schemas.openxmlformats.org/officeDocument/2006/relationships/hyperlink" Target="https://www.tryggbil.se/" TargetMode="External"/><Relationship Id="rId9120" Type="http://schemas.openxmlformats.org/officeDocument/2006/relationships/hyperlink" Target="https://www.spelklubben.se/sv" TargetMode="External"/><Relationship Id="rId11050" Type="http://schemas.openxmlformats.org/officeDocument/2006/relationships/hyperlink" Target="https://www.kvarnx.com/fi/xrp" TargetMode="External"/><Relationship Id="rId4265" Type="http://schemas.openxmlformats.org/officeDocument/2006/relationships/hyperlink" Target="https://maltidsvision.se/varma-upp-ditt-hem-med-bergvarme-en-overlagsen-uppvarmningsmetod/" TargetMode="External"/><Relationship Id="rId5316" Type="http://schemas.openxmlformats.org/officeDocument/2006/relationships/hyperlink" Target="http://bethard.com/" TargetMode="External"/><Relationship Id="rId6714" Type="http://schemas.openxmlformats.org/officeDocument/2006/relationships/hyperlink" Target="http://swedenlongstay.se/" TargetMode="External"/><Relationship Id="rId12101" Type="http://schemas.openxmlformats.org/officeDocument/2006/relationships/hyperlink" Target="http://conclean.se/" TargetMode="External"/><Relationship Id="rId1859" Type="http://schemas.openxmlformats.org/officeDocument/2006/relationships/hyperlink" Target="http://w3solenergi.se/" TargetMode="External"/><Relationship Id="rId5730" Type="http://schemas.openxmlformats.org/officeDocument/2006/relationships/hyperlink" Target="https://fairinvestments.se/" TargetMode="External"/><Relationship Id="rId8886" Type="http://schemas.openxmlformats.org/officeDocument/2006/relationships/hyperlink" Target="http://svenskafonster.se/" TargetMode="External"/><Relationship Id="rId9937" Type="http://schemas.openxmlformats.org/officeDocument/2006/relationships/hyperlink" Target="https://www.spelklubben.se/sv/casino/guides/progressiva-jackpottar-hur-de-vaxer-och-hur-du-kan-vinna-stort" TargetMode="External"/><Relationship Id="rId11867" Type="http://schemas.openxmlformats.org/officeDocument/2006/relationships/hyperlink" Target="https://carpcon.se/fonsterbyte/" TargetMode="External"/><Relationship Id="rId12918" Type="http://schemas.openxmlformats.org/officeDocument/2006/relationships/hyperlink" Target="http://spelklubben.se/" TargetMode="External"/><Relationship Id="rId1926" Type="http://schemas.openxmlformats.org/officeDocument/2006/relationships/hyperlink" Target="https://www.instrumentenland.de/wie-ein-musiker-nikotin-geniessen-mit-e-zigaretten" TargetMode="External"/><Relationship Id="rId3281" Type="http://schemas.openxmlformats.org/officeDocument/2006/relationships/hyperlink" Target="http://spelklubben.se/" TargetMode="External"/><Relationship Id="rId4332" Type="http://schemas.openxmlformats.org/officeDocument/2006/relationships/hyperlink" Target="http://e-ciggbolaget.se/" TargetMode="External"/><Relationship Id="rId7488" Type="http://schemas.openxmlformats.org/officeDocument/2006/relationships/hyperlink" Target="https://www.cdg.io/" TargetMode="External"/><Relationship Id="rId8539" Type="http://schemas.openxmlformats.org/officeDocument/2006/relationships/hyperlink" Target="https://nordicknots.com/us/custom-sized-rugs" TargetMode="External"/><Relationship Id="rId8953" Type="http://schemas.openxmlformats.org/officeDocument/2006/relationships/hyperlink" Target="https://filmeye.se/filmkaraktarerna-som-har-orimlig-tur/" TargetMode="External"/><Relationship Id="rId10469" Type="http://schemas.openxmlformats.org/officeDocument/2006/relationships/hyperlink" Target="https://www.ihus.nu/framtidssakra-ditt-hus-pa-marknaden-sa-gor-du-bostaden-mer-attraktiv/" TargetMode="External"/><Relationship Id="rId10883" Type="http://schemas.openxmlformats.org/officeDocument/2006/relationships/hyperlink" Target="https://sakraror.se/vara-tjanster/allman-service-vvs/vvs-i-sollentuna/" TargetMode="External"/><Relationship Id="rId7555" Type="http://schemas.openxmlformats.org/officeDocument/2006/relationships/hyperlink" Target="https://technomeow.com/best-self-cleaning-litter-boxes-this-year/" TargetMode="External"/><Relationship Id="rId8606" Type="http://schemas.openxmlformats.org/officeDocument/2006/relationships/hyperlink" Target="https://arctic.se/se/forsakringslosningar/svensksolenergi/" TargetMode="External"/><Relationship Id="rId10536" Type="http://schemas.openxmlformats.org/officeDocument/2006/relationships/hyperlink" Target="https://www.hemtrevligt.se/hemmetsjournal/partner/sa-fixar-du-den-perfekta-spelkvallen-hemma-i-soffan/" TargetMode="External"/><Relationship Id="rId11934" Type="http://schemas.openxmlformats.org/officeDocument/2006/relationships/hyperlink" Target="https://bigbenstandup.com/" TargetMode="External"/><Relationship Id="rId3001" Type="http://schemas.openxmlformats.org/officeDocument/2006/relationships/hyperlink" Target="https://havstomt.se/artiklar/det-nya-casinot-i-sverige/" TargetMode="External"/><Relationship Id="rId6157" Type="http://schemas.openxmlformats.org/officeDocument/2006/relationships/hyperlink" Target="https://hedgehog.se/3-saker-du-inte-visste-om-solceller" TargetMode="External"/><Relationship Id="rId6571" Type="http://schemas.openxmlformats.org/officeDocument/2006/relationships/hyperlink" Target="https://www.bethard.com/sv/sports" TargetMode="External"/><Relationship Id="rId7208" Type="http://schemas.openxmlformats.org/officeDocument/2006/relationships/hyperlink" Target="https://dinbyggnad.se/jour-eliten-din-palitliga-partner-for-akuta-elarbeten/" TargetMode="External"/><Relationship Id="rId7622" Type="http://schemas.openxmlformats.org/officeDocument/2006/relationships/hyperlink" Target="http://arctic.se/" TargetMode="External"/><Relationship Id="rId10950" Type="http://schemas.openxmlformats.org/officeDocument/2006/relationships/hyperlink" Target="http://spelklubben.se/" TargetMode="External"/><Relationship Id="rId2767" Type="http://schemas.openxmlformats.org/officeDocument/2006/relationships/hyperlink" Target="https://www.cualestuhuella.cl/noticia/otras-noticias/2024/02/guia-apasionados-casinos-apuestas-deportivas" TargetMode="External"/><Relationship Id="rId5173" Type="http://schemas.openxmlformats.org/officeDocument/2006/relationships/hyperlink" Target="https://m6bygg.se/totalentreprenad-stockholm/" TargetMode="External"/><Relationship Id="rId6224" Type="http://schemas.openxmlformats.org/officeDocument/2006/relationships/hyperlink" Target="https://www.purakliniken.se/" TargetMode="External"/><Relationship Id="rId9794" Type="http://schemas.openxmlformats.org/officeDocument/2006/relationships/hyperlink" Target="http://startmotor.se/" TargetMode="External"/><Relationship Id="rId10603" Type="http://schemas.openxmlformats.org/officeDocument/2006/relationships/hyperlink" Target="http://videoslots.com/" TargetMode="External"/><Relationship Id="rId739" Type="http://schemas.openxmlformats.org/officeDocument/2006/relationships/hyperlink" Target="https://naturliglivsstil.se/sa-blir-den-stora-varstadningen-lite-mindre-plagsam-att-genomfora/" TargetMode="External"/><Relationship Id="rId1369" Type="http://schemas.openxmlformats.org/officeDocument/2006/relationships/hyperlink" Target="http://fairinvestments.se/" TargetMode="External"/><Relationship Id="rId3818" Type="http://schemas.openxmlformats.org/officeDocument/2006/relationships/hyperlink" Target="http://ampilo.se/" TargetMode="External"/><Relationship Id="rId5240" Type="http://schemas.openxmlformats.org/officeDocument/2006/relationships/hyperlink" Target="https://katarinaochvanner.se/hur-kladtryck-broderi-kan-forstarka-ditt-varumarke/" TargetMode="External"/><Relationship Id="rId8396" Type="http://schemas.openxmlformats.org/officeDocument/2006/relationships/hyperlink" Target="http://wellio.se/" TargetMode="External"/><Relationship Id="rId9447" Type="http://schemas.openxmlformats.org/officeDocument/2006/relationships/hyperlink" Target="https://www.purakliniken.se/" TargetMode="External"/><Relationship Id="rId12775" Type="http://schemas.openxmlformats.org/officeDocument/2006/relationships/hyperlink" Target="https://www.rusta.com/sv-se/hem-och-inredning/mattor" TargetMode="External"/><Relationship Id="rId1783" Type="http://schemas.openxmlformats.org/officeDocument/2006/relationships/hyperlink" Target="https://lemontree.se/tjanster/devops/site-reliability-engineering/" TargetMode="External"/><Relationship Id="rId2834" Type="http://schemas.openxmlformats.org/officeDocument/2006/relationships/hyperlink" Target="https://hemsidor24.se/artiklar/den-revolutionerande-gemenskapen-hos-spelklubben-ett-nytt-kapitel-inom-online-casinoindustrin/" TargetMode="External"/><Relationship Id="rId8049" Type="http://schemas.openxmlformats.org/officeDocument/2006/relationships/hyperlink" Target="http://nordicknots.com/" TargetMode="External"/><Relationship Id="rId9861" Type="http://schemas.openxmlformats.org/officeDocument/2006/relationships/hyperlink" Target="https://www.citybeat.com/contributor-news/electrical-stimulation-is-gaining-ground-19729186" TargetMode="External"/><Relationship Id="rId11377" Type="http://schemas.openxmlformats.org/officeDocument/2006/relationships/hyperlink" Target="https://haxan.se/products/ugn-grill" TargetMode="External"/><Relationship Id="rId11791" Type="http://schemas.openxmlformats.org/officeDocument/2006/relationships/hyperlink" Target="https://www.vont.se/" TargetMode="External"/><Relationship Id="rId12428" Type="http://schemas.openxmlformats.org/officeDocument/2006/relationships/hyperlink" Target="https://legendbygg.com/" TargetMode="External"/><Relationship Id="rId12842" Type="http://schemas.openxmlformats.org/officeDocument/2006/relationships/hyperlink" Target="https://mynicco.com/" TargetMode="External"/><Relationship Id="rId75" Type="http://schemas.openxmlformats.org/officeDocument/2006/relationships/hyperlink" Target="http://chronos.se/" TargetMode="External"/><Relationship Id="rId806" Type="http://schemas.openxmlformats.org/officeDocument/2006/relationships/hyperlink" Target="https://www.happysocks.com/us/collection/socks-for-men?awc=10052_1684929254_2e2a33737054484e05465402c4a44a8d&amp;utm_source=AffiliateWindow&amp;utm_medium=Affiliate&amp;utm_content=VigLink+Inc&amp;utm_campaign=ES" TargetMode="External"/><Relationship Id="rId1436" Type="http://schemas.openxmlformats.org/officeDocument/2006/relationships/hyperlink" Target="https://borsbolag.se/" TargetMode="External"/><Relationship Id="rId1850" Type="http://schemas.openxmlformats.org/officeDocument/2006/relationships/hyperlink" Target="http://hvvs.se/" TargetMode="External"/><Relationship Id="rId2901" Type="http://schemas.openxmlformats.org/officeDocument/2006/relationships/hyperlink" Target="https://luckycasino.com/sv/" TargetMode="External"/><Relationship Id="rId7065" Type="http://schemas.openxmlformats.org/officeDocument/2006/relationships/hyperlink" Target="http://himala.ai/" TargetMode="External"/><Relationship Id="rId8463" Type="http://schemas.openxmlformats.org/officeDocument/2006/relationships/hyperlink" Target="http://mobot.com/" TargetMode="External"/><Relationship Id="rId9514" Type="http://schemas.openxmlformats.org/officeDocument/2006/relationships/hyperlink" Target="https://www.kingmagazine.se/partner/inte-bara-roda-mattan-sa-fordriver-stjarnorna-tiden-nar-ingen-tittar/" TargetMode="External"/><Relationship Id="rId10393" Type="http://schemas.openxmlformats.org/officeDocument/2006/relationships/hyperlink" Target="http://minifinder.se/" TargetMode="External"/><Relationship Id="rId11444" Type="http://schemas.openxmlformats.org/officeDocument/2006/relationships/hyperlink" Target="https://www.lansfast.se/maklare/sodermanland/nykoping/" TargetMode="External"/><Relationship Id="rId1503" Type="http://schemas.openxmlformats.org/officeDocument/2006/relationships/hyperlink" Target="https://merfakta.se/papperets-ursprung-fran-forntida-kina-till-modern-anvandning/" TargetMode="External"/><Relationship Id="rId4659" Type="http://schemas.openxmlformats.org/officeDocument/2006/relationships/hyperlink" Target="http://nettotobak.com/" TargetMode="External"/><Relationship Id="rId8116" Type="http://schemas.openxmlformats.org/officeDocument/2006/relationships/hyperlink" Target="https://industrilinjen.se/sa-har-skickar-du-in-ditt-manus-for-att-fa-en-bok-utgiven-inom-affarsvarlden/" TargetMode="External"/><Relationship Id="rId8530" Type="http://schemas.openxmlformats.org/officeDocument/2006/relationships/hyperlink" Target="http://flygbussarna.se/" TargetMode="External"/><Relationship Id="rId10046" Type="http://schemas.openxmlformats.org/officeDocument/2006/relationships/hyperlink" Target="https://merchoteket.se/collections/muggar" TargetMode="External"/><Relationship Id="rId10460" Type="http://schemas.openxmlformats.org/officeDocument/2006/relationships/hyperlink" Target="https://presenttipsaren.nu/morgonmys-med-attityd-arets-presenttrender-2025/" TargetMode="External"/><Relationship Id="rId11511" Type="http://schemas.openxmlformats.org/officeDocument/2006/relationships/hyperlink" Target="http://robomarkets.com/" TargetMode="External"/><Relationship Id="rId3675" Type="http://schemas.openxmlformats.org/officeDocument/2006/relationships/hyperlink" Target="https://shellkonto.nu/investeringens-hornstenar" TargetMode="External"/><Relationship Id="rId4726" Type="http://schemas.openxmlformats.org/officeDocument/2006/relationships/hyperlink" Target="http://spelklubben.se/" TargetMode="External"/><Relationship Id="rId6081" Type="http://schemas.openxmlformats.org/officeDocument/2006/relationships/hyperlink" Target="http://fairinvestments.se/" TargetMode="External"/><Relationship Id="rId7132" Type="http://schemas.openxmlformats.org/officeDocument/2006/relationships/hyperlink" Target="https://tiotak.se/" TargetMode="External"/><Relationship Id="rId10113" Type="http://schemas.openxmlformats.org/officeDocument/2006/relationships/hyperlink" Target="https://www.ihus.nu/glom-inte-sakerheten-nar-du-ar-pa-sprang-med-din-hund/" TargetMode="External"/><Relationship Id="rId13269" Type="http://schemas.openxmlformats.org/officeDocument/2006/relationships/hyperlink" Target="https://tryggbil.se/" TargetMode="External"/><Relationship Id="rId596" Type="http://schemas.openxmlformats.org/officeDocument/2006/relationships/hyperlink" Target="https://billigpresent.se/presenttips-till-bastisen-som-har-allt/" TargetMode="External"/><Relationship Id="rId2277" Type="http://schemas.openxmlformats.org/officeDocument/2006/relationships/hyperlink" Target="https://tiotak.se/" TargetMode="External"/><Relationship Id="rId2691" Type="http://schemas.openxmlformats.org/officeDocument/2006/relationships/hyperlink" Target="http://glitnor.com/" TargetMode="External"/><Relationship Id="rId3328" Type="http://schemas.openxmlformats.org/officeDocument/2006/relationships/hyperlink" Target="http://massagestockholm.se/" TargetMode="External"/><Relationship Id="rId3742" Type="http://schemas.openxmlformats.org/officeDocument/2006/relationships/hyperlink" Target="https://www.spolarent.se/stamspolning-stockholm/" TargetMode="External"/><Relationship Id="rId6898" Type="http://schemas.openxmlformats.org/officeDocument/2006/relationships/hyperlink" Target="https://www.acnespecialisten.se/perioral-dermatit.php" TargetMode="External"/><Relationship Id="rId12285" Type="http://schemas.openxmlformats.org/officeDocument/2006/relationships/hyperlink" Target="https://www.robomarkets.com/se/forex-trading/trading/isk/" TargetMode="External"/><Relationship Id="rId249" Type="http://schemas.openxmlformats.org/officeDocument/2006/relationships/hyperlink" Target="https://guldkorn.nu/halsoplan-baserad-pa-ditt-dna/" TargetMode="External"/><Relationship Id="rId663" Type="http://schemas.openxmlformats.org/officeDocument/2006/relationships/hyperlink" Target="https://viekonomi.se/sa-slipper-du-telefonforsaljare/" TargetMode="External"/><Relationship Id="rId1293" Type="http://schemas.openxmlformats.org/officeDocument/2006/relationships/hyperlink" Target="https://distansinstitutet.se/distansutbildningar/inredning/" TargetMode="External"/><Relationship Id="rId2344" Type="http://schemas.openxmlformats.org/officeDocument/2006/relationships/hyperlink" Target="http://aretrotale.com/" TargetMode="External"/><Relationship Id="rId7949" Type="http://schemas.openxmlformats.org/officeDocument/2006/relationships/hyperlink" Target="https://rusta.com/sv-se/hem-och-inredning/mattor" TargetMode="External"/><Relationship Id="rId9371" Type="http://schemas.openxmlformats.org/officeDocument/2006/relationships/hyperlink" Target="https://www.fintechnews.org/online-casinos-taking-gaming-to-the-next-level/" TargetMode="External"/><Relationship Id="rId316" Type="http://schemas.openxmlformats.org/officeDocument/2006/relationships/hyperlink" Target="http://arctic.se/" TargetMode="External"/><Relationship Id="rId6965" Type="http://schemas.openxmlformats.org/officeDocument/2006/relationships/hyperlink" Target="https://www.nordiskaprojekt.se/2024/12/21/fonsterproblem-sa-vet-du-om-det-ar-dags-att-byta-och-om-du-kan-fixa-det-sjalv/" TargetMode="External"/><Relationship Id="rId9024" Type="http://schemas.openxmlformats.org/officeDocument/2006/relationships/hyperlink" Target="http://cherry.com/" TargetMode="External"/><Relationship Id="rId12352" Type="http://schemas.openxmlformats.org/officeDocument/2006/relationships/hyperlink" Target="https://triwa.com/" TargetMode="External"/><Relationship Id="rId730" Type="http://schemas.openxmlformats.org/officeDocument/2006/relationships/hyperlink" Target="https://viekonomi.se/" TargetMode="External"/><Relationship Id="rId1013" Type="http://schemas.openxmlformats.org/officeDocument/2006/relationships/hyperlink" Target="https://distansinstitutet.se/distansutbildningar/kommunikation/" TargetMode="External"/><Relationship Id="rId1360" Type="http://schemas.openxmlformats.org/officeDocument/2006/relationships/hyperlink" Target="http://advancepointcap.com/" TargetMode="External"/><Relationship Id="rId2411" Type="http://schemas.openxmlformats.org/officeDocument/2006/relationships/hyperlink" Target="https://hemplybalance.se/cbd-hampaoljor/" TargetMode="External"/><Relationship Id="rId4169" Type="http://schemas.openxmlformats.org/officeDocument/2006/relationships/hyperlink" Target="https://conclean.se/produkter/minireningsverk/" TargetMode="External"/><Relationship Id="rId5567" Type="http://schemas.openxmlformats.org/officeDocument/2006/relationships/hyperlink" Target="https://bruist.nu/fran-ide-till-framtradande-att-skapa-en-underhallande-stand-up-show/" TargetMode="External"/><Relationship Id="rId5981" Type="http://schemas.openxmlformats.org/officeDocument/2006/relationships/hyperlink" Target="https://navx.store/nl/" TargetMode="External"/><Relationship Id="rId6618" Type="http://schemas.openxmlformats.org/officeDocument/2006/relationships/hyperlink" Target="https://torrfoder.se/blogg/om-hund-inte-ater/" TargetMode="External"/><Relationship Id="rId8040" Type="http://schemas.openxmlformats.org/officeDocument/2006/relationships/hyperlink" Target="http://spelklubben.se/" TargetMode="External"/><Relationship Id="rId12005" Type="http://schemas.openxmlformats.org/officeDocument/2006/relationships/hyperlink" Target="https://hemstart.se/led-listbelysning-den-moderna-ljuskallan-for-byggprojekt/" TargetMode="External"/><Relationship Id="rId4583" Type="http://schemas.openxmlformats.org/officeDocument/2006/relationships/hyperlink" Target="http://arctic.se/nibe-warmepumpe-versicherung/" TargetMode="External"/><Relationship Id="rId5634" Type="http://schemas.openxmlformats.org/officeDocument/2006/relationships/hyperlink" Target="http://bethard.com/" TargetMode="External"/><Relationship Id="rId11021" Type="http://schemas.openxmlformats.org/officeDocument/2006/relationships/hyperlink" Target="http://yourgild.com/" TargetMode="External"/><Relationship Id="rId3185" Type="http://schemas.openxmlformats.org/officeDocument/2006/relationships/hyperlink" Target="https://www.norteam.se/tjanster/sakerhet" TargetMode="External"/><Relationship Id="rId4236" Type="http://schemas.openxmlformats.org/officeDocument/2006/relationships/hyperlink" Target="https://carpcon.se/fonsterbyte/" TargetMode="External"/><Relationship Id="rId4650" Type="http://schemas.openxmlformats.org/officeDocument/2006/relationships/hyperlink" Target="https://www.affarsvarlden.se/native/spetsig-fond-hittar-globala-vinnare" TargetMode="External"/><Relationship Id="rId5701" Type="http://schemas.openxmlformats.org/officeDocument/2006/relationships/hyperlink" Target="https://www.kvarnx.com/sv/" TargetMode="External"/><Relationship Id="rId8857" Type="http://schemas.openxmlformats.org/officeDocument/2006/relationships/hyperlink" Target="https://mimshacks.com/blog/essential-tips-for-surviving-long-gaming-sessions/" TargetMode="External"/><Relationship Id="rId9908" Type="http://schemas.openxmlformats.org/officeDocument/2006/relationships/hyperlink" Target="http://turner.fi/" TargetMode="External"/><Relationship Id="rId13193" Type="http://schemas.openxmlformats.org/officeDocument/2006/relationships/hyperlink" Target="https://luurituki.fi/nain-se-toimii-kun-ostetaan-autoja-suoraan-puhelimella/" TargetMode="External"/><Relationship Id="rId3252" Type="http://schemas.openxmlformats.org/officeDocument/2006/relationships/hyperlink" Target="http://happycasino.se/" TargetMode="External"/><Relationship Id="rId4303" Type="http://schemas.openxmlformats.org/officeDocument/2006/relationships/hyperlink" Target="https://kronbacken.se/roliga-sommaraktiviteter-for-dig-och-din-hund/" TargetMode="External"/><Relationship Id="rId7459" Type="http://schemas.openxmlformats.org/officeDocument/2006/relationships/hyperlink" Target="http://acnespecialisten.se/" TargetMode="External"/><Relationship Id="rId7873" Type="http://schemas.openxmlformats.org/officeDocument/2006/relationships/hyperlink" Target="https://www.blogstrove.com/categories/lifestyle/tips-to-help-men-succeed-in-the-dating-scene/" TargetMode="External"/><Relationship Id="rId10787" Type="http://schemas.openxmlformats.org/officeDocument/2006/relationships/hyperlink" Target="http://indoorprofessional.se/" TargetMode="External"/><Relationship Id="rId11838" Type="http://schemas.openxmlformats.org/officeDocument/2006/relationships/hyperlink" Target="https://haxan.se/" TargetMode="External"/><Relationship Id="rId13260" Type="http://schemas.openxmlformats.org/officeDocument/2006/relationships/hyperlink" Target="https://sakraror.se/" TargetMode="External"/><Relationship Id="rId173" Type="http://schemas.openxmlformats.org/officeDocument/2006/relationships/hyperlink" Target="https://nem.health/" TargetMode="External"/><Relationship Id="rId6475" Type="http://schemas.openxmlformats.org/officeDocument/2006/relationships/hyperlink" Target="https://www.michaelofrisorerna.se/" TargetMode="External"/><Relationship Id="rId7526" Type="http://schemas.openxmlformats.org/officeDocument/2006/relationships/hyperlink" Target="https://fairinvestments.se/" TargetMode="External"/><Relationship Id="rId8924" Type="http://schemas.openxmlformats.org/officeDocument/2006/relationships/hyperlink" Target="https://www.leipziginfo.de/ratgeber/technik/der-waermepumpen-boom-so-schuetzen-sie-ihre-umweltfreundliche-heizungsanlage/" TargetMode="External"/><Relationship Id="rId10854" Type="http://schemas.openxmlformats.org/officeDocument/2006/relationships/hyperlink" Target="https://www.violamilano.com/" TargetMode="External"/><Relationship Id="rId11905" Type="http://schemas.openxmlformats.org/officeDocument/2006/relationships/hyperlink" Target="http://sufracofinebrands.com/" TargetMode="External"/><Relationship Id="rId240" Type="http://schemas.openxmlformats.org/officeDocument/2006/relationships/hyperlink" Target="http://arctic.se/" TargetMode="External"/><Relationship Id="rId5077" Type="http://schemas.openxmlformats.org/officeDocument/2006/relationships/hyperlink" Target="https://www.themoveonline.com/the-timeless-appeal-of-vintage-styles" TargetMode="External"/><Relationship Id="rId6128" Type="http://schemas.openxmlformats.org/officeDocument/2006/relationships/hyperlink" Target="https://breakingac.com/news/2024/oct/29/the-food-scene-in-atlantic-city-exploring-local-flavors/" TargetMode="External"/><Relationship Id="rId7940" Type="http://schemas.openxmlformats.org/officeDocument/2006/relationships/hyperlink" Target="https://glassfactory.fi/sv/collections/led-mirrors-1" TargetMode="External"/><Relationship Id="rId10507" Type="http://schemas.openxmlformats.org/officeDocument/2006/relationships/hyperlink" Target="https://www.omkrets.se/samhallsnyttans-hjaltar-sa-arbetar-socialpedagoger/" TargetMode="External"/><Relationship Id="rId10921" Type="http://schemas.openxmlformats.org/officeDocument/2006/relationships/hyperlink" Target="https://www.myownwater.com/aluminum-water-bottles" TargetMode="External"/><Relationship Id="rId4093" Type="http://schemas.openxmlformats.org/officeDocument/2006/relationships/hyperlink" Target="https://fairinvestments.se/" TargetMode="External"/><Relationship Id="rId5144" Type="http://schemas.openxmlformats.org/officeDocument/2006/relationships/hyperlink" Target="http://nodepositbonus.cc/" TargetMode="External"/><Relationship Id="rId5491" Type="http://schemas.openxmlformats.org/officeDocument/2006/relationships/hyperlink" Target="https://fairinvestments.se/" TargetMode="External"/><Relationship Id="rId6542" Type="http://schemas.openxmlformats.org/officeDocument/2006/relationships/hyperlink" Target="https://clearfuze.com/solutions/cybersecurity/" TargetMode="External"/><Relationship Id="rId9698" Type="http://schemas.openxmlformats.org/officeDocument/2006/relationships/hyperlink" Target="http://sakraror.se/" TargetMode="External"/><Relationship Id="rId12679" Type="http://schemas.openxmlformats.org/officeDocument/2006/relationships/hyperlink" Target="https://satsamanualen.se/forsakringar-for-solceller-som-tryggar-din-investering/" TargetMode="External"/><Relationship Id="rId1687" Type="http://schemas.openxmlformats.org/officeDocument/2006/relationships/hyperlink" Target="http://triwa.com/" TargetMode="External"/><Relationship Id="rId2738" Type="http://schemas.openxmlformats.org/officeDocument/2006/relationships/hyperlink" Target="https://fairinvestments.se/finansiell-information/" TargetMode="External"/><Relationship Id="rId9765" Type="http://schemas.openxmlformats.org/officeDocument/2006/relationships/hyperlink" Target="https://arctic.se/se/forsakringslosningar/svensksolenergi/" TargetMode="External"/><Relationship Id="rId11695" Type="http://schemas.openxmlformats.org/officeDocument/2006/relationships/hyperlink" Target="http://vontabel.com/" TargetMode="External"/><Relationship Id="rId12746" Type="http://schemas.openxmlformats.org/officeDocument/2006/relationships/hyperlink" Target="https://ladyfashion.se/tandvard-for-kvinnor-viktiga-fakta-och-resurser-i-stockholm/" TargetMode="External"/><Relationship Id="rId1754" Type="http://schemas.openxmlformats.org/officeDocument/2006/relationships/hyperlink" Target="http://mariatand.se/" TargetMode="External"/><Relationship Id="rId2805" Type="http://schemas.openxmlformats.org/officeDocument/2006/relationships/hyperlink" Target="https://www.spelklubben.se/sv" TargetMode="External"/><Relationship Id="rId4160" Type="http://schemas.openxmlformats.org/officeDocument/2006/relationships/hyperlink" Target="https://finansplassen.no/lan/forbrukslan/refinansiering" TargetMode="External"/><Relationship Id="rId5211" Type="http://schemas.openxmlformats.org/officeDocument/2006/relationships/hyperlink" Target="http://bigbenstandup.com/" TargetMode="External"/><Relationship Id="rId8367" Type="http://schemas.openxmlformats.org/officeDocument/2006/relationships/hyperlink" Target="http://dryft.se/" TargetMode="External"/><Relationship Id="rId8781" Type="http://schemas.openxmlformats.org/officeDocument/2006/relationships/hyperlink" Target="http://kruunukaluste.fi/" TargetMode="External"/><Relationship Id="rId9418" Type="http://schemas.openxmlformats.org/officeDocument/2006/relationships/hyperlink" Target="https://thatsup.co.uk/native/48-hour-london-itinerary-for-those-packing-nothing/" TargetMode="External"/><Relationship Id="rId9832" Type="http://schemas.openxmlformats.org/officeDocument/2006/relationships/hyperlink" Target="https://digitalfamilj.se/tio-basta-tandlakarna-i-goteborg-for-hela-familjen/" TargetMode="External"/><Relationship Id="rId10297" Type="http://schemas.openxmlformats.org/officeDocument/2006/relationships/hyperlink" Target="http://sakraror.se/" TargetMode="External"/><Relationship Id="rId11348" Type="http://schemas.openxmlformats.org/officeDocument/2006/relationships/hyperlink" Target="https://r1ekonomi.se/privat-ekonomi/hur-kapitalforvaltning-fungerar-och-varfor-det-ar-sa-viktigt-for-foretag" TargetMode="External"/><Relationship Id="rId46" Type="http://schemas.openxmlformats.org/officeDocument/2006/relationships/hyperlink" Target="http://ljusgrossisten.se/" TargetMode="External"/><Relationship Id="rId1407" Type="http://schemas.openxmlformats.org/officeDocument/2006/relationships/hyperlink" Target="https://artikelzonen.com/att-tanka-pa-nar-du-ska-gifta-dig-pa-ett-slott/" TargetMode="External"/><Relationship Id="rId1821" Type="http://schemas.openxmlformats.org/officeDocument/2006/relationships/hyperlink" Target="https://marketingmartin.se/effektivisera-foretagets-orderhantering-skapandet-och-hanteringen-av-ordrar/" TargetMode="External"/><Relationship Id="rId4977" Type="http://schemas.openxmlformats.org/officeDocument/2006/relationships/hyperlink" Target="https://casinoviking.io/sv/blogg/en-djupgaende-recension-av-bethard-en-komplett-spelupplevelse/" TargetMode="External"/><Relationship Id="rId7383" Type="http://schemas.openxmlformats.org/officeDocument/2006/relationships/hyperlink" Target="https://tomtechblog.com/planning-tools-for-efficient-day-to-day-living/" TargetMode="External"/><Relationship Id="rId8434" Type="http://schemas.openxmlformats.org/officeDocument/2006/relationships/hyperlink" Target="https://mockfjards.se/att-byta-fonster" TargetMode="External"/><Relationship Id="rId10364" Type="http://schemas.openxmlformats.org/officeDocument/2006/relationships/hyperlink" Target="https://www.dagenshandel.se/lb-article/181805/varfor-selfiespegeln-ar-arets-hetaste-affarsverktyg" TargetMode="External"/><Relationship Id="rId11762" Type="http://schemas.openxmlformats.org/officeDocument/2006/relationships/hyperlink" Target="http://yagya.com/" TargetMode="External"/><Relationship Id="rId12813" Type="http://schemas.openxmlformats.org/officeDocument/2006/relationships/hyperlink" Target="http://turner.fi/" TargetMode="External"/><Relationship Id="rId3579" Type="http://schemas.openxmlformats.org/officeDocument/2006/relationships/hyperlink" Target="http://mobot.com/" TargetMode="External"/><Relationship Id="rId7036" Type="http://schemas.openxmlformats.org/officeDocument/2006/relationships/hyperlink" Target="https://www.amazon.com/Racha-Organics-Sriracha-Sauce-Certified/dp/B0CYLCC464" TargetMode="External"/><Relationship Id="rId7450" Type="http://schemas.openxmlformats.org/officeDocument/2006/relationships/hyperlink" Target="http://svenskafonster.se/" TargetMode="External"/><Relationship Id="rId8501" Type="http://schemas.openxmlformats.org/officeDocument/2006/relationships/hyperlink" Target="http://svenskafonster.se/skjutdorr" TargetMode="External"/><Relationship Id="rId10017" Type="http://schemas.openxmlformats.org/officeDocument/2006/relationships/hyperlink" Target="https://eventeffect.se/sveriges-dyraste-evenemang-sa-mycket-kostar-de-att-anordna/" TargetMode="External"/><Relationship Id="rId11415" Type="http://schemas.openxmlformats.org/officeDocument/2006/relationships/hyperlink" Target="https://hustillsalu.se/" TargetMode="External"/><Relationship Id="rId2595" Type="http://schemas.openxmlformats.org/officeDocument/2006/relationships/hyperlink" Target="https://www.favorreklambyra.se/vad-innebar-crm" TargetMode="External"/><Relationship Id="rId3993" Type="http://schemas.openxmlformats.org/officeDocument/2006/relationships/hyperlink" Target="http://restate.se/" TargetMode="External"/><Relationship Id="rId6052" Type="http://schemas.openxmlformats.org/officeDocument/2006/relationships/hyperlink" Target="http://fairinvestments.se/" TargetMode="External"/><Relationship Id="rId7103" Type="http://schemas.openxmlformats.org/officeDocument/2006/relationships/hyperlink" Target="https://www.tandea.se/tandvard/" TargetMode="External"/><Relationship Id="rId10431" Type="http://schemas.openxmlformats.org/officeDocument/2006/relationships/hyperlink" Target="https://distansinstitutet.se/distansutbildningar/pedagogik/barnskotare/" TargetMode="External"/><Relationship Id="rId567" Type="http://schemas.openxmlformats.org/officeDocument/2006/relationships/hyperlink" Target="https://www.lansfast.se/maklare/sodermanland/nykoping/" TargetMode="External"/><Relationship Id="rId1197" Type="http://schemas.openxmlformats.org/officeDocument/2006/relationships/hyperlink" Target="https://haronaglarspa.se/att-byta-tak-i-maskinhall-optimering-av-funktionalitet-och-skydd-for-jordbruksverksamheter/" TargetMode="External"/><Relationship Id="rId2248" Type="http://schemas.openxmlformats.org/officeDocument/2006/relationships/hyperlink" Target="https://www.party-zeiger.de/dampf-ablassen-mit-dampf" TargetMode="External"/><Relationship Id="rId3646" Type="http://schemas.openxmlformats.org/officeDocument/2006/relationships/hyperlink" Target="http://finansplassen.no/" TargetMode="External"/><Relationship Id="rId9275" Type="http://schemas.openxmlformats.org/officeDocument/2006/relationships/hyperlink" Target="https://farkamraten.se/vikten-av-att-valja-ratt-bilservice-for-din-volkswagen-i-tyreso/" TargetMode="External"/><Relationship Id="rId12189" Type="http://schemas.openxmlformats.org/officeDocument/2006/relationships/hyperlink" Target="http://miamipool.se/" TargetMode="External"/><Relationship Id="rId981" Type="http://schemas.openxmlformats.org/officeDocument/2006/relationships/hyperlink" Target="https://www.alfa.no/collections/fritidssko" TargetMode="External"/><Relationship Id="rId2662" Type="http://schemas.openxmlformats.org/officeDocument/2006/relationships/hyperlink" Target="http://fairinvestments.se/" TargetMode="External"/><Relationship Id="rId3713" Type="http://schemas.openxmlformats.org/officeDocument/2006/relationships/hyperlink" Target="https://firmify.se/arbetsplatsens-halsa-och-valmaende-viktiga-strategier-for-foretag/" TargetMode="External"/><Relationship Id="rId6869" Type="http://schemas.openxmlformats.org/officeDocument/2006/relationships/hyperlink" Target="http://www.godies.fi/" TargetMode="External"/><Relationship Id="rId12256" Type="http://schemas.openxmlformats.org/officeDocument/2006/relationships/hyperlink" Target="http://blugiallo.com/" TargetMode="External"/><Relationship Id="rId12670" Type="http://schemas.openxmlformats.org/officeDocument/2006/relationships/hyperlink" Target="https://www.fotbollsem.net/derbyt-i-norra-london-satter-tempen-pa-premier-league-2025-26/" TargetMode="External"/><Relationship Id="rId13307" Type="http://schemas.openxmlformats.org/officeDocument/2006/relationships/hyperlink" Target="https://tkw.se/" TargetMode="External"/><Relationship Id="rId634" Type="http://schemas.openxmlformats.org/officeDocument/2006/relationships/hyperlink" Target="https://markets.vontobel.com/nb-no" TargetMode="External"/><Relationship Id="rId1264" Type="http://schemas.openxmlformats.org/officeDocument/2006/relationships/hyperlink" Target="https://webb-kurser.se/den-evolutionara-vagen-framat-fordjupning-i-distansstudier/" TargetMode="External"/><Relationship Id="rId2315" Type="http://schemas.openxmlformats.org/officeDocument/2006/relationships/hyperlink" Target="https://www.xpublishing.se/kontorsrattor-ar-vi-allihopa" TargetMode="External"/><Relationship Id="rId5885" Type="http://schemas.openxmlformats.org/officeDocument/2006/relationships/hyperlink" Target="https://minlivsresa.se/prisvarda-e-cigaretter-en-guide-for-dig-som-vill-komma-igang/" TargetMode="External"/><Relationship Id="rId6936" Type="http://schemas.openxmlformats.org/officeDocument/2006/relationships/hyperlink" Target="https://www.totallystockholm.se/gourmethunden-fran-torrfoder-till-kobekott/" TargetMode="External"/><Relationship Id="rId8291" Type="http://schemas.openxmlformats.org/officeDocument/2006/relationships/hyperlink" Target="https://www.rusta.com/sv-se/hem-och-inredning/belysning" TargetMode="External"/><Relationship Id="rId9342" Type="http://schemas.openxmlformats.org/officeDocument/2006/relationships/hyperlink" Target="https://minifinder.se/" TargetMode="External"/><Relationship Id="rId11272" Type="http://schemas.openxmlformats.org/officeDocument/2006/relationships/hyperlink" Target="https://www.dieselkraft.se/" TargetMode="External"/><Relationship Id="rId12323" Type="http://schemas.openxmlformats.org/officeDocument/2006/relationships/hyperlink" Target="https://bygghuddinge.se/njut-av-naturen-aret-runt-med-ett-uterum/" TargetMode="External"/><Relationship Id="rId701" Type="http://schemas.openxmlformats.org/officeDocument/2006/relationships/hyperlink" Target="http://toyota-forklifts.se/" TargetMode="External"/><Relationship Id="rId1331" Type="http://schemas.openxmlformats.org/officeDocument/2006/relationships/hyperlink" Target="https://medeltidsmarknad.se/?p=268" TargetMode="External"/><Relationship Id="rId4487" Type="http://schemas.openxmlformats.org/officeDocument/2006/relationships/hyperlink" Target="https://fashionista.se/vad-gor-estetisk-tandvard-unik/" TargetMode="External"/><Relationship Id="rId5538" Type="http://schemas.openxmlformats.org/officeDocument/2006/relationships/hyperlink" Target="https://dashfight.com/news/chiefs-aim-for-three-peat-as-nfl-2024-season-heats-up-6443" TargetMode="External"/><Relationship Id="rId5952" Type="http://schemas.openxmlformats.org/officeDocument/2006/relationships/hyperlink" Target="https://www.startmotor.se/" TargetMode="External"/><Relationship Id="rId3089" Type="http://schemas.openxmlformats.org/officeDocument/2006/relationships/hyperlink" Target="https://gravnorrkoping.se/foyen-ledande-affarsjuridisk-advokatbyra-med-unik-spetskompetens/" TargetMode="External"/><Relationship Id="rId4554" Type="http://schemas.openxmlformats.org/officeDocument/2006/relationships/hyperlink" Target="http://ampilo.se/" TargetMode="External"/><Relationship Id="rId5605" Type="http://schemas.openxmlformats.org/officeDocument/2006/relationships/hyperlink" Target="https://e-ciggbolaget.se/vitt-snus/" TargetMode="External"/><Relationship Id="rId8011" Type="http://schemas.openxmlformats.org/officeDocument/2006/relationships/hyperlink" Target="https://tvohjelmat.com/tulevat-tapahtumat-moottoriurheilun-ystaville/" TargetMode="External"/><Relationship Id="rId13097" Type="http://schemas.openxmlformats.org/officeDocument/2006/relationships/hyperlink" Target="https://www.eonmusic.co.uk/features/encore-economics-why-extras-matter-in-modern-rock-music" TargetMode="External"/><Relationship Id="rId3156" Type="http://schemas.openxmlformats.org/officeDocument/2006/relationships/hyperlink" Target="http://w3solenergi.se/" TargetMode="External"/><Relationship Id="rId4207" Type="http://schemas.openxmlformats.org/officeDocument/2006/relationships/hyperlink" Target="http://cdg.io/" TargetMode="External"/><Relationship Id="rId491" Type="http://schemas.openxmlformats.org/officeDocument/2006/relationships/hyperlink" Target="https://www.adligo.io/" TargetMode="External"/><Relationship Id="rId2172" Type="http://schemas.openxmlformats.org/officeDocument/2006/relationships/hyperlink" Target="https://www.radio86.se/aven-en-liten-vattenlacka-kan-bli-ett-stort-problem" TargetMode="External"/><Relationship Id="rId3223" Type="http://schemas.openxmlformats.org/officeDocument/2006/relationships/hyperlink" Target="http://aretrotale.com/" TargetMode="External"/><Relationship Id="rId3570" Type="http://schemas.openxmlformats.org/officeDocument/2006/relationships/hyperlink" Target="http://aretrotale.com/" TargetMode="External"/><Relationship Id="rId4621" Type="http://schemas.openxmlformats.org/officeDocument/2006/relationships/hyperlink" Target="http://spelklubben.se/" TargetMode="External"/><Relationship Id="rId6379" Type="http://schemas.openxmlformats.org/officeDocument/2006/relationships/hyperlink" Target="https://ourculturemag.com/2024/11/19/creative-breakthroughs-how-taking-a-mental-pause-could-enhance-your-artistic-vision/" TargetMode="External"/><Relationship Id="rId7777" Type="http://schemas.openxmlformats.org/officeDocument/2006/relationships/hyperlink" Target="https://filmeye.se/filmkaraktarerna-som-har-orimlig-tur/" TargetMode="External"/><Relationship Id="rId8828" Type="http://schemas.openxmlformats.org/officeDocument/2006/relationships/hyperlink" Target="https://minifinder.se/" TargetMode="External"/><Relationship Id="rId10758" Type="http://schemas.openxmlformats.org/officeDocument/2006/relationships/hyperlink" Target="https://pappahajen.se/effektiv-bilservice-i-tyreso-for-man-med-fokus-pa-volkswagen-och-skoda/" TargetMode="External"/><Relationship Id="rId11809" Type="http://schemas.openxmlformats.org/officeDocument/2006/relationships/hyperlink" Target="https://amagerliv.dk/annoncorbetaltindhold/kreditvurdering-oeger-sikkerheden-for-virksomheder-paa-amager" TargetMode="External"/><Relationship Id="rId13164" Type="http://schemas.openxmlformats.org/officeDocument/2006/relationships/hyperlink" Target="https://www.nykommun.se/2025/10/01/sa-valjer-du-ratt-bostadsrattsforening/" TargetMode="External"/><Relationship Id="rId144" Type="http://schemas.openxmlformats.org/officeDocument/2006/relationships/hyperlink" Target="http://briardklubben.se/" TargetMode="External"/><Relationship Id="rId6793" Type="http://schemas.openxmlformats.org/officeDocument/2006/relationships/hyperlink" Target="http://snuset.se/" TargetMode="External"/><Relationship Id="rId7844" Type="http://schemas.openxmlformats.org/officeDocument/2006/relationships/hyperlink" Target="http://purakliniken.se/estetisk-tandvard/tandimplantat/" TargetMode="External"/><Relationship Id="rId10825" Type="http://schemas.openxmlformats.org/officeDocument/2006/relationships/hyperlink" Target="https://muuttohaukat.com/" TargetMode="External"/><Relationship Id="rId12180" Type="http://schemas.openxmlformats.org/officeDocument/2006/relationships/hyperlink" Target="http://sufracofinebrands.com/" TargetMode="External"/><Relationship Id="rId13231" Type="http://schemas.openxmlformats.org/officeDocument/2006/relationships/hyperlink" Target="http://rusta.se/" TargetMode="External"/><Relationship Id="rId2989" Type="http://schemas.openxmlformats.org/officeDocument/2006/relationships/hyperlink" Target="https://pengar.in/tryggvi-den-smarta-vagen-till-lan-med-creditsafe/" TargetMode="External"/><Relationship Id="rId5395" Type="http://schemas.openxmlformats.org/officeDocument/2006/relationships/hyperlink" Target="http://snusnetto.se/" TargetMode="External"/><Relationship Id="rId6446" Type="http://schemas.openxmlformats.org/officeDocument/2006/relationships/hyperlink" Target="http://tandea.se/" TargetMode="External"/><Relationship Id="rId6860" Type="http://schemas.openxmlformats.org/officeDocument/2006/relationships/hyperlink" Target="http://hajper.com/" TargetMode="External"/><Relationship Id="rId7911" Type="http://schemas.openxmlformats.org/officeDocument/2006/relationships/hyperlink" Target="https://gastronomen.se/nar-matkonsten-flyttar-ut-pa-natet/" TargetMode="External"/><Relationship Id="rId211" Type="http://schemas.openxmlformats.org/officeDocument/2006/relationships/hyperlink" Target="http://askskinfo.com/" TargetMode="External"/><Relationship Id="rId5048" Type="http://schemas.openxmlformats.org/officeDocument/2006/relationships/hyperlink" Target="https://pontechmarina.com/se/flytbrygga/" TargetMode="External"/><Relationship Id="rId5462" Type="http://schemas.openxmlformats.org/officeDocument/2006/relationships/hyperlink" Target="https://www.playpilot.com/se/blog/digitala-varldar-och-spel-i-filmer-och-serier/" TargetMode="External"/><Relationship Id="rId6513" Type="http://schemas.openxmlformats.org/officeDocument/2006/relationships/hyperlink" Target="https://pasoroblesdailynews.com/three-scenic-hikes-near-paso-robles-and-what-you-need-to-know-before-you-go/206158/" TargetMode="External"/><Relationship Id="rId9669" Type="http://schemas.openxmlformats.org/officeDocument/2006/relationships/hyperlink" Target="http://svenskalasjouren.se/" TargetMode="External"/><Relationship Id="rId11599" Type="http://schemas.openxmlformats.org/officeDocument/2006/relationships/hyperlink" Target="http://www.swedoffice.se/kategori/69602-gaffelparm-trarygg" TargetMode="External"/><Relationship Id="rId12997" Type="http://schemas.openxmlformats.org/officeDocument/2006/relationships/hyperlink" Target="https://www.megariches.com/sv/mobile/" TargetMode="External"/><Relationship Id="rId1658" Type="http://schemas.openxmlformats.org/officeDocument/2006/relationships/hyperlink" Target="https://www.adriantomic.se/2023/10/20/oversikt-av-bryggtillbehor-flyttbryggor-och-vagbrytare/" TargetMode="External"/><Relationship Id="rId2709" Type="http://schemas.openxmlformats.org/officeDocument/2006/relationships/hyperlink" Target="https://luckycasino.com/fi/" TargetMode="External"/><Relationship Id="rId4064" Type="http://schemas.openxmlformats.org/officeDocument/2006/relationships/hyperlink" Target="https://www.bildamusik.nu/" TargetMode="External"/><Relationship Id="rId5115" Type="http://schemas.openxmlformats.org/officeDocument/2006/relationships/hyperlink" Target="https://www.mittegetjavlanarnia.se/tips-for-forstagangskopare" TargetMode="External"/><Relationship Id="rId8685" Type="http://schemas.openxmlformats.org/officeDocument/2006/relationships/hyperlink" Target="https://tiotak.se/byta-tak-maskinhall/" TargetMode="External"/><Relationship Id="rId9736" Type="http://schemas.openxmlformats.org/officeDocument/2006/relationships/hyperlink" Target="http://chattanoogarehab.com/" TargetMode="External"/><Relationship Id="rId3080" Type="http://schemas.openxmlformats.org/officeDocument/2006/relationships/hyperlink" Target="http://qsundsvall.se/" TargetMode="External"/><Relationship Id="rId4131" Type="http://schemas.openxmlformats.org/officeDocument/2006/relationships/hyperlink" Target="https://www.spolarent.se/stamspolning-stockholm/" TargetMode="External"/><Relationship Id="rId7287" Type="http://schemas.openxmlformats.org/officeDocument/2006/relationships/hyperlink" Target="https://www.dagensinfrastruktur.se/2025/01/22/osynlig-infrastruktur-luftfloden-folkhalsa/" TargetMode="External"/><Relationship Id="rId8338" Type="http://schemas.openxmlformats.org/officeDocument/2006/relationships/hyperlink" Target="http://svenskafonster.se/altandorr" TargetMode="External"/><Relationship Id="rId11666" Type="http://schemas.openxmlformats.org/officeDocument/2006/relationships/hyperlink" Target="https://aktieskole.com/hvordan-tjener-man-kassen-paa-aktiehandel/" TargetMode="External"/><Relationship Id="rId12717" Type="http://schemas.openxmlformats.org/officeDocument/2006/relationships/hyperlink" Target="http://tiotak.se/" TargetMode="External"/><Relationship Id="rId1725" Type="http://schemas.openxmlformats.org/officeDocument/2006/relationships/hyperlink" Target="https://www.djungeltrumman.se/e-cigaretter-som-nikotinersattningsbehandling-nrt-en-ny-horisont-for-rokavvanjning/" TargetMode="External"/><Relationship Id="rId7354" Type="http://schemas.openxmlformats.org/officeDocument/2006/relationships/hyperlink" Target="https://ourculturemag.com/2025/01/17/a-guide-to-nicotine-consumption-how-to-choose-the-best-nicotine-only-product-for-yourself/" TargetMode="External"/><Relationship Id="rId8752" Type="http://schemas.openxmlformats.org/officeDocument/2006/relationships/hyperlink" Target="https://www.fotbollsem.net/slutspelet/" TargetMode="External"/><Relationship Id="rId9803" Type="http://schemas.openxmlformats.org/officeDocument/2006/relationships/hyperlink" Target="https://mittvitahus.se/moblerade-foretagsbostader-i-stockholm-som-flexibel-boendelosning/" TargetMode="External"/><Relationship Id="rId10268" Type="http://schemas.openxmlformats.org/officeDocument/2006/relationships/hyperlink" Target="http://kleer.se/" TargetMode="External"/><Relationship Id="rId10682" Type="http://schemas.openxmlformats.org/officeDocument/2006/relationships/hyperlink" Target="http://indoorprofessional.se/" TargetMode="External"/><Relationship Id="rId11319" Type="http://schemas.openxmlformats.org/officeDocument/2006/relationships/hyperlink" Target="https://tidskriftenskeppet.se/detta-bor-man-veta-nar-man-satter-igang-med-investeringar/" TargetMode="External"/><Relationship Id="rId11733" Type="http://schemas.openxmlformats.org/officeDocument/2006/relationships/hyperlink" Target="https://yagya.com/" TargetMode="External"/><Relationship Id="rId17" Type="http://schemas.openxmlformats.org/officeDocument/2006/relationships/hyperlink" Target="https://www.executiveeffect.se/kreativt-foretag-behandlar-diabetes-online/" TargetMode="External"/><Relationship Id="rId3897" Type="http://schemas.openxmlformats.org/officeDocument/2006/relationships/hyperlink" Target="http://purakliniken.se/" TargetMode="External"/><Relationship Id="rId4948" Type="http://schemas.openxmlformats.org/officeDocument/2006/relationships/hyperlink" Target="https://cannabislight.se/kategori/cbd-olja-extrakt/" TargetMode="External"/><Relationship Id="rId7007" Type="http://schemas.openxmlformats.org/officeDocument/2006/relationships/hyperlink" Target="http://chattanoogarehab.com/" TargetMode="External"/><Relationship Id="rId8405" Type="http://schemas.openxmlformats.org/officeDocument/2006/relationships/hyperlink" Target="http://michaelofrisorerna.se/" TargetMode="External"/><Relationship Id="rId10335" Type="http://schemas.openxmlformats.org/officeDocument/2006/relationships/hyperlink" Target="https://www.megariches.com/sv/" TargetMode="External"/><Relationship Id="rId11800" Type="http://schemas.openxmlformats.org/officeDocument/2006/relationships/hyperlink" Target="https://www.foyen.se/affarsomraden/fastighet/" TargetMode="External"/><Relationship Id="rId2499" Type="http://schemas.openxmlformats.org/officeDocument/2006/relationships/hyperlink" Target="https://lemontree.se/tjanster/testautomatisering/" TargetMode="External"/><Relationship Id="rId3964" Type="http://schemas.openxmlformats.org/officeDocument/2006/relationships/hyperlink" Target="https://www.affarsvarlden.se/native/spetsig-fond-hittar-globala-vinnare" TargetMode="External"/><Relationship Id="rId6370" Type="http://schemas.openxmlformats.org/officeDocument/2006/relationships/hyperlink" Target="https://www.myownwater.com/" TargetMode="External"/><Relationship Id="rId7421" Type="http://schemas.openxmlformats.org/officeDocument/2006/relationships/hyperlink" Target="http://chattanoogarehab.com/" TargetMode="External"/><Relationship Id="rId10402" Type="http://schemas.openxmlformats.org/officeDocument/2006/relationships/hyperlink" Target="https://www.oddsonline.se/innovationer-inom-sport-som-forandrat-spelreglerna/" TargetMode="External"/><Relationship Id="rId1" Type="http://schemas.openxmlformats.org/officeDocument/2006/relationships/hyperlink" Target="http://haxan.se/" TargetMode="External"/><Relationship Id="rId885" Type="http://schemas.openxmlformats.org/officeDocument/2006/relationships/hyperlink" Target="https://toyota-forklifts.se/begagnade-truckar/" TargetMode="External"/><Relationship Id="rId2566" Type="http://schemas.openxmlformats.org/officeDocument/2006/relationships/hyperlink" Target="http://tandea.se/" TargetMode="External"/><Relationship Id="rId2980" Type="http://schemas.openxmlformats.org/officeDocument/2006/relationships/hyperlink" Target="https://helaostrasmaland.se/introduktion-till-panther-bar-den-revolutionerande-engangsvapeupplevelsen/" TargetMode="External"/><Relationship Id="rId3617" Type="http://schemas.openxmlformats.org/officeDocument/2006/relationships/hyperlink" Target="https://www.netuniversity.se/sa-funkar-solceller" TargetMode="External"/><Relationship Id="rId6023" Type="http://schemas.openxmlformats.org/officeDocument/2006/relationships/hyperlink" Target="http://michaelofrisorerna.se/" TargetMode="External"/><Relationship Id="rId9179" Type="http://schemas.openxmlformats.org/officeDocument/2006/relationships/hyperlink" Target="https://gonorthshop.com/" TargetMode="External"/><Relationship Id="rId9593" Type="http://schemas.openxmlformats.org/officeDocument/2006/relationships/hyperlink" Target="https://www.campsite.se/camping/campingtillbehoren-som-ar-ett-maste-for-hundagaren/" TargetMode="External"/><Relationship Id="rId12574" Type="http://schemas.openxmlformats.org/officeDocument/2006/relationships/hyperlink" Target="http://w3solenergi.se/" TargetMode="External"/><Relationship Id="rId538" Type="http://schemas.openxmlformats.org/officeDocument/2006/relationships/hyperlink" Target="https://pontonhamnar.se/produkter/flytbryggor/" TargetMode="External"/><Relationship Id="rId952" Type="http://schemas.openxmlformats.org/officeDocument/2006/relationships/hyperlink" Target="https://www.happysocks.com/us/collection/socks-for-men" TargetMode="External"/><Relationship Id="rId1168" Type="http://schemas.openxmlformats.org/officeDocument/2006/relationships/hyperlink" Target="https://www.vont.se/" TargetMode="External"/><Relationship Id="rId1582" Type="http://schemas.openxmlformats.org/officeDocument/2006/relationships/hyperlink" Target="https://now.nu/skadeverkstad-och-skadebesiktningsprocessen-for-volkswagen-bilar-i-haninge/" TargetMode="External"/><Relationship Id="rId2219" Type="http://schemas.openxmlformats.org/officeDocument/2006/relationships/hyperlink" Target="http://distansinstitutet.se/" TargetMode="External"/><Relationship Id="rId2633" Type="http://schemas.openxmlformats.org/officeDocument/2006/relationships/hyperlink" Target="https://finansplassen.no/lan/forbrukslan/refinansiering" TargetMode="External"/><Relationship Id="rId5789" Type="http://schemas.openxmlformats.org/officeDocument/2006/relationships/hyperlink" Target="https://alltombeauty.se/tandlakare-sodermalm-skonhetens-hemlighet-for-ett-stralande-leende/" TargetMode="External"/><Relationship Id="rId8195" Type="http://schemas.openxmlformats.org/officeDocument/2006/relationships/hyperlink" Target="http://sesec.se/" TargetMode="External"/><Relationship Id="rId9246" Type="http://schemas.openxmlformats.org/officeDocument/2006/relationships/hyperlink" Target="http://swedenlongstay.se/" TargetMode="External"/><Relationship Id="rId9660" Type="http://schemas.openxmlformats.org/officeDocument/2006/relationships/hyperlink" Target="http://glassfactory.fi/" TargetMode="External"/><Relationship Id="rId11176" Type="http://schemas.openxmlformats.org/officeDocument/2006/relationships/hyperlink" Target="https://www.kulturakademintrappan.se/" TargetMode="External"/><Relationship Id="rId12227" Type="http://schemas.openxmlformats.org/officeDocument/2006/relationships/hyperlink" Target="http://ledkungen.se/" TargetMode="External"/><Relationship Id="rId605" Type="http://schemas.openxmlformats.org/officeDocument/2006/relationships/hyperlink" Target="https://andaraprofessionals.teamtailor.com/jobs/2387837-investeringsradgivare-till-fair-investments" TargetMode="External"/><Relationship Id="rId1235" Type="http://schemas.openxmlformats.org/officeDocument/2006/relationships/hyperlink" Target="https://dagensperspektiv.no/annonsorinnhold/2023/ut-pa-tur-aldri-sur-slik-far-du-barna-med-pa-tur" TargetMode="External"/><Relationship Id="rId8262" Type="http://schemas.openxmlformats.org/officeDocument/2006/relationships/hyperlink" Target="http://upplevelse.com/" TargetMode="External"/><Relationship Id="rId9313" Type="http://schemas.openxmlformats.org/officeDocument/2006/relationships/hyperlink" Target="https://www.maklarringen.se/upptack-maklarringen/byggtips-fakta-inspiration/flyttipsen-som-sparar-mest-tid" TargetMode="External"/><Relationship Id="rId10192" Type="http://schemas.openxmlformats.org/officeDocument/2006/relationships/hyperlink" Target="https://www.videoslots.com/sv/" TargetMode="External"/><Relationship Id="rId11590" Type="http://schemas.openxmlformats.org/officeDocument/2006/relationships/hyperlink" Target="https://veckodag.nu/" TargetMode="External"/><Relationship Id="rId12641" Type="http://schemas.openxmlformats.org/officeDocument/2006/relationships/hyperlink" Target="https://www.mrvegas.com/sv/faq-encore/" TargetMode="External"/><Relationship Id="rId1302" Type="http://schemas.openxmlformats.org/officeDocument/2006/relationships/hyperlink" Target="https://www.lansfast.se/maklare/sodermanland/nykoping/" TargetMode="External"/><Relationship Id="rId2700" Type="http://schemas.openxmlformats.org/officeDocument/2006/relationships/hyperlink" Target="http://glitnor.com/" TargetMode="External"/><Relationship Id="rId4458" Type="http://schemas.openxmlformats.org/officeDocument/2006/relationships/hyperlink" Target="http://ledkungen.se/" TargetMode="External"/><Relationship Id="rId5856" Type="http://schemas.openxmlformats.org/officeDocument/2006/relationships/hyperlink" Target="https://beautyforyou.se/tandlakare-ostermalm-din-vag-till-en-vackrare-mun/" TargetMode="External"/><Relationship Id="rId6907" Type="http://schemas.openxmlformats.org/officeDocument/2006/relationships/hyperlink" Target="https://everynightstudios.com/" TargetMode="External"/><Relationship Id="rId11243" Type="http://schemas.openxmlformats.org/officeDocument/2006/relationships/hyperlink" Target="https://firmify.se/minireningsverk-ett-paradigmskifte-i-lokaliserad-avloppshantering/" TargetMode="External"/><Relationship Id="rId4872" Type="http://schemas.openxmlformats.org/officeDocument/2006/relationships/hyperlink" Target="https://www.cherry.com/sv/" TargetMode="External"/><Relationship Id="rId5509" Type="http://schemas.openxmlformats.org/officeDocument/2006/relationships/hyperlink" Target="https://www.startmotor.se/kategori/generatorer" TargetMode="External"/><Relationship Id="rId5923" Type="http://schemas.openxmlformats.org/officeDocument/2006/relationships/hyperlink" Target="http://bbml.se/" TargetMode="External"/><Relationship Id="rId11310" Type="http://schemas.openxmlformats.org/officeDocument/2006/relationships/hyperlink" Target="http://guldkorn.nu/" TargetMode="External"/><Relationship Id="rId395" Type="http://schemas.openxmlformats.org/officeDocument/2006/relationships/hyperlink" Target="https://villaprojekt.se/villaforsakring-jamfor-forsakringar-och-hitta-det-mest-prisvarda-skyddet/" TargetMode="External"/><Relationship Id="rId2076" Type="http://schemas.openxmlformats.org/officeDocument/2006/relationships/hyperlink" Target="https://www.allabolag.se/5568169626/bokslut" TargetMode="External"/><Relationship Id="rId3474" Type="http://schemas.openxmlformats.org/officeDocument/2006/relationships/hyperlink" Target="https://www.vont.co/de/nikotinbeutel" TargetMode="External"/><Relationship Id="rId4525" Type="http://schemas.openxmlformats.org/officeDocument/2006/relationships/hyperlink" Target="https://tommytappar.se/installera-solceller-vid-takbyte-en-smart-investering-for-framtiden/" TargetMode="External"/><Relationship Id="rId13068" Type="http://schemas.openxmlformats.org/officeDocument/2006/relationships/hyperlink" Target="http://startmotor.se/" TargetMode="External"/><Relationship Id="rId2490" Type="http://schemas.openxmlformats.org/officeDocument/2006/relationships/hyperlink" Target="http://distansinstitutet.se/" TargetMode="External"/><Relationship Id="rId3127" Type="http://schemas.openxmlformats.org/officeDocument/2006/relationships/hyperlink" Target="https://renbyggbransch.nu/revolutionerande-rorrenovering-med-villarelining-framtidens-losningsleverantor/" TargetMode="External"/><Relationship Id="rId3541" Type="http://schemas.openxmlformats.org/officeDocument/2006/relationships/hyperlink" Target="https://nordictimes.com/partner/spelklubben-ett-forstklassigt-svenskt-onlinecasino-for-spannande-spelupplevelser-stora-vinster/" TargetMode="External"/><Relationship Id="rId6697" Type="http://schemas.openxmlformats.org/officeDocument/2006/relationships/hyperlink" Target="http://startmotor.se/" TargetMode="External"/><Relationship Id="rId7748" Type="http://schemas.openxmlformats.org/officeDocument/2006/relationships/hyperlink" Target="http://kvarnx.com/" TargetMode="External"/><Relationship Id="rId12084" Type="http://schemas.openxmlformats.org/officeDocument/2006/relationships/hyperlink" Target="https://www.villa-sverige.se/2023/10/20/rorinspektion-att-bevara-och-underhalla-vara-vatten-och-avloppssystem/" TargetMode="External"/><Relationship Id="rId13135" Type="http://schemas.openxmlformats.org/officeDocument/2006/relationships/hyperlink" Target="https://morsdagpresent.se/sasongsanpassade-presenter-till-mamma/" TargetMode="External"/><Relationship Id="rId462" Type="http://schemas.openxmlformats.org/officeDocument/2006/relationships/hyperlink" Target="https://www.vont.se/" TargetMode="External"/><Relationship Id="rId1092" Type="http://schemas.openxmlformats.org/officeDocument/2006/relationships/hyperlink" Target="https://kollektomat.se/cfd-handel-en-guide-till-contracts-for-difference-cfd/" TargetMode="External"/><Relationship Id="rId2143" Type="http://schemas.openxmlformats.org/officeDocument/2006/relationships/hyperlink" Target="https://saneringscompaniet.se/" TargetMode="External"/><Relationship Id="rId5299" Type="http://schemas.openxmlformats.org/officeDocument/2006/relationships/hyperlink" Target="http://lansfast.se/" TargetMode="External"/><Relationship Id="rId6764" Type="http://schemas.openxmlformats.org/officeDocument/2006/relationships/hyperlink" Target="https://www.acnespecialisten.se/perioral-dermatit.php" TargetMode="External"/><Relationship Id="rId7815" Type="http://schemas.openxmlformats.org/officeDocument/2006/relationships/hyperlink" Target="https://www.executiveeffect.se/vad-ar-fair-investments/" TargetMode="External"/><Relationship Id="rId9170" Type="http://schemas.openxmlformats.org/officeDocument/2006/relationships/hyperlink" Target="https://www.willabgarden.de/gewachshauser/" TargetMode="External"/><Relationship Id="rId10729" Type="http://schemas.openxmlformats.org/officeDocument/2006/relationships/hyperlink" Target="http://hund.se/" TargetMode="External"/><Relationship Id="rId12151" Type="http://schemas.openxmlformats.org/officeDocument/2006/relationships/hyperlink" Target="https://haxan.se/blogs/news/putsa-fonster-som-proffs" TargetMode="External"/><Relationship Id="rId13202" Type="http://schemas.openxmlformats.org/officeDocument/2006/relationships/hyperlink" Target="http://www.outdooractive.fi/" TargetMode="External"/><Relationship Id="rId115" Type="http://schemas.openxmlformats.org/officeDocument/2006/relationships/hyperlink" Target="http://kopbarnvagn.se/" TargetMode="External"/><Relationship Id="rId2210" Type="http://schemas.openxmlformats.org/officeDocument/2006/relationships/hyperlink" Target="http://ledkungen.se/" TargetMode="External"/><Relationship Id="rId5366" Type="http://schemas.openxmlformats.org/officeDocument/2006/relationships/hyperlink" Target="https://rehabgrossisten.com/skydd-bandage/kna/knaskydd/" TargetMode="External"/><Relationship Id="rId6417" Type="http://schemas.openxmlformats.org/officeDocument/2006/relationships/hyperlink" Target="https://news.cision.com/se/fair-investments" TargetMode="External"/><Relationship Id="rId4382" Type="http://schemas.openxmlformats.org/officeDocument/2006/relationships/hyperlink" Target="https://investeringskapital.se/viktiga-faktorer-att-beakta-i-finansiella-rapporter/" TargetMode="External"/><Relationship Id="rId5019" Type="http://schemas.openxmlformats.org/officeDocument/2006/relationships/hyperlink" Target="http://soartzy.com/" TargetMode="External"/><Relationship Id="rId5433" Type="http://schemas.openxmlformats.org/officeDocument/2006/relationships/hyperlink" Target="https://www.cdg.io/" TargetMode="External"/><Relationship Id="rId5780" Type="http://schemas.openxmlformats.org/officeDocument/2006/relationships/hyperlink" Target="http://upplevelse.com/" TargetMode="External"/><Relationship Id="rId6831" Type="http://schemas.openxmlformats.org/officeDocument/2006/relationships/hyperlink" Target="https://www.bethard.com/sv/sports/live" TargetMode="External"/><Relationship Id="rId8589" Type="http://schemas.openxmlformats.org/officeDocument/2006/relationships/hyperlink" Target="http://svenskafonster.se/" TargetMode="External"/><Relationship Id="rId9987" Type="http://schemas.openxmlformats.org/officeDocument/2006/relationships/hyperlink" Target="http://technobark.com/" TargetMode="External"/><Relationship Id="rId12968" Type="http://schemas.openxmlformats.org/officeDocument/2006/relationships/hyperlink" Target="https://spellabbet.se/fran-fotbollsplan-till-digital-arena-sportens-digitala-revolution/" TargetMode="External"/><Relationship Id="rId1976" Type="http://schemas.openxmlformats.org/officeDocument/2006/relationships/hyperlink" Target="https://www.life-science.se/sadla-om" TargetMode="External"/><Relationship Id="rId4035" Type="http://schemas.openxmlformats.org/officeDocument/2006/relationships/hyperlink" Target="http://lansfast.se/" TargetMode="External"/><Relationship Id="rId11984" Type="http://schemas.openxmlformats.org/officeDocument/2006/relationships/hyperlink" Target="http://hemplybalance.com/" TargetMode="External"/><Relationship Id="rId1629" Type="http://schemas.openxmlformats.org/officeDocument/2006/relationships/hyperlink" Target="https://www.triwa.com/watches-for-men" TargetMode="External"/><Relationship Id="rId5500" Type="http://schemas.openxmlformats.org/officeDocument/2006/relationships/hyperlink" Target="http://kamux.fi/" TargetMode="External"/><Relationship Id="rId8656" Type="http://schemas.openxmlformats.org/officeDocument/2006/relationships/hyperlink" Target="http://startmotor.se/" TargetMode="External"/><Relationship Id="rId9707" Type="http://schemas.openxmlformats.org/officeDocument/2006/relationships/hyperlink" Target="http://upplevelse.com/" TargetMode="External"/><Relationship Id="rId10586" Type="http://schemas.openxmlformats.org/officeDocument/2006/relationships/hyperlink" Target="https://feedbuzzard.com/the-plastic-water-bottle-crisis-and-what-you-can-do-to-help/" TargetMode="External"/><Relationship Id="rId11637" Type="http://schemas.openxmlformats.org/officeDocument/2006/relationships/hyperlink" Target="https://aktieskole.com/hvordan-tjener-man-kassen-paa-aktiehandel/" TargetMode="External"/><Relationship Id="rId3051" Type="http://schemas.openxmlformats.org/officeDocument/2006/relationships/hyperlink" Target="https://www.spelklubben.se/sv/casino" TargetMode="External"/><Relationship Id="rId4102" Type="http://schemas.openxmlformats.org/officeDocument/2006/relationships/hyperlink" Target="http://cannabislight.se/" TargetMode="External"/><Relationship Id="rId7258" Type="http://schemas.openxmlformats.org/officeDocument/2006/relationships/hyperlink" Target="http://mobot.com/" TargetMode="External"/><Relationship Id="rId7672" Type="http://schemas.openxmlformats.org/officeDocument/2006/relationships/hyperlink" Target="https://supernormal.health/se/" TargetMode="External"/><Relationship Id="rId8309" Type="http://schemas.openxmlformats.org/officeDocument/2006/relationships/hyperlink" Target="https://www.executiveeffect.se/vad-ar-fair-investments/" TargetMode="External"/><Relationship Id="rId8723" Type="http://schemas.openxmlformats.org/officeDocument/2006/relationships/hyperlink" Target="https://www.saleseffect.se/fran-siffra-till-story-sa-saljer-du-med-hjalp-av-sannolikhetslara-och-storytelling/" TargetMode="External"/><Relationship Id="rId10239" Type="http://schemas.openxmlformats.org/officeDocument/2006/relationships/hyperlink" Target="https://www.allaannonser.se/samarb-mentalutmaning.html" TargetMode="External"/><Relationship Id="rId10653" Type="http://schemas.openxmlformats.org/officeDocument/2006/relationships/hyperlink" Target="http://kvarnx.com/" TargetMode="External"/><Relationship Id="rId3868" Type="http://schemas.openxmlformats.org/officeDocument/2006/relationships/hyperlink" Target="http://fairinvestments.se/" TargetMode="External"/><Relationship Id="rId4919" Type="http://schemas.openxmlformats.org/officeDocument/2006/relationships/hyperlink" Target="http://bethard.com/" TargetMode="External"/><Relationship Id="rId6274" Type="http://schemas.openxmlformats.org/officeDocument/2006/relationships/hyperlink" Target="http://lansfast.se/" TargetMode="External"/><Relationship Id="rId7325" Type="http://schemas.openxmlformats.org/officeDocument/2006/relationships/hyperlink" Target="https://www.verkstaderna.se/lb-article/181175/koksrenoveringens-abc-och-defgh" TargetMode="External"/><Relationship Id="rId10306" Type="http://schemas.openxmlformats.org/officeDocument/2006/relationships/hyperlink" Target="https://dambloggen.se/for-kvinnor-i-stockholm-hitta-ratt-tandlakare-med-omdomen-och-priser/" TargetMode="External"/><Relationship Id="rId11704" Type="http://schemas.openxmlformats.org/officeDocument/2006/relationships/hyperlink" Target="https://markets.vontobel.com/fi-fi/tuotteet" TargetMode="External"/><Relationship Id="rId789" Type="http://schemas.openxmlformats.org/officeDocument/2006/relationships/hyperlink" Target="https://www.happysocks.com/us/collection/dressed" TargetMode="External"/><Relationship Id="rId2884" Type="http://schemas.openxmlformats.org/officeDocument/2006/relationships/hyperlink" Target="https://www.alfa.no/collections/vintersko-til-dame" TargetMode="External"/><Relationship Id="rId5290" Type="http://schemas.openxmlformats.org/officeDocument/2006/relationships/hyperlink" Target="http://spelklubben.se/" TargetMode="External"/><Relationship Id="rId6341" Type="http://schemas.openxmlformats.org/officeDocument/2006/relationships/hyperlink" Target="http://skidvalla.se/" TargetMode="External"/><Relationship Id="rId9497" Type="http://schemas.openxmlformats.org/officeDocument/2006/relationships/hyperlink" Target="https://www.niederlausitz-aktuell.de/niederlausitz-aktuell/orte/brandenburg/294770/nachhaltig-leben-5-einfache-veraenderungen-fuer-heute-2.html" TargetMode="External"/><Relationship Id="rId10720" Type="http://schemas.openxmlformats.org/officeDocument/2006/relationships/hyperlink" Target="http://mrvegas.com/" TargetMode="External"/><Relationship Id="rId856" Type="http://schemas.openxmlformats.org/officeDocument/2006/relationships/hyperlink" Target="https://www.happysocks.com/us/collection/socks-for-dogs" TargetMode="External"/><Relationship Id="rId1486" Type="http://schemas.openxmlformats.org/officeDocument/2006/relationships/hyperlink" Target="https://www.omnihomeideas.com/home-and-kitchen/5-things-to-consider-before-starting-a-construction-business/" TargetMode="External"/><Relationship Id="rId2537" Type="http://schemas.openxmlformats.org/officeDocument/2006/relationships/hyperlink" Target="http://norteam.se/" TargetMode="External"/><Relationship Id="rId3935" Type="http://schemas.openxmlformats.org/officeDocument/2006/relationships/hyperlink" Target="http://cannabislight.se/" TargetMode="External"/><Relationship Id="rId8099" Type="http://schemas.openxmlformats.org/officeDocument/2006/relationships/hyperlink" Target="https://www.acnespecialisten.se/perioral-dermatit.php" TargetMode="External"/><Relationship Id="rId9564" Type="http://schemas.openxmlformats.org/officeDocument/2006/relationships/hyperlink" Target="https://ng.se/artiklar/nar-brod-kostar-som-guld-sa-sparar-du-pengar-i-matbutiken" TargetMode="External"/><Relationship Id="rId12478" Type="http://schemas.openxmlformats.org/officeDocument/2006/relationships/hyperlink" Target="https://www.saleseffect.se/fair-investments-kraftfull-och-langsiktigt-effektiv-forvaltning/" TargetMode="External"/><Relationship Id="rId12892" Type="http://schemas.openxmlformats.org/officeDocument/2006/relationships/hyperlink" Target="http://nordicknots.com/" TargetMode="External"/><Relationship Id="rId509" Type="http://schemas.openxmlformats.org/officeDocument/2006/relationships/hyperlink" Target="https://schjodt.com/expertise/rekonstruktion-insolvens" TargetMode="External"/><Relationship Id="rId1139" Type="http://schemas.openxmlformats.org/officeDocument/2006/relationships/hyperlink" Target="http://distansinstitutet.se/" TargetMode="External"/><Relationship Id="rId2951" Type="http://schemas.openxmlformats.org/officeDocument/2006/relationships/hyperlink" Target="https://spelsidor.one/2024/03/19/att-lasa-motstandarens-kroppssprak-och-signaler-vid-casinospel/" TargetMode="External"/><Relationship Id="rId5010" Type="http://schemas.openxmlformats.org/officeDocument/2006/relationships/hyperlink" Target="https://everynightstudios.com/pages/om-oss" TargetMode="External"/><Relationship Id="rId8166" Type="http://schemas.openxmlformats.org/officeDocument/2006/relationships/hyperlink" Target="http://swedenlongstay.se/" TargetMode="External"/><Relationship Id="rId9217" Type="http://schemas.openxmlformats.org/officeDocument/2006/relationships/hyperlink" Target="https://miljonhuset.se/att-salja-bostad-i-trosa-vad-du-bor-tanka-pa/" TargetMode="External"/><Relationship Id="rId11494" Type="http://schemas.openxmlformats.org/officeDocument/2006/relationships/hyperlink" Target="https://sek-converter.se/lasa-upp-index-handelsmojligheter/" TargetMode="External"/><Relationship Id="rId12545" Type="http://schemas.openxmlformats.org/officeDocument/2006/relationships/hyperlink" Target="https://hemsidor24.se/artiklar/historian-om-e-cigaretten/" TargetMode="External"/><Relationship Id="rId923" Type="http://schemas.openxmlformats.org/officeDocument/2006/relationships/hyperlink" Target="https://fashionsholics.com/these-styles-are-trending-this-year/" TargetMode="External"/><Relationship Id="rId1553" Type="http://schemas.openxmlformats.org/officeDocument/2006/relationships/hyperlink" Target="https://textiledetails.com/learn-more-about-sock-fabrics/" TargetMode="External"/><Relationship Id="rId2604" Type="http://schemas.openxmlformats.org/officeDocument/2006/relationships/hyperlink" Target="https://www.hookedonnature.se/" TargetMode="External"/><Relationship Id="rId8580" Type="http://schemas.openxmlformats.org/officeDocument/2006/relationships/hyperlink" Target="https://ng.se/artiklar/vad-ar-attraktivitet" TargetMode="External"/><Relationship Id="rId9631" Type="http://schemas.openxmlformats.org/officeDocument/2006/relationships/hyperlink" Target="https://aerius.se/ventilation-uppsala/" TargetMode="External"/><Relationship Id="rId10096" Type="http://schemas.openxmlformats.org/officeDocument/2006/relationships/hyperlink" Target="https://ekstromgaray.se/" TargetMode="External"/><Relationship Id="rId11147" Type="http://schemas.openxmlformats.org/officeDocument/2006/relationships/hyperlink" Target="https://www.entreprenorsjakten.se/" TargetMode="External"/><Relationship Id="rId11561" Type="http://schemas.openxmlformats.org/officeDocument/2006/relationships/hyperlink" Target="https://sufracofinebrands.com/kategori/tvalfat/" TargetMode="External"/><Relationship Id="rId12612" Type="http://schemas.openxmlformats.org/officeDocument/2006/relationships/hyperlink" Target="https://www.dbet.com/sports/" TargetMode="External"/><Relationship Id="rId1206" Type="http://schemas.openxmlformats.org/officeDocument/2006/relationships/hyperlink" Target="https://www.tryggbil.se/" TargetMode="External"/><Relationship Id="rId1620" Type="http://schemas.openxmlformats.org/officeDocument/2006/relationships/hyperlink" Target="https://guldkorn.nu/kopieringspapper/" TargetMode="External"/><Relationship Id="rId4776" Type="http://schemas.openxmlformats.org/officeDocument/2006/relationships/hyperlink" Target="https://tryggbil.se/volkswagen/" TargetMode="External"/><Relationship Id="rId5827" Type="http://schemas.openxmlformats.org/officeDocument/2006/relationships/hyperlink" Target="http://lansfast.se/" TargetMode="External"/><Relationship Id="rId7182" Type="http://schemas.openxmlformats.org/officeDocument/2006/relationships/hyperlink" Target="http://skidvalla.se/" TargetMode="External"/><Relationship Id="rId8233" Type="http://schemas.openxmlformats.org/officeDocument/2006/relationships/hyperlink" Target="https://eventeffect.se/losningen-fran-axo-finans-jamfor-lan-fran-flera-banker-med-en-enda-ansokan/" TargetMode="External"/><Relationship Id="rId10163" Type="http://schemas.openxmlformats.org/officeDocument/2006/relationships/hyperlink" Target="http://nettotobak.com/" TargetMode="External"/><Relationship Id="rId11214" Type="http://schemas.openxmlformats.org/officeDocument/2006/relationships/hyperlink" Target="http://blugiallo.com/" TargetMode="External"/><Relationship Id="rId3378" Type="http://schemas.openxmlformats.org/officeDocument/2006/relationships/hyperlink" Target="https://www.spelklubben.se/sv/casino" TargetMode="External"/><Relationship Id="rId3792" Type="http://schemas.openxmlformats.org/officeDocument/2006/relationships/hyperlink" Target="https://kollektomat.se/kundcentrerade-bygglosningar-fokus-pa-kunden/" TargetMode="External"/><Relationship Id="rId4429" Type="http://schemas.openxmlformats.org/officeDocument/2006/relationships/hyperlink" Target="http://carpcon.se/" TargetMode="External"/><Relationship Id="rId4843" Type="http://schemas.openxmlformats.org/officeDocument/2006/relationships/hyperlink" Target="http://cherry.com/" TargetMode="External"/><Relationship Id="rId7999" Type="http://schemas.openxmlformats.org/officeDocument/2006/relationships/hyperlink" Target="https://hudsonweekly.com/ai-personal-assistants-changing-our-daily-lives/" TargetMode="External"/><Relationship Id="rId8300" Type="http://schemas.openxmlformats.org/officeDocument/2006/relationships/hyperlink" Target="http://nettotobak.com/" TargetMode="External"/><Relationship Id="rId10230" Type="http://schemas.openxmlformats.org/officeDocument/2006/relationships/hyperlink" Target="https://www.dailypioneer.com/2025/impact/digital-innovation-drives-contractors-toward-roofing-crm-software-for-company-growth.html" TargetMode="External"/><Relationship Id="rId299" Type="http://schemas.openxmlformats.org/officeDocument/2006/relationships/hyperlink" Target="https://haxan.se/collections/stadprodukter-doftolja/" TargetMode="External"/><Relationship Id="rId2394" Type="http://schemas.openxmlformats.org/officeDocument/2006/relationships/hyperlink" Target="https://www.novasverige.se/" TargetMode="External"/><Relationship Id="rId3445" Type="http://schemas.openxmlformats.org/officeDocument/2006/relationships/hyperlink" Target="https://distansinstitutet.se/distansutbildningar/ekonomi/upphandlare/" TargetMode="External"/><Relationship Id="rId13039" Type="http://schemas.openxmlformats.org/officeDocument/2006/relationships/hyperlink" Target="https://avtalsguiden.com/2025/09/30/helhetslosningar-for-foretagare-fran-juridiken-till-ekonomin/" TargetMode="External"/><Relationship Id="rId366" Type="http://schemas.openxmlformats.org/officeDocument/2006/relationships/hyperlink" Target="https://toyota-forklifts.se/vara-truckar/plocktruckar/" TargetMode="External"/><Relationship Id="rId780" Type="http://schemas.openxmlformats.org/officeDocument/2006/relationships/hyperlink" Target="https://www.happysocks.com/us/collection/socks-for-men" TargetMode="External"/><Relationship Id="rId2047" Type="http://schemas.openxmlformats.org/officeDocument/2006/relationships/hyperlink" Target="https://w3elsolenergi.se/" TargetMode="External"/><Relationship Id="rId2461" Type="http://schemas.openxmlformats.org/officeDocument/2006/relationships/hyperlink" Target="https://www.bipolarsjuk.se/sag-hejda-till-rokningen" TargetMode="External"/><Relationship Id="rId3512" Type="http://schemas.openxmlformats.org/officeDocument/2006/relationships/hyperlink" Target="https://luckycasino.com/sv/games-lobby/mostPopular" TargetMode="External"/><Relationship Id="rId4910" Type="http://schemas.openxmlformats.org/officeDocument/2006/relationships/hyperlink" Target="https://www.lidingonyheter.se/sakerhet-och-ansvar-inom-onlinecasinon/" TargetMode="External"/><Relationship Id="rId6668" Type="http://schemas.openxmlformats.org/officeDocument/2006/relationships/hyperlink" Target="https://vackerthem.se/mattor-for-hemmet-skapa-en-varm-och-valkomnande-atmosfar/" TargetMode="External"/><Relationship Id="rId9074" Type="http://schemas.openxmlformats.org/officeDocument/2006/relationships/hyperlink" Target="http://michaelofrisorerna.se/" TargetMode="External"/><Relationship Id="rId12055" Type="http://schemas.openxmlformats.org/officeDocument/2006/relationships/hyperlink" Target="https://www.robomarkets.com/se/forex-trading/trading/isk/" TargetMode="External"/><Relationship Id="rId433" Type="http://schemas.openxmlformats.org/officeDocument/2006/relationships/hyperlink" Target="https://veckodag.nu/" TargetMode="External"/><Relationship Id="rId1063" Type="http://schemas.openxmlformats.org/officeDocument/2006/relationships/hyperlink" Target="https://savethefuture.se/forbattrad-arbetsplatsproduktivitet-med-kopieringspapper-av-kvalitet-och-miljovanlighet/" TargetMode="External"/><Relationship Id="rId2114" Type="http://schemas.openxmlformats.org/officeDocument/2006/relationships/hyperlink" Target="http://fairinvestments.se/" TargetMode="External"/><Relationship Id="rId7719" Type="http://schemas.openxmlformats.org/officeDocument/2006/relationships/hyperlink" Target="http://michaelofrisorerna.se/" TargetMode="External"/><Relationship Id="rId8090" Type="http://schemas.openxmlformats.org/officeDocument/2006/relationships/hyperlink" Target="https://shellkonto.nu/iptv-framtidens-tv-tittande-eller-bara-ett-digitalt-sidospar" TargetMode="External"/><Relationship Id="rId9141" Type="http://schemas.openxmlformats.org/officeDocument/2006/relationships/hyperlink" Target="http://aretrotale.com/" TargetMode="External"/><Relationship Id="rId13106" Type="http://schemas.openxmlformats.org/officeDocument/2006/relationships/hyperlink" Target="https://omaha.com/life-entertainment/article_1982bac9-b8bd-5a25-86c2-a5ff34448cc0.html" TargetMode="External"/><Relationship Id="rId4286" Type="http://schemas.openxmlformats.org/officeDocument/2006/relationships/hyperlink" Target="https://nem.health/vo2-max-indikator-for-livslangd-och-kardiovaskular-halsa/" TargetMode="External"/><Relationship Id="rId5684" Type="http://schemas.openxmlformats.org/officeDocument/2006/relationships/hyperlink" Target="http://ekstromgaray.se/" TargetMode="External"/><Relationship Id="rId6735" Type="http://schemas.openxmlformats.org/officeDocument/2006/relationships/hyperlink" Target="http://hund.se/" TargetMode="External"/><Relationship Id="rId11071" Type="http://schemas.openxmlformats.org/officeDocument/2006/relationships/hyperlink" Target="https://www.dbet.com/" TargetMode="External"/><Relationship Id="rId12122" Type="http://schemas.openxmlformats.org/officeDocument/2006/relationships/hyperlink" Target="https://blugiallo.se/herrklader/klader/kostymer/" TargetMode="External"/><Relationship Id="rId500" Type="http://schemas.openxmlformats.org/officeDocument/2006/relationships/hyperlink" Target="https://www.creditsafe.com/dk/da.html" TargetMode="External"/><Relationship Id="rId1130" Type="http://schemas.openxmlformats.org/officeDocument/2006/relationships/hyperlink" Target="https://www.happysocks.com/us/adults/trend-edit?awc=10052_1691401924_370b73eb1de51572fbfdc4339f61e471&amp;utm_medium=Affiliate&amp;utm_content=VigLink+Inc&amp;utm_source=AffiliateWindow&amp;utm_campaign=ES" TargetMode="External"/><Relationship Id="rId5337" Type="http://schemas.openxmlformats.org/officeDocument/2006/relationships/hyperlink" Target="http://hampabonden.se/" TargetMode="External"/><Relationship Id="rId5751" Type="http://schemas.openxmlformats.org/officeDocument/2006/relationships/hyperlink" Target="https://www.cherry.com/sv/welcome-bonus" TargetMode="External"/><Relationship Id="rId6802" Type="http://schemas.openxmlformats.org/officeDocument/2006/relationships/hyperlink" Target="https://www.saleseffect.se/forfattardrommar-overvag-forlag/" TargetMode="External"/><Relationship Id="rId9958" Type="http://schemas.openxmlformats.org/officeDocument/2006/relationships/hyperlink" Target="https://turner.fi/autotallin-ovet-ja-oviremontti/" TargetMode="External"/><Relationship Id="rId11888" Type="http://schemas.openxmlformats.org/officeDocument/2006/relationships/hyperlink" Target="https://www.tryggbil.se/" TargetMode="External"/><Relationship Id="rId12939" Type="http://schemas.openxmlformats.org/officeDocument/2006/relationships/hyperlink" Target="https://www.mrvegas.com/sv/casino/" TargetMode="External"/><Relationship Id="rId1947" Type="http://schemas.openxmlformats.org/officeDocument/2006/relationships/hyperlink" Target="https://pontechmarina.com/se/flytbrygga/" TargetMode="External"/><Relationship Id="rId4353" Type="http://schemas.openxmlformats.org/officeDocument/2006/relationships/hyperlink" Target="http://spelklubben.se/" TargetMode="External"/><Relationship Id="rId5404" Type="http://schemas.openxmlformats.org/officeDocument/2006/relationships/hyperlink" Target="https://www.vont.se/engangs-vape" TargetMode="External"/><Relationship Id="rId8974" Type="http://schemas.openxmlformats.org/officeDocument/2006/relationships/hyperlink" Target="http://glassfactory.fi/" TargetMode="External"/><Relationship Id="rId4006" Type="http://schemas.openxmlformats.org/officeDocument/2006/relationships/hyperlink" Target="http://snusnetto.se/" TargetMode="External"/><Relationship Id="rId4420" Type="http://schemas.openxmlformats.org/officeDocument/2006/relationships/hyperlink" Target="https://modernbusinesslife.com/the-business-model-behind-high-end-matchmaking-services/" TargetMode="External"/><Relationship Id="rId7576" Type="http://schemas.openxmlformats.org/officeDocument/2006/relationships/hyperlink" Target="http://nordicknots.com/" TargetMode="External"/><Relationship Id="rId7990" Type="http://schemas.openxmlformats.org/officeDocument/2006/relationships/hyperlink" Target="https://pedrovazpaulo.com/investing-in-relationships-what-business-leaders-can-learn-from-professional-matchmaking/" TargetMode="External"/><Relationship Id="rId8627" Type="http://schemas.openxmlformats.org/officeDocument/2006/relationships/hyperlink" Target="http://fairinvestments.se/" TargetMode="External"/><Relationship Id="rId11955" Type="http://schemas.openxmlformats.org/officeDocument/2006/relationships/hyperlink" Target="https://www.reco.se/fair-investments-sweden-ab" TargetMode="External"/><Relationship Id="rId290" Type="http://schemas.openxmlformats.org/officeDocument/2006/relationships/hyperlink" Target="https://healthyliving.se/halsofordelar-med-ett-rent-och-stadat-hem/" TargetMode="External"/><Relationship Id="rId3022" Type="http://schemas.openxmlformats.org/officeDocument/2006/relationships/hyperlink" Target="http://filippa-k.com/se/sv/" TargetMode="External"/><Relationship Id="rId6178" Type="http://schemas.openxmlformats.org/officeDocument/2006/relationships/hyperlink" Target="http://everynightstudios.com/" TargetMode="External"/><Relationship Id="rId6592" Type="http://schemas.openxmlformats.org/officeDocument/2006/relationships/hyperlink" Target="http://spelklubben.se/" TargetMode="External"/><Relationship Id="rId7229" Type="http://schemas.openxmlformats.org/officeDocument/2006/relationships/hyperlink" Target="https://www.svenskbyggtidning.se/2025/01/14/fonster-lingo-allt-du-behover-kunna-2/" TargetMode="External"/><Relationship Id="rId7643" Type="http://schemas.openxmlformats.org/officeDocument/2006/relationships/hyperlink" Target="http://lansfast.se/" TargetMode="External"/><Relationship Id="rId10557" Type="http://schemas.openxmlformats.org/officeDocument/2006/relationships/hyperlink" Target="http://wellio.se/" TargetMode="External"/><Relationship Id="rId10971" Type="http://schemas.openxmlformats.org/officeDocument/2006/relationships/hyperlink" Target="https://happycasino.se/" TargetMode="External"/><Relationship Id="rId11608" Type="http://schemas.openxmlformats.org/officeDocument/2006/relationships/hyperlink" Target="https://tiotak.se/" TargetMode="External"/><Relationship Id="rId13030" Type="http://schemas.openxmlformats.org/officeDocument/2006/relationships/hyperlink" Target="http://dbet.com/" TargetMode="External"/><Relationship Id="rId5194" Type="http://schemas.openxmlformats.org/officeDocument/2006/relationships/hyperlink" Target="https://www.bandyrapport.nu/" TargetMode="External"/><Relationship Id="rId6245" Type="http://schemas.openxmlformats.org/officeDocument/2006/relationships/hyperlink" Target="https://skaparum.se/taklaggning-och-renovering-en-guide-till-hallbara-tak/" TargetMode="External"/><Relationship Id="rId10624" Type="http://schemas.openxmlformats.org/officeDocument/2006/relationships/hyperlink" Target="http://mrvegas.com/" TargetMode="External"/><Relationship Id="rId2788" Type="http://schemas.openxmlformats.org/officeDocument/2006/relationships/hyperlink" Target="http://spelklubben.se/" TargetMode="External"/><Relationship Id="rId3839" Type="http://schemas.openxmlformats.org/officeDocument/2006/relationships/hyperlink" Target="https://e-ciggbolaget.se/voom/" TargetMode="External"/><Relationship Id="rId7710" Type="http://schemas.openxmlformats.org/officeDocument/2006/relationships/hyperlink" Target="http://ataraxiavardcentral.se/" TargetMode="External"/><Relationship Id="rId12796" Type="http://schemas.openxmlformats.org/officeDocument/2006/relationships/hyperlink" Target="https://www.tandea.se/tandvard/tandblekning/" TargetMode="External"/><Relationship Id="rId2855" Type="http://schemas.openxmlformats.org/officeDocument/2006/relationships/hyperlink" Target="http://distansinstitutet.se/" TargetMode="External"/><Relationship Id="rId3906" Type="http://schemas.openxmlformats.org/officeDocument/2006/relationships/hyperlink" Target="https://www.agidack.se/" TargetMode="External"/><Relationship Id="rId5261" Type="http://schemas.openxmlformats.org/officeDocument/2006/relationships/hyperlink" Target="https://www.starleaf.com/blog/bottled-water-trends/" TargetMode="External"/><Relationship Id="rId6312" Type="http://schemas.openxmlformats.org/officeDocument/2006/relationships/hyperlink" Target="https://gratisguide.se/tips-for-att-forbattra-din-halsa-med-supernormal/" TargetMode="External"/><Relationship Id="rId9468" Type="http://schemas.openxmlformats.org/officeDocument/2006/relationships/hyperlink" Target="https://www.borskollen.se/nyheter/27/ny-rapport-avslojar-anstallda-blir-avbrutna-varannan-minut-sahar-behaller-du-ditt-fokus" TargetMode="External"/><Relationship Id="rId9882" Type="http://schemas.openxmlformats.org/officeDocument/2006/relationships/hyperlink" Target="https://www.growthnavigate.com/digital-first-insurance-why-platforms-like-gild-insurance-are-gaining-traction" TargetMode="External"/><Relationship Id="rId11398" Type="http://schemas.openxmlformats.org/officeDocument/2006/relationships/hyperlink" Target="http://kopbarnvagn.se/" TargetMode="External"/><Relationship Id="rId12449" Type="http://schemas.openxmlformats.org/officeDocument/2006/relationships/hyperlink" Target="https://www.alvtorpet.se/" TargetMode="External"/><Relationship Id="rId12863" Type="http://schemas.openxmlformats.org/officeDocument/2006/relationships/hyperlink" Target="https://technobark.com/best-dog-gps-trackers/" TargetMode="External"/><Relationship Id="rId96" Type="http://schemas.openxmlformats.org/officeDocument/2006/relationships/hyperlink" Target="https://nem.health/" TargetMode="External"/><Relationship Id="rId827" Type="http://schemas.openxmlformats.org/officeDocument/2006/relationships/hyperlink" Target="https://aktivamammor.se/en-snabbguide-till-knaskydd/" TargetMode="External"/><Relationship Id="rId1457" Type="http://schemas.openxmlformats.org/officeDocument/2006/relationships/hyperlink" Target="https://www.affarsvarlden.se/native/spetsig-fond-hittar-globala-vinnare" TargetMode="External"/><Relationship Id="rId1871" Type="http://schemas.openxmlformats.org/officeDocument/2006/relationships/hyperlink" Target="http://aretrotale.com/" TargetMode="External"/><Relationship Id="rId2508" Type="http://schemas.openxmlformats.org/officeDocument/2006/relationships/hyperlink" Target="https://arctic.se/se/forsakringslosningar/svensksolenergi/" TargetMode="External"/><Relationship Id="rId2922" Type="http://schemas.openxmlformats.org/officeDocument/2006/relationships/hyperlink" Target="https://cannabislight.se/" TargetMode="External"/><Relationship Id="rId8484" Type="http://schemas.openxmlformats.org/officeDocument/2006/relationships/hyperlink" Target="http://kruunukaluste.fi/" TargetMode="External"/><Relationship Id="rId9535" Type="http://schemas.openxmlformats.org/officeDocument/2006/relationships/hyperlink" Target="http://indoorprofessional.se/" TargetMode="External"/><Relationship Id="rId11465" Type="http://schemas.openxmlformats.org/officeDocument/2006/relationships/hyperlink" Target="https://ljusgrossisten.se/" TargetMode="External"/><Relationship Id="rId12516" Type="http://schemas.openxmlformats.org/officeDocument/2006/relationships/hyperlink" Target="http://fairinvestments.se/" TargetMode="External"/><Relationship Id="rId1524" Type="http://schemas.openxmlformats.org/officeDocument/2006/relationships/hyperlink" Target="https://gafashion.net/5-alternative-ways-to-make-your-socks-the-centerpiece/" TargetMode="External"/><Relationship Id="rId7086" Type="http://schemas.openxmlformats.org/officeDocument/2006/relationships/hyperlink" Target="https://ng.se/artiklar/ridandet-tar-aldrig-slut-gor-din-hastdrom-verklig-oavsett-alder" TargetMode="External"/><Relationship Id="rId8137" Type="http://schemas.openxmlformats.org/officeDocument/2006/relationships/hyperlink" Target="https://alltombarnfamiljen.se/kvalitetsprodukter-for-hundar-som-hela-familjen-kan-njuta-av/" TargetMode="External"/><Relationship Id="rId8551" Type="http://schemas.openxmlformats.org/officeDocument/2006/relationships/hyperlink" Target="http://www.godies.fi/" TargetMode="External"/><Relationship Id="rId9602" Type="http://schemas.openxmlformats.org/officeDocument/2006/relationships/hyperlink" Target="https://hustillsalu.se/innan-du-koper-hus-har-ar-5-underhallsbovar/" TargetMode="External"/><Relationship Id="rId10067" Type="http://schemas.openxmlformats.org/officeDocument/2006/relationships/hyperlink" Target="https://www.tandea.se/tandvard/tandblekning/" TargetMode="External"/><Relationship Id="rId10481" Type="http://schemas.openxmlformats.org/officeDocument/2006/relationships/hyperlink" Target="https://bokahandyman.se/handyman/" TargetMode="External"/><Relationship Id="rId11118" Type="http://schemas.openxmlformats.org/officeDocument/2006/relationships/hyperlink" Target="http://startmotor.se/" TargetMode="External"/><Relationship Id="rId12930" Type="http://schemas.openxmlformats.org/officeDocument/2006/relationships/hyperlink" Target="https://minifinder.se/tjanster/kategori/trygghetslarm" TargetMode="External"/><Relationship Id="rId3696" Type="http://schemas.openxmlformats.org/officeDocument/2006/relationships/hyperlink" Target="https://businesstechnet.com/building-successful-business-relationships-lessons-from-matchmaking-experts/" TargetMode="External"/><Relationship Id="rId4747" Type="http://schemas.openxmlformats.org/officeDocument/2006/relationships/hyperlink" Target="http://fairinvestments.se/" TargetMode="External"/><Relationship Id="rId7153" Type="http://schemas.openxmlformats.org/officeDocument/2006/relationships/hyperlink" Target="https://www.foyen.se/affarsomraden/tvistlosning/" TargetMode="External"/><Relationship Id="rId8204" Type="http://schemas.openxmlformats.org/officeDocument/2006/relationships/hyperlink" Target="http://swefleet.se/" TargetMode="External"/><Relationship Id="rId10134" Type="http://schemas.openxmlformats.org/officeDocument/2006/relationships/hyperlink" Target="https://www.washingtontimes.com/sponsored/italian-tailoring-refined-craftsmanship-endures/" TargetMode="External"/><Relationship Id="rId11532" Type="http://schemas.openxmlformats.org/officeDocument/2006/relationships/hyperlink" Target="http://sufracofinebrands.com/" TargetMode="External"/><Relationship Id="rId2298" Type="http://schemas.openxmlformats.org/officeDocument/2006/relationships/hyperlink" Target="https://www.norteam.se/" TargetMode="External"/><Relationship Id="rId3349" Type="http://schemas.openxmlformats.org/officeDocument/2006/relationships/hyperlink" Target="http://mariatand.se/" TargetMode="External"/><Relationship Id="rId7220" Type="http://schemas.openxmlformats.org/officeDocument/2006/relationships/hyperlink" Target="https://coolkille.se/bilvard-for-man-sa-tar-du-hand-om-din-bil-pa-basta-satt/" TargetMode="External"/><Relationship Id="rId684" Type="http://schemas.openxmlformats.org/officeDocument/2006/relationships/hyperlink" Target="https://bilvardsguiden.se/" TargetMode="External"/><Relationship Id="rId2365" Type="http://schemas.openxmlformats.org/officeDocument/2006/relationships/hyperlink" Target="http://fairinvestments.se/" TargetMode="External"/><Relationship Id="rId3763" Type="http://schemas.openxmlformats.org/officeDocument/2006/relationships/hyperlink" Target="https://renbyggbransch.nu/byggindustrin-innovativa-material/" TargetMode="External"/><Relationship Id="rId4814" Type="http://schemas.openxmlformats.org/officeDocument/2006/relationships/hyperlink" Target="http://pontonhamnar.se/" TargetMode="External"/><Relationship Id="rId9392" Type="http://schemas.openxmlformats.org/officeDocument/2006/relationships/hyperlink" Target="https://www.adaptnetwork.com/lifestyle/the-gig-economys-insurance-gap-why-independent-workers-are-still-underprotected/" TargetMode="External"/><Relationship Id="rId10201" Type="http://schemas.openxmlformats.org/officeDocument/2006/relationships/hyperlink" Target="https://www.violamilano.com/product-category/ties" TargetMode="External"/><Relationship Id="rId337" Type="http://schemas.openxmlformats.org/officeDocument/2006/relationships/hyperlink" Target="https://barnmagasinet.se/inkopslista-till-bebis-3-storre-inkop-du-behover-gora/" TargetMode="External"/><Relationship Id="rId2018" Type="http://schemas.openxmlformats.org/officeDocument/2006/relationships/hyperlink" Target="http://fairinvestments.se/" TargetMode="External"/><Relationship Id="rId3416" Type="http://schemas.openxmlformats.org/officeDocument/2006/relationships/hyperlink" Target="http://qsundsvall.se/" TargetMode="External"/><Relationship Id="rId3830" Type="http://schemas.openxmlformats.org/officeDocument/2006/relationships/hyperlink" Target="http://w3elsolenergi.se/" TargetMode="External"/><Relationship Id="rId6986" Type="http://schemas.openxmlformats.org/officeDocument/2006/relationships/hyperlink" Target="http://snusnetto.se/" TargetMode="External"/><Relationship Id="rId9045" Type="http://schemas.openxmlformats.org/officeDocument/2006/relationships/hyperlink" Target="http://gonorthshop.com/" TargetMode="External"/><Relationship Id="rId12373" Type="http://schemas.openxmlformats.org/officeDocument/2006/relationships/hyperlink" Target="http://notyfile.se/sv" TargetMode="External"/><Relationship Id="rId751" Type="http://schemas.openxmlformats.org/officeDocument/2006/relationships/hyperlink" Target="https://smartkonstruktion.se/en-snabb-checklista-for-dig-som-planerar-att-anlita-hantverkare/" TargetMode="External"/><Relationship Id="rId1381" Type="http://schemas.openxmlformats.org/officeDocument/2006/relationships/hyperlink" Target="http://rehabgrossisten.com/" TargetMode="External"/><Relationship Id="rId2432" Type="http://schemas.openxmlformats.org/officeDocument/2006/relationships/hyperlink" Target="http://alfa.no/" TargetMode="External"/><Relationship Id="rId5588" Type="http://schemas.openxmlformats.org/officeDocument/2006/relationships/hyperlink" Target="https://aaatak.se/" TargetMode="External"/><Relationship Id="rId6639" Type="http://schemas.openxmlformats.org/officeDocument/2006/relationships/hyperlink" Target="https://www.sportfack.se/artiklar/20241205/framtidens-sporthandel-ai-hallbarhet-och-personalisering-i-fokus/" TargetMode="External"/><Relationship Id="rId12026" Type="http://schemas.openxmlformats.org/officeDocument/2006/relationships/hyperlink" Target="https://eventeffect.se/husbesiktning-i-sundsvall-allt-du-behover-veta/" TargetMode="External"/><Relationship Id="rId12440" Type="http://schemas.openxmlformats.org/officeDocument/2006/relationships/hyperlink" Target="http://qsundsvall.se/" TargetMode="External"/><Relationship Id="rId404" Type="http://schemas.openxmlformats.org/officeDocument/2006/relationships/hyperlink" Target="https://www.frii.se/3-fordelar-med-att-valja-naturliga-skonhetsprodukter/" TargetMode="External"/><Relationship Id="rId1034" Type="http://schemas.openxmlformats.org/officeDocument/2006/relationships/hyperlink" Target="https://www.happysocks.com/us/collection/socks-for-men" TargetMode="External"/><Relationship Id="rId5655" Type="http://schemas.openxmlformats.org/officeDocument/2006/relationships/hyperlink" Target="http://cherry.com/" TargetMode="External"/><Relationship Id="rId6706" Type="http://schemas.openxmlformats.org/officeDocument/2006/relationships/hyperlink" Target="http://ekstromgaray.se/" TargetMode="External"/><Relationship Id="rId8061" Type="http://schemas.openxmlformats.org/officeDocument/2006/relationships/hyperlink" Target="https://www.kleer.se/" TargetMode="External"/><Relationship Id="rId9112" Type="http://schemas.openxmlformats.org/officeDocument/2006/relationships/hyperlink" Target="http://mynicco.com/" TargetMode="External"/><Relationship Id="rId11042" Type="http://schemas.openxmlformats.org/officeDocument/2006/relationships/hyperlink" Target="http://kvarnx.com/" TargetMode="External"/><Relationship Id="rId1101" Type="http://schemas.openxmlformats.org/officeDocument/2006/relationships/hyperlink" Target="https://dinlokalabokhandel.se/havstangshandel-avancerade-strategier-for-optimering-av-risk-och-avkastning/" TargetMode="External"/><Relationship Id="rId4257" Type="http://schemas.openxmlformats.org/officeDocument/2006/relationships/hyperlink" Target="https://legendbygg.com/" TargetMode="External"/><Relationship Id="rId4671" Type="http://schemas.openxmlformats.org/officeDocument/2006/relationships/hyperlink" Target="https://www.totallyorebro.se/uncategorized/utvecklingen-av-moderna-livecasinon-fran-da-till-nu/" TargetMode="External"/><Relationship Id="rId5308" Type="http://schemas.openxmlformats.org/officeDocument/2006/relationships/hyperlink" Target="https://www.skollyftet.se/" TargetMode="External"/><Relationship Id="rId5722" Type="http://schemas.openxmlformats.org/officeDocument/2006/relationships/hyperlink" Target="http://kamux.fi/" TargetMode="External"/><Relationship Id="rId8878" Type="http://schemas.openxmlformats.org/officeDocument/2006/relationships/hyperlink" Target="https://glassfactory.fi/sv/collections/led-mirrors-1" TargetMode="External"/><Relationship Id="rId3273" Type="http://schemas.openxmlformats.org/officeDocument/2006/relationships/hyperlink" Target="https://www.play-casino.se/spelklubben-din-guide-till-live-blackjack/" TargetMode="External"/><Relationship Id="rId4324" Type="http://schemas.openxmlformats.org/officeDocument/2006/relationships/hyperlink" Target="https://swenug.se/sa-fungerar-solenergi/" TargetMode="External"/><Relationship Id="rId9929" Type="http://schemas.openxmlformats.org/officeDocument/2006/relationships/hyperlink" Target="http://startmotor.se/" TargetMode="External"/><Relationship Id="rId11859" Type="http://schemas.openxmlformats.org/officeDocument/2006/relationships/hyperlink" Target="http://freckeus.se/" TargetMode="External"/><Relationship Id="rId194" Type="http://schemas.openxmlformats.org/officeDocument/2006/relationships/hyperlink" Target="https://ljusgrossisten.se/" TargetMode="External"/><Relationship Id="rId1918" Type="http://schemas.openxmlformats.org/officeDocument/2006/relationships/hyperlink" Target="https://movingimagesmalmo.se/grymt-flyt-i-bathamnen" TargetMode="External"/><Relationship Id="rId6496" Type="http://schemas.openxmlformats.org/officeDocument/2006/relationships/hyperlink" Target="https://www.kanalgratis.se/sv/jiggar-med-riggar" TargetMode="External"/><Relationship Id="rId7894" Type="http://schemas.openxmlformats.org/officeDocument/2006/relationships/hyperlink" Target="https://glassfactory.fi/sv/collections/led-mirrors-1" TargetMode="External"/><Relationship Id="rId8945" Type="http://schemas.openxmlformats.org/officeDocument/2006/relationships/hyperlink" Target="https://www.niederlausitz-aktuell.de/niederlausitz-aktuell/orte/brandenburg/294731/nachhaltig-leben-5-einfache-veraenderungen-fuer-heute.html" TargetMode="External"/><Relationship Id="rId10875" Type="http://schemas.openxmlformats.org/officeDocument/2006/relationships/hyperlink" Target="http://michaelofrisorerna.se/" TargetMode="External"/><Relationship Id="rId11926" Type="http://schemas.openxmlformats.org/officeDocument/2006/relationships/hyperlink" Target="http://robomarkets.com/" TargetMode="External"/><Relationship Id="rId13281" Type="http://schemas.openxmlformats.org/officeDocument/2006/relationships/hyperlink" Target="http://tandea.se/tandvard/akut-tandvard-stockholm/" TargetMode="External"/><Relationship Id="rId261" Type="http://schemas.openxmlformats.org/officeDocument/2006/relationships/hyperlink" Target="https://chronos.se/diabetes/blodsocker/hba1c" TargetMode="External"/><Relationship Id="rId3340" Type="http://schemas.openxmlformats.org/officeDocument/2006/relationships/hyperlink" Target="http://freckeus.se/" TargetMode="External"/><Relationship Id="rId5098" Type="http://schemas.openxmlformats.org/officeDocument/2006/relationships/hyperlink" Target="https://www.interiorguiden.se/ombildning-till-brf-ar-det-vart-det" TargetMode="External"/><Relationship Id="rId6149" Type="http://schemas.openxmlformats.org/officeDocument/2006/relationships/hyperlink" Target="http://coface.dk/" TargetMode="External"/><Relationship Id="rId7547" Type="http://schemas.openxmlformats.org/officeDocument/2006/relationships/hyperlink" Target="http://arctic.se/nibe-warmepumpe-versicherung/" TargetMode="External"/><Relationship Id="rId7961" Type="http://schemas.openxmlformats.org/officeDocument/2006/relationships/hyperlink" Target="http://bus4you.se/" TargetMode="External"/><Relationship Id="rId10528" Type="http://schemas.openxmlformats.org/officeDocument/2006/relationships/hyperlink" Target="https://www.epidemicsound.com/music/" TargetMode="External"/><Relationship Id="rId10942" Type="http://schemas.openxmlformats.org/officeDocument/2006/relationships/hyperlink" Target="https://www.kleer.se/finance-as-a-service/bokforingsprogram/" TargetMode="External"/><Relationship Id="rId6563" Type="http://schemas.openxmlformats.org/officeDocument/2006/relationships/hyperlink" Target="https://www.vont.se/engangs-vape" TargetMode="External"/><Relationship Id="rId7614" Type="http://schemas.openxmlformats.org/officeDocument/2006/relationships/hyperlink" Target="http://upplevelse.com/" TargetMode="External"/><Relationship Id="rId13001" Type="http://schemas.openxmlformats.org/officeDocument/2006/relationships/hyperlink" Target="http://lsb.se/" TargetMode="External"/><Relationship Id="rId2759" Type="http://schemas.openxmlformats.org/officeDocument/2006/relationships/hyperlink" Target="http://fairinvestments.se/" TargetMode="External"/><Relationship Id="rId5165" Type="http://schemas.openxmlformats.org/officeDocument/2006/relationships/hyperlink" Target="http://hbel.se/" TargetMode="External"/><Relationship Id="rId6216" Type="http://schemas.openxmlformats.org/officeDocument/2006/relationships/hyperlink" Target="https://ekstromgaray.se/" TargetMode="External"/><Relationship Id="rId6630" Type="http://schemas.openxmlformats.org/officeDocument/2006/relationships/hyperlink" Target="https://ledarsidorna.se/ledarskap-och-investeringar-att-fatta-hallbara-ekonomiska-beslut/" TargetMode="External"/><Relationship Id="rId9786" Type="http://schemas.openxmlformats.org/officeDocument/2006/relationships/hyperlink" Target="https://bonusfamiljer.se/hundens-matval-for-hela-familjen/" TargetMode="External"/><Relationship Id="rId1775" Type="http://schemas.openxmlformats.org/officeDocument/2006/relationships/hyperlink" Target="https://www.tandea.se/" TargetMode="External"/><Relationship Id="rId2826" Type="http://schemas.openxmlformats.org/officeDocument/2006/relationships/hyperlink" Target="https://www.gadgetgirl.se/stopp-i-roren-inga-problem" TargetMode="External"/><Relationship Id="rId4181" Type="http://schemas.openxmlformats.org/officeDocument/2006/relationships/hyperlink" Target="https://www.alfa.no/" TargetMode="External"/><Relationship Id="rId5232" Type="http://schemas.openxmlformats.org/officeDocument/2006/relationships/hyperlink" Target="https://tiotak.se/byta-tak-ekonomibyggnad/" TargetMode="External"/><Relationship Id="rId8388" Type="http://schemas.openxmlformats.org/officeDocument/2006/relationships/hyperlink" Target="https://filmeye.se/att-njuta-av-filmkvallar-utan-att-fastna-i-stillasittande/" TargetMode="External"/><Relationship Id="rId9439" Type="http://schemas.openxmlformats.org/officeDocument/2006/relationships/hyperlink" Target="https://www.spelklubben.se/sv" TargetMode="External"/><Relationship Id="rId9853" Type="http://schemas.openxmlformats.org/officeDocument/2006/relationships/hyperlink" Target="https://cdbilvardsprodukter.se/" TargetMode="External"/><Relationship Id="rId11369" Type="http://schemas.openxmlformats.org/officeDocument/2006/relationships/hyperlink" Target="https://familjeekonomin.se/fa-din-ekonomi-att-ga-ihop-med-dessa-tips/" TargetMode="External"/><Relationship Id="rId12767" Type="http://schemas.openxmlformats.org/officeDocument/2006/relationships/hyperlink" Target="http://cherry.com/" TargetMode="External"/><Relationship Id="rId67" Type="http://schemas.openxmlformats.org/officeDocument/2006/relationships/hyperlink" Target="http://haxan.se/" TargetMode="External"/><Relationship Id="rId1428" Type="http://schemas.openxmlformats.org/officeDocument/2006/relationships/hyperlink" Target="http://haxan.se/" TargetMode="External"/><Relationship Id="rId8455" Type="http://schemas.openxmlformats.org/officeDocument/2006/relationships/hyperlink" Target="http://myownwater.com/" TargetMode="External"/><Relationship Id="rId9506" Type="http://schemas.openxmlformats.org/officeDocument/2006/relationships/hyperlink" Target="https://lindenytt.com/extra/sveriges-maktigaste-idrottsfester-genom-tiderna" TargetMode="External"/><Relationship Id="rId11783" Type="http://schemas.openxmlformats.org/officeDocument/2006/relationships/hyperlink" Target="https://www.robomarkets.com/se/forex-trading/assets/indices/" TargetMode="External"/><Relationship Id="rId12834" Type="http://schemas.openxmlformats.org/officeDocument/2006/relationships/hyperlink" Target="http://kruunukaluste.fi/" TargetMode="External"/><Relationship Id="rId1842" Type="http://schemas.openxmlformats.org/officeDocument/2006/relationships/hyperlink" Target="http://swedoffice.se/" TargetMode="External"/><Relationship Id="rId4998" Type="http://schemas.openxmlformats.org/officeDocument/2006/relationships/hyperlink" Target="https://www.tandea.se/" TargetMode="External"/><Relationship Id="rId7057" Type="http://schemas.openxmlformats.org/officeDocument/2006/relationships/hyperlink" Target="http://nodepositbonus.cc/" TargetMode="External"/><Relationship Id="rId8108" Type="http://schemas.openxmlformats.org/officeDocument/2006/relationships/hyperlink" Target="https://arctic.se/se/forsakringslosningar/svensksolenergi/" TargetMode="External"/><Relationship Id="rId9920" Type="http://schemas.openxmlformats.org/officeDocument/2006/relationships/hyperlink" Target="http://glassfactory.fi/" TargetMode="External"/><Relationship Id="rId10385" Type="http://schemas.openxmlformats.org/officeDocument/2006/relationships/hyperlink" Target="https://alltsomsker.nu/upptack-naturens-hemligheter-med-sakerheten-i-atanke/" TargetMode="External"/><Relationship Id="rId11436" Type="http://schemas.openxmlformats.org/officeDocument/2006/relationships/hyperlink" Target="http://lansfast.se/" TargetMode="External"/><Relationship Id="rId11850" Type="http://schemas.openxmlformats.org/officeDocument/2006/relationships/hyperlink" Target="http://creditsafe.se/" TargetMode="External"/><Relationship Id="rId12901" Type="http://schemas.openxmlformats.org/officeDocument/2006/relationships/hyperlink" Target="https://www.totallystockholm.se/varfor-foredrar-unga-sodermalm-over-ostermalm/" TargetMode="External"/><Relationship Id="rId6073" Type="http://schemas.openxmlformats.org/officeDocument/2006/relationships/hyperlink" Target="https://www.dagensnaringsliv.se/20241029/273921/soartzy-stilren-unik-inredning-hotell-hem" TargetMode="External"/><Relationship Id="rId7124" Type="http://schemas.openxmlformats.org/officeDocument/2006/relationships/hyperlink" Target="https://www.mariatand.se/" TargetMode="External"/><Relationship Id="rId7471" Type="http://schemas.openxmlformats.org/officeDocument/2006/relationships/hyperlink" Target="http://bethard.com/" TargetMode="External"/><Relationship Id="rId8522" Type="http://schemas.openxmlformats.org/officeDocument/2006/relationships/hyperlink" Target="http://mockfjards.se/" TargetMode="External"/><Relationship Id="rId10038" Type="http://schemas.openxmlformats.org/officeDocument/2006/relationships/hyperlink" Target="http://megariches.com/" TargetMode="External"/><Relationship Id="rId10452" Type="http://schemas.openxmlformats.org/officeDocument/2006/relationships/hyperlink" Target="https://www.rusta.com/sv-se/hem-och-inredning/belysning" TargetMode="External"/><Relationship Id="rId11503" Type="http://schemas.openxmlformats.org/officeDocument/2006/relationships/hyperlink" Target="https://bolagshistorik.se/vad-gor-en-trader/" TargetMode="External"/><Relationship Id="rId3667" Type="http://schemas.openxmlformats.org/officeDocument/2006/relationships/hyperlink" Target="https://www.count.nu/" TargetMode="External"/><Relationship Id="rId4718" Type="http://schemas.openxmlformats.org/officeDocument/2006/relationships/hyperlink" Target="https://www.dagensinfrastruktur.se/2024/07/25/spelbranschen-vaxer-hur-far-man-svensk-spellicens/" TargetMode="External"/><Relationship Id="rId10105" Type="http://schemas.openxmlformats.org/officeDocument/2006/relationships/hyperlink" Target="https://www.kungaslottet.se/" TargetMode="External"/><Relationship Id="rId588" Type="http://schemas.openxmlformats.org/officeDocument/2006/relationships/hyperlink" Target="http://villarelining.se/" TargetMode="External"/><Relationship Id="rId2269" Type="http://schemas.openxmlformats.org/officeDocument/2006/relationships/hyperlink" Target="https://www.vont.co/de/e-zigarette/0-mg-ml" TargetMode="External"/><Relationship Id="rId2683" Type="http://schemas.openxmlformats.org/officeDocument/2006/relationships/hyperlink" Target="https://signalnoi.se/voom-bar-den-ultimata-engangsvapen-med-elegans-och-variation/" TargetMode="External"/><Relationship Id="rId3734" Type="http://schemas.openxmlformats.org/officeDocument/2006/relationships/hyperlink" Target="https://www.branschradet-vilma.se/" TargetMode="External"/><Relationship Id="rId6140" Type="http://schemas.openxmlformats.org/officeDocument/2006/relationships/hyperlink" Target="http://nodepositbonus.cc/" TargetMode="External"/><Relationship Id="rId9296" Type="http://schemas.openxmlformats.org/officeDocument/2006/relationships/hyperlink" Target="http://tandea.se/" TargetMode="External"/><Relationship Id="rId12277" Type="http://schemas.openxmlformats.org/officeDocument/2006/relationships/hyperlink" Target="http://saneringscompaniet.se/" TargetMode="External"/><Relationship Id="rId12691" Type="http://schemas.openxmlformats.org/officeDocument/2006/relationships/hyperlink" Target="https://hemmaprofilen.se/belysningens-betydelse-for-ett-trivsamt-hem/" TargetMode="External"/><Relationship Id="rId655" Type="http://schemas.openxmlformats.org/officeDocument/2006/relationships/hyperlink" Target="https://www.happysocks.com/us/collection/socks-for-men" TargetMode="External"/><Relationship Id="rId1285" Type="http://schemas.openxmlformats.org/officeDocument/2006/relationships/hyperlink" Target="http://distansinstitutet.se/" TargetMode="External"/><Relationship Id="rId2336" Type="http://schemas.openxmlformats.org/officeDocument/2006/relationships/hyperlink" Target="https://www.xocmusic.com/how-to-buy-an-authentic-vintage-designer-handbag-the-guide" TargetMode="External"/><Relationship Id="rId2750" Type="http://schemas.openxmlformats.org/officeDocument/2006/relationships/hyperlink" Target="http://conclean.se/" TargetMode="External"/><Relationship Id="rId3801" Type="http://schemas.openxmlformats.org/officeDocument/2006/relationships/hyperlink" Target="https://creatables.se/fem-smarta-tips-for-att-valja-byggfirma-med-fortroende-i-stockholm/" TargetMode="External"/><Relationship Id="rId6957" Type="http://schemas.openxmlformats.org/officeDocument/2006/relationships/hyperlink" Target="http://arctic.se/se/forsakringslosningar/svensksolenergi/" TargetMode="External"/><Relationship Id="rId9363" Type="http://schemas.openxmlformats.org/officeDocument/2006/relationships/hyperlink" Target="https://www.videoslots.com/sv/mobile/" TargetMode="External"/><Relationship Id="rId11293" Type="http://schemas.openxmlformats.org/officeDocument/2006/relationships/hyperlink" Target="https://www.allabolag.se/5568169626/fair-investments-sweden-ab" TargetMode="External"/><Relationship Id="rId12344" Type="http://schemas.openxmlformats.org/officeDocument/2006/relationships/hyperlink" Target="http://lemontree.se/" TargetMode="External"/><Relationship Id="rId308" Type="http://schemas.openxmlformats.org/officeDocument/2006/relationships/hyperlink" Target="http://askskinfo.com/" TargetMode="External"/><Relationship Id="rId722" Type="http://schemas.openxmlformats.org/officeDocument/2006/relationships/hyperlink" Target="https://www.linkedin.com/company/fair-investments-sweden-ab/?originalSubdomain=se" TargetMode="External"/><Relationship Id="rId1352" Type="http://schemas.openxmlformats.org/officeDocument/2006/relationships/hyperlink" Target="https://lammetochbrodet.se/den-unika-charmen-hos-irlandska-pubar/" TargetMode="External"/><Relationship Id="rId2403" Type="http://schemas.openxmlformats.org/officeDocument/2006/relationships/hyperlink" Target="https://www.lices.se/jag-ska-bli-vardbitrade" TargetMode="External"/><Relationship Id="rId5559" Type="http://schemas.openxmlformats.org/officeDocument/2006/relationships/hyperlink" Target="https://hampabonden.se/" TargetMode="External"/><Relationship Id="rId9016" Type="http://schemas.openxmlformats.org/officeDocument/2006/relationships/hyperlink" Target="https://www.expressen.se/brandstudio/invozio-1/fran-botten-till-uppgang-svenskt-foretagande-pa-vag-tillbaka/" TargetMode="External"/><Relationship Id="rId9430" Type="http://schemas.openxmlformats.org/officeDocument/2006/relationships/hyperlink" Target="https://www.wearebrighton.com/newsopinion/from-kick-off-to-click-off-the-digital-extension-of-football-fandom/" TargetMode="External"/><Relationship Id="rId1005" Type="http://schemas.openxmlformats.org/officeDocument/2006/relationships/hyperlink" Target="http://distansinstitutet.se/" TargetMode="External"/><Relationship Id="rId4575" Type="http://schemas.openxmlformats.org/officeDocument/2006/relationships/hyperlink" Target="http://cdg.io/" TargetMode="External"/><Relationship Id="rId5973" Type="http://schemas.openxmlformats.org/officeDocument/2006/relationships/hyperlink" Target="http://myownwater.com/" TargetMode="External"/><Relationship Id="rId8032" Type="http://schemas.openxmlformats.org/officeDocument/2006/relationships/hyperlink" Target="https://passioneffect.se/otur-i-karlek-och-tur-i-spel-kan-det-verkligen-stamma/" TargetMode="External"/><Relationship Id="rId11360" Type="http://schemas.openxmlformats.org/officeDocument/2006/relationships/hyperlink" Target="https://kollektomat.se/fair-investments-sweden-ab-bemyndigande-for-transparent-och-etisk-formogenhetsforvaltning/" TargetMode="External"/><Relationship Id="rId12411" Type="http://schemas.openxmlformats.org/officeDocument/2006/relationships/hyperlink" Target="http://foyen.se/" TargetMode="External"/><Relationship Id="rId3177" Type="http://schemas.openxmlformats.org/officeDocument/2006/relationships/hyperlink" Target="http://glitnor.com/" TargetMode="External"/><Relationship Id="rId4228" Type="http://schemas.openxmlformats.org/officeDocument/2006/relationships/hyperlink" Target="http://arctic.se/" TargetMode="External"/><Relationship Id="rId5626" Type="http://schemas.openxmlformats.org/officeDocument/2006/relationships/hyperlink" Target="https://aretrotale.com/en/" TargetMode="External"/><Relationship Id="rId11013" Type="http://schemas.openxmlformats.org/officeDocument/2006/relationships/hyperlink" Target="https://www.videoslots.com/sv/" TargetMode="External"/><Relationship Id="rId3591" Type="http://schemas.openxmlformats.org/officeDocument/2006/relationships/hyperlink" Target="http://alfa.no/" TargetMode="External"/><Relationship Id="rId4642" Type="http://schemas.openxmlformats.org/officeDocument/2006/relationships/hyperlink" Target="http://fairinvestments.se/" TargetMode="External"/><Relationship Id="rId7798" Type="http://schemas.openxmlformats.org/officeDocument/2006/relationships/hyperlink" Target="https://www.blogstrove.com/categories/lifestyle/how-to-best-care-for-your-pet/" TargetMode="External"/><Relationship Id="rId8849" Type="http://schemas.openxmlformats.org/officeDocument/2006/relationships/hyperlink" Target="https://www.rusta.com/sv-se/hem-och-inredning/belysning" TargetMode="External"/><Relationship Id="rId10779" Type="http://schemas.openxmlformats.org/officeDocument/2006/relationships/hyperlink" Target="http://lilla-varlden.se/" TargetMode="External"/><Relationship Id="rId13185" Type="http://schemas.openxmlformats.org/officeDocument/2006/relationships/hyperlink" Target="https://www.megariches.com/casino" TargetMode="External"/><Relationship Id="rId2193" Type="http://schemas.openxmlformats.org/officeDocument/2006/relationships/hyperlink" Target="http://tryggbil.se/" TargetMode="External"/><Relationship Id="rId3244" Type="http://schemas.openxmlformats.org/officeDocument/2006/relationships/hyperlink" Target="http://fairinvestments.se/" TargetMode="External"/><Relationship Id="rId7865" Type="http://schemas.openxmlformats.org/officeDocument/2006/relationships/hyperlink" Target="https://allyourbasearebelongtous.se/svensk-iptv-ett-modernt-satt-att-konsumera-tv" TargetMode="External"/><Relationship Id="rId8916" Type="http://schemas.openxmlformats.org/officeDocument/2006/relationships/hyperlink" Target="https://avstarnews.com/uncuffing-season-why-singles-are-embracing-summer-for-new-connections/" TargetMode="External"/><Relationship Id="rId13252" Type="http://schemas.openxmlformats.org/officeDocument/2006/relationships/hyperlink" Target="https://www.swedoffice.se/kategori/49902-kopieringspapper" TargetMode="External"/><Relationship Id="rId165" Type="http://schemas.openxmlformats.org/officeDocument/2006/relationships/hyperlink" Target="https://bigbenstandup.com/" TargetMode="External"/><Relationship Id="rId2260" Type="http://schemas.openxmlformats.org/officeDocument/2006/relationships/hyperlink" Target="https://www.vont.se/to-go" TargetMode="External"/><Relationship Id="rId3311" Type="http://schemas.openxmlformats.org/officeDocument/2006/relationships/hyperlink" Target="https://canarsiecourier.com/the-evolution-of-social-interaction-in-the-digital-age/" TargetMode="External"/><Relationship Id="rId6467" Type="http://schemas.openxmlformats.org/officeDocument/2006/relationships/hyperlink" Target="http://cateringfabriken.se/" TargetMode="External"/><Relationship Id="rId6881" Type="http://schemas.openxmlformats.org/officeDocument/2006/relationships/hyperlink" Target="https://www.spelklubben.se/sv/live-casino" TargetMode="External"/><Relationship Id="rId7518" Type="http://schemas.openxmlformats.org/officeDocument/2006/relationships/hyperlink" Target="https://www.myownwater.com/" TargetMode="External"/><Relationship Id="rId7932" Type="http://schemas.openxmlformats.org/officeDocument/2006/relationships/hyperlink" Target="http://kleer.se/" TargetMode="External"/><Relationship Id="rId10846" Type="http://schemas.openxmlformats.org/officeDocument/2006/relationships/hyperlink" Target="http://chattanoogarehab.com/" TargetMode="External"/><Relationship Id="rId232" Type="http://schemas.openxmlformats.org/officeDocument/2006/relationships/hyperlink" Target="http://chronos.se/" TargetMode="External"/><Relationship Id="rId5069" Type="http://schemas.openxmlformats.org/officeDocument/2006/relationships/hyperlink" Target="https://aaatak.se/" TargetMode="External"/><Relationship Id="rId5483" Type="http://schemas.openxmlformats.org/officeDocument/2006/relationships/hyperlink" Target="http://e-ciggbolaget.se/" TargetMode="External"/><Relationship Id="rId6534" Type="http://schemas.openxmlformats.org/officeDocument/2006/relationships/hyperlink" Target="http://clearfuze.com/" TargetMode="External"/><Relationship Id="rId10913" Type="http://schemas.openxmlformats.org/officeDocument/2006/relationships/hyperlink" Target="http://myownwater.com/" TargetMode="External"/><Relationship Id="rId1679" Type="http://schemas.openxmlformats.org/officeDocument/2006/relationships/hyperlink" Target="https://pluslifestyles.com/starting-your-own-lifestyle-brand/" TargetMode="External"/><Relationship Id="rId4085" Type="http://schemas.openxmlformats.org/officeDocument/2006/relationships/hyperlink" Target="http://fairinvestments.se/" TargetMode="External"/><Relationship Id="rId5136" Type="http://schemas.openxmlformats.org/officeDocument/2006/relationships/hyperlink" Target="https://www.shopon.se/populara-smaker-inom-vaping" TargetMode="External"/><Relationship Id="rId4152" Type="http://schemas.openxmlformats.org/officeDocument/2006/relationships/hyperlink" Target="http://alfa.no/" TargetMode="External"/><Relationship Id="rId5203" Type="http://schemas.openxmlformats.org/officeDocument/2006/relationships/hyperlink" Target="https://www.canariaposten.no/97-tursko-alt-du-trenger-a-vite-for-a-velge-de-riktige.html" TargetMode="External"/><Relationship Id="rId5550" Type="http://schemas.openxmlformats.org/officeDocument/2006/relationships/hyperlink" Target="https://sven-ingvars.se/froken-fraken-historien-om-hur-sven-ingvars-hit-hamnade-i-ett-spel/" TargetMode="External"/><Relationship Id="rId6601" Type="http://schemas.openxmlformats.org/officeDocument/2006/relationships/hyperlink" Target="https://www.allaannonser.se/samarb-betalonlinec.html" TargetMode="External"/><Relationship Id="rId8359" Type="http://schemas.openxmlformats.org/officeDocument/2006/relationships/hyperlink" Target="https://technomeow.com/best-self-cleaning-litter-boxes-this-year/" TargetMode="External"/><Relationship Id="rId9757" Type="http://schemas.openxmlformats.org/officeDocument/2006/relationships/hyperlink" Target="http://himala.ai/" TargetMode="External"/><Relationship Id="rId11687" Type="http://schemas.openxmlformats.org/officeDocument/2006/relationships/hyperlink" Target="https://rahaapu.fi/sijoitustermit-haltuun-mita-bull-ja-bear-ovat/" TargetMode="External"/><Relationship Id="rId12738" Type="http://schemas.openxmlformats.org/officeDocument/2006/relationships/hyperlink" Target="http://michaelofrisorerna.se/" TargetMode="External"/><Relationship Id="rId1746" Type="http://schemas.openxmlformats.org/officeDocument/2006/relationships/hyperlink" Target="http://triwa.com/" TargetMode="External"/><Relationship Id="rId8773" Type="http://schemas.openxmlformats.org/officeDocument/2006/relationships/hyperlink" Target="https://panncentralen.se/nyheter/barn-och-hund-sa-introducerar-du-en-ny-familjemedlem/" TargetMode="External"/><Relationship Id="rId9824" Type="http://schemas.openxmlformats.org/officeDocument/2006/relationships/hyperlink" Target="http://tryggbil.se/" TargetMode="External"/><Relationship Id="rId10289" Type="http://schemas.openxmlformats.org/officeDocument/2006/relationships/hyperlink" Target="https://www.startmotor.se/kategori/b%C3%A5tbatteri" TargetMode="External"/><Relationship Id="rId11754" Type="http://schemas.openxmlformats.org/officeDocument/2006/relationships/hyperlink" Target="https://yagya.com/" TargetMode="External"/><Relationship Id="rId12805" Type="http://schemas.openxmlformats.org/officeDocument/2006/relationships/hyperlink" Target="https://www.sfexaminer.com/marketplace/how-incorporating-a-roofing-crm-streamlines-a-project-from-proposal-to-closing/article_74e3c479-d03c-46c1-9f62-c08be558b545.html" TargetMode="External"/><Relationship Id="rId38" Type="http://schemas.openxmlformats.org/officeDocument/2006/relationships/hyperlink" Target="https://jetshopfree.se/3-tips-for-att-hantera-typ-2-diabetes/" TargetMode="External"/><Relationship Id="rId1813" Type="http://schemas.openxmlformats.org/officeDocument/2006/relationships/hyperlink" Target="https://www.oconnors.se/" TargetMode="External"/><Relationship Id="rId4969" Type="http://schemas.openxmlformats.org/officeDocument/2006/relationships/hyperlink" Target="https://www.rusta.com/se/sv/hem--inredning/mattor/" TargetMode="External"/><Relationship Id="rId7375" Type="http://schemas.openxmlformats.org/officeDocument/2006/relationships/hyperlink" Target="https://www.coface.fi/perintaepalvelut" TargetMode="External"/><Relationship Id="rId8426" Type="http://schemas.openxmlformats.org/officeDocument/2006/relationships/hyperlink" Target="http://spelklubben.se/" TargetMode="External"/><Relationship Id="rId8840" Type="http://schemas.openxmlformats.org/officeDocument/2006/relationships/hyperlink" Target="https://www.startmotor.se/batterier/b%C3%A5tbatteri" TargetMode="External"/><Relationship Id="rId10356" Type="http://schemas.openxmlformats.org/officeDocument/2006/relationships/hyperlink" Target="https://www.rusta.com/sv-se/hem-och-inredning/belysning" TargetMode="External"/><Relationship Id="rId10770" Type="http://schemas.openxmlformats.org/officeDocument/2006/relationships/hyperlink" Target="http://sesec.se/" TargetMode="External"/><Relationship Id="rId11407" Type="http://schemas.openxmlformats.org/officeDocument/2006/relationships/hyperlink" Target="https://www.lansfast.se/maklare/sodermanland/nykoping/" TargetMode="External"/><Relationship Id="rId3985" Type="http://schemas.openxmlformats.org/officeDocument/2006/relationships/hyperlink" Target="http://fairinvestments.se/" TargetMode="External"/><Relationship Id="rId6391" Type="http://schemas.openxmlformats.org/officeDocument/2006/relationships/hyperlink" Target="https://www.coface.dk/ordliste-for-kreditforsikring-og-kreditstyring/kreditvurdering" TargetMode="External"/><Relationship Id="rId7028" Type="http://schemas.openxmlformats.org/officeDocument/2006/relationships/hyperlink" Target="http://arctic.se/nibe-warmepumpe-versicherung/" TargetMode="External"/><Relationship Id="rId7442" Type="http://schemas.openxmlformats.org/officeDocument/2006/relationships/hyperlink" Target="https://www.totallystockholm.se/arets-forsta-dopp-nar-var-hur/" TargetMode="External"/><Relationship Id="rId10009" Type="http://schemas.openxmlformats.org/officeDocument/2006/relationships/hyperlink" Target="https://www.lsb.se/lana-pengar" TargetMode="External"/><Relationship Id="rId10423" Type="http://schemas.openxmlformats.org/officeDocument/2006/relationships/hyperlink" Target="https://www.tandea.se/tandvard/tandblekning/" TargetMode="External"/><Relationship Id="rId11821" Type="http://schemas.openxmlformats.org/officeDocument/2006/relationships/hyperlink" Target="https://amerikanskeaktier.dk/ikke-kun-aktier-er-risikofyldte-faa-indsigt-i-kunders-risiko-med-kreditvurdering/" TargetMode="External"/><Relationship Id="rId2587" Type="http://schemas.openxmlformats.org/officeDocument/2006/relationships/hyperlink" Target="https://www.northgrid.se/bygga-pool-i-norrland" TargetMode="External"/><Relationship Id="rId3638" Type="http://schemas.openxmlformats.org/officeDocument/2006/relationships/hyperlink" Target="https://www.vont.se/to-go" TargetMode="External"/><Relationship Id="rId6044" Type="http://schemas.openxmlformats.org/officeDocument/2006/relationships/hyperlink" Target="https://www.rusta.com/se/sv/fritid/husdjur/hund/hundfoder/" TargetMode="External"/><Relationship Id="rId559" Type="http://schemas.openxmlformats.org/officeDocument/2006/relationships/hyperlink" Target="http://haxan.se/" TargetMode="External"/><Relationship Id="rId1189" Type="http://schemas.openxmlformats.org/officeDocument/2006/relationships/hyperlink" Target="https://haxan.se/products/propplosare" TargetMode="External"/><Relationship Id="rId5060" Type="http://schemas.openxmlformats.org/officeDocument/2006/relationships/hyperlink" Target="https://www.cherry.com/sv/casino" TargetMode="External"/><Relationship Id="rId6111" Type="http://schemas.openxmlformats.org/officeDocument/2006/relationships/hyperlink" Target="http://kanalgratis.se/" TargetMode="External"/><Relationship Id="rId9267" Type="http://schemas.openxmlformats.org/officeDocument/2006/relationships/hyperlink" Target="https://tiotak.se/byta-tak-maskinhall/" TargetMode="External"/><Relationship Id="rId9681" Type="http://schemas.openxmlformats.org/officeDocument/2006/relationships/hyperlink" Target="http://spelklubben.se/" TargetMode="External"/><Relationship Id="rId11197" Type="http://schemas.openxmlformats.org/officeDocument/2006/relationships/hyperlink" Target="http://blugiallo.com/custom-tailored/clothes/jeans/" TargetMode="External"/><Relationship Id="rId12595" Type="http://schemas.openxmlformats.org/officeDocument/2006/relationships/hyperlink" Target="http://videoslots.com/" TargetMode="External"/><Relationship Id="rId626" Type="http://schemas.openxmlformats.org/officeDocument/2006/relationships/hyperlink" Target="https://fashionbloggers.se/detta-bor-man-skaffa-nar-man-vantar-sitt-forsta-barn/" TargetMode="External"/><Relationship Id="rId973" Type="http://schemas.openxmlformats.org/officeDocument/2006/relationships/hyperlink" Target="https://www.villarelining.se/" TargetMode="External"/><Relationship Id="rId1256" Type="http://schemas.openxmlformats.org/officeDocument/2006/relationships/hyperlink" Target="https://budgetbrollop.se/maste-brollop-alltid-vara-dyra/" TargetMode="External"/><Relationship Id="rId2307" Type="http://schemas.openxmlformats.org/officeDocument/2006/relationships/hyperlink" Target="http://tandea.se/" TargetMode="External"/><Relationship Id="rId2654" Type="http://schemas.openxmlformats.org/officeDocument/2006/relationships/hyperlink" Target="http://cannabislight.se/" TargetMode="External"/><Relationship Id="rId3705" Type="http://schemas.openxmlformats.org/officeDocument/2006/relationships/hyperlink" Target="https://www.filippa-k.com/se/sv/dam/ready-to-wear/kavajer" TargetMode="External"/><Relationship Id="rId8283" Type="http://schemas.openxmlformats.org/officeDocument/2006/relationships/hyperlink" Target="http://kleer.se/" TargetMode="External"/><Relationship Id="rId9334" Type="http://schemas.openxmlformats.org/officeDocument/2006/relationships/hyperlink" Target="https://www.svenskbyggtidning.se/2025/05/26/sa-satter-du-ljuset-i-hemmet/" TargetMode="External"/><Relationship Id="rId12248" Type="http://schemas.openxmlformats.org/officeDocument/2006/relationships/hyperlink" Target="https://www.vont.se/" TargetMode="External"/><Relationship Id="rId12662" Type="http://schemas.openxmlformats.org/officeDocument/2006/relationships/hyperlink" Target="https://comfydence.se/collections/menstrosor" TargetMode="External"/><Relationship Id="rId1670" Type="http://schemas.openxmlformats.org/officeDocument/2006/relationships/hyperlink" Target="https://177finnmark.no/jakten-pa-den-beste-turskoen/" TargetMode="External"/><Relationship Id="rId2721" Type="http://schemas.openxmlformats.org/officeDocument/2006/relationships/hyperlink" Target="https://www.dejavubok.se/en-ode-till-kontorsmaterial" TargetMode="External"/><Relationship Id="rId5877" Type="http://schemas.openxmlformats.org/officeDocument/2006/relationships/hyperlink" Target="https://vinterlyckan.se/vape-en-guide-till-en-modern-livsstil/" TargetMode="External"/><Relationship Id="rId6928" Type="http://schemas.openxmlformats.org/officeDocument/2006/relationships/hyperlink" Target="https://www.tigerofsweden.com/se/sv/herr/kostymer/" TargetMode="External"/><Relationship Id="rId11264" Type="http://schemas.openxmlformats.org/officeDocument/2006/relationships/hyperlink" Target="http://dieselkraft.se/" TargetMode="External"/><Relationship Id="rId12315" Type="http://schemas.openxmlformats.org/officeDocument/2006/relationships/hyperlink" Target="https://www.spoors.health/" TargetMode="External"/><Relationship Id="rId1323" Type="http://schemas.openxmlformats.org/officeDocument/2006/relationships/hyperlink" Target="https://www.robomarkets.com/se/forex-trading/trading/specifications/card/pro-stan/AMZN/" TargetMode="External"/><Relationship Id="rId4479" Type="http://schemas.openxmlformats.org/officeDocument/2006/relationships/hyperlink" Target="https://signalnoi.se/vikten-av-en-b2b-it-partner-i-hanteringen-av-cyberhot-och-driftstorningar/" TargetMode="External"/><Relationship Id="rId4893" Type="http://schemas.openxmlformats.org/officeDocument/2006/relationships/hyperlink" Target="https://www.bethard.com/sv/sports" TargetMode="External"/><Relationship Id="rId5944" Type="http://schemas.openxmlformats.org/officeDocument/2006/relationships/hyperlink" Target="https://www.tandea.se/" TargetMode="External"/><Relationship Id="rId8350" Type="http://schemas.openxmlformats.org/officeDocument/2006/relationships/hyperlink" Target="https://glassfactory.fi/sv/collections/extra-large" TargetMode="External"/><Relationship Id="rId9401" Type="http://schemas.openxmlformats.org/officeDocument/2006/relationships/hyperlink" Target="https://www.newst.se/barnbockerna-vi-minns-som-starkast/" TargetMode="External"/><Relationship Id="rId10280" Type="http://schemas.openxmlformats.org/officeDocument/2006/relationships/hyperlink" Target="https://www.kleer.se/lonesystem/" TargetMode="External"/><Relationship Id="rId11331" Type="http://schemas.openxmlformats.org/officeDocument/2006/relationships/hyperlink" Target="https://smartkapital.se/tips-for-att-potentiellt-oka-avkastningen-pa-dina-investeringar/" TargetMode="External"/><Relationship Id="rId3495" Type="http://schemas.openxmlformats.org/officeDocument/2006/relationships/hyperlink" Target="http://glitnor.com/" TargetMode="External"/><Relationship Id="rId4546" Type="http://schemas.openxmlformats.org/officeDocument/2006/relationships/hyperlink" Target="https://oljudsthlm.se/fordelar-med-vitt-snus/" TargetMode="External"/><Relationship Id="rId4960" Type="http://schemas.openxmlformats.org/officeDocument/2006/relationships/hyperlink" Target="https://fairinvestments.se/" TargetMode="External"/><Relationship Id="rId8003" Type="http://schemas.openxmlformats.org/officeDocument/2006/relationships/hyperlink" Target="http://nordicknots.com/us" TargetMode="External"/><Relationship Id="rId13089" Type="http://schemas.openxmlformats.org/officeDocument/2006/relationships/hyperlink" Target="http://mrvegas.com/" TargetMode="External"/><Relationship Id="rId2097" Type="http://schemas.openxmlformats.org/officeDocument/2006/relationships/hyperlink" Target="https://www.nyhetsbrevskola.se/stod-i-juridiska-fragor" TargetMode="External"/><Relationship Id="rId3148" Type="http://schemas.openxmlformats.org/officeDocument/2006/relationships/hyperlink" Target="https://www.gislavednaringsliv.se/" TargetMode="External"/><Relationship Id="rId3562" Type="http://schemas.openxmlformats.org/officeDocument/2006/relationships/hyperlink" Target="http://elavtaldirekt.se/" TargetMode="External"/><Relationship Id="rId4613" Type="http://schemas.openxmlformats.org/officeDocument/2006/relationships/hyperlink" Target="https://www.spelklubben.se/sv/live-casino/roulette" TargetMode="External"/><Relationship Id="rId7769" Type="http://schemas.openxmlformats.org/officeDocument/2006/relationships/hyperlink" Target="https://sakraror.se/vara-tjanster/allman-service-vvs/vvs-i-taby/" TargetMode="External"/><Relationship Id="rId10000" Type="http://schemas.openxmlformats.org/officeDocument/2006/relationships/hyperlink" Target="https://www.otsnews.co.uk/how-technology-makes-online-casinos-better-than-ever/" TargetMode="External"/><Relationship Id="rId13156" Type="http://schemas.openxmlformats.org/officeDocument/2006/relationships/hyperlink" Target="https://www.reseledaren.nu/backpackarens-guide-till-5g-och-roaming/" TargetMode="External"/><Relationship Id="rId483" Type="http://schemas.openxmlformats.org/officeDocument/2006/relationships/hyperlink" Target="https://savethefuture.se/flytbryggor-en-omfattande-guide-till-pontoner-och-vagbrytare/" TargetMode="External"/><Relationship Id="rId2164" Type="http://schemas.openxmlformats.org/officeDocument/2006/relationships/hyperlink" Target="http://norteam.se/" TargetMode="External"/><Relationship Id="rId3215" Type="http://schemas.openxmlformats.org/officeDocument/2006/relationships/hyperlink" Target="https://emmylinneas.se/crm-revolutionen" TargetMode="External"/><Relationship Id="rId6785" Type="http://schemas.openxmlformats.org/officeDocument/2006/relationships/hyperlink" Target="https://eventeffect.se/optimal-ventilation-for-eventlokaler-skapa-en-halsosam-behaglig-miljo-for-besokare/" TargetMode="External"/><Relationship Id="rId9191" Type="http://schemas.openxmlformats.org/officeDocument/2006/relationships/hyperlink" Target="https://arctic.se/se/forsakringslosningar/svensksolenergi/" TargetMode="External"/><Relationship Id="rId12172" Type="http://schemas.openxmlformats.org/officeDocument/2006/relationships/hyperlink" Target="https://handlaomhem.se/renovera-din-villa-med-minimal-miljopaverkan/" TargetMode="External"/><Relationship Id="rId136" Type="http://schemas.openxmlformats.org/officeDocument/2006/relationships/hyperlink" Target="http://blugiallo.com/" TargetMode="External"/><Relationship Id="rId550" Type="http://schemas.openxmlformats.org/officeDocument/2006/relationships/hyperlink" Target="http://fairinvestments.se/" TargetMode="External"/><Relationship Id="rId1180" Type="http://schemas.openxmlformats.org/officeDocument/2006/relationships/hyperlink" Target="https://www.frii.se/en-omfattande-guide-till-veterinarer-och-veterinarmedicin-djurs-halsa-och-valbefinnande/" TargetMode="External"/><Relationship Id="rId2231" Type="http://schemas.openxmlformats.org/officeDocument/2006/relationships/hyperlink" Target="https://www.commedica.com/varden-skriker-efter-folk" TargetMode="External"/><Relationship Id="rId5387" Type="http://schemas.openxmlformats.org/officeDocument/2006/relationships/hyperlink" Target="https://navx.store/fi/" TargetMode="External"/><Relationship Id="rId6438" Type="http://schemas.openxmlformats.org/officeDocument/2006/relationships/hyperlink" Target="https://www.nordiskaprojekt.se/2024/11/27/akut-elservice-en-nodvandighet-for-industriprojekt/" TargetMode="External"/><Relationship Id="rId7836" Type="http://schemas.openxmlformats.org/officeDocument/2006/relationships/hyperlink" Target="http://svenskafonster.se/" TargetMode="External"/><Relationship Id="rId10817" Type="http://schemas.openxmlformats.org/officeDocument/2006/relationships/hyperlink" Target="https://www.ihus.nu/trygghet-vid-fastighetsaffarer-darfor-valjer-fler-investerare-fair-investments/" TargetMode="External"/><Relationship Id="rId13223" Type="http://schemas.openxmlformats.org/officeDocument/2006/relationships/hyperlink" Target="https://ekonomiskbalans.se/forsakringsalternativ-for-solceller-en-trygg-losning-for-installatorer-och-aterforsaljare/" TargetMode="External"/><Relationship Id="rId203" Type="http://schemas.openxmlformats.org/officeDocument/2006/relationships/hyperlink" Target="https://www.askskinfo.com/browse/?brand=DR+CEURACLE" TargetMode="External"/><Relationship Id="rId6852" Type="http://schemas.openxmlformats.org/officeDocument/2006/relationships/hyperlink" Target="https://www.spelklubben.se/sv/betting" TargetMode="External"/><Relationship Id="rId7903" Type="http://schemas.openxmlformats.org/officeDocument/2006/relationships/hyperlink" Target="https://himala.ai/" TargetMode="External"/><Relationship Id="rId12989" Type="http://schemas.openxmlformats.org/officeDocument/2006/relationships/hyperlink" Target="http://wellio.se/" TargetMode="External"/><Relationship Id="rId1997" Type="http://schemas.openxmlformats.org/officeDocument/2006/relationships/hyperlink" Target="https://www.mariatand.se/" TargetMode="External"/><Relationship Id="rId4056" Type="http://schemas.openxmlformats.org/officeDocument/2006/relationships/hyperlink" Target="https://dragons.no/lane-penger-til-oppussing-hus-og-bil/" TargetMode="External"/><Relationship Id="rId5454" Type="http://schemas.openxmlformats.org/officeDocument/2006/relationships/hyperlink" Target="https://www.konsthallenlokstallet.se/" TargetMode="External"/><Relationship Id="rId6505" Type="http://schemas.openxmlformats.org/officeDocument/2006/relationships/hyperlink" Target="https://fairinvestments.se/" TargetMode="External"/><Relationship Id="rId4470" Type="http://schemas.openxmlformats.org/officeDocument/2006/relationships/hyperlink" Target="http://m6bygg.se/" TargetMode="External"/><Relationship Id="rId5107" Type="http://schemas.openxmlformats.org/officeDocument/2006/relationships/hyperlink" Target="https://www.animonhus.se/byta-tak-pa-maskinhall-viktiga-aspekter" TargetMode="External"/><Relationship Id="rId5521" Type="http://schemas.openxmlformats.org/officeDocument/2006/relationships/hyperlink" Target="https://alltomnorrtalje.se/sa-skapar-du-din-egen-kladstil-en-guide-till-att-uttrycka-din-personlighet-genom-mode/" TargetMode="External"/><Relationship Id="rId8677" Type="http://schemas.openxmlformats.org/officeDocument/2006/relationships/hyperlink" Target="http://sakraror.se/" TargetMode="External"/><Relationship Id="rId9728" Type="http://schemas.openxmlformats.org/officeDocument/2006/relationships/hyperlink" Target="https://www.washingtontimes.com/sponsored/counts-business-rethinking-risk-age-one-person-enterprises/" TargetMode="External"/><Relationship Id="rId11658" Type="http://schemas.openxmlformats.org/officeDocument/2006/relationships/hyperlink" Target="https://markets.vontobel.com/sv-se/produkter" TargetMode="External"/><Relationship Id="rId1717" Type="http://schemas.openxmlformats.org/officeDocument/2006/relationships/hyperlink" Target="https://www.tandea.se/" TargetMode="External"/><Relationship Id="rId3072" Type="http://schemas.openxmlformats.org/officeDocument/2006/relationships/hyperlink" Target="http://hvvs.se/" TargetMode="External"/><Relationship Id="rId4123" Type="http://schemas.openxmlformats.org/officeDocument/2006/relationships/hyperlink" Target="http://aaatak.se/" TargetMode="External"/><Relationship Id="rId7279" Type="http://schemas.openxmlformats.org/officeDocument/2006/relationships/hyperlink" Target="http://kleer.se/" TargetMode="External"/><Relationship Id="rId7693" Type="http://schemas.openxmlformats.org/officeDocument/2006/relationships/hyperlink" Target="https://bolagshistorik.se/effektiva-akustiklosningar-for-att-forbattra-ljudmiljon-pa-arbetsplatsen/" TargetMode="External"/><Relationship Id="rId8744" Type="http://schemas.openxmlformats.org/officeDocument/2006/relationships/hyperlink" Target="http://acnespecialisten.se/" TargetMode="External"/><Relationship Id="rId12709" Type="http://schemas.openxmlformats.org/officeDocument/2006/relationships/hyperlink" Target="https://fritidsintressen.se/nyttiga-kontorsmaterial-for-dina-hobbies-och-kreativa-projekt/" TargetMode="External"/><Relationship Id="rId13080" Type="http://schemas.openxmlformats.org/officeDocument/2006/relationships/hyperlink" Target="http://kungaslottet.se/" TargetMode="External"/><Relationship Id="rId3889" Type="http://schemas.openxmlformats.org/officeDocument/2006/relationships/hyperlink" Target="https://www.totallyorebro.se/uncategorized/avfallshantering-och-atervinning-en-guide/" TargetMode="External"/><Relationship Id="rId6295" Type="http://schemas.openxmlformats.org/officeDocument/2006/relationships/hyperlink" Target="http://tiotak.se/" TargetMode="External"/><Relationship Id="rId7346" Type="http://schemas.openxmlformats.org/officeDocument/2006/relationships/hyperlink" Target="https://svenskiptv.com/" TargetMode="External"/><Relationship Id="rId10674" Type="http://schemas.openxmlformats.org/officeDocument/2006/relationships/hyperlink" Target="https://bokahandyman.se/handyman/" TargetMode="External"/><Relationship Id="rId11725" Type="http://schemas.openxmlformats.org/officeDocument/2006/relationships/hyperlink" Target="https://www.horsesinthemorning.com/how-to-find-the-best-riding-gear/" TargetMode="External"/><Relationship Id="rId6362" Type="http://schemas.openxmlformats.org/officeDocument/2006/relationships/hyperlink" Target="http://cdg.io/" TargetMode="External"/><Relationship Id="rId7413" Type="http://schemas.openxmlformats.org/officeDocument/2006/relationships/hyperlink" Target="https://www.saleseffect.se/locka-tillbaka-kunderna-med-optimal-butiksdesign/" TargetMode="External"/><Relationship Id="rId7760" Type="http://schemas.openxmlformats.org/officeDocument/2006/relationships/hyperlink" Target="https://www.grontsamhallsbyggande.se/2025/02/20/ventilationens-roll-i-gront-samhallsbyggande/" TargetMode="External"/><Relationship Id="rId8811" Type="http://schemas.openxmlformats.org/officeDocument/2006/relationships/hyperlink" Target="https://www.executiveeffect.se/sa-du-halla-koll-pa-vikten-med-ett-hektiskt-jobbschema/" TargetMode="External"/><Relationship Id="rId10327" Type="http://schemas.openxmlformats.org/officeDocument/2006/relationships/hyperlink" Target="http://indoorprofessional.se/" TargetMode="External"/><Relationship Id="rId10741" Type="http://schemas.openxmlformats.org/officeDocument/2006/relationships/hyperlink" Target="https://www.startmotor.se/kategori/b%C3%A5tbatteri" TargetMode="External"/><Relationship Id="rId3956" Type="http://schemas.openxmlformats.org/officeDocument/2006/relationships/hyperlink" Target="http://foyen.se/" TargetMode="External"/><Relationship Id="rId6015" Type="http://schemas.openxmlformats.org/officeDocument/2006/relationships/hyperlink" Target="https://www.ekonomifokus.se/bostad/lan/bolan-privatlan-som-egenforetagare" TargetMode="External"/><Relationship Id="rId12499" Type="http://schemas.openxmlformats.org/officeDocument/2006/relationships/hyperlink" Target="https://contourair.se/?p=305" TargetMode="External"/><Relationship Id="rId877" Type="http://schemas.openxmlformats.org/officeDocument/2006/relationships/hyperlink" Target="https://nem.health/" TargetMode="External"/><Relationship Id="rId2558" Type="http://schemas.openxmlformats.org/officeDocument/2006/relationships/hyperlink" Target="https://www.jujutsu2018.se/" TargetMode="External"/><Relationship Id="rId2972" Type="http://schemas.openxmlformats.org/officeDocument/2006/relationships/hyperlink" Target="https://e-ciggbolaget.se/e-cigaretter/engangs-vape/n-one/" TargetMode="External"/><Relationship Id="rId3609" Type="http://schemas.openxmlformats.org/officeDocument/2006/relationships/hyperlink" Target="https://fairinvestments.se/finansiell-information/" TargetMode="External"/><Relationship Id="rId8187" Type="http://schemas.openxmlformats.org/officeDocument/2006/relationships/hyperlink" Target="https://skaparum.se/professionell-bilservice-och-reparation-for-volkswagen-i-tyreso/" TargetMode="External"/><Relationship Id="rId9585" Type="http://schemas.openxmlformats.org/officeDocument/2006/relationships/hyperlink" Target="https://bokahandyman.se/handyman/" TargetMode="External"/><Relationship Id="rId12566" Type="http://schemas.openxmlformats.org/officeDocument/2006/relationships/hyperlink" Target="https://labradorretrieverinfo.se/husdjur-vara-trogna-kamrater-i-livet/" TargetMode="External"/><Relationship Id="rId12980" Type="http://schemas.openxmlformats.org/officeDocument/2006/relationships/hyperlink" Target="http://minifinder.se/" TargetMode="External"/><Relationship Id="rId944" Type="http://schemas.openxmlformats.org/officeDocument/2006/relationships/hyperlink" Target="http://happysocks.com/" TargetMode="External"/><Relationship Id="rId1574" Type="http://schemas.openxmlformats.org/officeDocument/2006/relationships/hyperlink" Target="https://www.tryggbil.se/" TargetMode="External"/><Relationship Id="rId2625" Type="http://schemas.openxmlformats.org/officeDocument/2006/relationships/hyperlink" Target="https://www.tandea.se/" TargetMode="External"/><Relationship Id="rId5031" Type="http://schemas.openxmlformats.org/officeDocument/2006/relationships/hyperlink" Target="https://www.spelklubben.se/sv/casino" TargetMode="External"/><Relationship Id="rId9238" Type="http://schemas.openxmlformats.org/officeDocument/2006/relationships/hyperlink" Target="http://startmotor.se/" TargetMode="External"/><Relationship Id="rId9652" Type="http://schemas.openxmlformats.org/officeDocument/2006/relationships/hyperlink" Target="https://www.byggnyheter.se/20250602/32150/svenska-byggfiaskon-genom-tiderna" TargetMode="External"/><Relationship Id="rId11168" Type="http://schemas.openxmlformats.org/officeDocument/2006/relationships/hyperlink" Target="http://arctic.se/" TargetMode="External"/><Relationship Id="rId11582" Type="http://schemas.openxmlformats.org/officeDocument/2006/relationships/hyperlink" Target="https://sufracofinebrands.com/kategori/varumarken-compagnie-de-provence" TargetMode="External"/><Relationship Id="rId12219" Type="http://schemas.openxmlformats.org/officeDocument/2006/relationships/hyperlink" Target="https://investeringer.se/tesla-hallbarhet-att-sta-for/" TargetMode="External"/><Relationship Id="rId12633" Type="http://schemas.openxmlformats.org/officeDocument/2006/relationships/hyperlink" Target="http://fairinvestments.se/" TargetMode="External"/><Relationship Id="rId1227" Type="http://schemas.openxmlformats.org/officeDocument/2006/relationships/hyperlink" Target="https://bergen2017.no/vestlandsvaer-krever-vestlandsklaer/" TargetMode="External"/><Relationship Id="rId1641" Type="http://schemas.openxmlformats.org/officeDocument/2006/relationships/hyperlink" Target="https://techtrendspro.com/starting-a-tech-company/" TargetMode="External"/><Relationship Id="rId4797" Type="http://schemas.openxmlformats.org/officeDocument/2006/relationships/hyperlink" Target="http://svenskaeljouren.se/" TargetMode="External"/><Relationship Id="rId5848" Type="http://schemas.openxmlformats.org/officeDocument/2006/relationships/hyperlink" Target="https://manligmodell.se/solenoider-en-maends-guide-till-en-ofta-forbisedd-teknologi/" TargetMode="External"/><Relationship Id="rId8254" Type="http://schemas.openxmlformats.org/officeDocument/2006/relationships/hyperlink" Target="http://svenskiptv.com/" TargetMode="External"/><Relationship Id="rId9305" Type="http://schemas.openxmlformats.org/officeDocument/2006/relationships/hyperlink" Target="https://www.spelklubben.se/sv/betting" TargetMode="External"/><Relationship Id="rId10184" Type="http://schemas.openxmlformats.org/officeDocument/2006/relationships/hyperlink" Target="http://yourgild.com/" TargetMode="External"/><Relationship Id="rId11235" Type="http://schemas.openxmlformats.org/officeDocument/2006/relationships/hyperlink" Target="https://chronos.se/" TargetMode="External"/><Relationship Id="rId3399" Type="http://schemas.openxmlformats.org/officeDocument/2006/relationships/hyperlink" Target="https://www.mrnicco.com/" TargetMode="External"/><Relationship Id="rId4864" Type="http://schemas.openxmlformats.org/officeDocument/2006/relationships/hyperlink" Target="http://spelklubben.se/" TargetMode="External"/><Relationship Id="rId7270" Type="http://schemas.openxmlformats.org/officeDocument/2006/relationships/hyperlink" Target="https://www.bethard.com/sv/sports" TargetMode="External"/><Relationship Id="rId8321" Type="http://schemas.openxmlformats.org/officeDocument/2006/relationships/hyperlink" Target="https://leaptodigital.com/roofing-crm" TargetMode="External"/><Relationship Id="rId10251" Type="http://schemas.openxmlformats.org/officeDocument/2006/relationships/hyperlink" Target="https://www.argonautnews.com/affiliate_content/how-area-rugs-can-transform-a-room-without-major-renovation/article_0dfd6b6f-5b2a-4203-aa5e-b2efd3647a7e.html" TargetMode="External"/><Relationship Id="rId12700" Type="http://schemas.openxmlformats.org/officeDocument/2006/relationships/hyperlink" Target="https://supernormal.health/se/" TargetMode="External"/><Relationship Id="rId3466" Type="http://schemas.openxmlformats.org/officeDocument/2006/relationships/hyperlink" Target="https://www.hhss.se/" TargetMode="External"/><Relationship Id="rId4517" Type="http://schemas.openxmlformats.org/officeDocument/2006/relationships/hyperlink" Target="https://www.tandea.se/" TargetMode="External"/><Relationship Id="rId5915" Type="http://schemas.openxmlformats.org/officeDocument/2006/relationships/hyperlink" Target="http://spelklubben.se/" TargetMode="External"/><Relationship Id="rId11302" Type="http://schemas.openxmlformats.org/officeDocument/2006/relationships/hyperlink" Target="https://www.linkedin.com/company/fair-investments-sweden-ab?originalSubdomain=se" TargetMode="External"/><Relationship Id="rId387" Type="http://schemas.openxmlformats.org/officeDocument/2006/relationships/hyperlink" Target="https://businessmanualen.se/att-spekulera-i-olika-borshandlade-instrument-blir-mer-och-mer-tillgangligt-och-vanligt-bland-svenskar/" TargetMode="External"/><Relationship Id="rId2068" Type="http://schemas.openxmlformats.org/officeDocument/2006/relationships/hyperlink" Target="http://aretrotale.com/" TargetMode="External"/><Relationship Id="rId3119" Type="http://schemas.openxmlformats.org/officeDocument/2006/relationships/hyperlink" Target="https://pontonhamnar.se/produkter/flytbrygga/" TargetMode="External"/><Relationship Id="rId3880" Type="http://schemas.openxmlformats.org/officeDocument/2006/relationships/hyperlink" Target="http://fairinvestments.se/" TargetMode="External"/><Relationship Id="rId4931" Type="http://schemas.openxmlformats.org/officeDocument/2006/relationships/hyperlink" Target="http://soartzy.com/" TargetMode="External"/><Relationship Id="rId9095" Type="http://schemas.openxmlformats.org/officeDocument/2006/relationships/hyperlink" Target="http://himala.ai/" TargetMode="External"/><Relationship Id="rId1084" Type="http://schemas.openxmlformats.org/officeDocument/2006/relationships/hyperlink" Target="https://dfly.no/fem-mater-a-forberede-seg-til-skisesongen/" TargetMode="External"/><Relationship Id="rId2482" Type="http://schemas.openxmlformats.org/officeDocument/2006/relationships/hyperlink" Target="https://drycker.nu/mech-coils-och-deras-roll-i-en-tillfredsstallande-vapingupplevelse/" TargetMode="External"/><Relationship Id="rId3533" Type="http://schemas.openxmlformats.org/officeDocument/2006/relationships/hyperlink" Target="https://aaatak.se/" TargetMode="External"/><Relationship Id="rId6689" Type="http://schemas.openxmlformats.org/officeDocument/2006/relationships/hyperlink" Target="https://nem.health/vo2-max-indikator-for-livslangd-och-kardiovaskular-halsa/" TargetMode="External"/><Relationship Id="rId9162" Type="http://schemas.openxmlformats.org/officeDocument/2006/relationships/hyperlink" Target="http://technobark.com/" TargetMode="External"/><Relationship Id="rId12076" Type="http://schemas.openxmlformats.org/officeDocument/2006/relationships/hyperlink" Target="https://www.swedoffice.se/" TargetMode="External"/><Relationship Id="rId12490" Type="http://schemas.openxmlformats.org/officeDocument/2006/relationships/hyperlink" Target="https://eventeffect.se/fair-investments-vagen-till-en-ljusare-ekonomisk-framtid/" TargetMode="External"/><Relationship Id="rId13127" Type="http://schemas.openxmlformats.org/officeDocument/2006/relationships/hyperlink" Target="https://www.megariches.com/jackpots/" TargetMode="External"/><Relationship Id="rId107" Type="http://schemas.openxmlformats.org/officeDocument/2006/relationships/hyperlink" Target="https://babyblogg.se/kvalitets-barnvagnar/" TargetMode="External"/><Relationship Id="rId454" Type="http://schemas.openxmlformats.org/officeDocument/2006/relationships/hyperlink" Target="https://ecommunity.se/blugiallo-lyfter-herrmodet-till-en-ny-niva/" TargetMode="External"/><Relationship Id="rId2135" Type="http://schemas.openxmlformats.org/officeDocument/2006/relationships/hyperlink" Target="http://tryggbil.se/" TargetMode="External"/><Relationship Id="rId3600" Type="http://schemas.openxmlformats.org/officeDocument/2006/relationships/hyperlink" Target="http://foyen.se/" TargetMode="External"/><Relationship Id="rId6756" Type="http://schemas.openxmlformats.org/officeDocument/2006/relationships/hyperlink" Target="https://www.joureliten.se/jour-elektriker/" TargetMode="External"/><Relationship Id="rId7807" Type="http://schemas.openxmlformats.org/officeDocument/2006/relationships/hyperlink" Target="http://myownwater.com/" TargetMode="External"/><Relationship Id="rId11092" Type="http://schemas.openxmlformats.org/officeDocument/2006/relationships/hyperlink" Target="https://businesscloud.co.uk/news/what-saas-teams-can-learn-from-high-volume-play/" TargetMode="External"/><Relationship Id="rId12143" Type="http://schemas.openxmlformats.org/officeDocument/2006/relationships/hyperlink" Target="http://foyen.se/" TargetMode="External"/><Relationship Id="rId521" Type="http://schemas.openxmlformats.org/officeDocument/2006/relationships/hyperlink" Target="https://bolagsekonomen.se/tappar-du-latt-fokus-vid-hemarbete-har-ar-nagra-tips-for-en-mer-produktiv-arbetsdag/" TargetMode="External"/><Relationship Id="rId1151" Type="http://schemas.openxmlformats.org/officeDocument/2006/relationships/hyperlink" Target="http://lemontree.se/" TargetMode="External"/><Relationship Id="rId2202" Type="http://schemas.openxmlformats.org/officeDocument/2006/relationships/hyperlink" Target="https://www.pingpongbarnklader.se/nya-horisonter" TargetMode="External"/><Relationship Id="rId5358" Type="http://schemas.openxmlformats.org/officeDocument/2006/relationships/hyperlink" Target="http://purakliniken.se/" TargetMode="External"/><Relationship Id="rId5772" Type="http://schemas.openxmlformats.org/officeDocument/2006/relationships/hyperlink" Target="https://www.sportochfritidsnyheter.se/20241029/4030/yalla-cup-gar-snart-av-stapeln" TargetMode="External"/><Relationship Id="rId6409" Type="http://schemas.openxmlformats.org/officeDocument/2006/relationships/hyperlink" Target="https://www.chattanoogarehab.com/us/hot-cold/hot-cold-packs" TargetMode="External"/><Relationship Id="rId6823" Type="http://schemas.openxmlformats.org/officeDocument/2006/relationships/hyperlink" Target="http://svenskiptv.com/" TargetMode="External"/><Relationship Id="rId9979" Type="http://schemas.openxmlformats.org/officeDocument/2006/relationships/hyperlink" Target="https://livepositively.com/why-aluminum-water-bottles-offer-a-practical-path-to-healthier-living-and-environmental-responsibility/" TargetMode="External"/><Relationship Id="rId12210" Type="http://schemas.openxmlformats.org/officeDocument/2006/relationships/hyperlink" Target="https://herrrummet.se/svampar-for-halsa-och-harmoni/" TargetMode="External"/><Relationship Id="rId1968" Type="http://schemas.openxmlformats.org/officeDocument/2006/relationships/hyperlink" Target="https://distansinstitutet.se/distansutbildningar/pedagogik/vardbitrade/" TargetMode="External"/><Relationship Id="rId4374" Type="http://schemas.openxmlformats.org/officeDocument/2006/relationships/hyperlink" Target="https://www.executiveeffect.se/vad-ar-fair-investments/" TargetMode="External"/><Relationship Id="rId5425" Type="http://schemas.openxmlformats.org/officeDocument/2006/relationships/hyperlink" Target="https://ekstromgaray.se/" TargetMode="External"/><Relationship Id="rId8995" Type="http://schemas.openxmlformats.org/officeDocument/2006/relationships/hyperlink" Target="https://www.zmarta.fi/lainaa-rahaa" TargetMode="External"/><Relationship Id="rId3390" Type="http://schemas.openxmlformats.org/officeDocument/2006/relationships/hyperlink" Target="https://bilarenan.se/gordetmedrw-din-ultimata-partner-for-bilvard/" TargetMode="External"/><Relationship Id="rId4027" Type="http://schemas.openxmlformats.org/officeDocument/2006/relationships/hyperlink" Target="https://www.spelklubben.se/sv/betting" TargetMode="External"/><Relationship Id="rId4441" Type="http://schemas.openxmlformats.org/officeDocument/2006/relationships/hyperlink" Target="http://heteknik.se/" TargetMode="External"/><Relationship Id="rId7597" Type="http://schemas.openxmlformats.org/officeDocument/2006/relationships/hyperlink" Target="https://nordicknots.com/us/custom-sized-rugs" TargetMode="External"/><Relationship Id="rId8648" Type="http://schemas.openxmlformats.org/officeDocument/2006/relationships/hyperlink" Target="https://miljonhuset.se/mattor-som-forvandlar-ditt-hem-med-stil-och-prisvardhet/" TargetMode="External"/><Relationship Id="rId11976" Type="http://schemas.openxmlformats.org/officeDocument/2006/relationships/hyperlink" Target="http://fairinvestments.se/" TargetMode="External"/><Relationship Id="rId3043" Type="http://schemas.openxmlformats.org/officeDocument/2006/relationships/hyperlink" Target="https://bredbandimobilen.se/spelklubben-dar-variation-moter-gemenskap/" TargetMode="External"/><Relationship Id="rId6199" Type="http://schemas.openxmlformats.org/officeDocument/2006/relationships/hyperlink" Target="https://sakraror.se/vara-tjanster/allman-service-vvs/rormokare/" TargetMode="External"/><Relationship Id="rId10578" Type="http://schemas.openxmlformats.org/officeDocument/2006/relationships/hyperlink" Target="https://arctic.se/nibe-warmepumpe-versicherung/" TargetMode="External"/><Relationship Id="rId10992" Type="http://schemas.openxmlformats.org/officeDocument/2006/relationships/hyperlink" Target="http://lsb.se/" TargetMode="External"/><Relationship Id="rId11629" Type="http://schemas.openxmlformats.org/officeDocument/2006/relationships/hyperlink" Target="https://viekonomi.se/" TargetMode="External"/><Relationship Id="rId6266" Type="http://schemas.openxmlformats.org/officeDocument/2006/relationships/hyperlink" Target="https://businessagent.se/automatiserad-bokforing-for-foretag/" TargetMode="External"/><Relationship Id="rId7664" Type="http://schemas.openxmlformats.org/officeDocument/2006/relationships/hyperlink" Target="http://standupsverige.se/" TargetMode="External"/><Relationship Id="rId8715" Type="http://schemas.openxmlformats.org/officeDocument/2006/relationships/hyperlink" Target="https://beautytube.se/akut-tandvard-i-stockholm-for-ett-vackert-leende/" TargetMode="External"/><Relationship Id="rId10645" Type="http://schemas.openxmlformats.org/officeDocument/2006/relationships/hyperlink" Target="https://www.haapavesi-lehti.fi/artikkeli/rakenna-unelmiesi-talo-oikealla-ovella" TargetMode="External"/><Relationship Id="rId13051" Type="http://schemas.openxmlformats.org/officeDocument/2006/relationships/hyperlink" Target="http://comfydence.se/" TargetMode="External"/><Relationship Id="rId3110" Type="http://schemas.openxmlformats.org/officeDocument/2006/relationships/hyperlink" Target="https://serviceteknikerkarlstad.se/m6-bygg-din-allomfattande-partner-for-bygg-renovering-i-stockholm/" TargetMode="External"/><Relationship Id="rId6680" Type="http://schemas.openxmlformats.org/officeDocument/2006/relationships/hyperlink" Target="https://skaparum.se/akut-rormokartjanster-i-stockholm-en-livlina-for-byggprojekt/" TargetMode="External"/><Relationship Id="rId7317" Type="http://schemas.openxmlformats.org/officeDocument/2006/relationships/hyperlink" Target="https://pontechmarina.com/se/" TargetMode="External"/><Relationship Id="rId7731" Type="http://schemas.openxmlformats.org/officeDocument/2006/relationships/hyperlink" Target="https://www.chattanoogarehab.com/shock-wave-rpw" TargetMode="External"/><Relationship Id="rId10712" Type="http://schemas.openxmlformats.org/officeDocument/2006/relationships/hyperlink" Target="https://sakochliv.se/2025/07/30/6-saker-du-maste-forsakra-oavsett-livssituation/" TargetMode="External"/><Relationship Id="rId2876" Type="http://schemas.openxmlformats.org/officeDocument/2006/relationships/hyperlink" Target="http://e-ciggbolaget.se/" TargetMode="External"/><Relationship Id="rId3927" Type="http://schemas.openxmlformats.org/officeDocument/2006/relationships/hyperlink" Target="http://fairinvestments.se/" TargetMode="External"/><Relationship Id="rId5282" Type="http://schemas.openxmlformats.org/officeDocument/2006/relationships/hyperlink" Target="https://metapress.com/what-is-a-virtual-chief-information-security-officer-vciso/" TargetMode="External"/><Relationship Id="rId6333" Type="http://schemas.openxmlformats.org/officeDocument/2006/relationships/hyperlink" Target="https://trendysaker.se/hallbara-klader-for-en-bra-natt/" TargetMode="External"/><Relationship Id="rId9489" Type="http://schemas.openxmlformats.org/officeDocument/2006/relationships/hyperlink" Target="https://arctic.se/nibe-warmepumpe-versicherung/" TargetMode="External"/><Relationship Id="rId848" Type="http://schemas.openxmlformats.org/officeDocument/2006/relationships/hyperlink" Target="http://creditsafe.se/" TargetMode="External"/><Relationship Id="rId1478" Type="http://schemas.openxmlformats.org/officeDocument/2006/relationships/hyperlink" Target="https://advancepointcap.com/" TargetMode="External"/><Relationship Id="rId1892" Type="http://schemas.openxmlformats.org/officeDocument/2006/relationships/hyperlink" Target="https://www.skriva-artikel.se/" TargetMode="External"/><Relationship Id="rId2529" Type="http://schemas.openxmlformats.org/officeDocument/2006/relationships/hyperlink" Target="https://hunch.se/forhojt-valmaende-med-cbd-olja" TargetMode="External"/><Relationship Id="rId6400" Type="http://schemas.openxmlformats.org/officeDocument/2006/relationships/hyperlink" Target="https://seaislenews.com/news/2024/nov/14/game-day-heat-philly-and-jersey-shore-tailgate-recipes-that-bring-the-flavor/" TargetMode="External"/><Relationship Id="rId9556" Type="http://schemas.openxmlformats.org/officeDocument/2006/relationships/hyperlink" Target="https://www.dbet.com/casino/" TargetMode="External"/><Relationship Id="rId9970" Type="http://schemas.openxmlformats.org/officeDocument/2006/relationships/hyperlink" Target="https://esnachricht.de/umstieg-auf-warmepumpen-wie-macht-man-es-richtig/" TargetMode="External"/><Relationship Id="rId11486" Type="http://schemas.openxmlformats.org/officeDocument/2006/relationships/hyperlink" Target="https://yagya.com/products/monogram-long-sleeve-shirt-tan" TargetMode="External"/><Relationship Id="rId12884" Type="http://schemas.openxmlformats.org/officeDocument/2006/relationships/hyperlink" Target="http://spelklubben.se/" TargetMode="External"/><Relationship Id="rId915" Type="http://schemas.openxmlformats.org/officeDocument/2006/relationships/hyperlink" Target="https://blugiallo.se/guider/brollopsguide-akt-ett-vem/" TargetMode="External"/><Relationship Id="rId1545" Type="http://schemas.openxmlformats.org/officeDocument/2006/relationships/hyperlink" Target="https://www.happysocks.com/us/collection/socks-for-women" TargetMode="External"/><Relationship Id="rId2943" Type="http://schemas.openxmlformats.org/officeDocument/2006/relationships/hyperlink" Target="https://finansplassen.no/lan/forbrukslan/refinansiering" TargetMode="External"/><Relationship Id="rId5002" Type="http://schemas.openxmlformats.org/officeDocument/2006/relationships/hyperlink" Target="http://spolarent.se/" TargetMode="External"/><Relationship Id="rId8158" Type="http://schemas.openxmlformats.org/officeDocument/2006/relationships/hyperlink" Target="http://startmotor.se/" TargetMode="External"/><Relationship Id="rId8572" Type="http://schemas.openxmlformats.org/officeDocument/2006/relationships/hyperlink" Target="https://ng.se/artiklar/varfor-finns-det-inte-en-enda-gatuhund-i-sverige" TargetMode="External"/><Relationship Id="rId9209" Type="http://schemas.openxmlformats.org/officeDocument/2006/relationships/hyperlink" Target="http://fairinvestments.se/" TargetMode="External"/><Relationship Id="rId9623" Type="http://schemas.openxmlformats.org/officeDocument/2006/relationships/hyperlink" Target="http://lsb.se/" TargetMode="External"/><Relationship Id="rId10088" Type="http://schemas.openxmlformats.org/officeDocument/2006/relationships/hyperlink" Target="https://www.merinfo.se/foretag/Fair-Investments-Sweden-AB-5568169626/2k3576i-kqah" TargetMode="External"/><Relationship Id="rId11139" Type="http://schemas.openxmlformats.org/officeDocument/2006/relationships/hyperlink" Target="https://www.antigympa.nu/" TargetMode="External"/><Relationship Id="rId12537" Type="http://schemas.openxmlformats.org/officeDocument/2006/relationships/hyperlink" Target="https://podradio.nu/upptack-nya-hudvardsmarket-pa-marknaden/" TargetMode="External"/><Relationship Id="rId12951" Type="http://schemas.openxmlformats.org/officeDocument/2006/relationships/hyperlink" Target="https://www.merinfo.se/foretag/Fair-Investments-Sweden-AB-5568169626/2k3576i-kqah" TargetMode="External"/><Relationship Id="rId7174" Type="http://schemas.openxmlformats.org/officeDocument/2006/relationships/hyperlink" Target="http://purakliniken.se/" TargetMode="External"/><Relationship Id="rId8225" Type="http://schemas.openxmlformats.org/officeDocument/2006/relationships/hyperlink" Target="http://leaptodigital.com/" TargetMode="External"/><Relationship Id="rId11553" Type="http://schemas.openxmlformats.org/officeDocument/2006/relationships/hyperlink" Target="https://andrashop.se/b/verktyg-och-andra-presenttips-till-hemmafixaren/" TargetMode="External"/><Relationship Id="rId12604" Type="http://schemas.openxmlformats.org/officeDocument/2006/relationships/hyperlink" Target="http://lsb.se/" TargetMode="External"/><Relationship Id="rId1612" Type="http://schemas.openxmlformats.org/officeDocument/2006/relationships/hyperlink" Target="https://malm&#246;cloud.se/den-digitala-framtiden-fordelarna-med-att-hyra-kassasystem-for-smidiga-transaktioner/" TargetMode="External"/><Relationship Id="rId4768" Type="http://schemas.openxmlformats.org/officeDocument/2006/relationships/hyperlink" Target="http://sakraror.se/" TargetMode="External"/><Relationship Id="rId5819" Type="http://schemas.openxmlformats.org/officeDocument/2006/relationships/hyperlink" Target="https://smartkonstruktion.se/jour-elektriker-viktiga-tjanster-for-byggbranschen/" TargetMode="External"/><Relationship Id="rId6190" Type="http://schemas.openxmlformats.org/officeDocument/2006/relationships/hyperlink" Target="http://chattanoogarehab.com/" TargetMode="External"/><Relationship Id="rId10155" Type="http://schemas.openxmlformats.org/officeDocument/2006/relationships/hyperlink" Target="https://www.adaptnetwork.com/lifestyle/health-fitness/why-cold-packs-are-an-essential-tool-in-injury-management/" TargetMode="External"/><Relationship Id="rId11206" Type="http://schemas.openxmlformats.org/officeDocument/2006/relationships/hyperlink" Target="https://blugiallo.com/custom-tailored/clothes/jeans/" TargetMode="External"/><Relationship Id="rId11620" Type="http://schemas.openxmlformats.org/officeDocument/2006/relationships/hyperlink" Target="https://www.villarelining.se/" TargetMode="External"/><Relationship Id="rId3784" Type="http://schemas.openxmlformats.org/officeDocument/2006/relationships/hyperlink" Target="https://kronbacken.se/hur-du-valjer-tak-for-ditt-sommarprojekt/" TargetMode="External"/><Relationship Id="rId4835" Type="http://schemas.openxmlformats.org/officeDocument/2006/relationships/hyperlink" Target="https://london-post.co.uk/staycation-slowdown-surprising-ways-city-dwellers-relax-on-vacation/" TargetMode="External"/><Relationship Id="rId7241" Type="http://schemas.openxmlformats.org/officeDocument/2006/relationships/hyperlink" Target="http://tigerofsweden.com/" TargetMode="External"/><Relationship Id="rId10222" Type="http://schemas.openxmlformats.org/officeDocument/2006/relationships/hyperlink" Target="https://www.kingmagazine.se/partner/det-moderna-sallskapsspelet-risktagande-och-beloning/" TargetMode="External"/><Relationship Id="rId2386" Type="http://schemas.openxmlformats.org/officeDocument/2006/relationships/hyperlink" Target="https://notyfile.se/" TargetMode="External"/><Relationship Id="rId3437" Type="http://schemas.openxmlformats.org/officeDocument/2006/relationships/hyperlink" Target="http://alvtorpet.se/" TargetMode="External"/><Relationship Id="rId3851" Type="http://schemas.openxmlformats.org/officeDocument/2006/relationships/hyperlink" Target="http://e-ciggbolaget.se/" TargetMode="External"/><Relationship Id="rId4902" Type="http://schemas.openxmlformats.org/officeDocument/2006/relationships/hyperlink" Target="https://www.vont.se/engangs-vape" TargetMode="External"/><Relationship Id="rId12394" Type="http://schemas.openxmlformats.org/officeDocument/2006/relationships/hyperlink" Target="https://edgehyllie.se/?p=293" TargetMode="External"/><Relationship Id="rId358" Type="http://schemas.openxmlformats.org/officeDocument/2006/relationships/hyperlink" Target="https://www.elmarknad.se/spotpris/imorgon" TargetMode="External"/><Relationship Id="rId772" Type="http://schemas.openxmlformats.org/officeDocument/2006/relationships/hyperlink" Target="http://happysocks.com/" TargetMode="External"/><Relationship Id="rId2039" Type="http://schemas.openxmlformats.org/officeDocument/2006/relationships/hyperlink" Target="http://tiotak.se/" TargetMode="External"/><Relationship Id="rId2453" Type="http://schemas.openxmlformats.org/officeDocument/2006/relationships/hyperlink" Target="http://kamux.fi/" TargetMode="External"/><Relationship Id="rId3504" Type="http://schemas.openxmlformats.org/officeDocument/2006/relationships/hyperlink" Target="http://glitnor.com/" TargetMode="External"/><Relationship Id="rId9066" Type="http://schemas.openxmlformats.org/officeDocument/2006/relationships/hyperlink" Target="http://sesec.se/" TargetMode="External"/><Relationship Id="rId9480" Type="http://schemas.openxmlformats.org/officeDocument/2006/relationships/hyperlink" Target="https://nordicknots.com/us/custom-rugs" TargetMode="External"/><Relationship Id="rId12047" Type="http://schemas.openxmlformats.org/officeDocument/2006/relationships/hyperlink" Target="http://robomarkets.com/" TargetMode="External"/><Relationship Id="rId12461" Type="http://schemas.openxmlformats.org/officeDocument/2006/relationships/hyperlink" Target="https://www.executiveeffect.se/vad-ar-fair-investments/" TargetMode="External"/><Relationship Id="rId425" Type="http://schemas.openxmlformats.org/officeDocument/2006/relationships/hyperlink" Target="https://www.elmarknad.se/spotpris/idag" TargetMode="External"/><Relationship Id="rId1055" Type="http://schemas.openxmlformats.org/officeDocument/2006/relationships/hyperlink" Target="https://www.robomarkets.com/se/" TargetMode="External"/><Relationship Id="rId2106" Type="http://schemas.openxmlformats.org/officeDocument/2006/relationships/hyperlink" Target="https://www.peoma.se/var-radd-om-dina-knan" TargetMode="External"/><Relationship Id="rId2520" Type="http://schemas.openxmlformats.org/officeDocument/2006/relationships/hyperlink" Target="http://carpcon.se/" TargetMode="External"/><Relationship Id="rId5676" Type="http://schemas.openxmlformats.org/officeDocument/2006/relationships/hyperlink" Target="https://www.dagensnaringsliv.se/20241001/272971/hur-viktig-ar-spelbranschen-sveriges-ekonomi" TargetMode="External"/><Relationship Id="rId6727" Type="http://schemas.openxmlformats.org/officeDocument/2006/relationships/hyperlink" Target="https://gratisaktivitet.se/skidvalla-sa-haller-du-dina-skidor-och-snowboard-i-toppskick/" TargetMode="External"/><Relationship Id="rId8082" Type="http://schemas.openxmlformats.org/officeDocument/2006/relationships/hyperlink" Target="https://www.cherry.com/sv/live-casino" TargetMode="External"/><Relationship Id="rId9133" Type="http://schemas.openxmlformats.org/officeDocument/2006/relationships/hyperlink" Target="https://mynicco.com/" TargetMode="External"/><Relationship Id="rId11063" Type="http://schemas.openxmlformats.org/officeDocument/2006/relationships/hyperlink" Target="https://www.lsb.se/lana-pengar" TargetMode="External"/><Relationship Id="rId12114" Type="http://schemas.openxmlformats.org/officeDocument/2006/relationships/hyperlink" Target="https://www.robomarkets.com/se/" TargetMode="External"/><Relationship Id="rId1122" Type="http://schemas.openxmlformats.org/officeDocument/2006/relationships/hyperlink" Target="http://happysocks.com/" TargetMode="External"/><Relationship Id="rId4278" Type="http://schemas.openxmlformats.org/officeDocument/2006/relationships/hyperlink" Target="https://storgruppen.se/asbestsanering/" TargetMode="External"/><Relationship Id="rId5329" Type="http://schemas.openxmlformats.org/officeDocument/2006/relationships/hyperlink" Target="https://www.sportochfritidsnyheter.se/20241001/3995/hur-fungerar-bilforsakringar" TargetMode="External"/><Relationship Id="rId9200" Type="http://schemas.openxmlformats.org/officeDocument/2006/relationships/hyperlink" Target="https://ekstromgaray.se/skicka-in-manus/" TargetMode="External"/><Relationship Id="rId3294" Type="http://schemas.openxmlformats.org/officeDocument/2006/relationships/hyperlink" Target="https://hunch.se/distansstudier-i-vuxen-alder-kanske-ska-man-bli-ekonomiassistent" TargetMode="External"/><Relationship Id="rId4345" Type="http://schemas.openxmlformats.org/officeDocument/2006/relationships/hyperlink" Target="https://www.spela-online-casino.se/skillnader-mellan-ett-live-casino-och-ett-klassiskt-casino-online/" TargetMode="External"/><Relationship Id="rId4692" Type="http://schemas.openxmlformats.org/officeDocument/2006/relationships/hyperlink" Target="https://clotheshor.se/uttrycka-sig-sjalv-och-sitt-foretag-med-egendesignad-merchandise/" TargetMode="External"/><Relationship Id="rId5743" Type="http://schemas.openxmlformats.org/officeDocument/2006/relationships/hyperlink" Target="http://cherry.com/" TargetMode="External"/><Relationship Id="rId8899" Type="http://schemas.openxmlformats.org/officeDocument/2006/relationships/hyperlink" Target="https://minifinder.se/" TargetMode="External"/><Relationship Id="rId11130" Type="http://schemas.openxmlformats.org/officeDocument/2006/relationships/hyperlink" Target="https://ekonomikunskap.se/kopkraft-trygghet-sakerhet-driver-konsumtion/" TargetMode="External"/><Relationship Id="rId1939" Type="http://schemas.openxmlformats.org/officeDocument/2006/relationships/hyperlink" Target="https://arctic.se/se/forsakringslosningar/svensksolenergi/" TargetMode="External"/><Relationship Id="rId5810" Type="http://schemas.openxmlformats.org/officeDocument/2006/relationships/hyperlink" Target="http://sakraror.se/" TargetMode="External"/><Relationship Id="rId8966" Type="http://schemas.openxmlformats.org/officeDocument/2006/relationships/hyperlink" Target="https://www.nordiskaprojekt.se/2025/04/29/nordens-storsta-energi-industri-byggprojekt-fram-till-2030-en-framtid-formad-av-langsiktiga-investeringar/" TargetMode="External"/><Relationship Id="rId10896" Type="http://schemas.openxmlformats.org/officeDocument/2006/relationships/hyperlink" Target="https://www.indoorprofessional.se/" TargetMode="External"/><Relationship Id="rId11947" Type="http://schemas.openxmlformats.org/officeDocument/2006/relationships/hyperlink" Target="http://oconnors.se/" TargetMode="External"/><Relationship Id="rId3361" Type="http://schemas.openxmlformats.org/officeDocument/2006/relationships/hyperlink" Target="https://guldkorn.nu/spelklubben-revolutionen-av-svensk-online-spelunderhallning/" TargetMode="External"/><Relationship Id="rId4412" Type="http://schemas.openxmlformats.org/officeDocument/2006/relationships/hyperlink" Target="https://viktigainformationer.se/sa-hittar-du-den-basta-tandlakaren-i-stockholm/" TargetMode="External"/><Relationship Id="rId7568" Type="http://schemas.openxmlformats.org/officeDocument/2006/relationships/hyperlink" Target="http://petster.se/" TargetMode="External"/><Relationship Id="rId7982" Type="http://schemas.openxmlformats.org/officeDocument/2006/relationships/hyperlink" Target="https://www.lanskulturen.se/iptv-smarters" TargetMode="External"/><Relationship Id="rId8619" Type="http://schemas.openxmlformats.org/officeDocument/2006/relationships/hyperlink" Target="http://fairinvestments.se/" TargetMode="External"/><Relationship Id="rId10549" Type="http://schemas.openxmlformats.org/officeDocument/2006/relationships/hyperlink" Target="https://www.saleseffect.se/personligt-ar-den-vinnande-strategin/" TargetMode="External"/><Relationship Id="rId282" Type="http://schemas.openxmlformats.org/officeDocument/2006/relationships/hyperlink" Target="https://www.askskinfo.com/" TargetMode="External"/><Relationship Id="rId3014" Type="http://schemas.openxmlformats.org/officeDocument/2006/relationships/hyperlink" Target="https://megarock.se/spelklubben-det-nya-online-casinot/" TargetMode="External"/><Relationship Id="rId6584" Type="http://schemas.openxmlformats.org/officeDocument/2006/relationships/hyperlink" Target="https://www.purakliniken.se/estetisk-tandvard/" TargetMode="External"/><Relationship Id="rId7635" Type="http://schemas.openxmlformats.org/officeDocument/2006/relationships/hyperlink" Target="https://skaparum.se/hantverkarens-roll-i-modern-byggnation/" TargetMode="External"/><Relationship Id="rId10963" Type="http://schemas.openxmlformats.org/officeDocument/2006/relationships/hyperlink" Target="http://dbet.com/" TargetMode="External"/><Relationship Id="rId13022" Type="http://schemas.openxmlformats.org/officeDocument/2006/relationships/hyperlink" Target="http://sesec.se/" TargetMode="External"/><Relationship Id="rId2030" Type="http://schemas.openxmlformats.org/officeDocument/2006/relationships/hyperlink" Target="http://fairinvestments.se/" TargetMode="External"/><Relationship Id="rId5186" Type="http://schemas.openxmlformats.org/officeDocument/2006/relationships/hyperlink" Target="http://tryggbil.se/" TargetMode="External"/><Relationship Id="rId6237" Type="http://schemas.openxmlformats.org/officeDocument/2006/relationships/hyperlink" Target="http://mariatand.se/" TargetMode="External"/><Relationship Id="rId6651" Type="http://schemas.openxmlformats.org/officeDocument/2006/relationships/hyperlink" Target="http://podcasts.nu/" TargetMode="External"/><Relationship Id="rId7702" Type="http://schemas.openxmlformats.org/officeDocument/2006/relationships/hyperlink" Target="https://semesterdags.se/optimala-skidresor-valj-ratt-skidvalla-for-basta-upplevelsen/" TargetMode="External"/><Relationship Id="rId10616" Type="http://schemas.openxmlformats.org/officeDocument/2006/relationships/hyperlink" Target="https://tv24.co.uk/news/the-impact-of-tv-inspired-games-on-casino-player-excitement" TargetMode="External"/><Relationship Id="rId5253" Type="http://schemas.openxmlformats.org/officeDocument/2006/relationships/hyperlink" Target="https://avstarnews.com/the-importance-of-cybersecurity-for-businesses-why-many-still-fall-short/" TargetMode="External"/><Relationship Id="rId6304" Type="http://schemas.openxmlformats.org/officeDocument/2006/relationships/hyperlink" Target="https://fritidsfavoriter.se/tobaksfritt-snus-alternativ-for-en-halsosammare-fritid/" TargetMode="External"/><Relationship Id="rId12788" Type="http://schemas.openxmlformats.org/officeDocument/2006/relationships/hyperlink" Target="http://hund.se/" TargetMode="External"/><Relationship Id="rId1449" Type="http://schemas.openxmlformats.org/officeDocument/2006/relationships/hyperlink" Target="https://onlinehealthmedia.com/fund-your-business-with-a-medical-business-loan/" TargetMode="External"/><Relationship Id="rId1796" Type="http://schemas.openxmlformats.org/officeDocument/2006/relationships/hyperlink" Target="http://tiotak.se/" TargetMode="External"/><Relationship Id="rId2847" Type="http://schemas.openxmlformats.org/officeDocument/2006/relationships/hyperlink" Target="https://www.totallystockholm.se/tandlakare-i-stockholm-en-nyckelaktor-for-tandhalsa-i-huvudstaden/" TargetMode="External"/><Relationship Id="rId8476" Type="http://schemas.openxmlformats.org/officeDocument/2006/relationships/hyperlink" Target="https://www.sekventiellt.se/fran-rut-tv-till-berattande-pa-egna-villkor" TargetMode="External"/><Relationship Id="rId9874" Type="http://schemas.openxmlformats.org/officeDocument/2006/relationships/hyperlink" Target="http://hund.se/hundgodis" TargetMode="External"/><Relationship Id="rId12855" Type="http://schemas.openxmlformats.org/officeDocument/2006/relationships/hyperlink" Target="http://myownwater.com/" TargetMode="External"/><Relationship Id="rId88" Type="http://schemas.openxmlformats.org/officeDocument/2006/relationships/hyperlink" Target="https://b&#228;stf&#246;rs&#228;kringar.se/" TargetMode="External"/><Relationship Id="rId819" Type="http://schemas.openxmlformats.org/officeDocument/2006/relationships/hyperlink" Target="https://www.askskinfo.com/varumarke/dr-ceuracle" TargetMode="External"/><Relationship Id="rId1863" Type="http://schemas.openxmlformats.org/officeDocument/2006/relationships/hyperlink" Target="https://mobilt-bredband.no/kan-sko-vaere-miljovennlige/" TargetMode="External"/><Relationship Id="rId2914" Type="http://schemas.openxmlformats.org/officeDocument/2006/relationships/hyperlink" Target="http://glitnor.com/" TargetMode="External"/><Relationship Id="rId5320" Type="http://schemas.openxmlformats.org/officeDocument/2006/relationships/hyperlink" Target="https://www.bilforsakringjamfor.se/hur-du-kan-jamfora-bilforsakringar-och-valja-ratt-forsakring/" TargetMode="External"/><Relationship Id="rId7078" Type="http://schemas.openxmlformats.org/officeDocument/2006/relationships/hyperlink" Target="http://chattanoogarehab.com/" TargetMode="External"/><Relationship Id="rId8129" Type="http://schemas.openxmlformats.org/officeDocument/2006/relationships/hyperlink" Target="http://fairinvestments.se/" TargetMode="External"/><Relationship Id="rId8890" Type="http://schemas.openxmlformats.org/officeDocument/2006/relationships/hyperlink" Target="https://ng.se/artiklar/sa-bygger-du-en-semesterkassa-med-borsen-som-medspelare" TargetMode="External"/><Relationship Id="rId9527" Type="http://schemas.openxmlformats.org/officeDocument/2006/relationships/hyperlink" Target="https://www.omkrets.se/sa-polerar-du-ett-slitet-golv-steg-for-steg-till-ett-snyggare-hem/" TargetMode="External"/><Relationship Id="rId9941" Type="http://schemas.openxmlformats.org/officeDocument/2006/relationships/hyperlink" Target="https://www.vegatus.se/att-ga-ner-i-vikt-med-lakemedel-kan-det-vara-sakert/" TargetMode="External"/><Relationship Id="rId11457" Type="http://schemas.openxmlformats.org/officeDocument/2006/relationships/hyperlink" Target="http://ljusgrossisten.se/" TargetMode="External"/><Relationship Id="rId11871" Type="http://schemas.openxmlformats.org/officeDocument/2006/relationships/hyperlink" Target="http://haxan.se/" TargetMode="External"/><Relationship Id="rId12508" Type="http://schemas.openxmlformats.org/officeDocument/2006/relationships/hyperlink" Target="https://familjeekonomin.se/investera-ditt-foretags-tillgangar-hitta-ratt-investmentbolag/" TargetMode="External"/><Relationship Id="rId12922" Type="http://schemas.openxmlformats.org/officeDocument/2006/relationships/hyperlink" Target="https://www.healthcarebusinesstoday.com/understanding-cold-packs-and-their-purposes-benefits-and-risks/" TargetMode="External"/><Relationship Id="rId1516" Type="http://schemas.openxmlformats.org/officeDocument/2006/relationships/hyperlink" Target="https://www.happysocks.com/us/collection/socks-for-men" TargetMode="External"/><Relationship Id="rId1930" Type="http://schemas.openxmlformats.org/officeDocument/2006/relationships/hyperlink" Target="https://haxan.se/products/propplosare" TargetMode="External"/><Relationship Id="rId7492" Type="http://schemas.openxmlformats.org/officeDocument/2006/relationships/hyperlink" Target="http://bethard.com/" TargetMode="External"/><Relationship Id="rId8543" Type="http://schemas.openxmlformats.org/officeDocument/2006/relationships/hyperlink" Target="http://technobark.com/" TargetMode="External"/><Relationship Id="rId10059" Type="http://schemas.openxmlformats.org/officeDocument/2006/relationships/hyperlink" Target="http://hajper.com/" TargetMode="External"/><Relationship Id="rId10473" Type="http://schemas.openxmlformats.org/officeDocument/2006/relationships/hyperlink" Target="https://www.indoorprofessional.se/" TargetMode="External"/><Relationship Id="rId11524" Type="http://schemas.openxmlformats.org/officeDocument/2006/relationships/hyperlink" Target="https://valutor.nu/vad-ar-resecheckar/" TargetMode="External"/><Relationship Id="rId3688" Type="http://schemas.openxmlformats.org/officeDocument/2006/relationships/hyperlink" Target="https://www.tandea.se/tandvard/tandimplantat/" TargetMode="External"/><Relationship Id="rId4739" Type="http://schemas.openxmlformats.org/officeDocument/2006/relationships/hyperlink" Target="https://www.dagensinfrastruktur.se/2024/07/25/framtidens-infrastruktur-investeringar-som-driver-utvecklingen/" TargetMode="External"/><Relationship Id="rId6094" Type="http://schemas.openxmlformats.org/officeDocument/2006/relationships/hyperlink" Target="https://metapress.com/the-future-of-healing-a-closer-look-at-shock-wave-and-radial-pressure-wave-therapies/" TargetMode="External"/><Relationship Id="rId7145" Type="http://schemas.openxmlformats.org/officeDocument/2006/relationships/hyperlink" Target="http://kleer.se/" TargetMode="External"/><Relationship Id="rId8610" Type="http://schemas.openxmlformats.org/officeDocument/2006/relationships/hyperlink" Target="http://cdbilvardsprodukter.se/" TargetMode="External"/><Relationship Id="rId10126" Type="http://schemas.openxmlformats.org/officeDocument/2006/relationships/hyperlink" Target="https://www.rusta.com/sv-se/hem-och-inredning/belysning" TargetMode="External"/><Relationship Id="rId10540" Type="http://schemas.openxmlformats.org/officeDocument/2006/relationships/hyperlink" Target="https://wellio.se/" TargetMode="External"/><Relationship Id="rId3755" Type="http://schemas.openxmlformats.org/officeDocument/2006/relationships/hyperlink" Target="https://www.lansfast.se/maklare/stockholm/taby-danderyd/" TargetMode="External"/><Relationship Id="rId4806" Type="http://schemas.openxmlformats.org/officeDocument/2006/relationships/hyperlink" Target="https://annasfotnoter.se/effektiv-hantering-av-industriella-processer-vikten-av-ratt-tillbehor-och-utrustning/" TargetMode="External"/><Relationship Id="rId6161" Type="http://schemas.openxmlformats.org/officeDocument/2006/relationships/hyperlink" Target="https://e-ciggbolaget.se/e-cigaretter/engangs-vape/" TargetMode="External"/><Relationship Id="rId7212" Type="http://schemas.openxmlformats.org/officeDocument/2006/relationships/hyperlink" Target="https://www.joureliten.se/jour-elektriker/" TargetMode="External"/><Relationship Id="rId12298" Type="http://schemas.openxmlformats.org/officeDocument/2006/relationships/hyperlink" Target="http://villarelining.se/" TargetMode="External"/><Relationship Id="rId676" Type="http://schemas.openxmlformats.org/officeDocument/2006/relationships/hyperlink" Target="https://blugiallo.se/" TargetMode="External"/><Relationship Id="rId2357" Type="http://schemas.openxmlformats.org/officeDocument/2006/relationships/hyperlink" Target="https://www.tornedalia.se/privat-reningsverk-for-enskilda-avlopp" TargetMode="External"/><Relationship Id="rId3408" Type="http://schemas.openxmlformats.org/officeDocument/2006/relationships/hyperlink" Target="https://storgruppen.se/asbestsanering/" TargetMode="External"/><Relationship Id="rId9384" Type="http://schemas.openxmlformats.org/officeDocument/2006/relationships/hyperlink" Target="http://lsb.se/" TargetMode="External"/><Relationship Id="rId329" Type="http://schemas.openxmlformats.org/officeDocument/2006/relationships/hyperlink" Target="https://chronos.se/diabetes/blodsocker/hba1c" TargetMode="External"/><Relationship Id="rId1373" Type="http://schemas.openxmlformats.org/officeDocument/2006/relationships/hyperlink" Target="https://haronaglarspa.se/fair-investments-forvaltning-radgivning-och-pension/" TargetMode="External"/><Relationship Id="rId2771" Type="http://schemas.openxmlformats.org/officeDocument/2006/relationships/hyperlink" Target="https://cl.luckycasino.com/es/" TargetMode="External"/><Relationship Id="rId3822" Type="http://schemas.openxmlformats.org/officeDocument/2006/relationships/hyperlink" Target="https://www.medalgon.se/" TargetMode="External"/><Relationship Id="rId6978" Type="http://schemas.openxmlformats.org/officeDocument/2006/relationships/hyperlink" Target="http://kleer.se/" TargetMode="External"/><Relationship Id="rId9037" Type="http://schemas.openxmlformats.org/officeDocument/2006/relationships/hyperlink" Target="https://dailyemerald.com/165300/promotedposts/why-more-people-are-exercising-outdoors-this-spring-and-summer/" TargetMode="External"/><Relationship Id="rId12365" Type="http://schemas.openxmlformats.org/officeDocument/2006/relationships/hyperlink" Target="https://eventeffect.se/sa-sanker-du-din-elrakning-med-7-enkla-tips/" TargetMode="External"/><Relationship Id="rId743" Type="http://schemas.openxmlformats.org/officeDocument/2006/relationships/hyperlink" Target="https://www.lansfast.se/maklare/sodermanland/nykoping/" TargetMode="External"/><Relationship Id="rId1026" Type="http://schemas.openxmlformats.org/officeDocument/2006/relationships/hyperlink" Target="http://happysocks.com/" TargetMode="External"/><Relationship Id="rId2424" Type="http://schemas.openxmlformats.org/officeDocument/2006/relationships/hyperlink" Target="https://www.pengenytt.no/naeringslivets-fremtid-og-din-privatokonomi-innsikt-fra-nhos-arskonferanse-2024/" TargetMode="External"/><Relationship Id="rId5994" Type="http://schemas.openxmlformats.org/officeDocument/2006/relationships/hyperlink" Target="https://hudsonweekly.com/modern-matchmaking-how-technology-is-transforming-relationships/" TargetMode="External"/><Relationship Id="rId8053" Type="http://schemas.openxmlformats.org/officeDocument/2006/relationships/hyperlink" Target="http://coface.se/inkasso" TargetMode="External"/><Relationship Id="rId9104" Type="http://schemas.openxmlformats.org/officeDocument/2006/relationships/hyperlink" Target="http://chattanoogarehab.com/" TargetMode="External"/><Relationship Id="rId9451" Type="http://schemas.openxmlformats.org/officeDocument/2006/relationships/hyperlink" Target="http://nettotobak.com/" TargetMode="External"/><Relationship Id="rId11381" Type="http://schemas.openxmlformats.org/officeDocument/2006/relationships/hyperlink" Target="https://haxan.se/products/haxan-silverputs" TargetMode="External"/><Relationship Id="rId12018" Type="http://schemas.openxmlformats.org/officeDocument/2006/relationships/hyperlink" Target="https://bigbenstandup.com/" TargetMode="External"/><Relationship Id="rId12432" Type="http://schemas.openxmlformats.org/officeDocument/2006/relationships/hyperlink" Target="http://alvtorpet.se/" TargetMode="External"/><Relationship Id="rId810" Type="http://schemas.openxmlformats.org/officeDocument/2006/relationships/hyperlink" Target="https://pontechmarina.com/se/" TargetMode="External"/><Relationship Id="rId1440" Type="http://schemas.openxmlformats.org/officeDocument/2006/relationships/hyperlink" Target="https://svenskhistoria.se/" TargetMode="External"/><Relationship Id="rId4596" Type="http://schemas.openxmlformats.org/officeDocument/2006/relationships/hyperlink" Target="https://byggbalans.se/hur-stamspolning-forebygger-kostsamma-vattenlackor/" TargetMode="External"/><Relationship Id="rId5647" Type="http://schemas.openxmlformats.org/officeDocument/2006/relationships/hyperlink" Target="https://streaminfo.se/blogg/tre-satt-att-streama-som-du-sakert-har-missat/" TargetMode="External"/><Relationship Id="rId11034" Type="http://schemas.openxmlformats.org/officeDocument/2006/relationships/hyperlink" Target="https://industryboost.fi/miksi-90-luvulta-oleva-tehdasovesi-maksaa-enemman-kuin-luuletkaan/" TargetMode="External"/><Relationship Id="rId3198" Type="http://schemas.openxmlformats.org/officeDocument/2006/relationships/hyperlink" Target="https://finansplassen.no/" TargetMode="External"/><Relationship Id="rId4249" Type="http://schemas.openxmlformats.org/officeDocument/2006/relationships/hyperlink" Target="http://everynightstudios.com/" TargetMode="External"/><Relationship Id="rId4663" Type="http://schemas.openxmlformats.org/officeDocument/2006/relationships/hyperlink" Target="https://www.totallystockholm.se/nyheter-inom-casinobranschen-spelinspektionens-arbete-fem-ar-efter-omregleringen/" TargetMode="External"/><Relationship Id="rId5714" Type="http://schemas.openxmlformats.org/officeDocument/2006/relationships/hyperlink" Target="http://everynightstudios.com/" TargetMode="External"/><Relationship Id="rId8120" Type="http://schemas.openxmlformats.org/officeDocument/2006/relationships/hyperlink" Target="http://fairinvestments.se/" TargetMode="External"/><Relationship Id="rId10050" Type="http://schemas.openxmlformats.org/officeDocument/2006/relationships/hyperlink" Target="http://megariches.com/" TargetMode="External"/><Relationship Id="rId11101" Type="http://schemas.openxmlformats.org/officeDocument/2006/relationships/hyperlink" Target="https://www.fokus.se/natives/placebo-i-vardagen/" TargetMode="External"/><Relationship Id="rId3265" Type="http://schemas.openxmlformats.org/officeDocument/2006/relationships/hyperlink" Target="https://www.mtt-poker.com/spelklubbens-live-casino-en-guidad-resa/" TargetMode="External"/><Relationship Id="rId4316" Type="http://schemas.openxmlformats.org/officeDocument/2006/relationships/hyperlink" Target="https://w3elsolenergi.se/" TargetMode="External"/><Relationship Id="rId4730" Type="http://schemas.openxmlformats.org/officeDocument/2006/relationships/hyperlink" Target="https://www.grontsamhallsbyggande.se/2024/07/25/vad-kan-online-casino-branschen-gora-for-att-vara-en-del-av-det-grona-samhallsbygget/" TargetMode="External"/><Relationship Id="rId7886" Type="http://schemas.openxmlformats.org/officeDocument/2006/relationships/hyperlink" Target="http://bethard.com/" TargetMode="External"/><Relationship Id="rId8937" Type="http://schemas.openxmlformats.org/officeDocument/2006/relationships/hyperlink" Target="https://technomeow.com/best-self-cleaning-litter-boxes-this-year/" TargetMode="External"/><Relationship Id="rId13273" Type="http://schemas.openxmlformats.org/officeDocument/2006/relationships/hyperlink" Target="http://sesec.se/" TargetMode="External"/><Relationship Id="rId186" Type="http://schemas.openxmlformats.org/officeDocument/2006/relationships/hyperlink" Target="http://kopbarnvagn.se/" TargetMode="External"/><Relationship Id="rId2281" Type="http://schemas.openxmlformats.org/officeDocument/2006/relationships/hyperlink" Target="http://distansinstitutet.se/" TargetMode="External"/><Relationship Id="rId3332" Type="http://schemas.openxmlformats.org/officeDocument/2006/relationships/hyperlink" Target="https://socialsummit17.se/frunk-bar-varumarket-for-toppkvalitet-i-varlden-av-engangs-e-cigaretter/" TargetMode="External"/><Relationship Id="rId6488" Type="http://schemas.openxmlformats.org/officeDocument/2006/relationships/hyperlink" Target="https://svenskalasjouren.se/lasjour" TargetMode="External"/><Relationship Id="rId7539" Type="http://schemas.openxmlformats.org/officeDocument/2006/relationships/hyperlink" Target="http://kvarnx.com/" TargetMode="External"/><Relationship Id="rId10867" Type="http://schemas.openxmlformats.org/officeDocument/2006/relationships/hyperlink" Target="http://4him4her.com/" TargetMode="External"/><Relationship Id="rId11918" Type="http://schemas.openxmlformats.org/officeDocument/2006/relationships/hyperlink" Target="https://www.democratiefestival.nu/2023/09/26/index-i-online-trading-en-nyckel-till-mangsidighet-och-minskad-risk/" TargetMode="External"/><Relationship Id="rId253" Type="http://schemas.openxmlformats.org/officeDocument/2006/relationships/hyperlink" Target="https://arctic.se/se/produktsidor/hjartstartare/" TargetMode="External"/><Relationship Id="rId6555" Type="http://schemas.openxmlformats.org/officeDocument/2006/relationships/hyperlink" Target="https://arctic.se/se/forsakringslosningar/svensksolenergi/" TargetMode="External"/><Relationship Id="rId7953" Type="http://schemas.openxmlformats.org/officeDocument/2006/relationships/hyperlink" Target="http://cateringfabriken.se/" TargetMode="External"/><Relationship Id="rId10934" Type="http://schemas.openxmlformats.org/officeDocument/2006/relationships/hyperlink" Target="http://willabgarden.de/" TargetMode="External"/><Relationship Id="rId320" Type="http://schemas.openxmlformats.org/officeDocument/2006/relationships/hyperlink" Target="https://stockholmextra.se/tips-pa-roliga-saker-att-hitta-pa-i-stockholm/" TargetMode="External"/><Relationship Id="rId2001" Type="http://schemas.openxmlformats.org/officeDocument/2006/relationships/hyperlink" Target="https://www.rambollnatura.se/investering-med-hjalp-av-ett-investmentbolag" TargetMode="External"/><Relationship Id="rId5157" Type="http://schemas.openxmlformats.org/officeDocument/2006/relationships/hyperlink" Target="https://www.dahlsbageri.se/" TargetMode="External"/><Relationship Id="rId6208" Type="http://schemas.openxmlformats.org/officeDocument/2006/relationships/hyperlink" Target="https://www.coface.no/inkasso" TargetMode="External"/><Relationship Id="rId7606" Type="http://schemas.openxmlformats.org/officeDocument/2006/relationships/hyperlink" Target="http://tandlakare.se/" TargetMode="External"/><Relationship Id="rId5571" Type="http://schemas.openxmlformats.org/officeDocument/2006/relationships/hyperlink" Target="https://www.lansfast.se/maklare/sodermanland/trosa/" TargetMode="External"/><Relationship Id="rId6622" Type="http://schemas.openxmlformats.org/officeDocument/2006/relationships/hyperlink" Target="https://www.cherry.com/sv/live-casino/game-shows" TargetMode="External"/><Relationship Id="rId9778" Type="http://schemas.openxmlformats.org/officeDocument/2006/relationships/hyperlink" Target="https://www.kleer.se/lonesystem/" TargetMode="External"/><Relationship Id="rId12759" Type="http://schemas.openxmlformats.org/officeDocument/2006/relationships/hyperlink" Target="http://bigbenstandup.com/" TargetMode="External"/><Relationship Id="rId1767" Type="http://schemas.openxmlformats.org/officeDocument/2006/relationships/hyperlink" Target="https://www.swedoffice.se/" TargetMode="External"/><Relationship Id="rId2818" Type="http://schemas.openxmlformats.org/officeDocument/2006/relationships/hyperlink" Target="https://www.alfa.no/collections/vintersko-til-herre" TargetMode="External"/><Relationship Id="rId4173" Type="http://schemas.openxmlformats.org/officeDocument/2006/relationships/hyperlink" Target="https://fairinvestments.se/" TargetMode="External"/><Relationship Id="rId5224" Type="http://schemas.openxmlformats.org/officeDocument/2006/relationships/hyperlink" Target="https://nem.health/vo2-max-indikator-for-livslangd-och-kardiovaskular-halsa/" TargetMode="External"/><Relationship Id="rId8794" Type="http://schemas.openxmlformats.org/officeDocument/2006/relationships/hyperlink" Target="https://www.papperochmassa.se/20250425/5681/miljovanliga-tryckerier-en-gron-revolution-inom-bokutgivning" TargetMode="External"/><Relationship Id="rId9845" Type="http://schemas.openxmlformats.org/officeDocument/2006/relationships/hyperlink" Target="http://tandea.se/tandvard/akut-tandvard-stockholm/" TargetMode="External"/><Relationship Id="rId11775" Type="http://schemas.openxmlformats.org/officeDocument/2006/relationships/hyperlink" Target="http://yagya.com/" TargetMode="External"/><Relationship Id="rId59" Type="http://schemas.openxmlformats.org/officeDocument/2006/relationships/hyperlink" Target="https://tidskriftenskeppet.se/sa-kan-du-spara-in-pengar-under-vinterns-kommande-provningar/" TargetMode="External"/><Relationship Id="rId1834" Type="http://schemas.openxmlformats.org/officeDocument/2006/relationships/hyperlink" Target="https://ethereumkurs.org/kan-du-kjope-sko-med-krypto/" TargetMode="External"/><Relationship Id="rId4240" Type="http://schemas.openxmlformats.org/officeDocument/2006/relationships/hyperlink" Target="http://hvvs.se/" TargetMode="External"/><Relationship Id="rId7396" Type="http://schemas.openxmlformats.org/officeDocument/2006/relationships/hyperlink" Target="http://vardagsfrid.se/" TargetMode="External"/><Relationship Id="rId8447" Type="http://schemas.openxmlformats.org/officeDocument/2006/relationships/hyperlink" Target="https://www.mueritzportal.de/news/fruehjahrsmode-2025.html" TargetMode="External"/><Relationship Id="rId8861" Type="http://schemas.openxmlformats.org/officeDocument/2006/relationships/hyperlink" Target="https://mynicco.com/product-category/zyn/" TargetMode="External"/><Relationship Id="rId9912" Type="http://schemas.openxmlformats.org/officeDocument/2006/relationships/hyperlink" Target="http://realitytopp.se/" TargetMode="External"/><Relationship Id="rId10377" Type="http://schemas.openxmlformats.org/officeDocument/2006/relationships/hyperlink" Target="https://www.mrvegas.com/sv/" TargetMode="External"/><Relationship Id="rId11428" Type="http://schemas.openxmlformats.org/officeDocument/2006/relationships/hyperlink" Target="https://www.lansfast.se/maklare/sodermanland/nykoping/" TargetMode="External"/><Relationship Id="rId12826" Type="http://schemas.openxmlformats.org/officeDocument/2006/relationships/hyperlink" Target="https://industryboost.fi/nain-modernit-oviratkaisut-turnerilta-tulee-parantamaan-sinun-tyoymparistoasi/" TargetMode="External"/><Relationship Id="rId7049" Type="http://schemas.openxmlformats.org/officeDocument/2006/relationships/hyperlink" Target="https://metapress.com/consumer-trends-and-innovations-how-smoke-free-alternatives-are-reshaping-the-market/" TargetMode="External"/><Relationship Id="rId7463" Type="http://schemas.openxmlformats.org/officeDocument/2006/relationships/hyperlink" Target="https://www.meravsverige.nu/den-moderna-tv-upplevelsen-med-iptv" TargetMode="External"/><Relationship Id="rId8514" Type="http://schemas.openxmlformats.org/officeDocument/2006/relationships/hyperlink" Target="http://glassfactory.fi/" TargetMode="External"/><Relationship Id="rId10791" Type="http://schemas.openxmlformats.org/officeDocument/2006/relationships/hyperlink" Target="https://nutidshuset.se/stadningens-betydelse-for-hallbara-bostadsmiljoer-i-stockholm/" TargetMode="External"/><Relationship Id="rId11842" Type="http://schemas.openxmlformats.org/officeDocument/2006/relationships/hyperlink" Target="https://kvinnan.se/dessa-skonhetsprodukter-kan-vara-varda-att-investera-i-for-sommaren/" TargetMode="External"/><Relationship Id="rId1901" Type="http://schemas.openxmlformats.org/officeDocument/2006/relationships/hyperlink" Target="https://distansinstitutet.se/distansutbildningar/pedagogik/vardbitrade/" TargetMode="External"/><Relationship Id="rId3659" Type="http://schemas.openxmlformats.org/officeDocument/2006/relationships/hyperlink" Target="https://www.goongee.com/leveraging-retro-fashion-for-web-marketing-success" TargetMode="External"/><Relationship Id="rId6065" Type="http://schemas.openxmlformats.org/officeDocument/2006/relationships/hyperlink" Target="https://www.sportochfritidsnyheter.se/20241029/4031/sport-och-spelbolag-tva-vanner-i-strid" TargetMode="External"/><Relationship Id="rId7116" Type="http://schemas.openxmlformats.org/officeDocument/2006/relationships/hyperlink" Target="http://bigbenstandup.com/" TargetMode="External"/><Relationship Id="rId10444" Type="http://schemas.openxmlformats.org/officeDocument/2006/relationships/hyperlink" Target="http://rusta.se/" TargetMode="External"/><Relationship Id="rId5081" Type="http://schemas.openxmlformats.org/officeDocument/2006/relationships/hyperlink" Target="https://www.hourlycomic.com/the-enduring-influence-of-pop-culture-on-vintage-fashion" TargetMode="External"/><Relationship Id="rId6132" Type="http://schemas.openxmlformats.org/officeDocument/2006/relationships/hyperlink" Target="https://mynicco.com/" TargetMode="External"/><Relationship Id="rId7530" Type="http://schemas.openxmlformats.org/officeDocument/2006/relationships/hyperlink" Target="http://startmotor.se/" TargetMode="External"/><Relationship Id="rId9288" Type="http://schemas.openxmlformats.org/officeDocument/2006/relationships/hyperlink" Target="https://beautymama.se/en-frisorsalong-i-stockholm-med-fokus-pa-skraddarsydd-skonhet-for-alla/" TargetMode="External"/><Relationship Id="rId10511" Type="http://schemas.openxmlformats.org/officeDocument/2006/relationships/hyperlink" Target="https://gpser.se/produkter/gps-tracker/" TargetMode="External"/><Relationship Id="rId994" Type="http://schemas.openxmlformats.org/officeDocument/2006/relationships/hyperlink" Target="https://familjehogtider.se/karlekens-dag-man-aldrig-kommer-glomma-men-hur-ska-man-egentligen-kla-sig-pa-ett-brollop/" TargetMode="External"/><Relationship Id="rId2675" Type="http://schemas.openxmlformats.org/officeDocument/2006/relationships/hyperlink" Target="https://e-ciggbolaget.se/e-cigaretter/engangs-vape/aroma-king/?hr-page=%7B%22product_count%22%3A24%7D" TargetMode="External"/><Relationship Id="rId3726" Type="http://schemas.openxmlformats.org/officeDocument/2006/relationships/hyperlink" Target="https://www.roulettecenter.se/strategier-i-blackjack/" TargetMode="External"/><Relationship Id="rId12269" Type="http://schemas.openxmlformats.org/officeDocument/2006/relationships/hyperlink" Target="https://conclean.se/produkter/minireningsverk/" TargetMode="External"/><Relationship Id="rId12683" Type="http://schemas.openxmlformats.org/officeDocument/2006/relationships/hyperlink" Target="https://www.lansfast.se/maklare/sodermanland/trosa/" TargetMode="External"/><Relationship Id="rId647" Type="http://schemas.openxmlformats.org/officeDocument/2006/relationships/hyperlink" Target="http://happysocks.com/" TargetMode="External"/><Relationship Id="rId1277" Type="http://schemas.openxmlformats.org/officeDocument/2006/relationships/hyperlink" Target="https://makeachange.se/pedagogisk-utbildning-pa-distans-framtidens-vag-mot-att-forma-kunskap/" TargetMode="External"/><Relationship Id="rId1691" Type="http://schemas.openxmlformats.org/officeDocument/2006/relationships/hyperlink" Target="https://kilander-racing.se/bast-bilforsakring-i-sverige/" TargetMode="External"/><Relationship Id="rId2328" Type="http://schemas.openxmlformats.org/officeDocument/2006/relationships/hyperlink" Target="https://www.radio86.se/tandvark-ar-inte-en-lek" TargetMode="External"/><Relationship Id="rId2742" Type="http://schemas.openxmlformats.org/officeDocument/2006/relationships/hyperlink" Target="http://mariatand.se/" TargetMode="External"/><Relationship Id="rId5898" Type="http://schemas.openxmlformats.org/officeDocument/2006/relationships/hyperlink" Target="https://www.purakliniken.se/estetisk-tandvard/tandblekning-i-stockholm/" TargetMode="External"/><Relationship Id="rId6949" Type="http://schemas.openxmlformats.org/officeDocument/2006/relationships/hyperlink" Target="https://sakraror.se/" TargetMode="External"/><Relationship Id="rId9355" Type="http://schemas.openxmlformats.org/officeDocument/2006/relationships/hyperlink" Target="http://dbet.com/" TargetMode="External"/><Relationship Id="rId11285" Type="http://schemas.openxmlformats.org/officeDocument/2006/relationships/hyperlink" Target="http://dieselkraft.se/" TargetMode="External"/><Relationship Id="rId12336" Type="http://schemas.openxmlformats.org/officeDocument/2006/relationships/hyperlink" Target="https://ekonomiboken.se/maximera-avkastningen-och-tryggheten-fordelarna-med-att-anlita-ett-investmentbolag-for-radgivning/" TargetMode="External"/><Relationship Id="rId12750" Type="http://schemas.openxmlformats.org/officeDocument/2006/relationships/hyperlink" Target="http://finns.se/" TargetMode="External"/><Relationship Id="rId714" Type="http://schemas.openxmlformats.org/officeDocument/2006/relationships/hyperlink" Target="http://arctic.se/" TargetMode="External"/><Relationship Id="rId1344" Type="http://schemas.openxmlformats.org/officeDocument/2006/relationships/hyperlink" Target="https://www.isakstrafikskola.se/" TargetMode="External"/><Relationship Id="rId5965" Type="http://schemas.openxmlformats.org/officeDocument/2006/relationships/hyperlink" Target="https://www.cdg.io/services/virtual-ciso/" TargetMode="External"/><Relationship Id="rId8371" Type="http://schemas.openxmlformats.org/officeDocument/2006/relationships/hyperlink" Target="https://passioneffect.se/behover-vi-kosttillskott-eller-tror-vi-bara-det/" TargetMode="External"/><Relationship Id="rId9008" Type="http://schemas.openxmlformats.org/officeDocument/2006/relationships/hyperlink" Target="http://hajper.com/" TargetMode="External"/><Relationship Id="rId9422" Type="http://schemas.openxmlformats.org/officeDocument/2006/relationships/hyperlink" Target="https://svenskafonster.se/fonster" TargetMode="External"/><Relationship Id="rId11352" Type="http://schemas.openxmlformats.org/officeDocument/2006/relationships/hyperlink" Target="https://www.merinfo.se/foretag/Fair-Investments-Sweden-AB-5568169626/2k3576i-kqah" TargetMode="External"/><Relationship Id="rId12403" Type="http://schemas.openxmlformats.org/officeDocument/2006/relationships/hyperlink" Target="https://tommytappar.se/revolutionen-av-relining-fran-traditionell-rorbyte-till-banbrytande-teknologi-for-villa-fastigheter/" TargetMode="External"/><Relationship Id="rId50" Type="http://schemas.openxmlformats.org/officeDocument/2006/relationships/hyperlink" Target="https://www.medtechmagazine.se/lb-article/1041/tips-for-att-fa-halsosamma-vanor-att-fastna" TargetMode="External"/><Relationship Id="rId1411" Type="http://schemas.openxmlformats.org/officeDocument/2006/relationships/hyperlink" Target="https://www.foyen.se/affarsomraden/fastighetsratt/" TargetMode="External"/><Relationship Id="rId4567" Type="http://schemas.openxmlformats.org/officeDocument/2006/relationships/hyperlink" Target="https://brofastet.se/miljovanliga-byggmaterial-for-moderna-hem/" TargetMode="External"/><Relationship Id="rId5618" Type="http://schemas.openxmlformats.org/officeDocument/2006/relationships/hyperlink" Target="http://joureliten.se/" TargetMode="External"/><Relationship Id="rId8024" Type="http://schemas.openxmlformats.org/officeDocument/2006/relationships/hyperlink" Target="http://www.godies.fi/" TargetMode="External"/><Relationship Id="rId11005" Type="http://schemas.openxmlformats.org/officeDocument/2006/relationships/hyperlink" Target="https://www.battrestadsdel.se/samarbete-2/siffror-sportdata-och-kvarterskultur/" TargetMode="External"/><Relationship Id="rId3169" Type="http://schemas.openxmlformats.org/officeDocument/2006/relationships/hyperlink" Target="https://www.omkull.se/kretaivt-bygge-nar-bor-man-hjalp-av-experter" TargetMode="External"/><Relationship Id="rId3583" Type="http://schemas.openxmlformats.org/officeDocument/2006/relationships/hyperlink" Target="https://www.dailywaffle.co.uk/2025/04/how-to-turn-bank-holidays-into-mini-vacations-no-matter-your-budget/" TargetMode="External"/><Relationship Id="rId4981" Type="http://schemas.openxmlformats.org/officeDocument/2006/relationships/hyperlink" Target="http://spelklubben.se/" TargetMode="External"/><Relationship Id="rId7040" Type="http://schemas.openxmlformats.org/officeDocument/2006/relationships/hyperlink" Target="https://metapress.com/the-virtual-ciso-a-game-changer-for-small-to-medium-sized-businesses/" TargetMode="External"/><Relationship Id="rId10021" Type="http://schemas.openxmlformats.org/officeDocument/2006/relationships/hyperlink" Target="https://minifinder.se/" TargetMode="External"/><Relationship Id="rId13177" Type="http://schemas.openxmlformats.org/officeDocument/2006/relationships/hyperlink" Target="http://hajper.com/" TargetMode="External"/><Relationship Id="rId2185" Type="http://schemas.openxmlformats.org/officeDocument/2006/relationships/hyperlink" Target="https://www.swedoffice.se/" TargetMode="External"/><Relationship Id="rId3236" Type="http://schemas.openxmlformats.org/officeDocument/2006/relationships/hyperlink" Target="https://www.gbbb-berlin.com/" TargetMode="External"/><Relationship Id="rId4634" Type="http://schemas.openxmlformats.org/officeDocument/2006/relationships/hyperlink" Target="https://hampabonden.se/" TargetMode="External"/><Relationship Id="rId157" Type="http://schemas.openxmlformats.org/officeDocument/2006/relationships/hyperlink" Target="http://kopbarnvagn.se/" TargetMode="External"/><Relationship Id="rId3650" Type="http://schemas.openxmlformats.org/officeDocument/2006/relationships/hyperlink" Target="https://airfryeroppskrifter.com/slik-sparer-airfryers-penger-og-energi" TargetMode="External"/><Relationship Id="rId4701" Type="http://schemas.openxmlformats.org/officeDocument/2006/relationships/hyperlink" Target="https://sund.nu/hur-dalig-munhalsa-kan-paverka-ens-allmanna-halsa-viktiga-kopplingar-man-bor-kanna-till/" TargetMode="External"/><Relationship Id="rId7857" Type="http://schemas.openxmlformats.org/officeDocument/2006/relationships/hyperlink" Target="https://rusta.com/sv-se/hem-och-inredning/mattor" TargetMode="External"/><Relationship Id="rId8908" Type="http://schemas.openxmlformats.org/officeDocument/2006/relationships/hyperlink" Target="https://thestripesblog.com/hotter-summers-ahead-simple-ways-to-get-ready-for-rising-temperatures/" TargetMode="External"/><Relationship Id="rId10838" Type="http://schemas.openxmlformats.org/officeDocument/2006/relationships/hyperlink" Target="https://mikaelelias.se/blogg/hur-spelmekaniker-forvandlar-vara-favorittjanster/" TargetMode="External"/><Relationship Id="rId12193" Type="http://schemas.openxmlformats.org/officeDocument/2006/relationships/hyperlink" Target="https://coolkille.se/uppsala-studentliv-en-resa-genom-aktiviteter-och-pubar/" TargetMode="External"/><Relationship Id="rId13244" Type="http://schemas.openxmlformats.org/officeDocument/2006/relationships/hyperlink" Target="https://supernormal.health/se/" TargetMode="External"/><Relationship Id="rId571" Type="http://schemas.openxmlformats.org/officeDocument/2006/relationships/hyperlink" Target="http://pontech.se/" TargetMode="External"/><Relationship Id="rId2252" Type="http://schemas.openxmlformats.org/officeDocument/2006/relationships/hyperlink" Target="https://www.triwa.com/watches-for-men" TargetMode="External"/><Relationship Id="rId3303" Type="http://schemas.openxmlformats.org/officeDocument/2006/relationships/hyperlink" Target="https://www.memoryhou.se/historia-och-framtid-vi-maste-ta-hand-om-miljon-for-att-ha-en-chans" TargetMode="External"/><Relationship Id="rId6459" Type="http://schemas.openxmlformats.org/officeDocument/2006/relationships/hyperlink" Target="http://casinogringos.se/" TargetMode="External"/><Relationship Id="rId6873" Type="http://schemas.openxmlformats.org/officeDocument/2006/relationships/hyperlink" Target="http://nordicknots.com/" TargetMode="External"/><Relationship Id="rId7924" Type="http://schemas.openxmlformats.org/officeDocument/2006/relationships/hyperlink" Target="https://onlinespel.nu/snyggaste-slotsen-2025-med-hogst-rtp.html" TargetMode="External"/><Relationship Id="rId12260" Type="http://schemas.openxmlformats.org/officeDocument/2006/relationships/hyperlink" Target="https://www.fashion-mommy.com/3-ways-to-style-your-watch-and-make-your-look-pop/" TargetMode="External"/><Relationship Id="rId13311" Type="http://schemas.openxmlformats.org/officeDocument/2006/relationships/hyperlink" Target="https://www.refunder.se/artikel/sprakkompassen" TargetMode="External"/><Relationship Id="rId224" Type="http://schemas.openxmlformats.org/officeDocument/2006/relationships/hyperlink" Target="https://uppsalabostad.se/" TargetMode="External"/><Relationship Id="rId5475" Type="http://schemas.openxmlformats.org/officeDocument/2006/relationships/hyperlink" Target="https://mynicco.com/" TargetMode="External"/><Relationship Id="rId6526" Type="http://schemas.openxmlformats.org/officeDocument/2006/relationships/hyperlink" Target="https://topicsolutions.net/no-deposit-bonuses-vs-game-demos-separating-fact-from-fiction/" TargetMode="External"/><Relationship Id="rId6940" Type="http://schemas.openxmlformats.org/officeDocument/2006/relationships/hyperlink" Target="https://www.rusta.com/sv-se/fritid/husdjur/hundfoder" TargetMode="External"/><Relationship Id="rId10905" Type="http://schemas.openxmlformats.org/officeDocument/2006/relationships/hyperlink" Target="https://www.laprogressive.com/sponsored/finding-the-right-match" TargetMode="External"/><Relationship Id="rId4077" Type="http://schemas.openxmlformats.org/officeDocument/2006/relationships/hyperlink" Target="https://eventeffect.se/intervju-med-gordetmedrw-om-bilvard/" TargetMode="External"/><Relationship Id="rId4491" Type="http://schemas.openxmlformats.org/officeDocument/2006/relationships/hyperlink" Target="https://restate.se/ombildning-till-bostadsratt/" TargetMode="External"/><Relationship Id="rId5128" Type="http://schemas.openxmlformats.org/officeDocument/2006/relationships/hyperlink" Target="http://tandea.se/" TargetMode="External"/><Relationship Id="rId5542" Type="http://schemas.openxmlformats.org/officeDocument/2006/relationships/hyperlink" Target="https://www.nodepositbonus.cc/free-sp" TargetMode="External"/><Relationship Id="rId8698" Type="http://schemas.openxmlformats.org/officeDocument/2006/relationships/hyperlink" Target="https://veganbeauty.se/finn-bra-tandlakare-i-stockholm-for-en-vacker-leende/" TargetMode="External"/><Relationship Id="rId9749" Type="http://schemas.openxmlformats.org/officeDocument/2006/relationships/hyperlink" Target="https://www.byggnyheter.se/20250702/32309/renoveringsprojekt-allt-vanligare-i-sverige-anlita-ratt-hjalp-innan-du-saljer" TargetMode="External"/><Relationship Id="rId1738" Type="http://schemas.openxmlformats.org/officeDocument/2006/relationships/hyperlink" Target="https://nyheteridag.se/konstruktion-och-underhall-av-vagbrytare/" TargetMode="External"/><Relationship Id="rId3093" Type="http://schemas.openxmlformats.org/officeDocument/2006/relationships/hyperlink" Target="https://www.freckeus.se/" TargetMode="External"/><Relationship Id="rId4144" Type="http://schemas.openxmlformats.org/officeDocument/2006/relationships/hyperlink" Target="https://www.totallystockholm.se/utforska-stockholms-innovativa-scen/" TargetMode="External"/><Relationship Id="rId8765" Type="http://schemas.openxmlformats.org/officeDocument/2006/relationships/hyperlink" Target="https://www.bethard.com/sv/sports" TargetMode="External"/><Relationship Id="rId11679" Type="http://schemas.openxmlformats.org/officeDocument/2006/relationships/hyperlink" Target="https://markets.vontobel.com/da-dk/produkter" TargetMode="External"/><Relationship Id="rId3160" Type="http://schemas.openxmlformats.org/officeDocument/2006/relationships/hyperlink" Target="https://www.netuniversity.se/vem-kan-bli-maklare" TargetMode="External"/><Relationship Id="rId4211" Type="http://schemas.openxmlformats.org/officeDocument/2006/relationships/hyperlink" Target="https://www.mansjouren.nu/" TargetMode="External"/><Relationship Id="rId7367" Type="http://schemas.openxmlformats.org/officeDocument/2006/relationships/hyperlink" Target="https://www.starleaf.com/blog/dressed-for-success-how-your-work-wardrobe-can-boost-remote-work-productivity/" TargetMode="External"/><Relationship Id="rId8418" Type="http://schemas.openxmlformats.org/officeDocument/2006/relationships/hyperlink" Target="http://nettotobak.com/" TargetMode="External"/><Relationship Id="rId9816" Type="http://schemas.openxmlformats.org/officeDocument/2006/relationships/hyperlink" Target="https://smartkonstruktion.se/professionell-taklaggning-for-lantbruksbyggnader-i-sodra-sverige/" TargetMode="External"/><Relationship Id="rId10695" Type="http://schemas.openxmlformats.org/officeDocument/2006/relationships/hyperlink" Target="http://upplevelse.com/" TargetMode="External"/><Relationship Id="rId11746" Type="http://schemas.openxmlformats.org/officeDocument/2006/relationships/hyperlink" Target="http://yagya.com/" TargetMode="External"/><Relationship Id="rId1805" Type="http://schemas.openxmlformats.org/officeDocument/2006/relationships/hyperlink" Target="http://bigbenstandup.com/" TargetMode="External"/><Relationship Id="rId7781" Type="http://schemas.openxmlformats.org/officeDocument/2006/relationships/hyperlink" Target="https://www.nettotobak.com/all-white-portion/" TargetMode="External"/><Relationship Id="rId8832" Type="http://schemas.openxmlformats.org/officeDocument/2006/relationships/hyperlink" Target="http://lsb.se/" TargetMode="External"/><Relationship Id="rId10348" Type="http://schemas.openxmlformats.org/officeDocument/2006/relationships/hyperlink" Target="http://bethard.com/" TargetMode="External"/><Relationship Id="rId10762" Type="http://schemas.openxmlformats.org/officeDocument/2006/relationships/hyperlink" Target="https://tryggbil.se/" TargetMode="External"/><Relationship Id="rId11813" Type="http://schemas.openxmlformats.org/officeDocument/2006/relationships/hyperlink" Target="https://www.creditsafe.com/dk/da/kredit-risiko/kreditrapporter/kreditvurdering.html" TargetMode="External"/><Relationship Id="rId3977" Type="http://schemas.openxmlformats.org/officeDocument/2006/relationships/hyperlink" Target="http://norteam.se/" TargetMode="External"/><Relationship Id="rId6036" Type="http://schemas.openxmlformats.org/officeDocument/2006/relationships/hyperlink" Target="http://everynightstudios.com/" TargetMode="External"/><Relationship Id="rId6383" Type="http://schemas.openxmlformats.org/officeDocument/2006/relationships/hyperlink" Target="https://pasoroblesdailynews.com/wine-dine-and-date-unforgettable-romantic-date-ideas-in-paso-robles/205628/" TargetMode="External"/><Relationship Id="rId7434" Type="http://schemas.openxmlformats.org/officeDocument/2006/relationships/hyperlink" Target="https://www.totallystockholm.se/cateringbranschen-blomstrar-ater-efter-covid-en-ljus-framtid-for-stockholms-evenemang/" TargetMode="External"/><Relationship Id="rId10415" Type="http://schemas.openxmlformats.org/officeDocument/2006/relationships/hyperlink" Target="https://www.bethard.com/sv/sports" TargetMode="External"/><Relationship Id="rId898" Type="http://schemas.openxmlformats.org/officeDocument/2006/relationships/hyperlink" Target="https://www.fashiondivadesign.com/these-are-the-most-popular-fashion-styles-today/" TargetMode="External"/><Relationship Id="rId2579" Type="http://schemas.openxmlformats.org/officeDocument/2006/relationships/hyperlink" Target="https://aretrotale.com/" TargetMode="External"/><Relationship Id="rId2993" Type="http://schemas.openxmlformats.org/officeDocument/2006/relationships/hyperlink" Target="https://www.executiveeffect.se/vad-ar-fair-investments/" TargetMode="External"/><Relationship Id="rId6450" Type="http://schemas.openxmlformats.org/officeDocument/2006/relationships/hyperlink" Target="http://cherry.com/" TargetMode="External"/><Relationship Id="rId7501" Type="http://schemas.openxmlformats.org/officeDocument/2006/relationships/hyperlink" Target="http://kamux.fi/" TargetMode="External"/><Relationship Id="rId12587" Type="http://schemas.openxmlformats.org/officeDocument/2006/relationships/hyperlink" Target="https://www.hskraft.se/" TargetMode="External"/><Relationship Id="rId965" Type="http://schemas.openxmlformats.org/officeDocument/2006/relationships/hyperlink" Target="http://distansinstitutet.se/" TargetMode="External"/><Relationship Id="rId1595" Type="http://schemas.openxmlformats.org/officeDocument/2006/relationships/hyperlink" Target="https://www.affarsvarlden.se/native/spetsig-fond-hittar-globala-vinnare" TargetMode="External"/><Relationship Id="rId2646" Type="http://schemas.openxmlformats.org/officeDocument/2006/relationships/hyperlink" Target="https://moveitmama.se/dags-att-sluta-roka" TargetMode="External"/><Relationship Id="rId5052" Type="http://schemas.openxmlformats.org/officeDocument/2006/relationships/hyperlink" Target="http://snusnetto.se/" TargetMode="External"/><Relationship Id="rId6103" Type="http://schemas.openxmlformats.org/officeDocument/2006/relationships/hyperlink" Target="http://chattanoogarehab.com/" TargetMode="External"/><Relationship Id="rId9259" Type="http://schemas.openxmlformats.org/officeDocument/2006/relationships/hyperlink" Target="http://sakraror.se/" TargetMode="External"/><Relationship Id="rId9673" Type="http://schemas.openxmlformats.org/officeDocument/2006/relationships/hyperlink" Target="https://www.dagensfastigheter.se/20250623/12967/feng-shui-i-flyttlasset-sa-skapar-du-harmoni-i-nya-hemmet" TargetMode="External"/><Relationship Id="rId11189" Type="http://schemas.openxmlformats.org/officeDocument/2006/relationships/hyperlink" Target="https://arctic.se/de/" TargetMode="External"/><Relationship Id="rId618" Type="http://schemas.openxmlformats.org/officeDocument/2006/relationships/hyperlink" Target="http://www.arctic.se/de" TargetMode="External"/><Relationship Id="rId1248" Type="http://schemas.openxmlformats.org/officeDocument/2006/relationships/hyperlink" Target="http://rehabgrossisten.com/" TargetMode="External"/><Relationship Id="rId1662" Type="http://schemas.openxmlformats.org/officeDocument/2006/relationships/hyperlink" Target="https://www.alfa.no/collections/tursko-til-herre" TargetMode="External"/><Relationship Id="rId5869" Type="http://schemas.openxmlformats.org/officeDocument/2006/relationships/hyperlink" Target="https://tryggbil.se/volkswagen/" TargetMode="External"/><Relationship Id="rId8275" Type="http://schemas.openxmlformats.org/officeDocument/2006/relationships/hyperlink" Target="https://www.medtechmagazine.se/lb-article/181364/framtidens-halsoinnovationer-ny-teknik-med-fokus-pa-patienten" TargetMode="External"/><Relationship Id="rId9326" Type="http://schemas.openxmlformats.org/officeDocument/2006/relationships/hyperlink" Target="https://snickare.online/snickare" TargetMode="External"/><Relationship Id="rId11256" Type="http://schemas.openxmlformats.org/officeDocument/2006/relationships/hyperlink" Target="https://www.dieselkraft.se/" TargetMode="External"/><Relationship Id="rId12654" Type="http://schemas.openxmlformats.org/officeDocument/2006/relationships/hyperlink" Target="http://epidemicsounds.com/" TargetMode="External"/><Relationship Id="rId1315" Type="http://schemas.openxmlformats.org/officeDocument/2006/relationships/hyperlink" Target="http://robomarkets.com/" TargetMode="External"/><Relationship Id="rId2713" Type="http://schemas.openxmlformats.org/officeDocument/2006/relationships/hyperlink" Target="https://luckycasino.com/fi/" TargetMode="External"/><Relationship Id="rId7291" Type="http://schemas.openxmlformats.org/officeDocument/2006/relationships/hyperlink" Target="https://www.facebook.com/login/?next=https%3A%2F%2Fwww.facebook.com%2FfairinvestmentsswedenAB%2F" TargetMode="External"/><Relationship Id="rId8342" Type="http://schemas.openxmlformats.org/officeDocument/2006/relationships/hyperlink" Target="http://dryft.se/" TargetMode="External"/><Relationship Id="rId9740" Type="http://schemas.openxmlformats.org/officeDocument/2006/relationships/hyperlink" Target="https://www.energinyheter.se/20250701/33454/sa-energioptimerar-du-din-bat-smartare-somrar-pa-vattnet" TargetMode="External"/><Relationship Id="rId11670" Type="http://schemas.openxmlformats.org/officeDocument/2006/relationships/hyperlink" Target="https://markets.vontobel.com/da-dk/produkter" TargetMode="External"/><Relationship Id="rId12307" Type="http://schemas.openxmlformats.org/officeDocument/2006/relationships/hyperlink" Target="https://alltomhem.se/minireningsverk-for-enskilda-avlopp/" TargetMode="External"/><Relationship Id="rId12721" Type="http://schemas.openxmlformats.org/officeDocument/2006/relationships/hyperlink" Target="https://nutidshuset.se/vikten-av-att-byta-tak-pa-maskinhallar-for-saker-och-funktionell-bostadsmiljo/" TargetMode="External"/><Relationship Id="rId4885" Type="http://schemas.openxmlformats.org/officeDocument/2006/relationships/hyperlink" Target="http://spelklubben.se/" TargetMode="External"/><Relationship Id="rId5936" Type="http://schemas.openxmlformats.org/officeDocument/2006/relationships/hyperlink" Target="http://fairinvestments.se/" TargetMode="External"/><Relationship Id="rId10272" Type="http://schemas.openxmlformats.org/officeDocument/2006/relationships/hyperlink" Target="https://retrohus.se/forsakringar-for-solceller-skydd-och-trygghet-i-ditt-boende/" TargetMode="External"/><Relationship Id="rId11323" Type="http://schemas.openxmlformats.org/officeDocument/2006/relationships/hyperlink" Target="https://news.cision.com/se/fair-investments" TargetMode="External"/><Relationship Id="rId21" Type="http://schemas.openxmlformats.org/officeDocument/2006/relationships/hyperlink" Target="https://blugiallo.com/tailoring-guides/flannel-clothing-guide/" TargetMode="External"/><Relationship Id="rId2089" Type="http://schemas.openxmlformats.org/officeDocument/2006/relationships/hyperlink" Target="http://triwa.com/" TargetMode="External"/><Relationship Id="rId3487" Type="http://schemas.openxmlformats.org/officeDocument/2006/relationships/hyperlink" Target="https://www.spelklubben.se/sv/casino" TargetMode="External"/><Relationship Id="rId4538" Type="http://schemas.openxmlformats.org/officeDocument/2006/relationships/hyperlink" Target="https://www.vont.se/vitt-snus" TargetMode="External"/><Relationship Id="rId4952" Type="http://schemas.openxmlformats.org/officeDocument/2006/relationships/hyperlink" Target="http://ekstromgaray.se/" TargetMode="External"/><Relationship Id="rId3554" Type="http://schemas.openxmlformats.org/officeDocument/2006/relationships/hyperlink" Target="https://www.vaken.se/happycasino-revolutionerar-onlinecasinospelande-med-en-streamlinead-anvandarupplevelse/" TargetMode="External"/><Relationship Id="rId4605" Type="http://schemas.openxmlformats.org/officeDocument/2006/relationships/hyperlink" Target="http://cherry.com/" TargetMode="External"/><Relationship Id="rId7011" Type="http://schemas.openxmlformats.org/officeDocument/2006/relationships/hyperlink" Target="https://www.washingtontimes.com/sponsored/hydration-hacks-drink-water-every-day/" TargetMode="External"/><Relationship Id="rId12097" Type="http://schemas.openxmlformats.org/officeDocument/2006/relationships/hyperlink" Target="https://sufracofinebrands.com/kategori/torrborste" TargetMode="External"/><Relationship Id="rId13148" Type="http://schemas.openxmlformats.org/officeDocument/2006/relationships/hyperlink" Target="https://byggnytt.nu/diy-eller-anlita-proffs-vvs-arbeten-i-hemmet/" TargetMode="External"/><Relationship Id="rId475" Type="http://schemas.openxmlformats.org/officeDocument/2006/relationships/hyperlink" Target="https://ecommunity.se/upptack-aleppotvalen-den-naturliga-och-hallbara-losningen/" TargetMode="External"/><Relationship Id="rId2156" Type="http://schemas.openxmlformats.org/officeDocument/2006/relationships/hyperlink" Target="https://www.gashaga.nu/hur-ser-ditt-dromhus-ut" TargetMode="External"/><Relationship Id="rId2570" Type="http://schemas.openxmlformats.org/officeDocument/2006/relationships/hyperlink" Target="https://www.ungkompensation.se/" TargetMode="External"/><Relationship Id="rId3207" Type="http://schemas.openxmlformats.org/officeDocument/2006/relationships/hyperlink" Target="https://www.alfa.no/pages/hvilken-tursko-skal-jeg-velge" TargetMode="External"/><Relationship Id="rId3621" Type="http://schemas.openxmlformats.org/officeDocument/2006/relationships/hyperlink" Target="https://conclean.se/produkter/minireningsverk/" TargetMode="External"/><Relationship Id="rId6777" Type="http://schemas.openxmlformats.org/officeDocument/2006/relationships/hyperlink" Target="http://upplevelse.com/" TargetMode="External"/><Relationship Id="rId7828" Type="http://schemas.openxmlformats.org/officeDocument/2006/relationships/hyperlink" Target="https://www.l&#229;neguiden.se/samla-lan" TargetMode="External"/><Relationship Id="rId9183" Type="http://schemas.openxmlformats.org/officeDocument/2006/relationships/hyperlink" Target="http://aerius.se/" TargetMode="External"/><Relationship Id="rId12164" Type="http://schemas.openxmlformats.org/officeDocument/2006/relationships/hyperlink" Target="https://powerkvinna.se/en-omvandling-av-rokvanor-i-samhallet/" TargetMode="External"/><Relationship Id="rId13215" Type="http://schemas.openxmlformats.org/officeDocument/2006/relationships/hyperlink" Target="https://www.kleer.se/byt-till-kleer/jamforelse-ekonomilosning/" TargetMode="External"/><Relationship Id="rId128" Type="http://schemas.openxmlformats.org/officeDocument/2006/relationships/hyperlink" Target="https://playhd.se/for-och-nackdelar-med-lysrorsbelysning/" TargetMode="External"/><Relationship Id="rId542" Type="http://schemas.openxmlformats.org/officeDocument/2006/relationships/hyperlink" Target="https://ladytalk.se/hudvardsprodukter-du-inte-kan-leva-utan-2023/" TargetMode="External"/><Relationship Id="rId1172" Type="http://schemas.openxmlformats.org/officeDocument/2006/relationships/hyperlink" Target="http://pontech.se/" TargetMode="External"/><Relationship Id="rId2223" Type="http://schemas.openxmlformats.org/officeDocument/2006/relationships/hyperlink" Target="https://www.vont.se/vitt-snus" TargetMode="External"/><Relationship Id="rId5379" Type="http://schemas.openxmlformats.org/officeDocument/2006/relationships/hyperlink" Target="https://www.spelklubben.se/sv/betting/esports" TargetMode="External"/><Relationship Id="rId5793" Type="http://schemas.openxmlformats.org/officeDocument/2006/relationships/hyperlink" Target="https://businessagent.se/kopieringspapper-en-guide-for-effektiv-dokumenthantering-pa-arbetsplatsen/" TargetMode="External"/><Relationship Id="rId6844" Type="http://schemas.openxmlformats.org/officeDocument/2006/relationships/hyperlink" Target="http://vardagsfrid.se/" TargetMode="External"/><Relationship Id="rId9250" Type="http://schemas.openxmlformats.org/officeDocument/2006/relationships/hyperlink" Target="https://nutidshuset.se/flexibla-boendelosningar-for-foretag-i-stockholm/" TargetMode="External"/><Relationship Id="rId10809" Type="http://schemas.openxmlformats.org/officeDocument/2006/relationships/hyperlink" Target="https://www.merinfo.se/foretag/Fair-Investments-Sweden-AB-5568169626/2k3576i-kqah" TargetMode="External"/><Relationship Id="rId11180" Type="http://schemas.openxmlformats.org/officeDocument/2006/relationships/hyperlink" Target="https://www.lansfast.se/maklare/stockholm/taby-danderyd/" TargetMode="External"/><Relationship Id="rId12231" Type="http://schemas.openxmlformats.org/officeDocument/2006/relationships/hyperlink" Target="https://businessacademy.se/etik-inom-finansvarlden/" TargetMode="External"/><Relationship Id="rId4395" Type="http://schemas.openxmlformats.org/officeDocument/2006/relationships/hyperlink" Target="https://fairinvestments.se/" TargetMode="External"/><Relationship Id="rId5446" Type="http://schemas.openxmlformats.org/officeDocument/2006/relationships/hyperlink" Target="https://fairinvestments.se/knowledgebank-post/vad-styr-aktiekursen/" TargetMode="External"/><Relationship Id="rId1989" Type="http://schemas.openxmlformats.org/officeDocument/2006/relationships/hyperlink" Target="http://mariatand.se/" TargetMode="External"/><Relationship Id="rId4048" Type="http://schemas.openxmlformats.org/officeDocument/2006/relationships/hyperlink" Target="http://arctic.se/" TargetMode="External"/><Relationship Id="rId5860" Type="http://schemas.openxmlformats.org/officeDocument/2006/relationships/hyperlink" Target="http://www.tandea.se/" TargetMode="External"/><Relationship Id="rId6911" Type="http://schemas.openxmlformats.org/officeDocument/2006/relationships/hyperlink" Target="http://michaelofrisorerna.se/" TargetMode="External"/><Relationship Id="rId11997" Type="http://schemas.openxmlformats.org/officeDocument/2006/relationships/hyperlink" Target="https://www.vont.se/" TargetMode="External"/><Relationship Id="rId3064" Type="http://schemas.openxmlformats.org/officeDocument/2006/relationships/hyperlink" Target="https://distansinstitutet.se/" TargetMode="External"/><Relationship Id="rId4462" Type="http://schemas.openxmlformats.org/officeDocument/2006/relationships/hyperlink" Target="https://keynote.se/sre-seo-nycklar-till-starkare-mer-hallbara-webbplatser/" TargetMode="External"/><Relationship Id="rId5513" Type="http://schemas.openxmlformats.org/officeDocument/2006/relationships/hyperlink" Target="http://mrnicco.com/" TargetMode="External"/><Relationship Id="rId8669" Type="http://schemas.openxmlformats.org/officeDocument/2006/relationships/hyperlink" Target="https://swedenlongstay.se/sv/foretagsbostader/stockholm/" TargetMode="External"/><Relationship Id="rId10599" Type="http://schemas.openxmlformats.org/officeDocument/2006/relationships/hyperlink" Target="https://willabgarden.de/" TargetMode="External"/><Relationship Id="rId1709" Type="http://schemas.openxmlformats.org/officeDocument/2006/relationships/hyperlink" Target="http://e-ciggbolaget.se/" TargetMode="External"/><Relationship Id="rId4115" Type="http://schemas.openxmlformats.org/officeDocument/2006/relationships/hyperlink" Target="http://purakliniken.se/" TargetMode="External"/><Relationship Id="rId7685" Type="http://schemas.openxmlformats.org/officeDocument/2006/relationships/hyperlink" Target="https://tiotak.se/" TargetMode="External"/><Relationship Id="rId8736" Type="http://schemas.openxmlformats.org/officeDocument/2006/relationships/hyperlink" Target="http://dbet.com/" TargetMode="External"/><Relationship Id="rId10666" Type="http://schemas.openxmlformats.org/officeDocument/2006/relationships/hyperlink" Target="https://www.nykommun.se/2025/08/01/fixa-sommarens-tradgardsfest/" TargetMode="External"/><Relationship Id="rId11717" Type="http://schemas.openxmlformats.org/officeDocument/2006/relationships/hyperlink" Target="https://markets.vontobel.com/nb-no," TargetMode="External"/><Relationship Id="rId13072" Type="http://schemas.openxmlformats.org/officeDocument/2006/relationships/hyperlink" Target="https://d&#228;ckverkstad.nu/ar-du-vinterredo-sa-behaller-du-greppet-nar-temperaturen-svajar/" TargetMode="External"/><Relationship Id="rId2080" Type="http://schemas.openxmlformats.org/officeDocument/2006/relationships/hyperlink" Target="http://fairinvestments.se/" TargetMode="External"/><Relationship Id="rId3131" Type="http://schemas.openxmlformats.org/officeDocument/2006/relationships/hyperlink" Target="https://sundsvallbergvarme.se/" TargetMode="External"/><Relationship Id="rId6287" Type="http://schemas.openxmlformats.org/officeDocument/2006/relationships/hyperlink" Target="https://gentlemanexperten.se/solenoider-for-startmotorer-en-guide-for-den-moderne-mannen/" TargetMode="External"/><Relationship Id="rId7338" Type="http://schemas.openxmlformats.org/officeDocument/2006/relationships/hyperlink" Target="https://www.cherry.com/" TargetMode="External"/><Relationship Id="rId7752" Type="http://schemas.openxmlformats.org/officeDocument/2006/relationships/hyperlink" Target="https://www.ykkoslohja.fi/pohjoismaista-kauneutta-ja-luonnon-voimaa-nobe-nordic-beauty-tuotteet-tarkastelussa/" TargetMode="External"/><Relationship Id="rId8803" Type="http://schemas.openxmlformats.org/officeDocument/2006/relationships/hyperlink" Target="http://startmotor.se/" TargetMode="External"/><Relationship Id="rId10319" Type="http://schemas.openxmlformats.org/officeDocument/2006/relationships/hyperlink" Target="http://lilla-varlden.se/" TargetMode="External"/><Relationship Id="rId2897" Type="http://schemas.openxmlformats.org/officeDocument/2006/relationships/hyperlink" Target="https://www.itstimeforbusiness.com/the-business-dynamics-of-modern-matchmaking/" TargetMode="External"/><Relationship Id="rId3948" Type="http://schemas.openxmlformats.org/officeDocument/2006/relationships/hyperlink" Target="https://www.interiorguiden.se/fordelar-med-minireningsverk" TargetMode="External"/><Relationship Id="rId6354" Type="http://schemas.openxmlformats.org/officeDocument/2006/relationships/hyperlink" Target="https://www.transportnet.se/lb-article/181003/sa-valjer-du-ratt-motorolja-for-din-bil-en-guide-for-entusiaster-och-proffs" TargetMode="External"/><Relationship Id="rId7405" Type="http://schemas.openxmlformats.org/officeDocument/2006/relationships/hyperlink" Target="https://www.cherry.com/sv/" TargetMode="External"/><Relationship Id="rId10733" Type="http://schemas.openxmlformats.org/officeDocument/2006/relationships/hyperlink" Target="http://rusta.se/" TargetMode="External"/><Relationship Id="rId869" Type="http://schemas.openxmlformats.org/officeDocument/2006/relationships/hyperlink" Target="https://www.swedoffice.se/" TargetMode="External"/><Relationship Id="rId1499" Type="http://schemas.openxmlformats.org/officeDocument/2006/relationships/hyperlink" Target="https://www.knuten.nu/2023/09/22/mojligheter-till-akut-tandvard-hjalp-i-stockholm/" TargetMode="External"/><Relationship Id="rId5370" Type="http://schemas.openxmlformats.org/officeDocument/2006/relationships/hyperlink" Target="http://joureliten.se/" TargetMode="External"/><Relationship Id="rId6007" Type="http://schemas.openxmlformats.org/officeDocument/2006/relationships/hyperlink" Target="https://www.geekgirlauthority.com/top-cybersecurity-movies-that-you-can-stream-today/" TargetMode="External"/><Relationship Id="rId6421" Type="http://schemas.openxmlformats.org/officeDocument/2006/relationships/hyperlink" Target="http://hund.se/" TargetMode="External"/><Relationship Id="rId9577" Type="http://schemas.openxmlformats.org/officeDocument/2006/relationships/hyperlink" Target="http://kungaslottet.se/" TargetMode="External"/><Relationship Id="rId10800" Type="http://schemas.openxmlformats.org/officeDocument/2006/relationships/hyperlink" Target="https://www.lsb.se/privatlan" TargetMode="External"/><Relationship Id="rId2964" Type="http://schemas.openxmlformats.org/officeDocument/2006/relationships/hyperlink" Target="https://www.spelklubben.se/sv/live-casino/blackjack" TargetMode="External"/><Relationship Id="rId5023" Type="http://schemas.openxmlformats.org/officeDocument/2006/relationships/hyperlink" Target="http://fairinvestments.se/" TargetMode="External"/><Relationship Id="rId8179" Type="http://schemas.openxmlformats.org/officeDocument/2006/relationships/hyperlink" Target="https://tiotak.se/byta-tak-maskinhall/" TargetMode="External"/><Relationship Id="rId9991" Type="http://schemas.openxmlformats.org/officeDocument/2006/relationships/hyperlink" Target="https://esnachricht.de/sommerblusen-2025-im-skandinavischen-stil-trends-fur-einen-minimalistischen-look/" TargetMode="External"/><Relationship Id="rId12558" Type="http://schemas.openxmlformats.org/officeDocument/2006/relationships/hyperlink" Target="https://notyfile.se/sv/" TargetMode="External"/><Relationship Id="rId12972" Type="http://schemas.openxmlformats.org/officeDocument/2006/relationships/hyperlink" Target="http://spelklubben.se/" TargetMode="External"/><Relationship Id="rId936" Type="http://schemas.openxmlformats.org/officeDocument/2006/relationships/hyperlink" Target="https://arctic.se/nibewp/" TargetMode="External"/><Relationship Id="rId1219" Type="http://schemas.openxmlformats.org/officeDocument/2006/relationships/hyperlink" Target="https://www.villarelining.se/" TargetMode="External"/><Relationship Id="rId1566" Type="http://schemas.openxmlformats.org/officeDocument/2006/relationships/hyperlink" Target="http://distansinstitutet.se/" TargetMode="External"/><Relationship Id="rId1980" Type="http://schemas.openxmlformats.org/officeDocument/2006/relationships/hyperlink" Target="https://haxan.se/products/haxan-silverputs" TargetMode="External"/><Relationship Id="rId2617" Type="http://schemas.openxmlformats.org/officeDocument/2006/relationships/hyperlink" Target="http://distansinstitutet.se/" TargetMode="External"/><Relationship Id="rId7195" Type="http://schemas.openxmlformats.org/officeDocument/2006/relationships/hyperlink" Target="http://arctic.se/" TargetMode="External"/><Relationship Id="rId8246" Type="http://schemas.openxmlformats.org/officeDocument/2006/relationships/hyperlink" Target="https://bulletin.nu/vi-ar-inte-alla-lika-i-bankens-ogon" TargetMode="External"/><Relationship Id="rId8593" Type="http://schemas.openxmlformats.org/officeDocument/2006/relationships/hyperlink" Target="https://fragbite.se/all/news/57718/strategisk-risktagning--vad-investerare-kan-lara-sig-av-eko-rundor" TargetMode="External"/><Relationship Id="rId9644" Type="http://schemas.openxmlformats.org/officeDocument/2006/relationships/hyperlink" Target="https://www.startmotor.se/batterier/b%C3%A5tbatteri" TargetMode="External"/><Relationship Id="rId11574" Type="http://schemas.openxmlformats.org/officeDocument/2006/relationships/hyperlink" Target="http://sufracofinebrands.com/" TargetMode="External"/><Relationship Id="rId12625" Type="http://schemas.openxmlformats.org/officeDocument/2006/relationships/hyperlink" Target="http://lsb.se/" TargetMode="External"/><Relationship Id="rId1633" Type="http://schemas.openxmlformats.org/officeDocument/2006/relationships/hyperlink" Target="http://aretrotale.com/" TargetMode="External"/><Relationship Id="rId4789" Type="http://schemas.openxmlformats.org/officeDocument/2006/relationships/hyperlink" Target="http://aretrotale.com/" TargetMode="External"/><Relationship Id="rId8660" Type="http://schemas.openxmlformats.org/officeDocument/2006/relationships/hyperlink" Target="https://dinbyggnad.se/vikten-av-att-valja-ratt-elektriska-komponenter-for-din-volvo-penta-batmotor/" TargetMode="External"/><Relationship Id="rId9711" Type="http://schemas.openxmlformats.org/officeDocument/2006/relationships/hyperlink" Target="https://www.invozio.com/" TargetMode="External"/><Relationship Id="rId10176" Type="http://schemas.openxmlformats.org/officeDocument/2006/relationships/hyperlink" Target="https://www.maklarringen.se/upptack-maklarringen/bostadsjuridik-ekonomi/hur-betalar-man-egentligen-for-en-lagenhet" TargetMode="External"/><Relationship Id="rId10590" Type="http://schemas.openxmlformats.org/officeDocument/2006/relationships/hyperlink" Target="https://technobark.com/best-gps-dog-fences/" TargetMode="External"/><Relationship Id="rId11227" Type="http://schemas.openxmlformats.org/officeDocument/2006/relationships/hyperlink" Target="http://chronos.se/" TargetMode="External"/><Relationship Id="rId11641" Type="http://schemas.openxmlformats.org/officeDocument/2006/relationships/hyperlink" Target="https://markets.vontobel.com/da-dk/produkter" TargetMode="External"/><Relationship Id="rId1700" Type="http://schemas.openxmlformats.org/officeDocument/2006/relationships/hyperlink" Target="http://aretrotale.com/" TargetMode="External"/><Relationship Id="rId4856" Type="http://schemas.openxmlformats.org/officeDocument/2006/relationships/hyperlink" Target="https://podradio.nu/vikten-av-att-atervinna-engangsvapes-pa-korrekt-satt/" TargetMode="External"/><Relationship Id="rId5907" Type="http://schemas.openxmlformats.org/officeDocument/2006/relationships/hyperlink" Target="http://cherry.com/" TargetMode="External"/><Relationship Id="rId7262" Type="http://schemas.openxmlformats.org/officeDocument/2006/relationships/hyperlink" Target="http://mobot.com/" TargetMode="External"/><Relationship Id="rId8313" Type="http://schemas.openxmlformats.org/officeDocument/2006/relationships/hyperlink" Target="http://hund.se/" TargetMode="External"/><Relationship Id="rId10243" Type="http://schemas.openxmlformats.org/officeDocument/2006/relationships/hyperlink" Target="https://www.chattanoogarehab.com/shock-wave-rpw" TargetMode="External"/><Relationship Id="rId3458" Type="http://schemas.openxmlformats.org/officeDocument/2006/relationships/hyperlink" Target="http://conclean.se/" TargetMode="External"/><Relationship Id="rId3872" Type="http://schemas.openxmlformats.org/officeDocument/2006/relationships/hyperlink" Target="https://www.totallystockholm.se/maximera-din-pension-smarta-tips-for-framtida-trygghet/" TargetMode="External"/><Relationship Id="rId4509" Type="http://schemas.openxmlformats.org/officeDocument/2006/relationships/hyperlink" Target="https://www.startmotor.se/kategori/mc-batterier" TargetMode="External"/><Relationship Id="rId10310" Type="http://schemas.openxmlformats.org/officeDocument/2006/relationships/hyperlink" Target="http://sesec.se/" TargetMode="External"/><Relationship Id="rId379" Type="http://schemas.openxmlformats.org/officeDocument/2006/relationships/hyperlink" Target="https://businessmanualen.se/atgarder-att-vidta-om-ditt-foretag-upplever-ekonomiska-svarigheter/" TargetMode="External"/><Relationship Id="rId793" Type="http://schemas.openxmlformats.org/officeDocument/2006/relationships/hyperlink" Target="https://www.fixthelife.com/how-to-spice-up-the-mens-wardrobe-with-a-few-steps/" TargetMode="External"/><Relationship Id="rId2474" Type="http://schemas.openxmlformats.org/officeDocument/2006/relationships/hyperlink" Target="https://e-ciggbolaget.se/vaporesso/?hr-page=%7B%22product_count%22%3A24%7D" TargetMode="External"/><Relationship Id="rId3525" Type="http://schemas.openxmlformats.org/officeDocument/2006/relationships/hyperlink" Target="http://spelklubben.se/" TargetMode="External"/><Relationship Id="rId4923" Type="http://schemas.openxmlformats.org/officeDocument/2006/relationships/hyperlink" Target="https://www.nojesnytthelsingborg.se/2024/08/22/helsingborgs-if-chanser-till-allsvenskt-avancemang-i-host/" TargetMode="External"/><Relationship Id="rId9087" Type="http://schemas.openxmlformats.org/officeDocument/2006/relationships/hyperlink" Target="https://bovision.se/inspiration/5-viktiga-saker-att-kaenna-till-om-bostadsraettsfoereningen" TargetMode="External"/><Relationship Id="rId12068" Type="http://schemas.openxmlformats.org/officeDocument/2006/relationships/hyperlink" Target="https://arctic.se/nibe-warmepumpe-versicherung/" TargetMode="External"/><Relationship Id="rId13119" Type="http://schemas.openxmlformats.org/officeDocument/2006/relationships/hyperlink" Target="https://www.bethard.com/sv/sports/golf" TargetMode="External"/><Relationship Id="rId446" Type="http://schemas.openxmlformats.org/officeDocument/2006/relationships/hyperlink" Target="https://www.newsbreak.com/@kate-westall-1672678/3137303509502-step-up-your-formal-style-the-art-of-selecting-dress-socks" TargetMode="External"/><Relationship Id="rId1076" Type="http://schemas.openxmlformats.org/officeDocument/2006/relationships/hyperlink" Target="https://www.lansfast.se/maklare/sodermanland/nykoping/" TargetMode="External"/><Relationship Id="rId1490" Type="http://schemas.openxmlformats.org/officeDocument/2006/relationships/hyperlink" Target="http://aretrotale.com/" TargetMode="External"/><Relationship Id="rId2127" Type="http://schemas.openxmlformats.org/officeDocument/2006/relationships/hyperlink" Target="https://www.beautyboulevard.se/ingen-bradska-med-att-hitta-sitt-kall" TargetMode="External"/><Relationship Id="rId9154" Type="http://schemas.openxmlformats.org/officeDocument/2006/relationships/hyperlink" Target="https://www.bombfell.com/celebrity-fitness-secrets/" TargetMode="External"/><Relationship Id="rId11084" Type="http://schemas.openxmlformats.org/officeDocument/2006/relationships/hyperlink" Target="http://hajper.com/" TargetMode="External"/><Relationship Id="rId12482" Type="http://schemas.openxmlformats.org/officeDocument/2006/relationships/hyperlink" Target="https://www.di.se/brandstudio/fair-investments/fair-investments-vi-tar-bara-betalt-for-verkliga-resultat-det-tjanar-alla-pa/" TargetMode="External"/><Relationship Id="rId860" Type="http://schemas.openxmlformats.org/officeDocument/2006/relationships/hyperlink" Target="http://miamipool.se/" TargetMode="External"/><Relationship Id="rId1143" Type="http://schemas.openxmlformats.org/officeDocument/2006/relationships/hyperlink" Target="https://www.saleseffect.se/cady-training-academy-utbildning-eller-snabb-genvag/" TargetMode="External"/><Relationship Id="rId2541" Type="http://schemas.openxmlformats.org/officeDocument/2006/relationships/hyperlink" Target="https://www.faonorden.se/" TargetMode="External"/><Relationship Id="rId4299" Type="http://schemas.openxmlformats.org/officeDocument/2006/relationships/hyperlink" Target="http://ttsab.nu/" TargetMode="External"/><Relationship Id="rId5697" Type="http://schemas.openxmlformats.org/officeDocument/2006/relationships/hyperlink" Target="http://zmarta.se/" TargetMode="External"/><Relationship Id="rId6748" Type="http://schemas.openxmlformats.org/officeDocument/2006/relationships/hyperlink" Target="http://tryggbil.se/" TargetMode="External"/><Relationship Id="rId8170" Type="http://schemas.openxmlformats.org/officeDocument/2006/relationships/hyperlink" Target="https://www.swedoffice.se/kategori/49902-kopieringspapper" TargetMode="External"/><Relationship Id="rId12135" Type="http://schemas.openxmlformats.org/officeDocument/2006/relationships/hyperlink" Target="https://arctic.se/se/forsakringslosningar/svensksolenergi/" TargetMode="External"/><Relationship Id="rId513" Type="http://schemas.openxmlformats.org/officeDocument/2006/relationships/hyperlink" Target="https://schjodt.com/expertise/rekonstruktion-insolvens" TargetMode="External"/><Relationship Id="rId5764" Type="http://schemas.openxmlformats.org/officeDocument/2006/relationships/hyperlink" Target="https://www.bethard.com/sv/promotions" TargetMode="External"/><Relationship Id="rId6815" Type="http://schemas.openxmlformats.org/officeDocument/2006/relationships/hyperlink" Target="https://www.spelklubben.se/sv/betting/esports" TargetMode="External"/><Relationship Id="rId9221" Type="http://schemas.openxmlformats.org/officeDocument/2006/relationships/hyperlink" Target="http://hund.se/" TargetMode="External"/><Relationship Id="rId11151" Type="http://schemas.openxmlformats.org/officeDocument/2006/relationships/hyperlink" Target="https://www.extrakoll.se/" TargetMode="External"/><Relationship Id="rId12202" Type="http://schemas.openxmlformats.org/officeDocument/2006/relationships/hyperlink" Target="https://finansfeber.se/framtidens-hallbara-resor/" TargetMode="External"/><Relationship Id="rId1210" Type="http://schemas.openxmlformats.org/officeDocument/2006/relationships/hyperlink" Target="https://www.frii.se/nikotinfri-vaping-en-djupdykning-i-teknik-halsa-och-kultur/" TargetMode="External"/><Relationship Id="rId4366" Type="http://schemas.openxmlformats.org/officeDocument/2006/relationships/hyperlink" Target="http://everynightstudios.com/" TargetMode="External"/><Relationship Id="rId4780" Type="http://schemas.openxmlformats.org/officeDocument/2006/relationships/hyperlink" Target="http://fairinvestments.se/" TargetMode="External"/><Relationship Id="rId5417" Type="http://schemas.openxmlformats.org/officeDocument/2006/relationships/hyperlink" Target="http://e-ciggbolaget.se/" TargetMode="External"/><Relationship Id="rId5831" Type="http://schemas.openxmlformats.org/officeDocument/2006/relationships/hyperlink" Target="https://elektronikkungen.se/site-reliability-engineering-en-nyckelroll-inom-it/" TargetMode="External"/><Relationship Id="rId8987" Type="http://schemas.openxmlformats.org/officeDocument/2006/relationships/hyperlink" Target="https://www.kleer.se/lonesystem/" TargetMode="External"/><Relationship Id="rId3382" Type="http://schemas.openxmlformats.org/officeDocument/2006/relationships/hyperlink" Target="http://spelklubben.se/" TargetMode="External"/><Relationship Id="rId4019" Type="http://schemas.openxmlformats.org/officeDocument/2006/relationships/hyperlink" Target="https://www.morebyggen.se/" TargetMode="External"/><Relationship Id="rId4433" Type="http://schemas.openxmlformats.org/officeDocument/2006/relationships/hyperlink" Target="https://renbyggbransch.nu/effektiv-avloppsrening-for-lantbrukare/" TargetMode="External"/><Relationship Id="rId7589" Type="http://schemas.openxmlformats.org/officeDocument/2006/relationships/hyperlink" Target="http://nodepositbonus.cc/" TargetMode="External"/><Relationship Id="rId11968" Type="http://schemas.openxmlformats.org/officeDocument/2006/relationships/hyperlink" Target="https://www.wissen-gesundheit.de/Aktuelles/News/12486--Aktuelle-Gesundheitstrends-die-jeder-kennen-sollte" TargetMode="External"/><Relationship Id="rId3035" Type="http://schemas.openxmlformats.org/officeDocument/2006/relationships/hyperlink" Target="http://spelklubben.se/" TargetMode="External"/><Relationship Id="rId4500" Type="http://schemas.openxmlformats.org/officeDocument/2006/relationships/hyperlink" Target="https://sakraror.se/vara-tjanster/allman-service-vvs/vvs-i-sollentuna/" TargetMode="External"/><Relationship Id="rId7656" Type="http://schemas.openxmlformats.org/officeDocument/2006/relationships/hyperlink" Target="http://rusta.se/" TargetMode="External"/><Relationship Id="rId8707" Type="http://schemas.openxmlformats.org/officeDocument/2006/relationships/hyperlink" Target="http://michaelofrisorerna.se/" TargetMode="External"/><Relationship Id="rId10984" Type="http://schemas.openxmlformats.org/officeDocument/2006/relationships/hyperlink" Target="http://videoslots.com/" TargetMode="External"/><Relationship Id="rId13043" Type="http://schemas.openxmlformats.org/officeDocument/2006/relationships/hyperlink" Target="https://www.rusta.com/sv-se/hem-och-inredning/belysning" TargetMode="External"/><Relationship Id="rId370" Type="http://schemas.openxmlformats.org/officeDocument/2006/relationships/hyperlink" Target="https://stockholmextra.se/varen-kommer-snart-till-huvudstaden-detta-bor-du-tanka-pa-om-du-ska-varstada/" TargetMode="External"/><Relationship Id="rId2051" Type="http://schemas.openxmlformats.org/officeDocument/2006/relationships/hyperlink" Target="http://fairinvestments.se/" TargetMode="External"/><Relationship Id="rId3102" Type="http://schemas.openxmlformats.org/officeDocument/2006/relationships/hyperlink" Target="https://www.lansfast.se/maklare/sodermanland/trosa/" TargetMode="External"/><Relationship Id="rId6258" Type="http://schemas.openxmlformats.org/officeDocument/2006/relationships/hyperlink" Target="https://tryggbil.se/volkswagen/" TargetMode="External"/><Relationship Id="rId7309" Type="http://schemas.openxmlformats.org/officeDocument/2006/relationships/hyperlink" Target="https://www.fri-kopenskap.se/lb-article/181167/borde-du-investera-i-grossistindustrin" TargetMode="External"/><Relationship Id="rId10637" Type="http://schemas.openxmlformats.org/officeDocument/2006/relationships/hyperlink" Target="https://www.outdooractive.fi/fi/member/sa-skapar-du-uteplatsen-som/322259833/" TargetMode="External"/><Relationship Id="rId5274" Type="http://schemas.openxmlformats.org/officeDocument/2006/relationships/hyperlink" Target="https://hampabonden.se/33-hampaprodukter/hampaprotein" TargetMode="External"/><Relationship Id="rId6325" Type="http://schemas.openxmlformats.org/officeDocument/2006/relationships/hyperlink" Target="https://dinkorskola.se/" TargetMode="External"/><Relationship Id="rId6672" Type="http://schemas.openxmlformats.org/officeDocument/2006/relationships/hyperlink" Target="https://www.rusta.com/se/sv/fritid/husdjur/hund/hundfoder/" TargetMode="External"/><Relationship Id="rId7723" Type="http://schemas.openxmlformats.org/officeDocument/2006/relationships/hyperlink" Target="http://mynicco.com/" TargetMode="External"/><Relationship Id="rId10704" Type="http://schemas.openxmlformats.org/officeDocument/2006/relationships/hyperlink" Target="https://buffalonews.com/life-entertainment/article_37cb31c9-b8aa-5de5-bd0b-36e34b4f0c1f.html" TargetMode="External"/><Relationship Id="rId13110" Type="http://schemas.openxmlformats.org/officeDocument/2006/relationships/hyperlink" Target="https://www.chattanoogarehab.com/us/hot-cold/hot-cold-packs" TargetMode="External"/><Relationship Id="rId2868" Type="http://schemas.openxmlformats.org/officeDocument/2006/relationships/hyperlink" Target="https://sipski.se/aroma-king-den-ultimataengangsvapen-for-en-smakfullupplevelse/" TargetMode="External"/><Relationship Id="rId3919" Type="http://schemas.openxmlformats.org/officeDocument/2006/relationships/hyperlink" Target="https://www.jaktsidan.se/2024/06/02/spannande-aktiviteter-att-gora-med-dina-jaktkompisar/" TargetMode="External"/><Relationship Id="rId9895" Type="http://schemas.openxmlformats.org/officeDocument/2006/relationships/hyperlink" Target="https://www.citybeat.com/contributor-news/why-rugs-are-becoming-the-focal-point-of-interior-design-in-2025-19775755" TargetMode="External"/><Relationship Id="rId12876" Type="http://schemas.openxmlformats.org/officeDocument/2006/relationships/hyperlink" Target="http://kungaslottet.se/" TargetMode="External"/><Relationship Id="rId1884" Type="http://schemas.openxmlformats.org/officeDocument/2006/relationships/hyperlink" Target="http://aretrotale.com/" TargetMode="External"/><Relationship Id="rId2935" Type="http://schemas.openxmlformats.org/officeDocument/2006/relationships/hyperlink" Target="http://glitnor.com/" TargetMode="External"/><Relationship Id="rId4290" Type="http://schemas.openxmlformats.org/officeDocument/2006/relationships/hyperlink" Target="https://undersammatak.se/uncategorized/maximering-av-ditt-tak-mer-an-bara-skydd-for-huvudet" TargetMode="External"/><Relationship Id="rId5341" Type="http://schemas.openxmlformats.org/officeDocument/2006/relationships/hyperlink" Target="https://nem.health/vo2-max-indikator-for-livslangd-och-kardiovaskular-halsa/" TargetMode="External"/><Relationship Id="rId8497" Type="http://schemas.openxmlformats.org/officeDocument/2006/relationships/hyperlink" Target="https://varmlandsbygden.se/partner/upptack-tandvardsvarlden-vilket-tandvardsyrke-passar-dig-bast/" TargetMode="External"/><Relationship Id="rId9548" Type="http://schemas.openxmlformats.org/officeDocument/2006/relationships/hyperlink" Target="http://videoslots.com/" TargetMode="External"/><Relationship Id="rId9962" Type="http://schemas.openxmlformats.org/officeDocument/2006/relationships/hyperlink" Target="https://www.digitalconnectmag.com/how-to-find-love-amidst-a-busy-career/" TargetMode="External"/><Relationship Id="rId11478" Type="http://schemas.openxmlformats.org/officeDocument/2006/relationships/hyperlink" Target="https://zelium.se/halsa/sa-kan-du-gora-positiva-forandringar-for-din-halsa-infor-hosten/" TargetMode="External"/><Relationship Id="rId11892" Type="http://schemas.openxmlformats.org/officeDocument/2006/relationships/hyperlink" Target="https://www.vont.se/" TargetMode="External"/><Relationship Id="rId12529" Type="http://schemas.openxmlformats.org/officeDocument/2006/relationships/hyperlink" Target="https://renbyggbransch.nu/hogkvalitativa-byggprojekt-helhetslosningar-som-inkluderar-el-vvs-malning-plattsattning/" TargetMode="External"/><Relationship Id="rId907" Type="http://schemas.openxmlformats.org/officeDocument/2006/relationships/hyperlink" Target="http://robomarkets.com/" TargetMode="External"/><Relationship Id="rId1537" Type="http://schemas.openxmlformats.org/officeDocument/2006/relationships/hyperlink" Target="http://happysocks.com/" TargetMode="External"/><Relationship Id="rId1951" Type="http://schemas.openxmlformats.org/officeDocument/2006/relationships/hyperlink" Target="http://sundsvallbergvarme.se/" TargetMode="External"/><Relationship Id="rId7099" Type="http://schemas.openxmlformats.org/officeDocument/2006/relationships/hyperlink" Target="http://hund.se/" TargetMode="External"/><Relationship Id="rId8564" Type="http://schemas.openxmlformats.org/officeDocument/2006/relationships/hyperlink" Target="https://himala.ai/" TargetMode="External"/><Relationship Id="rId9615" Type="http://schemas.openxmlformats.org/officeDocument/2006/relationships/hyperlink" Target="https://duochjobbet.se/smadetaljerna-pa-jobbet-som-star-for-den-stora-skillnaden/" TargetMode="External"/><Relationship Id="rId10494" Type="http://schemas.openxmlformats.org/officeDocument/2006/relationships/hyperlink" Target="https://www.metrotimes.com/contributor-news/is-shockwave-therapy-the-next-revolution-in-pain-management-40083691" TargetMode="External"/><Relationship Id="rId11545" Type="http://schemas.openxmlformats.org/officeDocument/2006/relationships/hyperlink" Target="https://sufracofinebrands.com/" TargetMode="External"/><Relationship Id="rId12943" Type="http://schemas.openxmlformats.org/officeDocument/2006/relationships/hyperlink" Target="http://lsb.se/" TargetMode="External"/><Relationship Id="rId1604" Type="http://schemas.openxmlformats.org/officeDocument/2006/relationships/hyperlink" Target="https://www.utbildningsforetagen.se/2020/11/marcus-lindh-distansinstitutet-2-2/" TargetMode="External"/><Relationship Id="rId4010" Type="http://schemas.openxmlformats.org/officeDocument/2006/relationships/hyperlink" Target="https://tv-tabla.nu/blogg/infor-fotbolls-em-2024-favoriter-spelplatser-och-experttips" TargetMode="External"/><Relationship Id="rId7166" Type="http://schemas.openxmlformats.org/officeDocument/2006/relationships/hyperlink" Target="http://startmotor.se/" TargetMode="External"/><Relationship Id="rId7580" Type="http://schemas.openxmlformats.org/officeDocument/2006/relationships/hyperlink" Target="https://www.dailywaffle.co.uk/2025/02/luxury-for-less-smart-ways-to-score-premium-products-without-the-price-tag/" TargetMode="External"/><Relationship Id="rId8217" Type="http://schemas.openxmlformats.org/officeDocument/2006/relationships/hyperlink" Target="http://svenskiptv.com/" TargetMode="External"/><Relationship Id="rId8631" Type="http://schemas.openxmlformats.org/officeDocument/2006/relationships/hyperlink" Target="http://lansfast.se/" TargetMode="External"/><Relationship Id="rId10147" Type="http://schemas.openxmlformats.org/officeDocument/2006/relationships/hyperlink" Target="https://www.hajper.com/sv" TargetMode="External"/><Relationship Id="rId6182" Type="http://schemas.openxmlformats.org/officeDocument/2006/relationships/hyperlink" Target="https://worldwidesciencestories.com/powering-recovery-the-latest-innovations-in-electrical-stimulation/" TargetMode="External"/><Relationship Id="rId7233" Type="http://schemas.openxmlformats.org/officeDocument/2006/relationships/hyperlink" Target="https://svenskiptv.com/" TargetMode="External"/><Relationship Id="rId10561" Type="http://schemas.openxmlformats.org/officeDocument/2006/relationships/hyperlink" Target="https://www.swedoffice.se/" TargetMode="External"/><Relationship Id="rId11612" Type="http://schemas.openxmlformats.org/officeDocument/2006/relationships/hyperlink" Target="http://toyota-forklifts.se/" TargetMode="External"/><Relationship Id="rId697" Type="http://schemas.openxmlformats.org/officeDocument/2006/relationships/hyperlink" Target="https://www.happysocks.com/us/collection/dressed" TargetMode="External"/><Relationship Id="rId2378" Type="http://schemas.openxmlformats.org/officeDocument/2006/relationships/hyperlink" Target="https://www.augustsurfcafe.se/3-yrken-med-enkel-utbildning" TargetMode="External"/><Relationship Id="rId3429" Type="http://schemas.openxmlformats.org/officeDocument/2006/relationships/hyperlink" Target="https://interiorforyou.se/tiotak-erbjuder-helhetstjanster-for-takbyte-i-mellan-sodra-sverige/" TargetMode="External"/><Relationship Id="rId3776" Type="http://schemas.openxmlformats.org/officeDocument/2006/relationships/hyperlink" Target="https://ttsab.nu/bygg/" TargetMode="External"/><Relationship Id="rId4827" Type="http://schemas.openxmlformats.org/officeDocument/2006/relationships/hyperlink" Target="https://himala.ai/" TargetMode="External"/><Relationship Id="rId10214" Type="http://schemas.openxmlformats.org/officeDocument/2006/relationships/hyperlink" Target="https://www.chattanoogarehab.com/us/clinical-electrotherapy/electrical-stimulation" TargetMode="External"/><Relationship Id="rId2792" Type="http://schemas.openxmlformats.org/officeDocument/2006/relationships/hyperlink" Target="https://cl.luckycasino.com/es/" TargetMode="External"/><Relationship Id="rId3843" Type="http://schemas.openxmlformats.org/officeDocument/2006/relationships/hyperlink" Target="http://e-ciggbolaget.se/" TargetMode="External"/><Relationship Id="rId6999" Type="http://schemas.openxmlformats.org/officeDocument/2006/relationships/hyperlink" Target="https://www.chattanoogarehab.com/" TargetMode="External"/><Relationship Id="rId7300" Type="http://schemas.openxmlformats.org/officeDocument/2006/relationships/hyperlink" Target="http://www.rusta.com/sv-se/hem-och-inredning/mattor" TargetMode="External"/><Relationship Id="rId9058" Type="http://schemas.openxmlformats.org/officeDocument/2006/relationships/hyperlink" Target="https://mariefredstidning.se/2025/05/06/7-sporter-som-ar-sa-mycket-svarare-an-de-ser-ut/" TargetMode="External"/><Relationship Id="rId12386" Type="http://schemas.openxmlformats.org/officeDocument/2006/relationships/hyperlink" Target="https://www.theartofthepossible.net/var-far-man-anvanda-vape" TargetMode="External"/><Relationship Id="rId764" Type="http://schemas.openxmlformats.org/officeDocument/2006/relationships/hyperlink" Target="https://bokforingsprogram24.se/schjodt-rekonstruktion-och-insolvens/" TargetMode="External"/><Relationship Id="rId1394" Type="http://schemas.openxmlformats.org/officeDocument/2006/relationships/hyperlink" Target="http://happysocks.com/" TargetMode="External"/><Relationship Id="rId2445" Type="http://schemas.openxmlformats.org/officeDocument/2006/relationships/hyperlink" Target="https://mestrock.se/den-ultimata-engangsvape-upplevelsen/?utm_content=cmp-true" TargetMode="External"/><Relationship Id="rId3910" Type="http://schemas.openxmlformats.org/officeDocument/2006/relationships/hyperlink" Target="https://www.merinfo.se/foretag/Fair-Investments-Sweden-AB-5568169626/2k3576i-kqah" TargetMode="External"/><Relationship Id="rId9472" Type="http://schemas.openxmlformats.org/officeDocument/2006/relationships/hyperlink" Target="https://www.videoslots.com/sv/mobile/casino/" TargetMode="External"/><Relationship Id="rId12039" Type="http://schemas.openxmlformats.org/officeDocument/2006/relationships/hyperlink" Target="http://jetshopfree.se/" TargetMode="External"/><Relationship Id="rId12453" Type="http://schemas.openxmlformats.org/officeDocument/2006/relationships/hyperlink" Target="http://vont.se/" TargetMode="External"/><Relationship Id="rId417" Type="http://schemas.openxmlformats.org/officeDocument/2006/relationships/hyperlink" Target="https://haxan.se/" TargetMode="External"/><Relationship Id="rId831" Type="http://schemas.openxmlformats.org/officeDocument/2006/relationships/hyperlink" Target="https://veckodag.nu/varfor-vape-ersatter-cigaretter/" TargetMode="External"/><Relationship Id="rId1047" Type="http://schemas.openxmlformats.org/officeDocument/2006/relationships/hyperlink" Target="http://happysocks.com/" TargetMode="External"/><Relationship Id="rId1461" Type="http://schemas.openxmlformats.org/officeDocument/2006/relationships/hyperlink" Target="http://vontabel.com/" TargetMode="External"/><Relationship Id="rId2512" Type="http://schemas.openxmlformats.org/officeDocument/2006/relationships/hyperlink" Target="http://haxan.se/" TargetMode="External"/><Relationship Id="rId5668" Type="http://schemas.openxmlformats.org/officeDocument/2006/relationships/hyperlink" Target="https://filmeye.se/recension-focus-med-will-smith-och-margot-robbie/" TargetMode="External"/><Relationship Id="rId6719" Type="http://schemas.openxmlformats.org/officeDocument/2006/relationships/hyperlink" Target="https://dinkorskola.se/" TargetMode="External"/><Relationship Id="rId8074" Type="http://schemas.openxmlformats.org/officeDocument/2006/relationships/hyperlink" Target="https://www.nykommun.se/2025/03/05/det-har-med-kommunmark-hur-fungerar-det/" TargetMode="External"/><Relationship Id="rId9125" Type="http://schemas.openxmlformats.org/officeDocument/2006/relationships/hyperlink" Target="http://mynicco.com/" TargetMode="External"/><Relationship Id="rId11055" Type="http://schemas.openxmlformats.org/officeDocument/2006/relationships/hyperlink" Target="http://northtracker.com/" TargetMode="External"/><Relationship Id="rId12106" Type="http://schemas.openxmlformats.org/officeDocument/2006/relationships/hyperlink" Target="https://ledkungen.se/collections/led-lister" TargetMode="External"/><Relationship Id="rId12520" Type="http://schemas.openxmlformats.org/officeDocument/2006/relationships/hyperlink" Target="https://enkelteknologi.se/en-nyborjares-guide-till-personlig-ekonomi/" TargetMode="External"/><Relationship Id="rId1114" Type="http://schemas.openxmlformats.org/officeDocument/2006/relationships/hyperlink" Target="https://www.blufashion.com/style/how-to-take-the-dressy-look-to-the-next-level/" TargetMode="External"/><Relationship Id="rId4684" Type="http://schemas.openxmlformats.org/officeDocument/2006/relationships/hyperlink" Target="https://w3elsolenergi.se/" TargetMode="External"/><Relationship Id="rId5735" Type="http://schemas.openxmlformats.org/officeDocument/2006/relationships/hyperlink" Target="https://bulletin.nu/spel-for-kvinnor-och-man" TargetMode="External"/><Relationship Id="rId7090" Type="http://schemas.openxmlformats.org/officeDocument/2006/relationships/hyperlink" Target="https://www.petster.se/hast/" TargetMode="External"/><Relationship Id="rId8141" Type="http://schemas.openxmlformats.org/officeDocument/2006/relationships/hyperlink" Target="https://bolagsekonomen.se/effektiv-lonehantering-med-ett-molnbaserat-lonesystem-for-ditt-foretag/" TargetMode="External"/><Relationship Id="rId10071" Type="http://schemas.openxmlformats.org/officeDocument/2006/relationships/hyperlink" Target="http://comfydence.se/" TargetMode="External"/><Relationship Id="rId11122" Type="http://schemas.openxmlformats.org/officeDocument/2006/relationships/hyperlink" Target="https://ekonomikunskap.se/din-guide-till-sveriges-minsta-kommun/" TargetMode="External"/><Relationship Id="rId3286" Type="http://schemas.openxmlformats.org/officeDocument/2006/relationships/hyperlink" Target="https://www.spelklubben.se/sv/casino" TargetMode="External"/><Relationship Id="rId4337" Type="http://schemas.openxmlformats.org/officeDocument/2006/relationships/hyperlink" Target="https://www.spelklubben.se/sv/" TargetMode="External"/><Relationship Id="rId13294" Type="http://schemas.openxmlformats.org/officeDocument/2006/relationships/hyperlink" Target="https://businessagent.se/standup-comedy-som-affarside-i-sverige/" TargetMode="External"/><Relationship Id="rId3353" Type="http://schemas.openxmlformats.org/officeDocument/2006/relationships/hyperlink" Target="https://bygghuddinge.se/m6-bygg-kvalitetsorienterad-byggfirma-i-stockholm/" TargetMode="External"/><Relationship Id="rId4751" Type="http://schemas.openxmlformats.org/officeDocument/2006/relationships/hyperlink" Target="https://www.nyaprojekt.se/2024/07/25/framtidens-infrastruktur-hallbara-byggprojekt/" TargetMode="External"/><Relationship Id="rId5802" Type="http://schemas.openxmlformats.org/officeDocument/2006/relationships/hyperlink" Target="https://bonuskillen.se/volkswagen-service-en-guide-for-man/" TargetMode="External"/><Relationship Id="rId8958" Type="http://schemas.openxmlformats.org/officeDocument/2006/relationships/hyperlink" Target="http://nettotobak.com/" TargetMode="External"/><Relationship Id="rId10888" Type="http://schemas.openxmlformats.org/officeDocument/2006/relationships/hyperlink" Target="https://minifinder.se/" TargetMode="External"/><Relationship Id="rId11939" Type="http://schemas.openxmlformats.org/officeDocument/2006/relationships/hyperlink" Target="https://www.nilsgrundberg.se/2023/09/27/att-ta-korkort-en-guide-till-trafikskola-och-korprov/" TargetMode="External"/><Relationship Id="rId274" Type="http://schemas.openxmlformats.org/officeDocument/2006/relationships/hyperlink" Target="http://haxan.se/" TargetMode="External"/><Relationship Id="rId3006" Type="http://schemas.openxmlformats.org/officeDocument/2006/relationships/hyperlink" Target="http://alfa.no/" TargetMode="External"/><Relationship Id="rId4404" Type="http://schemas.openxmlformats.org/officeDocument/2006/relationships/hyperlink" Target="https://fairinvestments.se/" TargetMode="External"/><Relationship Id="rId7974" Type="http://schemas.openxmlformats.org/officeDocument/2006/relationships/hyperlink" Target="http://tandea.se/tandvard/akut-tandvard-stockholm/" TargetMode="External"/><Relationship Id="rId10955" Type="http://schemas.openxmlformats.org/officeDocument/2006/relationships/hyperlink" Target="https://vikingaliv.se/" TargetMode="External"/><Relationship Id="rId3420" Type="http://schemas.openxmlformats.org/officeDocument/2006/relationships/hyperlink" Target="https://p2catering.se/rosas-hotell-i-visby-en-oas-av-historisk-charm-modern-elegans/" TargetMode="External"/><Relationship Id="rId6576" Type="http://schemas.openxmlformats.org/officeDocument/2006/relationships/hyperlink" Target="http://upplevelse.com/" TargetMode="External"/><Relationship Id="rId6990" Type="http://schemas.openxmlformats.org/officeDocument/2006/relationships/hyperlink" Target="https://tiotak.se/" TargetMode="External"/><Relationship Id="rId7627" Type="http://schemas.openxmlformats.org/officeDocument/2006/relationships/hyperlink" Target="https://arctic.se/se/forsakringslosningar/svensksolenergi/" TargetMode="External"/><Relationship Id="rId10608" Type="http://schemas.openxmlformats.org/officeDocument/2006/relationships/hyperlink" Target="https://www.megariches.com/mobile/" TargetMode="External"/><Relationship Id="rId13014" Type="http://schemas.openxmlformats.org/officeDocument/2006/relationships/hyperlink" Target="https://www.jakt.se/blaser-r8-2" TargetMode="External"/><Relationship Id="rId341" Type="http://schemas.openxmlformats.org/officeDocument/2006/relationships/hyperlink" Target="http://kopbarnvagn.se/" TargetMode="External"/><Relationship Id="rId2022" Type="http://schemas.openxmlformats.org/officeDocument/2006/relationships/hyperlink" Target="https://www.rightonblog.net/mysigt-att-hanga-pa-pub" TargetMode="External"/><Relationship Id="rId5178" Type="http://schemas.openxmlformats.org/officeDocument/2006/relationships/hyperlink" Target="https://www.vvs-boden.se/" TargetMode="External"/><Relationship Id="rId5592" Type="http://schemas.openxmlformats.org/officeDocument/2006/relationships/hyperlink" Target="http://rusta.se/" TargetMode="External"/><Relationship Id="rId6229" Type="http://schemas.openxmlformats.org/officeDocument/2006/relationships/hyperlink" Target="https://familjeupplevelser.se/standup-komedi-i-sverige-en-upplevelse-for-alla/" TargetMode="External"/><Relationship Id="rId6643" Type="http://schemas.openxmlformats.org/officeDocument/2006/relationships/hyperlink" Target="https://www.bethard.com/sv/sports" TargetMode="External"/><Relationship Id="rId9799" Type="http://schemas.openxmlformats.org/officeDocument/2006/relationships/hyperlink" Target="http://swedenlongstay.se/" TargetMode="External"/><Relationship Id="rId12030" Type="http://schemas.openxmlformats.org/officeDocument/2006/relationships/hyperlink" Target="http://rosmarinolja.nu/" TargetMode="External"/><Relationship Id="rId1788" Type="http://schemas.openxmlformats.org/officeDocument/2006/relationships/hyperlink" Target="https://alltomnorrtalje.se/vikten-av-en-palitlig-tandlakare/" TargetMode="External"/><Relationship Id="rId2839" Type="http://schemas.openxmlformats.org/officeDocument/2006/relationships/hyperlink" Target="http://spelklubben.se/" TargetMode="External"/><Relationship Id="rId4194" Type="http://schemas.openxmlformats.org/officeDocument/2006/relationships/hyperlink" Target="https://www.memoryhou.se/om-jag-hade-en-miljon" TargetMode="External"/><Relationship Id="rId5245" Type="http://schemas.openxmlformats.org/officeDocument/2006/relationships/hyperlink" Target="https://www.cherry.com/sv/play/starburst" TargetMode="External"/><Relationship Id="rId6710" Type="http://schemas.openxmlformats.org/officeDocument/2006/relationships/hyperlink" Target="https://beautyforyou.se/skalfasader-en-guide-till-skonhet-och-behandling/" TargetMode="External"/><Relationship Id="rId9866" Type="http://schemas.openxmlformats.org/officeDocument/2006/relationships/hyperlink" Target="https://leaptodigital.com/roofing-crm" TargetMode="External"/><Relationship Id="rId4261" Type="http://schemas.openxmlformats.org/officeDocument/2006/relationships/hyperlink" Target="http://rosapensionat.se/" TargetMode="External"/><Relationship Id="rId5312" Type="http://schemas.openxmlformats.org/officeDocument/2006/relationships/hyperlink" Target="https://www.bethard.com/sv/sports/live" TargetMode="External"/><Relationship Id="rId8468" Type="http://schemas.openxmlformats.org/officeDocument/2006/relationships/hyperlink" Target="https://hudsonweekly.com/nicotine-pouches-a-guide-to-choosing-your-first-pouch/" TargetMode="External"/><Relationship Id="rId9519" Type="http://schemas.openxmlformats.org/officeDocument/2006/relationships/hyperlink" Target="https://www.petster.se/hast/hasttacken/" TargetMode="External"/><Relationship Id="rId10398" Type="http://schemas.openxmlformats.org/officeDocument/2006/relationships/hyperlink" Target="https://www.kleer.se/finance-as-a-service/bokforingsprogram/" TargetMode="External"/><Relationship Id="rId11796" Type="http://schemas.openxmlformats.org/officeDocument/2006/relationships/hyperlink" Target="https://www.saleseffect.se/takbyte-och-allt-det-kan-innefatta/" TargetMode="External"/><Relationship Id="rId12847" Type="http://schemas.openxmlformats.org/officeDocument/2006/relationships/hyperlink" Target="https://aretrotale.com/de" TargetMode="External"/><Relationship Id="rId1508" Type="http://schemas.openxmlformats.org/officeDocument/2006/relationships/hyperlink" Target="http://happysocks.com/" TargetMode="External"/><Relationship Id="rId1855" Type="http://schemas.openxmlformats.org/officeDocument/2006/relationships/hyperlink" Target="https://www.hvvs.se/" TargetMode="External"/><Relationship Id="rId2906" Type="http://schemas.openxmlformats.org/officeDocument/2006/relationships/hyperlink" Target="https://dfly.no/navigering-i-finansverdenen/" TargetMode="External"/><Relationship Id="rId7484" Type="http://schemas.openxmlformats.org/officeDocument/2006/relationships/hyperlink" Target="https://podcasts.nu/blogg/finanskrisen-2008-en-podcastresa-genom-den-ekonomiska-hardsmaltan" TargetMode="External"/><Relationship Id="rId8535" Type="http://schemas.openxmlformats.org/officeDocument/2006/relationships/hyperlink" Target="https://www.gigwise.com/how-to-build-a-celebrity-worthy-wellness-routine/" TargetMode="External"/><Relationship Id="rId8882" Type="http://schemas.openxmlformats.org/officeDocument/2006/relationships/hyperlink" Target="http://chattanoogarehab.com/" TargetMode="External"/><Relationship Id="rId9933" Type="http://schemas.openxmlformats.org/officeDocument/2006/relationships/hyperlink" Target="https://www.cleannet.se/lb-article/181649/hur-ett-rent-stadat-samhalle-framjar-var-halsa" TargetMode="External"/><Relationship Id="rId11449" Type="http://schemas.openxmlformats.org/officeDocument/2006/relationships/hyperlink" Target="https://husmedia.se/tank-pa-detta-nar-du-ska-salja-ditt-hus/" TargetMode="External"/><Relationship Id="rId11863" Type="http://schemas.openxmlformats.org/officeDocument/2006/relationships/hyperlink" Target="https://www.svenskacc.se/2023/09/25/skapande-av-framtidens-stad/" TargetMode="External"/><Relationship Id="rId12914" Type="http://schemas.openxmlformats.org/officeDocument/2006/relationships/hyperlink" Target="https://www.kungaslottet.se/responsible-gaming/" TargetMode="External"/><Relationship Id="rId1922" Type="http://schemas.openxmlformats.org/officeDocument/2006/relationships/hyperlink" Target="https://pontonhamnar.se/produkter/flytbrygga/" TargetMode="External"/><Relationship Id="rId6086" Type="http://schemas.openxmlformats.org/officeDocument/2006/relationships/hyperlink" Target="https://everynightstudios.com/pages/foretag" TargetMode="External"/><Relationship Id="rId7137" Type="http://schemas.openxmlformats.org/officeDocument/2006/relationships/hyperlink" Target="https://stilrenahem.se/mattor-for-hemmet-en-guide-till-rustas-utbud/" TargetMode="External"/><Relationship Id="rId10465" Type="http://schemas.openxmlformats.org/officeDocument/2006/relationships/hyperlink" Target="http://startmotor.se/" TargetMode="External"/><Relationship Id="rId11516" Type="http://schemas.openxmlformats.org/officeDocument/2006/relationships/hyperlink" Target="https://www.robomarkets.com/se/forex-trading/assets/indices/" TargetMode="External"/><Relationship Id="rId11930" Type="http://schemas.openxmlformats.org/officeDocument/2006/relationships/hyperlink" Target="https://www.pensionplanering.se/2023/09/27/havstang-i-online-trading-oka-dina-mojligheter-och-risker/" TargetMode="External"/><Relationship Id="rId7551" Type="http://schemas.openxmlformats.org/officeDocument/2006/relationships/hyperlink" Target="https://www.kolding-netavis.dk/hvorfor-din-oekonomiske-historie-betyder-noget-dine-laan/" TargetMode="External"/><Relationship Id="rId8602" Type="http://schemas.openxmlformats.org/officeDocument/2006/relationships/hyperlink" Target="https://dinbyggnad.se/effektiv-ventilation-med-ftx-system-forbattrar-inomhusklimatet-i-svenska-hem/" TargetMode="External"/><Relationship Id="rId10118" Type="http://schemas.openxmlformats.org/officeDocument/2006/relationships/hyperlink" Target="http://glassfactory.fi/" TargetMode="External"/><Relationship Id="rId10532" Type="http://schemas.openxmlformats.org/officeDocument/2006/relationships/hyperlink" Target="http://spelklubben.se/" TargetMode="External"/><Relationship Id="rId2696" Type="http://schemas.openxmlformats.org/officeDocument/2006/relationships/hyperlink" Target="https://luckycasino.com/fi/" TargetMode="External"/><Relationship Id="rId3747" Type="http://schemas.openxmlformats.org/officeDocument/2006/relationships/hyperlink" Target="https://www.nbvj.nu/byt-ut-utedasset-mot-en-vanlig-toalett" TargetMode="External"/><Relationship Id="rId6153" Type="http://schemas.openxmlformats.org/officeDocument/2006/relationships/hyperlink" Target="http://spelklubben.se/" TargetMode="External"/><Relationship Id="rId7204" Type="http://schemas.openxmlformats.org/officeDocument/2006/relationships/hyperlink" Target="http://vardagsfrid.se/" TargetMode="External"/><Relationship Id="rId668" Type="http://schemas.openxmlformats.org/officeDocument/2006/relationships/hyperlink" Target="http://happysocks.com/" TargetMode="External"/><Relationship Id="rId1298" Type="http://schemas.openxmlformats.org/officeDocument/2006/relationships/hyperlink" Target="https://serviceteknikerkarlstad.se/det-oundvikliga-tillskottet-for-ett-valmaende-hem/" TargetMode="External"/><Relationship Id="rId2349" Type="http://schemas.openxmlformats.org/officeDocument/2006/relationships/hyperlink" Target="https://www.tandea.se/" TargetMode="External"/><Relationship Id="rId2763" Type="http://schemas.openxmlformats.org/officeDocument/2006/relationships/hyperlink" Target="https://www.torontomike.com/2024/01/why-online-casinos-and-sports-betting-is-becoming-more-popular-than-ever/" TargetMode="External"/><Relationship Id="rId3814" Type="http://schemas.openxmlformats.org/officeDocument/2006/relationships/hyperlink" Target="https://www.veterinarklinikenbirsta.se/" TargetMode="External"/><Relationship Id="rId6220" Type="http://schemas.openxmlformats.org/officeDocument/2006/relationships/hyperlink" Target="https://www.motormagasinet.se/lb-article/180982/sa-valjer-du-ratt-motorolja-for-din-bil-en-guide-for-entusiaster-och-proffs" TargetMode="External"/><Relationship Id="rId9376" Type="http://schemas.openxmlformats.org/officeDocument/2006/relationships/hyperlink" Target="http://bethard.com/" TargetMode="External"/><Relationship Id="rId9790" Type="http://schemas.openxmlformats.org/officeDocument/2006/relationships/hyperlink" Target="https://www.rusta.com/sv-se/hem-och-inredning/belysning" TargetMode="External"/><Relationship Id="rId12357" Type="http://schemas.openxmlformats.org/officeDocument/2006/relationships/hyperlink" Target="http://arctic.se/" TargetMode="External"/><Relationship Id="rId735" Type="http://schemas.openxmlformats.org/officeDocument/2006/relationships/hyperlink" Target="http://fairinvestments.se/" TargetMode="External"/><Relationship Id="rId1365" Type="http://schemas.openxmlformats.org/officeDocument/2006/relationships/hyperlink" Target="https://advancepointcap.com/medical-business-loans/" TargetMode="External"/><Relationship Id="rId2416" Type="http://schemas.openxmlformats.org/officeDocument/2006/relationships/hyperlink" Target="https://www.mansjouren.nu/" TargetMode="External"/><Relationship Id="rId8392" Type="http://schemas.openxmlformats.org/officeDocument/2006/relationships/hyperlink" Target="https://www.executiveeffect.se/kontorsverktyg-for-ordning-och-reda/" TargetMode="External"/><Relationship Id="rId9029" Type="http://schemas.openxmlformats.org/officeDocument/2006/relationships/hyperlink" Target="https://svenskafonster.se/skjutdorr" TargetMode="External"/><Relationship Id="rId9443" Type="http://schemas.openxmlformats.org/officeDocument/2006/relationships/hyperlink" Target="https://billingsgazette.com/life-entertainment/article_429ed44a-cc2e-5fc0-bbcf-4d995b6c9352.html" TargetMode="External"/><Relationship Id="rId11373" Type="http://schemas.openxmlformats.org/officeDocument/2006/relationships/hyperlink" Target="https://www.di.se/brandstudio/fair-investments/fair-investments-vi-tar-bara-betalt-for-verkliga-resultat-det-tjanar-alla-pa/" TargetMode="External"/><Relationship Id="rId12771" Type="http://schemas.openxmlformats.org/officeDocument/2006/relationships/hyperlink" Target="https://naringslivsbolaget.se/glesbygd/" TargetMode="External"/><Relationship Id="rId1018" Type="http://schemas.openxmlformats.org/officeDocument/2006/relationships/hyperlink" Target="https://serviceteknikerkarlstad.se/att-studera-inredare-utbildning-pa-distans-skapandet-av-kreativa-inredningslosningar/" TargetMode="External"/><Relationship Id="rId1432" Type="http://schemas.openxmlformats.org/officeDocument/2006/relationships/hyperlink" Target="https://pontonhamnar.se/" TargetMode="External"/><Relationship Id="rId2830" Type="http://schemas.openxmlformats.org/officeDocument/2006/relationships/hyperlink" Target="http://distansinstitutet.se/" TargetMode="External"/><Relationship Id="rId4588" Type="http://schemas.openxmlformats.org/officeDocument/2006/relationships/hyperlink" Target="http://www.purakliniken.se/" TargetMode="External"/><Relationship Id="rId5639" Type="http://schemas.openxmlformats.org/officeDocument/2006/relationships/hyperlink" Target="https://www.kvarnx.com/sv/hur-man-anvander" TargetMode="External"/><Relationship Id="rId5986" Type="http://schemas.openxmlformats.org/officeDocument/2006/relationships/hyperlink" Target="https://mynicco.com/" TargetMode="External"/><Relationship Id="rId8045" Type="http://schemas.openxmlformats.org/officeDocument/2006/relationships/hyperlink" Target="https://nordicknots.com/us/custom-sized-rugs" TargetMode="External"/><Relationship Id="rId11026" Type="http://schemas.openxmlformats.org/officeDocument/2006/relationships/hyperlink" Target="https://www.epidemicsound.com/music/" TargetMode="External"/><Relationship Id="rId12424" Type="http://schemas.openxmlformats.org/officeDocument/2006/relationships/hyperlink" Target="https://www.frii.se/?p=983" TargetMode="External"/><Relationship Id="rId71" Type="http://schemas.openxmlformats.org/officeDocument/2006/relationships/hyperlink" Target="https://goteborgextra.se/sa-koper-du-den-perfekta-belysningen-for-ditt-hem-online/" TargetMode="External"/><Relationship Id="rId802" Type="http://schemas.openxmlformats.org/officeDocument/2006/relationships/hyperlink" Target="https://www.finehomesandliving.com/fashion/get-your-wardrobe-ready-for-summer/article_c1b7f72c-f9c4-11ed-911f-f31952d396cd.html" TargetMode="External"/><Relationship Id="rId7061" Type="http://schemas.openxmlformats.org/officeDocument/2006/relationships/hyperlink" Target="https://kelleher-international.com/professional-matchmaking-for-men/" TargetMode="External"/><Relationship Id="rId8112" Type="http://schemas.openxmlformats.org/officeDocument/2006/relationships/hyperlink" Target="http://cdbilvardsprodukter.se/" TargetMode="External"/><Relationship Id="rId9510" Type="http://schemas.openxmlformats.org/officeDocument/2006/relationships/hyperlink" Target="http://mockfjards.se/" TargetMode="External"/><Relationship Id="rId11440" Type="http://schemas.openxmlformats.org/officeDocument/2006/relationships/hyperlink" Target="https://now.nu/3-steg-till-drombostaden/" TargetMode="External"/><Relationship Id="rId4655" Type="http://schemas.openxmlformats.org/officeDocument/2006/relationships/hyperlink" Target="https://www.vont.se/to-go" TargetMode="External"/><Relationship Id="rId5706" Type="http://schemas.openxmlformats.org/officeDocument/2006/relationships/hyperlink" Target="https://nem.health/vo2-max-indikator-for-livslangd-och-kardiovaskular-halsa/" TargetMode="External"/><Relationship Id="rId10042" Type="http://schemas.openxmlformats.org/officeDocument/2006/relationships/hyperlink" Target="https://duochjobbet.se/de-har-forvantningarna-finns-pa-dig-som-nyanstalld/" TargetMode="External"/><Relationship Id="rId13198" Type="http://schemas.openxmlformats.org/officeDocument/2006/relationships/hyperlink" Target="http://kamux.fi/" TargetMode="External"/><Relationship Id="rId178" Type="http://schemas.openxmlformats.org/officeDocument/2006/relationships/hyperlink" Target="https://eventeffect.se/planera-el-for-stora-event/" TargetMode="External"/><Relationship Id="rId3257" Type="http://schemas.openxmlformats.org/officeDocument/2006/relationships/hyperlink" Target="https://www.vont.se/to-go" TargetMode="External"/><Relationship Id="rId3671" Type="http://schemas.openxmlformats.org/officeDocument/2006/relationships/hyperlink" Target="https://www.tandea.se/" TargetMode="External"/><Relationship Id="rId4308" Type="http://schemas.openxmlformats.org/officeDocument/2006/relationships/hyperlink" Target="http://tryggbil.se/" TargetMode="External"/><Relationship Id="rId4722" Type="http://schemas.openxmlformats.org/officeDocument/2006/relationships/hyperlink" Target="http://cherry.com/" TargetMode="External"/><Relationship Id="rId7878" Type="http://schemas.openxmlformats.org/officeDocument/2006/relationships/hyperlink" Target="https://erothotsd.com/hot-trends-in-beauty-how-heat-is-the-new-secret-ingredient-for-radiant-skin/" TargetMode="External"/><Relationship Id="rId8929" Type="http://schemas.openxmlformats.org/officeDocument/2006/relationships/hyperlink" Target="http://myownwater.com/" TargetMode="External"/><Relationship Id="rId10859" Type="http://schemas.openxmlformats.org/officeDocument/2006/relationships/hyperlink" Target="https://www.nykommun.se/2025/08/25/hur-lokal-branding-starker-gemenskapen-i-din-kommun/" TargetMode="External"/><Relationship Id="rId13265" Type="http://schemas.openxmlformats.org/officeDocument/2006/relationships/hyperlink" Target="https://bonusman.se/vikten-av-takunderhall-for-maskinhallar-och-dess-paverkan-pa-verksamheten/" TargetMode="External"/><Relationship Id="rId592" Type="http://schemas.openxmlformats.org/officeDocument/2006/relationships/hyperlink" Target="https://stilero.se/b/konsten-att-inreda-badrum-som-ett-proffs/" TargetMode="External"/><Relationship Id="rId2273" Type="http://schemas.openxmlformats.org/officeDocument/2006/relationships/hyperlink" Target="https://www.typisktsvenskt.se/" TargetMode="External"/><Relationship Id="rId3324" Type="http://schemas.openxmlformats.org/officeDocument/2006/relationships/hyperlink" Target="https://tryggvi.se/lan-med-creditsafe/" TargetMode="External"/><Relationship Id="rId6894" Type="http://schemas.openxmlformats.org/officeDocument/2006/relationships/hyperlink" Target="https://www.bethard.com/sv/sports" TargetMode="External"/><Relationship Id="rId7945" Type="http://schemas.openxmlformats.org/officeDocument/2006/relationships/hyperlink" Target="https://eventeffect.se/att-flytta-foretaget-till-stockholm-en-guide-till-en-smidig-omstart/" TargetMode="External"/><Relationship Id="rId12281" Type="http://schemas.openxmlformats.org/officeDocument/2006/relationships/hyperlink" Target="https://www.frii.se/forsta-huskopet-fran-lanelofte-till-ratt-hus-i-ratt-omrade/" TargetMode="External"/><Relationship Id="rId245" Type="http://schemas.openxmlformats.org/officeDocument/2006/relationships/hyperlink" Target="https://bigbenstandup.com/" TargetMode="External"/><Relationship Id="rId2340" Type="http://schemas.openxmlformats.org/officeDocument/2006/relationships/hyperlink" Target="https://www.swedoffice.se/" TargetMode="External"/><Relationship Id="rId5496" Type="http://schemas.openxmlformats.org/officeDocument/2006/relationships/hyperlink" Target="https://suomitanaan.com/onko-suomalaisten-suhde-autoihin-muuttunut/" TargetMode="External"/><Relationship Id="rId6547" Type="http://schemas.openxmlformats.org/officeDocument/2006/relationships/hyperlink" Target="https://c-incognito.com/the-transformation-of-virtual-economies-what-esports-players-can-learn-from-casino-gamers/" TargetMode="External"/><Relationship Id="rId10926" Type="http://schemas.openxmlformats.org/officeDocument/2006/relationships/hyperlink" Target="https://www.autoracing1.com/pl/459075/the-importance-of-pets-in-a-race-car-drivers-career/" TargetMode="External"/><Relationship Id="rId312" Type="http://schemas.openxmlformats.org/officeDocument/2006/relationships/hyperlink" Target="https://b&#228;stf&#246;rs&#228;kringar.se/villaforsakring/" TargetMode="External"/><Relationship Id="rId4098" Type="http://schemas.openxmlformats.org/officeDocument/2006/relationships/hyperlink" Target="https://valutor.nu/vad-ar-resecheckar/" TargetMode="External"/><Relationship Id="rId5149" Type="http://schemas.openxmlformats.org/officeDocument/2006/relationships/hyperlink" Target="https://arctic.se/nibe-warmepumpe-versicherung/" TargetMode="External"/><Relationship Id="rId5563" Type="http://schemas.openxmlformats.org/officeDocument/2006/relationships/hyperlink" Target="http://tandea.se/" TargetMode="External"/><Relationship Id="rId6961" Type="http://schemas.openxmlformats.org/officeDocument/2006/relationships/hyperlink" Target="http://svenskafonster.se/" TargetMode="External"/><Relationship Id="rId9020" Type="http://schemas.openxmlformats.org/officeDocument/2006/relationships/hyperlink" Target="https://www.spelklubben.se/sv" TargetMode="External"/><Relationship Id="rId12001" Type="http://schemas.openxmlformats.org/officeDocument/2006/relationships/hyperlink" Target="http://arctic.se/" TargetMode="External"/><Relationship Id="rId4165" Type="http://schemas.openxmlformats.org/officeDocument/2006/relationships/hyperlink" Target="https://www.xpublishing.se/barnsanger-ger-smartare-barn" TargetMode="External"/><Relationship Id="rId5216" Type="http://schemas.openxmlformats.org/officeDocument/2006/relationships/hyperlink" Target="https://www.lansfast.se/maklare/sodermanland/trosa/" TargetMode="External"/><Relationship Id="rId6614" Type="http://schemas.openxmlformats.org/officeDocument/2006/relationships/hyperlink" Target="https://www.cherry.com/sv/welcome-bonus" TargetMode="External"/><Relationship Id="rId1759" Type="http://schemas.openxmlformats.org/officeDocument/2006/relationships/hyperlink" Target="https://www.triwa.com/time-for-solar" TargetMode="External"/><Relationship Id="rId3181" Type="http://schemas.openxmlformats.org/officeDocument/2006/relationships/hyperlink" Target="https://lchfklubben.se/forbattrad-munhalsa-med-lchf" TargetMode="External"/><Relationship Id="rId5630" Type="http://schemas.openxmlformats.org/officeDocument/2006/relationships/hyperlink" Target="https://tiotak.se/byta-tak-maskinhall/" TargetMode="External"/><Relationship Id="rId8786" Type="http://schemas.openxmlformats.org/officeDocument/2006/relationships/hyperlink" Target="https://www.lsb.se/" TargetMode="External"/><Relationship Id="rId9837" Type="http://schemas.openxmlformats.org/officeDocument/2006/relationships/hyperlink" Target="http://michaelofrisorerna.se/" TargetMode="External"/><Relationship Id="rId11767" Type="http://schemas.openxmlformats.org/officeDocument/2006/relationships/hyperlink" Target="https://everythinghorseuk.co.uk/tips-for-starting-horseback-riding/" TargetMode="External"/><Relationship Id="rId12818" Type="http://schemas.openxmlformats.org/officeDocument/2006/relationships/hyperlink" Target="https://turner.fi/nopea-nosto-ovi/" TargetMode="External"/><Relationship Id="rId1826" Type="http://schemas.openxmlformats.org/officeDocument/2006/relationships/hyperlink" Target="http://saneringscompaniet.se/" TargetMode="External"/><Relationship Id="rId4232" Type="http://schemas.openxmlformats.org/officeDocument/2006/relationships/hyperlink" Target="https://www.traslottet.se/lat-proffsen-skota-roren" TargetMode="External"/><Relationship Id="rId7388" Type="http://schemas.openxmlformats.org/officeDocument/2006/relationships/hyperlink" Target="http://myownwater.com/" TargetMode="External"/><Relationship Id="rId8439" Type="http://schemas.openxmlformats.org/officeDocument/2006/relationships/hyperlink" Target="https://www.technology.org/2025/03/28/cost-effective-strategies-for-optimizing-server-lifespan/" TargetMode="External"/><Relationship Id="rId8853" Type="http://schemas.openxmlformats.org/officeDocument/2006/relationships/hyperlink" Target="http://willabgarden.de/" TargetMode="External"/><Relationship Id="rId9904" Type="http://schemas.openxmlformats.org/officeDocument/2006/relationships/hyperlink" Target="https://www.etlehti.fi/blogit/vinkkeja/suunnittele-fiksusti-ja-tee-kodista-viihtyisa-uusilla-puutarhakalusteilla" TargetMode="External"/><Relationship Id="rId10369" Type="http://schemas.openxmlformats.org/officeDocument/2006/relationships/hyperlink" Target="http://dbet.com/" TargetMode="External"/><Relationship Id="rId10783" Type="http://schemas.openxmlformats.org/officeDocument/2006/relationships/hyperlink" Target="https://dambloggen.se/forbattra-din-hudhalsa-med-professionell-behandling-i-stockholm/" TargetMode="External"/><Relationship Id="rId11834" Type="http://schemas.openxmlformats.org/officeDocument/2006/relationships/hyperlink" Target="https://www.newsbreak.com/-1727464/3131235032097-comfort-and-performance-finding-the-ideal-riding-breeches-for-you" TargetMode="External"/><Relationship Id="rId3998" Type="http://schemas.openxmlformats.org/officeDocument/2006/relationships/hyperlink" Target="https://www.b-samfundet.se/" TargetMode="External"/><Relationship Id="rId7455" Type="http://schemas.openxmlformats.org/officeDocument/2006/relationships/hyperlink" Target="https://mockfjards.se/att-byta-fonster" TargetMode="External"/><Relationship Id="rId8506" Type="http://schemas.openxmlformats.org/officeDocument/2006/relationships/hyperlink" Target="https://www.svenskbyggtidning.se/2025/03/31/vikten-av-ventilationsrengoring-i-den-grona-omstallningen/" TargetMode="External"/><Relationship Id="rId8920" Type="http://schemas.openxmlformats.org/officeDocument/2006/relationships/hyperlink" Target="http://aretrotale.com/" TargetMode="External"/><Relationship Id="rId10436" Type="http://schemas.openxmlformats.org/officeDocument/2006/relationships/hyperlink" Target="https://www.swesub.nu/filmkunskap/filmens-mest-ikoniska-frisyrer-hur-du-sjalv-kan-bara-dem/" TargetMode="External"/><Relationship Id="rId6057" Type="http://schemas.openxmlformats.org/officeDocument/2006/relationships/hyperlink" Target="https://www.spelklubben.se/sv/betting" TargetMode="External"/><Relationship Id="rId6471" Type="http://schemas.openxmlformats.org/officeDocument/2006/relationships/hyperlink" Target="https://www.executiveeffect.se/effektiv-personalhantering-och-utbildning-nyckeln-till-hog-kundnojdhet-inom-onlinecasinon/" TargetMode="External"/><Relationship Id="rId7108" Type="http://schemas.openxmlformats.org/officeDocument/2006/relationships/hyperlink" Target="https://www.coface.fi/luottovakuutus" TargetMode="External"/><Relationship Id="rId7522" Type="http://schemas.openxmlformats.org/officeDocument/2006/relationships/hyperlink" Target="https://passioneffect.se/varfor-skiljer-vi-pa-tander-och-resten-av-kroppen-debatten-om-tandvardens-subventioner/" TargetMode="External"/><Relationship Id="rId10850" Type="http://schemas.openxmlformats.org/officeDocument/2006/relationships/hyperlink" Target="https://www.sandiegoreader.com/contributor/readernews/stay-ahead-of-the-game-with-athlete-development-tracking-software/" TargetMode="External"/><Relationship Id="rId11901" Type="http://schemas.openxmlformats.org/officeDocument/2006/relationships/hyperlink" Target="https://schjodt.com/expertise/rekonstruktion-insolvens" TargetMode="External"/><Relationship Id="rId986" Type="http://schemas.openxmlformats.org/officeDocument/2006/relationships/hyperlink" Target="http://alfa.no/" TargetMode="External"/><Relationship Id="rId2667" Type="http://schemas.openxmlformats.org/officeDocument/2006/relationships/hyperlink" Target="http://distansinstitutet.se/" TargetMode="External"/><Relationship Id="rId3718" Type="http://schemas.openxmlformats.org/officeDocument/2006/relationships/hyperlink" Target="http://spelklubben.se/" TargetMode="External"/><Relationship Id="rId5073" Type="http://schemas.openxmlformats.org/officeDocument/2006/relationships/hyperlink" Target="http://arctic.se/" TargetMode="External"/><Relationship Id="rId6124" Type="http://schemas.openxmlformats.org/officeDocument/2006/relationships/hyperlink" Target="http://chattanoogarehab.com/" TargetMode="External"/><Relationship Id="rId9694" Type="http://schemas.openxmlformats.org/officeDocument/2006/relationships/hyperlink" Target="https://podcast24.co.uk/blog/10-podcasts-for-perfect-escapism-2025" TargetMode="External"/><Relationship Id="rId10503" Type="http://schemas.openxmlformats.org/officeDocument/2006/relationships/hyperlink" Target="http://upplevelse.com/" TargetMode="External"/><Relationship Id="rId639" Type="http://schemas.openxmlformats.org/officeDocument/2006/relationships/hyperlink" Target="https://www.flushthefashion.com/culture/investing-in-the-perfect-suit-heres-what-to-consider/" TargetMode="External"/><Relationship Id="rId1269" Type="http://schemas.openxmlformats.org/officeDocument/2006/relationships/hyperlink" Target="https://distansinstitutet.se/distansutbildningar/pedagogik/socialpedagog/" TargetMode="External"/><Relationship Id="rId5140" Type="http://schemas.openxmlformats.org/officeDocument/2006/relationships/hyperlink" Target="https://www.mariatand.se/" TargetMode="External"/><Relationship Id="rId8296" Type="http://schemas.openxmlformats.org/officeDocument/2006/relationships/hyperlink" Target="https://www.halifax.nu/en-ip-tv-dinner-med-takeaway-burger" TargetMode="External"/><Relationship Id="rId9347" Type="http://schemas.openxmlformats.org/officeDocument/2006/relationships/hyperlink" Target="https://betting-tips.nu/hur-vet-man-vad-som-ar-ett-bra-odds/" TargetMode="External"/><Relationship Id="rId12675" Type="http://schemas.openxmlformats.org/officeDocument/2006/relationships/hyperlink" Target="http://arctic.se/" TargetMode="External"/><Relationship Id="rId1683" Type="http://schemas.openxmlformats.org/officeDocument/2006/relationships/hyperlink" Target="https://www.triwa.com/" TargetMode="External"/><Relationship Id="rId2734" Type="http://schemas.openxmlformats.org/officeDocument/2006/relationships/hyperlink" Target="https://www.rambollnatura.se/blufforetag-och-investering-navigera-ratt-i-det-ekonomiska-landskapet" TargetMode="External"/><Relationship Id="rId9761" Type="http://schemas.openxmlformats.org/officeDocument/2006/relationships/hyperlink" Target="https://villaprojekt.se/sakra-din-investering-med-forsakringar-for-solceller-i-bostader/" TargetMode="External"/><Relationship Id="rId11277" Type="http://schemas.openxmlformats.org/officeDocument/2006/relationships/hyperlink" Target="https://jetshopfree.se/varfor-du-bor-optimera-motorn/" TargetMode="External"/><Relationship Id="rId11691" Type="http://schemas.openxmlformats.org/officeDocument/2006/relationships/hyperlink" Target="https://markets.vontobel.com/fi-fi/tuotteet/viputuotteet/minifutuuri" TargetMode="External"/><Relationship Id="rId12328" Type="http://schemas.openxmlformats.org/officeDocument/2006/relationships/hyperlink" Target="https://nordictimes.com/partner/disposable-vapes-the-convenient-alternative-to-traditional-vapes/" TargetMode="External"/><Relationship Id="rId12742" Type="http://schemas.openxmlformats.org/officeDocument/2006/relationships/hyperlink" Target="http://lilla-varlden.se/" TargetMode="External"/><Relationship Id="rId706" Type="http://schemas.openxmlformats.org/officeDocument/2006/relationships/hyperlink" Target="https://rehabgrossisten.com/" TargetMode="External"/><Relationship Id="rId1336" Type="http://schemas.openxmlformats.org/officeDocument/2006/relationships/hyperlink" Target="http://bigbenstandup.com/" TargetMode="External"/><Relationship Id="rId1750" Type="http://schemas.openxmlformats.org/officeDocument/2006/relationships/hyperlink" Target="https://nygal.com/how-to-gift-more-sustainably-this-christmas/" TargetMode="External"/><Relationship Id="rId2801" Type="http://schemas.openxmlformats.org/officeDocument/2006/relationships/hyperlink" Target="https://www.spelklubben.se/sv" TargetMode="External"/><Relationship Id="rId5957" Type="http://schemas.openxmlformats.org/officeDocument/2006/relationships/hyperlink" Target="http://acnespecialisten.se/" TargetMode="External"/><Relationship Id="rId8016" Type="http://schemas.openxmlformats.org/officeDocument/2006/relationships/hyperlink" Target="https://www.radionordkapp.no/nyheter/29378/turistnaeringen-i-nordkapp-og-behovet-for-okonomisk-stabilitet/" TargetMode="External"/><Relationship Id="rId8363" Type="http://schemas.openxmlformats.org/officeDocument/2006/relationships/hyperlink" Target="http://svenskiptv.com/" TargetMode="External"/><Relationship Id="rId9414" Type="http://schemas.openxmlformats.org/officeDocument/2006/relationships/hyperlink" Target="http://megariches.com/" TargetMode="External"/><Relationship Id="rId10293" Type="http://schemas.openxmlformats.org/officeDocument/2006/relationships/hyperlink" Target="https://alltombeauty.se/vikten-av-vetenskap-i-skonhet-och-halsa/" TargetMode="External"/><Relationship Id="rId11344" Type="http://schemas.openxmlformats.org/officeDocument/2006/relationships/hyperlink" Target="http://fairinvestments.se/" TargetMode="External"/><Relationship Id="rId42" Type="http://schemas.openxmlformats.org/officeDocument/2006/relationships/hyperlink" Target="https://elenkelt.se/installera-dimmer/" TargetMode="External"/><Relationship Id="rId1403" Type="http://schemas.openxmlformats.org/officeDocument/2006/relationships/hyperlink" Target="http://blugiallo.com/" TargetMode="External"/><Relationship Id="rId4559" Type="http://schemas.openxmlformats.org/officeDocument/2006/relationships/hyperlink" Target="https://massagestockholm.se/" TargetMode="External"/><Relationship Id="rId4973" Type="http://schemas.openxmlformats.org/officeDocument/2006/relationships/hyperlink" Target="http://bethard.com/" TargetMode="External"/><Relationship Id="rId8430" Type="http://schemas.openxmlformats.org/officeDocument/2006/relationships/hyperlink" Target="https://www.nordsverige.se/2025-03-24/rastar-du-hunden-utan-koppel-darfor-bor-du-tanka-om-5daee" TargetMode="External"/><Relationship Id="rId10360" Type="http://schemas.openxmlformats.org/officeDocument/2006/relationships/hyperlink" Target="http://rusta.se/" TargetMode="External"/><Relationship Id="rId11411" Type="http://schemas.openxmlformats.org/officeDocument/2006/relationships/hyperlink" Target="http://lansfast.se/" TargetMode="External"/><Relationship Id="rId3575" Type="http://schemas.openxmlformats.org/officeDocument/2006/relationships/hyperlink" Target="https://twitter.com/i/flow/login?redirect_after_login=%2FFairInvSwe" TargetMode="External"/><Relationship Id="rId4626" Type="http://schemas.openxmlformats.org/officeDocument/2006/relationships/hyperlink" Target="https://www.onlinepengar.com/changpeng-zhao-domd-till-fangelse/" TargetMode="External"/><Relationship Id="rId7032" Type="http://schemas.openxmlformats.org/officeDocument/2006/relationships/hyperlink" Target="http://clearfuze.com/" TargetMode="External"/><Relationship Id="rId10013" Type="http://schemas.openxmlformats.org/officeDocument/2006/relationships/hyperlink" Target="http://svenskalasjouren.se/" TargetMode="External"/><Relationship Id="rId13169" Type="http://schemas.openxmlformats.org/officeDocument/2006/relationships/hyperlink" Target="https://piggokry.nu/ta-munhalsan-pa-allvar-i-hybridvardagen/" TargetMode="External"/><Relationship Id="rId496" Type="http://schemas.openxmlformats.org/officeDocument/2006/relationships/hyperlink" Target="https://lifestylebloggen.se/langtidssocker-vad-ar-det-och-hur-mats-det/" TargetMode="External"/><Relationship Id="rId2177" Type="http://schemas.openxmlformats.org/officeDocument/2006/relationships/hyperlink" Target="http://lansfast.se/" TargetMode="External"/><Relationship Id="rId2591" Type="http://schemas.openxmlformats.org/officeDocument/2006/relationships/hyperlink" Target="http://distansinstitutet.se/" TargetMode="External"/><Relationship Id="rId3228" Type="http://schemas.openxmlformats.org/officeDocument/2006/relationships/hyperlink" Target="https://www.dombacksmark.se/gora-verklig-skillnad-for-framtiden" TargetMode="External"/><Relationship Id="rId3642" Type="http://schemas.openxmlformats.org/officeDocument/2006/relationships/hyperlink" Target="https://www.radonguiden.se/" TargetMode="External"/><Relationship Id="rId6798" Type="http://schemas.openxmlformats.org/officeDocument/2006/relationships/hyperlink" Target="https://www.purakliniken.se/estetisk-tandvard/tandreglering-invisalign/" TargetMode="External"/><Relationship Id="rId7849" Type="http://schemas.openxmlformats.org/officeDocument/2006/relationships/hyperlink" Target="http://purakliniken.se/" TargetMode="External"/><Relationship Id="rId12185" Type="http://schemas.openxmlformats.org/officeDocument/2006/relationships/hyperlink" Target="https://www.lansfast.se/maklare/sodermanland/trosa/" TargetMode="External"/><Relationship Id="rId13236" Type="http://schemas.openxmlformats.org/officeDocument/2006/relationships/hyperlink" Target="https://www.rusta.com/sv-se/hem-och-inredning/belysning" TargetMode="External"/><Relationship Id="rId149" Type="http://schemas.openxmlformats.org/officeDocument/2006/relationships/hyperlink" Target="http://andrashop.se/partners/" TargetMode="External"/><Relationship Id="rId563" Type="http://schemas.openxmlformats.org/officeDocument/2006/relationships/hyperlink" Target="https://flerbarnsmamman.se/detta-bor-man-tanka-pa-nar-man-ska-kopa-en-barnvagn/" TargetMode="External"/><Relationship Id="rId1193" Type="http://schemas.openxmlformats.org/officeDocument/2006/relationships/hyperlink" Target="http://tiotak.se/" TargetMode="External"/><Relationship Id="rId2244" Type="http://schemas.openxmlformats.org/officeDocument/2006/relationships/hyperlink" Target="https://distansinstitutet.se/distansutbildningar/pedagogik/vardbitrade/" TargetMode="External"/><Relationship Id="rId9271" Type="http://schemas.openxmlformats.org/officeDocument/2006/relationships/hyperlink" Target="http://tkw.se/" TargetMode="External"/><Relationship Id="rId216" Type="http://schemas.openxmlformats.org/officeDocument/2006/relationships/hyperlink" Target="https://haxan.se/" TargetMode="External"/><Relationship Id="rId1260" Type="http://schemas.openxmlformats.org/officeDocument/2006/relationships/hyperlink" Target="http://blugiallo.com/" TargetMode="External"/><Relationship Id="rId6865" Type="http://schemas.openxmlformats.org/officeDocument/2006/relationships/hyperlink" Target="https://www.nojeninorr.se/" TargetMode="External"/><Relationship Id="rId7916" Type="http://schemas.openxmlformats.org/officeDocument/2006/relationships/hyperlink" Target="https://mockfjards.se/att-byta-fonster/fonster-miljomarkta-med-svanen" TargetMode="External"/><Relationship Id="rId12252" Type="http://schemas.openxmlformats.org/officeDocument/2006/relationships/hyperlink" Target="https://fashiongtonpost.com/3-mens-watches-essentials-to-know/" TargetMode="External"/><Relationship Id="rId13303" Type="http://schemas.openxmlformats.org/officeDocument/2006/relationships/hyperlink" Target="https://hemforalla.se/forbattra-ljudmiljon-i-ditt-hem-med-effektiva-akustiklosningar/" TargetMode="External"/><Relationship Id="rId630" Type="http://schemas.openxmlformats.org/officeDocument/2006/relationships/hyperlink" Target="https://tiotak.se/" TargetMode="External"/><Relationship Id="rId2311" Type="http://schemas.openxmlformats.org/officeDocument/2006/relationships/hyperlink" Target="https://www.rambollnatura.se/ar-mina-pengar-sakra-pa-banken" TargetMode="External"/><Relationship Id="rId4069" Type="http://schemas.openxmlformats.org/officeDocument/2006/relationships/hyperlink" Target="http://snusnetto.se/" TargetMode="External"/><Relationship Id="rId5467" Type="http://schemas.openxmlformats.org/officeDocument/2006/relationships/hyperlink" Target="http://myownwater.com/" TargetMode="External"/><Relationship Id="rId5881" Type="http://schemas.openxmlformats.org/officeDocument/2006/relationships/hyperlink" Target="http://e-ciggbolaget.se/" TargetMode="External"/><Relationship Id="rId6518" Type="http://schemas.openxmlformats.org/officeDocument/2006/relationships/hyperlink" Target="http://nodepositbonus.cc/" TargetMode="External"/><Relationship Id="rId6932" Type="http://schemas.openxmlformats.org/officeDocument/2006/relationships/hyperlink" Target="http://kanalgratis.se/" TargetMode="External"/><Relationship Id="rId4483" Type="http://schemas.openxmlformats.org/officeDocument/2006/relationships/hyperlink" Target="https://www.norteam.se/cloud-portal" TargetMode="External"/><Relationship Id="rId5534" Type="http://schemas.openxmlformats.org/officeDocument/2006/relationships/hyperlink" Target="https://navx.store/nl/" TargetMode="External"/><Relationship Id="rId3085" Type="http://schemas.openxmlformats.org/officeDocument/2006/relationships/hyperlink" Target="http://bigbenstandup.com/" TargetMode="External"/><Relationship Id="rId4136" Type="http://schemas.openxmlformats.org/officeDocument/2006/relationships/hyperlink" Target="https://www.totallyorebro.se/uncategorized/sa-maximerar-du-dina-investeringar-i-dagens-ekonomi/" TargetMode="External"/><Relationship Id="rId4550" Type="http://schemas.openxmlformats.org/officeDocument/2006/relationships/hyperlink" Target="https://e-ciggbolaget.se/" TargetMode="External"/><Relationship Id="rId5601" Type="http://schemas.openxmlformats.org/officeDocument/2006/relationships/hyperlink" Target="https://www.ectool.nu/fordelarna-med-att-anlita-professionell-hjalp-for-upplockning-av-skrap/" TargetMode="External"/><Relationship Id="rId8757" Type="http://schemas.openxmlformats.org/officeDocument/2006/relationships/hyperlink" Target="http://dbet.com/" TargetMode="External"/><Relationship Id="rId9808" Type="http://schemas.openxmlformats.org/officeDocument/2006/relationships/hyperlink" Target="https://www.swedoffice.se/" TargetMode="External"/><Relationship Id="rId10687" Type="http://schemas.openxmlformats.org/officeDocument/2006/relationships/hyperlink" Target="http://spelklubben.se/" TargetMode="External"/><Relationship Id="rId13093" Type="http://schemas.openxmlformats.org/officeDocument/2006/relationships/hyperlink" Target="https://elbilen.se/nyheter/planera-elbilsturen-som-ett-proffs-med-rackvidd-och-risk-i-atanke/" TargetMode="External"/><Relationship Id="rId3152" Type="http://schemas.openxmlformats.org/officeDocument/2006/relationships/hyperlink" Target="https://www.veterinarklinikenbirsta.se/" TargetMode="External"/><Relationship Id="rId4203" Type="http://schemas.openxmlformats.org/officeDocument/2006/relationships/hyperlink" Target="https://www.spelklubben.se/sv/live-casino/game-shows" TargetMode="External"/><Relationship Id="rId7359" Type="http://schemas.openxmlformats.org/officeDocument/2006/relationships/hyperlink" Target="http://mrnicco.com/" TargetMode="External"/><Relationship Id="rId7773" Type="http://schemas.openxmlformats.org/officeDocument/2006/relationships/hyperlink" Target="http://glassfactory.fi/" TargetMode="External"/><Relationship Id="rId8824" Type="http://schemas.openxmlformats.org/officeDocument/2006/relationships/hyperlink" Target="https://www.saleseffect.se/lana-till-storre-inkop-bil-renovering-elektronik-nar-ar-det-vart/" TargetMode="External"/><Relationship Id="rId11738" Type="http://schemas.openxmlformats.org/officeDocument/2006/relationships/hyperlink" Target="https://ixprl.com/variety-of-horse-riding-saddles/" TargetMode="External"/><Relationship Id="rId13160" Type="http://schemas.openxmlformats.org/officeDocument/2006/relationships/hyperlink" Target="https://www.videoslots.com/sv/casino/video-slots/" TargetMode="External"/><Relationship Id="rId6375" Type="http://schemas.openxmlformats.org/officeDocument/2006/relationships/hyperlink" Target="http://mynicco.com/" TargetMode="External"/><Relationship Id="rId7426" Type="http://schemas.openxmlformats.org/officeDocument/2006/relationships/hyperlink" Target="https://www.spelklubben.se/sv/casino/jackpotspel" TargetMode="External"/><Relationship Id="rId10754" Type="http://schemas.openxmlformats.org/officeDocument/2006/relationships/hyperlink" Target="http://sakraror.se/" TargetMode="External"/><Relationship Id="rId11805" Type="http://schemas.openxmlformats.org/officeDocument/2006/relationships/hyperlink" Target="http://conclean.se/" TargetMode="External"/><Relationship Id="rId140" Type="http://schemas.openxmlformats.org/officeDocument/2006/relationships/hyperlink" Target="https://parkleken.se/varfor-bugaboo-vagnar-ar-det-basta-valet-for-nya-foraldrar/" TargetMode="External"/><Relationship Id="rId3969" Type="http://schemas.openxmlformats.org/officeDocument/2006/relationships/hyperlink" Target="https://www.glimtenigrytan.se/kan-man-lita-pa-maklare" TargetMode="External"/><Relationship Id="rId5391" Type="http://schemas.openxmlformats.org/officeDocument/2006/relationships/hyperlink" Target="https://www.swedoffice.se/" TargetMode="External"/><Relationship Id="rId6028" Type="http://schemas.openxmlformats.org/officeDocument/2006/relationships/hyperlink" Target="https://www.rusta.com/se/sv/hem--inredning/mattor/" TargetMode="External"/><Relationship Id="rId7840" Type="http://schemas.openxmlformats.org/officeDocument/2006/relationships/hyperlink" Target="https://alltomnorrtalje.se/har-kan-din-hund-springa-fritt-i-norrtalje/" TargetMode="External"/><Relationship Id="rId9598" Type="http://schemas.openxmlformats.org/officeDocument/2006/relationships/hyperlink" Target="http://svenskafonster.se/" TargetMode="External"/><Relationship Id="rId10407" Type="http://schemas.openxmlformats.org/officeDocument/2006/relationships/hyperlink" Target="http://megariches.com/" TargetMode="External"/><Relationship Id="rId10821" Type="http://schemas.openxmlformats.org/officeDocument/2006/relationships/hyperlink" Target="http://tryggbil.se/" TargetMode="External"/><Relationship Id="rId6" Type="http://schemas.openxmlformats.org/officeDocument/2006/relationships/hyperlink" Target="https://haxan.se/" TargetMode="External"/><Relationship Id="rId2985" Type="http://schemas.openxmlformats.org/officeDocument/2006/relationships/hyperlink" Target="http://tandea.se/" TargetMode="External"/><Relationship Id="rId5044" Type="http://schemas.openxmlformats.org/officeDocument/2006/relationships/hyperlink" Target="http://snusnetto.se/" TargetMode="External"/><Relationship Id="rId6442" Type="http://schemas.openxmlformats.org/officeDocument/2006/relationships/hyperlink" Target="http://petster.se/" TargetMode="External"/><Relationship Id="rId12579" Type="http://schemas.openxmlformats.org/officeDocument/2006/relationships/hyperlink" Target="https://bbml.se/totalrenovering/" TargetMode="External"/><Relationship Id="rId12993" Type="http://schemas.openxmlformats.org/officeDocument/2006/relationships/hyperlink" Target="https://www.nolingo.se/publikens-kraft-hur-stottning-fran-omgivningen-paverkar-prestation/" TargetMode="External"/><Relationship Id="rId957" Type="http://schemas.openxmlformats.org/officeDocument/2006/relationships/hyperlink" Target="https://silentbio.com/dog-socks-fashionable-functional-accessories/" TargetMode="External"/><Relationship Id="rId1587" Type="http://schemas.openxmlformats.org/officeDocument/2006/relationships/hyperlink" Target="http://fairinvestments.se/" TargetMode="External"/><Relationship Id="rId2638" Type="http://schemas.openxmlformats.org/officeDocument/2006/relationships/hyperlink" Target="https://www.bodhi.se/bikarbonat-5-husmorstips-du-behover" TargetMode="External"/><Relationship Id="rId9665" Type="http://schemas.openxmlformats.org/officeDocument/2006/relationships/hyperlink" Target="https://www.bergetsro.se/salja/maklare-sundbyberg/" TargetMode="External"/><Relationship Id="rId11595" Type="http://schemas.openxmlformats.org/officeDocument/2006/relationships/hyperlink" Target="http://sufracofinebrands.com/" TargetMode="External"/><Relationship Id="rId12646" Type="http://schemas.openxmlformats.org/officeDocument/2006/relationships/hyperlink" Target="https://www.saleseffect.se/sa-genererar-relationer-avkastning/" TargetMode="External"/><Relationship Id="rId1654" Type="http://schemas.openxmlformats.org/officeDocument/2006/relationships/hyperlink" Target="https://lemontree.se/tjanster/devops/site-reliability-engineering/" TargetMode="External"/><Relationship Id="rId2705" Type="http://schemas.openxmlformats.org/officeDocument/2006/relationships/hyperlink" Target="https://www.fordonfinans.se/maximera-din-online-casino-upplevelse-sa-har-far-du-mer-for-dina-pengar.html" TargetMode="External"/><Relationship Id="rId4060" Type="http://schemas.openxmlformats.org/officeDocument/2006/relationships/hyperlink" Target="https://www.merinfo.se/foretag/Fair-Investments-Sweden-AB-5568169626/2k3576i-kqah" TargetMode="External"/><Relationship Id="rId5111" Type="http://schemas.openxmlformats.org/officeDocument/2006/relationships/hyperlink" Target="https://www.foyen.se/om-oss/vara-kontor/foyen-i-stockholm/" TargetMode="External"/><Relationship Id="rId8267" Type="http://schemas.openxmlformats.org/officeDocument/2006/relationships/hyperlink" Target="https://moveitmama.se/nar-tvn-hittar-sin-plats-i-vardagskaoset" TargetMode="External"/><Relationship Id="rId8681" Type="http://schemas.openxmlformats.org/officeDocument/2006/relationships/hyperlink" Target="https://husresan.se/professionell-taklaggning-for-bostader-med-fokus-pa-lantbruksbyggnader-och-solenergi/" TargetMode="External"/><Relationship Id="rId9318" Type="http://schemas.openxmlformats.org/officeDocument/2006/relationships/hyperlink" Target="http://cateringfabriken.se/" TargetMode="External"/><Relationship Id="rId9732" Type="http://schemas.openxmlformats.org/officeDocument/2006/relationships/hyperlink" Target="https://mrvegas.com/" TargetMode="External"/><Relationship Id="rId10197" Type="http://schemas.openxmlformats.org/officeDocument/2006/relationships/hyperlink" Target="https://www.ibtimes.co.uk/lessons-that-investors-can-learn-casino-industry-1737490" TargetMode="External"/><Relationship Id="rId11248" Type="http://schemas.openxmlformats.org/officeDocument/2006/relationships/hyperlink" Target="http://dieselkraft.se/" TargetMode="External"/><Relationship Id="rId11662" Type="http://schemas.openxmlformats.org/officeDocument/2006/relationships/hyperlink" Target="http://vontabel.com/" TargetMode="External"/><Relationship Id="rId1307" Type="http://schemas.openxmlformats.org/officeDocument/2006/relationships/hyperlink" Target="https://dailyiowan.com/2023/10/16/alternative-business-lending-a-new-era-of-financing-for-small-enterprises/" TargetMode="External"/><Relationship Id="rId1721" Type="http://schemas.openxmlformats.org/officeDocument/2006/relationships/hyperlink" Target="http://alfa.no/" TargetMode="External"/><Relationship Id="rId4877" Type="http://schemas.openxmlformats.org/officeDocument/2006/relationships/hyperlink" Target="http://kvarnx.com/" TargetMode="External"/><Relationship Id="rId5928" Type="http://schemas.openxmlformats.org/officeDocument/2006/relationships/hyperlink" Target="https://www.kolla.tv/artikel/fran-coolt-till-modernt-hur-e-cigaretter-forandrar-filmens-rokande-karaktarer" TargetMode="External"/><Relationship Id="rId7283" Type="http://schemas.openxmlformats.org/officeDocument/2006/relationships/hyperlink" Target="http://tkw.se/" TargetMode="External"/><Relationship Id="rId8334" Type="http://schemas.openxmlformats.org/officeDocument/2006/relationships/hyperlink" Target="https://www.stockholmsbyggnyheter.se/20250327/6433/9-lyxiga-detaljer-att-spana-efter-nar-du-ska-kopa-bostad" TargetMode="External"/><Relationship Id="rId10264" Type="http://schemas.openxmlformats.org/officeDocument/2006/relationships/hyperlink" Target="https://www.nordicknots.com/us/rugs" TargetMode="External"/><Relationship Id="rId11315" Type="http://schemas.openxmlformats.org/officeDocument/2006/relationships/hyperlink" Target="http://fairinvestments.se/" TargetMode="External"/><Relationship Id="rId12713" Type="http://schemas.openxmlformats.org/officeDocument/2006/relationships/hyperlink" Target="https://sakraror.se/vara-tjanster/allman-service-vvs/vvs-i-taby/" TargetMode="External"/><Relationship Id="rId13" Type="http://schemas.openxmlformats.org/officeDocument/2006/relationships/hyperlink" Target="http://haxan.se/" TargetMode="External"/><Relationship Id="rId3479" Type="http://schemas.openxmlformats.org/officeDocument/2006/relationships/hyperlink" Target="https://skvallra.se/blogg/mode-for-kvinnor-moderna-stilguider-och-trender/" TargetMode="External"/><Relationship Id="rId7350" Type="http://schemas.openxmlformats.org/officeDocument/2006/relationships/hyperlink" Target="http://mynicco.com/" TargetMode="External"/><Relationship Id="rId8401" Type="http://schemas.openxmlformats.org/officeDocument/2006/relationships/hyperlink" Target="https://www.djungeltrumman.se/varstadningsknep-life-hack-edition/" TargetMode="External"/><Relationship Id="rId2495" Type="http://schemas.openxmlformats.org/officeDocument/2006/relationships/hyperlink" Target="https://www.xpublishing.se/sa-sparar-du-till-dina-barn" TargetMode="External"/><Relationship Id="rId3893" Type="http://schemas.openxmlformats.org/officeDocument/2006/relationships/hyperlink" Target="https://restate.se/ombildning-till-bostadsratt/" TargetMode="External"/><Relationship Id="rId4944" Type="http://schemas.openxmlformats.org/officeDocument/2006/relationships/hyperlink" Target="https://englishlush.com/finding-the-best-alternatives-to-tinder-for-a-more-targeted/" TargetMode="External"/><Relationship Id="rId7003" Type="http://schemas.openxmlformats.org/officeDocument/2006/relationships/hyperlink" Target="http://chattanoogarehab.com/" TargetMode="External"/><Relationship Id="rId10331" Type="http://schemas.openxmlformats.org/officeDocument/2006/relationships/hyperlink" Target="https://industrilinjen.se/effektiv-stadning-for-foretag-och-vardinrattningar-i-stockholm/" TargetMode="External"/><Relationship Id="rId12089" Type="http://schemas.openxmlformats.org/officeDocument/2006/relationships/hyperlink" Target="http://schjodt.com/" TargetMode="External"/><Relationship Id="rId467" Type="http://schemas.openxmlformats.org/officeDocument/2006/relationships/hyperlink" Target="https://www.swedoffice.se/" TargetMode="External"/><Relationship Id="rId1097" Type="http://schemas.openxmlformats.org/officeDocument/2006/relationships/hyperlink" Target="http://robomarkets.com/" TargetMode="External"/><Relationship Id="rId2148" Type="http://schemas.openxmlformats.org/officeDocument/2006/relationships/hyperlink" Target="https://www.rightonblog.net/hur-mycket-tanker-du-pa-framtiden" TargetMode="External"/><Relationship Id="rId3546" Type="http://schemas.openxmlformats.org/officeDocument/2006/relationships/hyperlink" Target="http://spelklubben.se/" TargetMode="External"/><Relationship Id="rId3960" Type="http://schemas.openxmlformats.org/officeDocument/2006/relationships/hyperlink" Target="https://luddep.se/sre-vad-ar-det" TargetMode="External"/><Relationship Id="rId9175" Type="http://schemas.openxmlformats.org/officeDocument/2006/relationships/hyperlink" Target="https://katescreativespace.com/go-to-items-for-weekend-walks/" TargetMode="External"/><Relationship Id="rId881" Type="http://schemas.openxmlformats.org/officeDocument/2006/relationships/hyperlink" Target="https://www.saleseffect.se/swedoffice-se-den-ultimata-destinationen-for-kontorets-kontorsmaterialbehov/" TargetMode="External"/><Relationship Id="rId2562" Type="http://schemas.openxmlformats.org/officeDocument/2006/relationships/hyperlink" Target="https://www.utbildningsforetagen.se/2020/11/marcus-lindh-distansinstitutet-2-2/" TargetMode="External"/><Relationship Id="rId3613" Type="http://schemas.openxmlformats.org/officeDocument/2006/relationships/hyperlink" Target="http://m6bygg.se/" TargetMode="External"/><Relationship Id="rId6769" Type="http://schemas.openxmlformats.org/officeDocument/2006/relationships/hyperlink" Target="https://www.aktiekunskap.nu/fonder/aktiefond/" TargetMode="External"/><Relationship Id="rId12156" Type="http://schemas.openxmlformats.org/officeDocument/2006/relationships/hyperlink" Target="https://businessacademy.se/byggande-uppat-en-komplett-guide-till-att-bli-en-framstaende-taklaggare/" TargetMode="External"/><Relationship Id="rId12570" Type="http://schemas.openxmlformats.org/officeDocument/2006/relationships/hyperlink" Target="https://www.veterinarklinikenbirsta.se/" TargetMode="External"/><Relationship Id="rId13207" Type="http://schemas.openxmlformats.org/officeDocument/2006/relationships/hyperlink" Target="http://kungaslottet.se/" TargetMode="External"/><Relationship Id="rId534" Type="http://schemas.openxmlformats.org/officeDocument/2006/relationships/hyperlink" Target="https://chronos.se/diabetes/blodsocker/hba1c" TargetMode="External"/><Relationship Id="rId1164" Type="http://schemas.openxmlformats.org/officeDocument/2006/relationships/hyperlink" Target="http://lemontree.se/" TargetMode="External"/><Relationship Id="rId2215" Type="http://schemas.openxmlformats.org/officeDocument/2006/relationships/hyperlink" Target="https://www.tandea.se/" TargetMode="External"/><Relationship Id="rId5785" Type="http://schemas.openxmlformats.org/officeDocument/2006/relationships/hyperlink" Target="http://lansfast.se/" TargetMode="External"/><Relationship Id="rId6836" Type="http://schemas.openxmlformats.org/officeDocument/2006/relationships/hyperlink" Target="https://www.recyclingnet.se/lb-article/181078/fran-avfall-till-resurs-sa-skapar-svenska-foretag-varde-genom-atervinning-och-cirkular-ekonomi" TargetMode="External"/><Relationship Id="rId8191" Type="http://schemas.openxmlformats.org/officeDocument/2006/relationships/hyperlink" Target="https://beautymama.se/forbattra-ditt-leende-sa-hittar-du-ratt-tandlakare-i-stockholm/" TargetMode="External"/><Relationship Id="rId9242" Type="http://schemas.openxmlformats.org/officeDocument/2006/relationships/hyperlink" Target="https://herrexperten.se/viktigheten-av-att-valja-ratt-reservdelar-till-din-volvo-penta-motor/" TargetMode="External"/><Relationship Id="rId11172" Type="http://schemas.openxmlformats.org/officeDocument/2006/relationships/hyperlink" Target="http://ledkungen.se/" TargetMode="External"/><Relationship Id="rId12223" Type="http://schemas.openxmlformats.org/officeDocument/2006/relationships/hyperlink" Target="https://www.merinfo.se/foretag/Fair-Investments-Sweden-AB-5568169626/2k3576i-kqah" TargetMode="External"/><Relationship Id="rId601" Type="http://schemas.openxmlformats.org/officeDocument/2006/relationships/hyperlink" Target="https://finansassistans.se/darfor-ar-det-viktigt-att-tanka-langsiktigt-nar-det-kommer-till-investeringar/" TargetMode="External"/><Relationship Id="rId1231" Type="http://schemas.openxmlformats.org/officeDocument/2006/relationships/hyperlink" Target="https://cpp-luxury.com/the-most-valuable-luxury-vintage-brands/" TargetMode="External"/><Relationship Id="rId4387" Type="http://schemas.openxmlformats.org/officeDocument/2006/relationships/hyperlink" Target="http://fairinvestments.se/" TargetMode="External"/><Relationship Id="rId5438" Type="http://schemas.openxmlformats.org/officeDocument/2006/relationships/hyperlink" Target="https://goodthingsmagazine.com/business-presents/" TargetMode="External"/><Relationship Id="rId5852" Type="http://schemas.openxmlformats.org/officeDocument/2006/relationships/hyperlink" Target="https://www.startmotor.se/kategori/generatorer" TargetMode="External"/><Relationship Id="rId4454" Type="http://schemas.openxmlformats.org/officeDocument/2006/relationships/hyperlink" Target="https://naturensar.se/en-omfattande-guide-till-juridiska-aspekter-vid-forsaljning-av-bostad/" TargetMode="External"/><Relationship Id="rId5505" Type="http://schemas.openxmlformats.org/officeDocument/2006/relationships/hyperlink" Target="https://www.lifesciencesweden.se/lb-article/180837/trygga-investeringar-for-en-stabil-framtid-hur-du-kan-minska-riskerna-med-ratt-partner" TargetMode="External"/><Relationship Id="rId6903" Type="http://schemas.openxmlformats.org/officeDocument/2006/relationships/hyperlink" Target="https://ng.se/artiklar/trender-inom-mat-och-dryck-for-foretagsevent-i-stockholm" TargetMode="External"/><Relationship Id="rId11989" Type="http://schemas.openxmlformats.org/officeDocument/2006/relationships/hyperlink" Target="https://livsstilsexperten.se/fordelar-med-vaping-ur-ett-livsstilsperspektiv/" TargetMode="External"/><Relationship Id="rId3056" Type="http://schemas.openxmlformats.org/officeDocument/2006/relationships/hyperlink" Target="https://www.totallyorebro.se/uncategorized/tryggvi-din-partner-for-forsakringsjamforelse/" TargetMode="External"/><Relationship Id="rId3470" Type="http://schemas.openxmlformats.org/officeDocument/2006/relationships/hyperlink" Target="http://tandea.se/" TargetMode="External"/><Relationship Id="rId4107" Type="http://schemas.openxmlformats.org/officeDocument/2006/relationships/hyperlink" Target="https://www.allabolag.se/5568169626/bokslut" TargetMode="External"/><Relationship Id="rId13064" Type="http://schemas.openxmlformats.org/officeDocument/2006/relationships/hyperlink" Target="https://www.startmotor.se/batterier/bilbatteri" TargetMode="External"/><Relationship Id="rId391" Type="http://schemas.openxmlformats.org/officeDocument/2006/relationships/hyperlink" Target="https://markets.vontobel.com/sv-se/produkter/leverage/bull-bear-certifikat" TargetMode="External"/><Relationship Id="rId2072" Type="http://schemas.openxmlformats.org/officeDocument/2006/relationships/hyperlink" Target="https://www.bodhi.se/finn-mening-och-nya-mal-karriarsskifte-pa-distans" TargetMode="External"/><Relationship Id="rId3123" Type="http://schemas.openxmlformats.org/officeDocument/2006/relationships/hyperlink" Target="http://tiotak.se/" TargetMode="External"/><Relationship Id="rId4521" Type="http://schemas.openxmlformats.org/officeDocument/2006/relationships/hyperlink" Target="http://tiotak.se/" TargetMode="External"/><Relationship Id="rId6279" Type="http://schemas.openxmlformats.org/officeDocument/2006/relationships/hyperlink" Target="https://nem.health/vo2-max-indikator-for-livslangd-och-kardiovaskular-halsa/" TargetMode="External"/><Relationship Id="rId7677" Type="http://schemas.openxmlformats.org/officeDocument/2006/relationships/hyperlink" Target="https://www.swedoffice.se/kategori/49902-kopieringspapper" TargetMode="External"/><Relationship Id="rId8728" Type="http://schemas.openxmlformats.org/officeDocument/2006/relationships/hyperlink" Target="https://eventeffect.se/trumps-tullpolitik-pressar-sveriges-eventbransch-och-gig-ekonomi/" TargetMode="External"/><Relationship Id="rId10658" Type="http://schemas.openxmlformats.org/officeDocument/2006/relationships/hyperlink" Target="https://www.northtracker.com/korjournal/" TargetMode="External"/><Relationship Id="rId11709" Type="http://schemas.openxmlformats.org/officeDocument/2006/relationships/hyperlink" Target="https://downloadcentral.fi/news/mielenkiintoisia-sijoitusmahdollisuuksia-loppuvuonna-2023/1028" TargetMode="External"/><Relationship Id="rId6693" Type="http://schemas.openxmlformats.org/officeDocument/2006/relationships/hyperlink" Target="http://seniorrabatt.se/" TargetMode="External"/><Relationship Id="rId7744" Type="http://schemas.openxmlformats.org/officeDocument/2006/relationships/hyperlink" Target="https://supernormal.health/pages/medicinsk-viktnedgang" TargetMode="External"/><Relationship Id="rId10725" Type="http://schemas.openxmlformats.org/officeDocument/2006/relationships/hyperlink" Target="https://arctic.se/se/forsakringslosningar/svensksolenergi/" TargetMode="External"/><Relationship Id="rId12080" Type="http://schemas.openxmlformats.org/officeDocument/2006/relationships/hyperlink" Target="http://tiotak.se/" TargetMode="External"/><Relationship Id="rId13131" Type="http://schemas.openxmlformats.org/officeDocument/2006/relationships/hyperlink" Target="http://michaelofrisorerna.se/" TargetMode="External"/><Relationship Id="rId2889" Type="http://schemas.openxmlformats.org/officeDocument/2006/relationships/hyperlink" Target="https://safedollar.fi/digitaalinen-vallankumous-online-kasinolla/" TargetMode="External"/><Relationship Id="rId5295" Type="http://schemas.openxmlformats.org/officeDocument/2006/relationships/hyperlink" Target="https://arctic.se/se/forsakringslosningar/svensksolenergi/" TargetMode="External"/><Relationship Id="rId6346" Type="http://schemas.openxmlformats.org/officeDocument/2006/relationships/hyperlink" Target="https://www.rusta.com/se/sv/fritid/husdjur/hund/hundfoder/" TargetMode="External"/><Relationship Id="rId6760" Type="http://schemas.openxmlformats.org/officeDocument/2006/relationships/hyperlink" Target="https://beautyagenten.se/skonhet-och-sjalvfortroende-sa-har-kan-tandimplantat-forandra-ditt-leende/" TargetMode="External"/><Relationship Id="rId7811" Type="http://schemas.openxmlformats.org/officeDocument/2006/relationships/hyperlink" Target="https://www.nordiskaprojekt.se/2025/02/24/hur-investerare-kan-dra-nytta-av-nordens-grona-projekt/" TargetMode="External"/><Relationship Id="rId12897" Type="http://schemas.openxmlformats.org/officeDocument/2006/relationships/hyperlink" Target="https://www.epidemicsound.com/music/" TargetMode="External"/><Relationship Id="rId111" Type="http://schemas.openxmlformats.org/officeDocument/2006/relationships/hyperlink" Target="https://chronos.se/diabetes/blodsocker" TargetMode="External"/><Relationship Id="rId2956" Type="http://schemas.openxmlformats.org/officeDocument/2006/relationships/hyperlink" Target="http://spelklubben.se/" TargetMode="External"/><Relationship Id="rId5362" Type="http://schemas.openxmlformats.org/officeDocument/2006/relationships/hyperlink" Target="https://www.inmygarden.se/" TargetMode="External"/><Relationship Id="rId6413" Type="http://schemas.openxmlformats.org/officeDocument/2006/relationships/hyperlink" Target="https://borsbolag.se/kreditbedomningars-paverkan-pa-borsnoterade-foretags-aktiekurser/" TargetMode="External"/><Relationship Id="rId9569" Type="http://schemas.openxmlformats.org/officeDocument/2006/relationships/hyperlink" Target="http://upplevelse.com/" TargetMode="External"/><Relationship Id="rId9983" Type="http://schemas.openxmlformats.org/officeDocument/2006/relationships/hyperlink" Target="https://technobark.com/best-gps-dog-fences/" TargetMode="External"/><Relationship Id="rId11499" Type="http://schemas.openxmlformats.org/officeDocument/2006/relationships/hyperlink" Target="http://robomarkets.com/" TargetMode="External"/><Relationship Id="rId928" Type="http://schemas.openxmlformats.org/officeDocument/2006/relationships/hyperlink" Target="http://happysocks.com/" TargetMode="External"/><Relationship Id="rId1558" Type="http://schemas.openxmlformats.org/officeDocument/2006/relationships/hyperlink" Target="http://haxan.se/" TargetMode="External"/><Relationship Id="rId2609" Type="http://schemas.openxmlformats.org/officeDocument/2006/relationships/hyperlink" Target="http://fairinvestments.se/" TargetMode="External"/><Relationship Id="rId5015" Type="http://schemas.openxmlformats.org/officeDocument/2006/relationships/hyperlink" Target="https://www.dagenshandel.se/lb-article/180745/bokbranschens-nya-vag-sma-forlag-banar-vag-for-forandring" TargetMode="External"/><Relationship Id="rId8585" Type="http://schemas.openxmlformats.org/officeDocument/2006/relationships/hyperlink" Target="http://spelklubben.se/" TargetMode="External"/><Relationship Id="rId9636" Type="http://schemas.openxmlformats.org/officeDocument/2006/relationships/hyperlink" Target="https://pontechmarina.com/se/" TargetMode="External"/><Relationship Id="rId12964" Type="http://schemas.openxmlformats.org/officeDocument/2006/relationships/hyperlink" Target="http://megariches.com/" TargetMode="External"/><Relationship Id="rId1972" Type="http://schemas.openxmlformats.org/officeDocument/2006/relationships/hyperlink" Target="http://bigbenstandup.com/" TargetMode="External"/><Relationship Id="rId4031" Type="http://schemas.openxmlformats.org/officeDocument/2006/relationships/hyperlink" Target="https://kelleher-international.com/" TargetMode="External"/><Relationship Id="rId7187" Type="http://schemas.openxmlformats.org/officeDocument/2006/relationships/hyperlink" Target="http://hund.se/" TargetMode="External"/><Relationship Id="rId8238" Type="http://schemas.openxmlformats.org/officeDocument/2006/relationships/hyperlink" Target="https://svenskiptv.com/smart-tv-instruktioner/" TargetMode="External"/><Relationship Id="rId10168" Type="http://schemas.openxmlformats.org/officeDocument/2006/relationships/hyperlink" Target="https://www.megariches.com/sv/welcome-bonus/" TargetMode="External"/><Relationship Id="rId11566" Type="http://schemas.openxmlformats.org/officeDocument/2006/relationships/hyperlink" Target="https://sipski.se/" TargetMode="External"/><Relationship Id="rId11980" Type="http://schemas.openxmlformats.org/officeDocument/2006/relationships/hyperlink" Target="https://www.ossn.se/2023/09/27/avancerade-investeringstips-for-erfarna-investerare/" TargetMode="External"/><Relationship Id="rId12617" Type="http://schemas.openxmlformats.org/officeDocument/2006/relationships/hyperlink" Target="http://distansinstitutet.se/" TargetMode="External"/><Relationship Id="rId1625" Type="http://schemas.openxmlformats.org/officeDocument/2006/relationships/hyperlink" Target="https://northernskymag.com/starting-a-medical-business-in-five-steps/" TargetMode="External"/><Relationship Id="rId7254" Type="http://schemas.openxmlformats.org/officeDocument/2006/relationships/hyperlink" Target="https://sosugary.com/why-foam-rolling-is-the-key-to-a-healthier-stronger-you/" TargetMode="External"/><Relationship Id="rId8305" Type="http://schemas.openxmlformats.org/officeDocument/2006/relationships/hyperlink" Target="https://casinoexpo.se/casino/spelklubben/" TargetMode="External"/><Relationship Id="rId8652" Type="http://schemas.openxmlformats.org/officeDocument/2006/relationships/hyperlink" Target="https://www.rusta.com/se/sv/fritid/husdjur/hund/hundfoder/" TargetMode="External"/><Relationship Id="rId9703" Type="http://schemas.openxmlformats.org/officeDocument/2006/relationships/hyperlink" Target="https://www.4him4her.com/sv-se" TargetMode="External"/><Relationship Id="rId10582" Type="http://schemas.openxmlformats.org/officeDocument/2006/relationships/hyperlink" Target="http://myownwater.com/" TargetMode="External"/><Relationship Id="rId11219" Type="http://schemas.openxmlformats.org/officeDocument/2006/relationships/hyperlink" Target="http://chronos.se/" TargetMode="External"/><Relationship Id="rId11633" Type="http://schemas.openxmlformats.org/officeDocument/2006/relationships/hyperlink" Target="https://markets.vontobel.com/sv-se/produkter/leverage/knock-out-warrant-open-end" TargetMode="External"/><Relationship Id="rId3797" Type="http://schemas.openxmlformats.org/officeDocument/2006/relationships/hyperlink" Target="http://mariatand.se/" TargetMode="External"/><Relationship Id="rId4848" Type="http://schemas.openxmlformats.org/officeDocument/2006/relationships/hyperlink" Target="https://www.cherry.com/sv/casino/slots" TargetMode="External"/><Relationship Id="rId10235" Type="http://schemas.openxmlformats.org/officeDocument/2006/relationships/hyperlink" Target="http://lilla-varlden.se/" TargetMode="External"/><Relationship Id="rId11700" Type="http://schemas.openxmlformats.org/officeDocument/2006/relationships/hyperlink" Target="https://nordea-osake.fi/mielenkiintoisia-sijoitusmahdollisuuksia-osakkeiden-ja-rahastojen-lisaksi/" TargetMode="External"/><Relationship Id="rId2399" Type="http://schemas.openxmlformats.org/officeDocument/2006/relationships/hyperlink" Target="http://e-ciggbolaget.se/" TargetMode="External"/><Relationship Id="rId3864" Type="http://schemas.openxmlformats.org/officeDocument/2006/relationships/hyperlink" Target="https://www.spelklubben.se/sv/live-casino" TargetMode="External"/><Relationship Id="rId4915" Type="http://schemas.openxmlformats.org/officeDocument/2006/relationships/hyperlink" Target="https://www.spelklubben.se/sv/live-casino/roulette" TargetMode="External"/><Relationship Id="rId6270" Type="http://schemas.openxmlformats.org/officeDocument/2006/relationships/hyperlink" Target="https://www.joureliten.se/jour-rormokare/" TargetMode="External"/><Relationship Id="rId7321" Type="http://schemas.openxmlformats.org/officeDocument/2006/relationships/hyperlink" Target="http://sakraror.se/" TargetMode="External"/><Relationship Id="rId10302" Type="http://schemas.openxmlformats.org/officeDocument/2006/relationships/hyperlink" Target="https://tryggbil.se/" TargetMode="External"/><Relationship Id="rId785" Type="http://schemas.openxmlformats.org/officeDocument/2006/relationships/hyperlink" Target="https://www.fluxmagazine.com/trends-to-follow-replace-your-whole-wardrobe/" TargetMode="External"/><Relationship Id="rId2466" Type="http://schemas.openxmlformats.org/officeDocument/2006/relationships/hyperlink" Target="http://e-ciggbolaget.se/" TargetMode="External"/><Relationship Id="rId2880" Type="http://schemas.openxmlformats.org/officeDocument/2006/relationships/hyperlink" Target="https://www.lyckansapple.se/panther-bar-en-djarv-nykomling/" TargetMode="External"/><Relationship Id="rId3517" Type="http://schemas.openxmlformats.org/officeDocument/2006/relationships/hyperlink" Target="https://varmlandsbygden.se/partner/fairinvestments-en-djupdykning-i-den-vinnande-investeringsfilosofin/" TargetMode="External"/><Relationship Id="rId3931" Type="http://schemas.openxmlformats.org/officeDocument/2006/relationships/hyperlink" Target="https://www.rambollnatura.se/vad-ar-vitt-snus" TargetMode="External"/><Relationship Id="rId9079" Type="http://schemas.openxmlformats.org/officeDocument/2006/relationships/hyperlink" Target="http://oddsmatcher.se/" TargetMode="External"/><Relationship Id="rId9493" Type="http://schemas.openxmlformats.org/officeDocument/2006/relationships/hyperlink" Target="http://willabgarden.de/" TargetMode="External"/><Relationship Id="rId12474" Type="http://schemas.openxmlformats.org/officeDocument/2006/relationships/hyperlink" Target="http://fairinvestments.se/" TargetMode="External"/><Relationship Id="rId438" Type="http://schemas.openxmlformats.org/officeDocument/2006/relationships/hyperlink" Target="http://happysocks.com/" TargetMode="External"/><Relationship Id="rId852" Type="http://schemas.openxmlformats.org/officeDocument/2006/relationships/hyperlink" Target="https://frederiksbergliv.dk/annoncorbetaltindhold/kredit-vaerdier-og-sikkerhed-det-skal-i-overveje-inden-jeres-virksomhed-indgaar-et-samarbejde" TargetMode="External"/><Relationship Id="rId1068" Type="http://schemas.openxmlformats.org/officeDocument/2006/relationships/hyperlink" Target="http://happysocks.com/" TargetMode="External"/><Relationship Id="rId1482" Type="http://schemas.openxmlformats.org/officeDocument/2006/relationships/hyperlink" Target="http://alfa.no/" TargetMode="External"/><Relationship Id="rId2119" Type="http://schemas.openxmlformats.org/officeDocument/2006/relationships/hyperlink" Target="https://www.foyen.se/om-oss/vara-kontor/foyen-i-stockholm/" TargetMode="External"/><Relationship Id="rId2533" Type="http://schemas.openxmlformats.org/officeDocument/2006/relationships/hyperlink" Target="http://pontechmarina.com/" TargetMode="External"/><Relationship Id="rId5689" Type="http://schemas.openxmlformats.org/officeDocument/2006/relationships/hyperlink" Target="https://www.cherry.com/sv/casino" TargetMode="External"/><Relationship Id="rId8095" Type="http://schemas.openxmlformats.org/officeDocument/2006/relationships/hyperlink" Target="https://www.partilletidning.se/native/7-anledningar-att-bo-i-partille-eller-en-guide-for-dig-som-ar-nyinflyttad.91a1b547-ff4b-4aa5-bd5e-29771328b531" TargetMode="External"/><Relationship Id="rId9146" Type="http://schemas.openxmlformats.org/officeDocument/2006/relationships/hyperlink" Target="https://www.myownwater.com/" TargetMode="External"/><Relationship Id="rId9560" Type="http://schemas.openxmlformats.org/officeDocument/2006/relationships/hyperlink" Target="http://hund.se/" TargetMode="External"/><Relationship Id="rId11076" Type="http://schemas.openxmlformats.org/officeDocument/2006/relationships/hyperlink" Target="https://kulturbloggen.com/?p=196874" TargetMode="External"/><Relationship Id="rId12127" Type="http://schemas.openxmlformats.org/officeDocument/2006/relationships/hyperlink" Target="http://www.vont.co/" TargetMode="External"/><Relationship Id="rId505" Type="http://schemas.openxmlformats.org/officeDocument/2006/relationships/hyperlink" Target="https://openinfo.se/kom-tillbaka-till-traningen-efter-en-skada/" TargetMode="External"/><Relationship Id="rId1135" Type="http://schemas.openxmlformats.org/officeDocument/2006/relationships/hyperlink" Target="https://blugiallo.com/tailored/overcoat-wool-dark-brown/" TargetMode="External"/><Relationship Id="rId8162" Type="http://schemas.openxmlformats.org/officeDocument/2006/relationships/hyperlink" Target="https://supernormal.health/se/" TargetMode="External"/><Relationship Id="rId9213" Type="http://schemas.openxmlformats.org/officeDocument/2006/relationships/hyperlink" Target="http://lansfast.se/" TargetMode="External"/><Relationship Id="rId10092" Type="http://schemas.openxmlformats.org/officeDocument/2006/relationships/hyperlink" Target="https://www.nordiskaprojekt.se/2025/06/29/den-nordiska-skogsindustrin-rotter-i-naturen-kraft-i-vardagen/" TargetMode="External"/><Relationship Id="rId11143" Type="http://schemas.openxmlformats.org/officeDocument/2006/relationships/hyperlink" Target="https://haxan.se/products/haxan-silverputs" TargetMode="External"/><Relationship Id="rId11490" Type="http://schemas.openxmlformats.org/officeDocument/2006/relationships/hyperlink" Target="http://robomarkets.com/" TargetMode="External"/><Relationship Id="rId12541" Type="http://schemas.openxmlformats.org/officeDocument/2006/relationships/hyperlink" Target="https://www.alexbyggkonsult.se/" TargetMode="External"/><Relationship Id="rId1202" Type="http://schemas.openxmlformats.org/officeDocument/2006/relationships/hyperlink" Target="https://vattenreningssystem.se/flytbryggor-och-dess-mojlighet-till-nya-infrastruktursmojligheter/" TargetMode="External"/><Relationship Id="rId2600" Type="http://schemas.openxmlformats.org/officeDocument/2006/relationships/hyperlink" Target="http://fairinvestments.se/" TargetMode="External"/><Relationship Id="rId4358" Type="http://schemas.openxmlformats.org/officeDocument/2006/relationships/hyperlink" Target="https://www.spelklubben.se/sv/" TargetMode="External"/><Relationship Id="rId5409" Type="http://schemas.openxmlformats.org/officeDocument/2006/relationships/hyperlink" Target="https://moveitmama.se/" TargetMode="External"/><Relationship Id="rId5756" Type="http://schemas.openxmlformats.org/officeDocument/2006/relationships/hyperlink" Target="http://nodepositbonus.cc/" TargetMode="External"/><Relationship Id="rId6807" Type="http://schemas.openxmlformats.org/officeDocument/2006/relationships/hyperlink" Target="http://hund.se/" TargetMode="External"/><Relationship Id="rId4772" Type="http://schemas.openxmlformats.org/officeDocument/2006/relationships/hyperlink" Target="https://www.nordiskaprojekt.se/2024/07/25/framtidens-energilosningar-hur-innovationer-driver-hallbarhet/" TargetMode="External"/><Relationship Id="rId5823" Type="http://schemas.openxmlformats.org/officeDocument/2006/relationships/hyperlink" Target="https://www.joureliten.se/jour-rormokare/" TargetMode="External"/><Relationship Id="rId8979" Type="http://schemas.openxmlformats.org/officeDocument/2006/relationships/hyperlink" Target="https://nordicknots.com/us/rugs" TargetMode="External"/><Relationship Id="rId11210" Type="http://schemas.openxmlformats.org/officeDocument/2006/relationships/hyperlink" Target="https://blugiallo.com/" TargetMode="External"/><Relationship Id="rId295" Type="http://schemas.openxmlformats.org/officeDocument/2006/relationships/hyperlink" Target="https://fashionablefit.net/" TargetMode="External"/><Relationship Id="rId3374" Type="http://schemas.openxmlformats.org/officeDocument/2006/relationships/hyperlink" Target="https://dejtingcoachen.se/spelklubben-det-nya-svenska-onlinecasinot-med-autentisk-casinokansla/" TargetMode="External"/><Relationship Id="rId4425" Type="http://schemas.openxmlformats.org/officeDocument/2006/relationships/hyperlink" Target="http://www.kelleher-international.com/" TargetMode="External"/><Relationship Id="rId7995" Type="http://schemas.openxmlformats.org/officeDocument/2006/relationships/hyperlink" Target="http://chattanoogarehab.com/" TargetMode="External"/><Relationship Id="rId10976" Type="http://schemas.openxmlformats.org/officeDocument/2006/relationships/hyperlink" Target="https://www.cybaero.se/geofencing-signaler-och-en-trygg-vardag/" TargetMode="External"/><Relationship Id="rId2390" Type="http://schemas.openxmlformats.org/officeDocument/2006/relationships/hyperlink" Target="http://schjodt.com/" TargetMode="External"/><Relationship Id="rId3027" Type="http://schemas.openxmlformats.org/officeDocument/2006/relationships/hyperlink" Target="https://www.spelklubben.se/sv/casino" TargetMode="External"/><Relationship Id="rId3441" Type="http://schemas.openxmlformats.org/officeDocument/2006/relationships/hyperlink" Target="https://tommytappar.se/upptack-mangfalden-av-lagenheter-bostader-hos-alvtorpet-i-solleftea/" TargetMode="External"/><Relationship Id="rId6597" Type="http://schemas.openxmlformats.org/officeDocument/2006/relationships/hyperlink" Target="https://www.spelklubben.se/sv/betting" TargetMode="External"/><Relationship Id="rId7648" Type="http://schemas.openxmlformats.org/officeDocument/2006/relationships/hyperlink" Target="http://hund.se/" TargetMode="External"/><Relationship Id="rId10629" Type="http://schemas.openxmlformats.org/officeDocument/2006/relationships/hyperlink" Target="https://www.mrvegas.com/mobile/free-spins/" TargetMode="External"/><Relationship Id="rId13035" Type="http://schemas.openxmlformats.org/officeDocument/2006/relationships/hyperlink" Target="https://www.svenskbyggtidning.se/2025/10/01/amerikansk-arkitektur-i-svenska-stader-las-vegas-chicago-och-new-york-som-inspirationskallor/" TargetMode="External"/><Relationship Id="rId362" Type="http://schemas.openxmlformats.org/officeDocument/2006/relationships/hyperlink" Target="https://tidskriftenskeppet.se/piffa-upp-hemmakontoret-med-dessa-5-tips/" TargetMode="External"/><Relationship Id="rId2043" Type="http://schemas.openxmlformats.org/officeDocument/2006/relationships/hyperlink" Target="https://www.panhardklubben.se/" TargetMode="External"/><Relationship Id="rId5199" Type="http://schemas.openxmlformats.org/officeDocument/2006/relationships/hyperlink" Target="http://alfa.no/" TargetMode="External"/><Relationship Id="rId6664" Type="http://schemas.openxmlformats.org/officeDocument/2006/relationships/hyperlink" Target="https://www.mariatand.se/" TargetMode="External"/><Relationship Id="rId7715" Type="http://schemas.openxmlformats.org/officeDocument/2006/relationships/hyperlink" Target="https://bolagsekonomen.se/sakerhetslosningar-for-foretag-hur-bevakning-och-teknik-kan-skapa-trygghet/" TargetMode="External"/><Relationship Id="rId9070" Type="http://schemas.openxmlformats.org/officeDocument/2006/relationships/hyperlink" Target="https://www.orderhero.se/hur-mycket-ater-fotbollsspelare/" TargetMode="External"/><Relationship Id="rId12051" Type="http://schemas.openxmlformats.org/officeDocument/2006/relationships/hyperlink" Target="https://ledarsidorna.se/investeringssparkonto-isk-ochaktier-en-djupdykning-ilangsiktiga-investeringar/" TargetMode="External"/><Relationship Id="rId13102" Type="http://schemas.openxmlformats.org/officeDocument/2006/relationships/hyperlink" Target="http://nordicknots.com/" TargetMode="External"/><Relationship Id="rId2110" Type="http://schemas.openxmlformats.org/officeDocument/2006/relationships/hyperlink" Target="https://ritty.se/hyr-kassa/" TargetMode="External"/><Relationship Id="rId5266" Type="http://schemas.openxmlformats.org/officeDocument/2006/relationships/hyperlink" Target="http://pricecarz.com/" TargetMode="External"/><Relationship Id="rId5680" Type="http://schemas.openxmlformats.org/officeDocument/2006/relationships/hyperlink" Target="https://www.inredningsnyheter.se/20241001/19845/inred-ditt-hem-med-stil-pa-en-begransad-budget-utan-att-kompromissa-med-kvaliteten" TargetMode="External"/><Relationship Id="rId6317" Type="http://schemas.openxmlformats.org/officeDocument/2006/relationships/hyperlink" Target="http://swedenlongstay.se/" TargetMode="External"/><Relationship Id="rId9887" Type="http://schemas.openxmlformats.org/officeDocument/2006/relationships/hyperlink" Target="https://yourgild.com/" TargetMode="External"/><Relationship Id="rId4282" Type="http://schemas.openxmlformats.org/officeDocument/2006/relationships/hyperlink" Target="http://mariatand.se/" TargetMode="External"/><Relationship Id="rId5333" Type="http://schemas.openxmlformats.org/officeDocument/2006/relationships/hyperlink" Target="https://www.kvarnx.com/sv/kryptovalutor" TargetMode="External"/><Relationship Id="rId6731" Type="http://schemas.openxmlformats.org/officeDocument/2006/relationships/hyperlink" Target="http://skidvalla.se/" TargetMode="External"/><Relationship Id="rId8489" Type="http://schemas.openxmlformats.org/officeDocument/2006/relationships/hyperlink" Target="https://himala.ai/" TargetMode="External"/><Relationship Id="rId12868" Type="http://schemas.openxmlformats.org/officeDocument/2006/relationships/hyperlink" Target="https://www.africanbusinessreview.co.za/smart-pet-tech-an-emerging-market-opportunity/" TargetMode="External"/><Relationship Id="rId1876" Type="http://schemas.openxmlformats.org/officeDocument/2006/relationships/hyperlink" Target="https://varmlandsbygden.se/partner/att-forsta-smartor-i-knat-och-instabila-knaleder/" TargetMode="External"/><Relationship Id="rId2927" Type="http://schemas.openxmlformats.org/officeDocument/2006/relationships/hyperlink" Target="http://glitnor.com/" TargetMode="External"/><Relationship Id="rId9954" Type="http://schemas.openxmlformats.org/officeDocument/2006/relationships/hyperlink" Target="https://diginyt.fi/lainaa-fiksummin-nain-loydat-juuri-sinulle-parhaan-lainan/" TargetMode="External"/><Relationship Id="rId11884" Type="http://schemas.openxmlformats.org/officeDocument/2006/relationships/hyperlink" Target="https://www.byggsmaland.se/2023/09/25/marin-innovation-och-framtiden-for-flytbryggor/" TargetMode="External"/><Relationship Id="rId12935" Type="http://schemas.openxmlformats.org/officeDocument/2006/relationships/hyperlink" Target="https://villalivet.se/allmant/gammal-idyll-gor-comeback-2025/" TargetMode="External"/><Relationship Id="rId1529" Type="http://schemas.openxmlformats.org/officeDocument/2006/relationships/hyperlink" Target="https://textiledetails.com/learn-more-about-sock-fabrics/" TargetMode="External"/><Relationship Id="rId1943" Type="http://schemas.openxmlformats.org/officeDocument/2006/relationships/hyperlink" Target="http://notyfile.se/sv" TargetMode="External"/><Relationship Id="rId5400" Type="http://schemas.openxmlformats.org/officeDocument/2006/relationships/hyperlink" Target="http://tandea.se/" TargetMode="External"/><Relationship Id="rId8556" Type="http://schemas.openxmlformats.org/officeDocument/2006/relationships/hyperlink" Target="https://whatstrending.com/healthier-alternatives-quick-swaps-for-a-better-lifestyle/" TargetMode="External"/><Relationship Id="rId8970" Type="http://schemas.openxmlformats.org/officeDocument/2006/relationships/hyperlink" Target="http://rusta.com/sv-se/hem-och-inredning/mattor" TargetMode="External"/><Relationship Id="rId9607" Type="http://schemas.openxmlformats.org/officeDocument/2006/relationships/hyperlink" Target="https://foraldraguiden.se/tandvardsradsla-hos-barn-och-hur-du-som-foralder-hjalper-till/" TargetMode="External"/><Relationship Id="rId10486" Type="http://schemas.openxmlformats.org/officeDocument/2006/relationships/hyperlink" Target="https://www.sesec.se/" TargetMode="External"/><Relationship Id="rId11537" Type="http://schemas.openxmlformats.org/officeDocument/2006/relationships/hyperlink" Target="http://havstomt.se/" TargetMode="External"/><Relationship Id="rId11951" Type="http://schemas.openxmlformats.org/officeDocument/2006/relationships/hyperlink" Target="https://www.olagillgren.se/2023/09/27/minireningsverk-en-losningsorienterad-ansats-for-avloppsrening/" TargetMode="External"/><Relationship Id="rId4002" Type="http://schemas.openxmlformats.org/officeDocument/2006/relationships/hyperlink" Target="https://seniorrabatt.se/" TargetMode="External"/><Relationship Id="rId7158" Type="http://schemas.openxmlformats.org/officeDocument/2006/relationships/hyperlink" Target="https://nem.health/vo2-max-indikator-for-livslangd-och-kardiovaskular-halsa/" TargetMode="External"/><Relationship Id="rId7572" Type="http://schemas.openxmlformats.org/officeDocument/2006/relationships/hyperlink" Target="https://eventeffect.se/bor-du-anlita-en-totalentreprenad-har-ar-nagra-skal-att-overvaga-det/" TargetMode="External"/><Relationship Id="rId8209" Type="http://schemas.openxmlformats.org/officeDocument/2006/relationships/hyperlink" Target="https://www.lilla-varlden.se/" TargetMode="External"/><Relationship Id="rId8623" Type="http://schemas.openxmlformats.org/officeDocument/2006/relationships/hyperlink" Target="https://industrilinjen.se/maximera-avkastningen-med-skraddarsydda-investeringslosningar/" TargetMode="External"/><Relationship Id="rId10139" Type="http://schemas.openxmlformats.org/officeDocument/2006/relationships/hyperlink" Target="http://kleer.se/" TargetMode="External"/><Relationship Id="rId10553" Type="http://schemas.openxmlformats.org/officeDocument/2006/relationships/hyperlink" Target="https://www.northtracker.com/" TargetMode="External"/><Relationship Id="rId11604" Type="http://schemas.openxmlformats.org/officeDocument/2006/relationships/hyperlink" Target="https://eventeffect.se/tiotak-forvandla-taktjanster-med-spetskompetens-och-expertis/" TargetMode="External"/><Relationship Id="rId3768" Type="http://schemas.openxmlformats.org/officeDocument/2006/relationships/hyperlink" Target="http://rosapensionat.se/" TargetMode="External"/><Relationship Id="rId4819" Type="http://schemas.openxmlformats.org/officeDocument/2006/relationships/hyperlink" Target="https://bigbenstandup.com/svensk-stand-up/svenska-komiker/tomas-bonderud" TargetMode="External"/><Relationship Id="rId6174" Type="http://schemas.openxmlformats.org/officeDocument/2006/relationships/hyperlink" Target="http://aretrotale.com/" TargetMode="External"/><Relationship Id="rId7225" Type="http://schemas.openxmlformats.org/officeDocument/2006/relationships/hyperlink" Target="http://svenskiptv.com/" TargetMode="External"/><Relationship Id="rId10206" Type="http://schemas.openxmlformats.org/officeDocument/2006/relationships/hyperlink" Target="http://joinstriveon.com/" TargetMode="External"/><Relationship Id="rId689" Type="http://schemas.openxmlformats.org/officeDocument/2006/relationships/hyperlink" Target="https://bossingsbilservice.se/" TargetMode="External"/><Relationship Id="rId2784" Type="http://schemas.openxmlformats.org/officeDocument/2006/relationships/hyperlink" Target="http://spelklubben.se/" TargetMode="External"/><Relationship Id="rId5190" Type="http://schemas.openxmlformats.org/officeDocument/2006/relationships/hyperlink" Target="https://www.swr-motorsport.se/" TargetMode="External"/><Relationship Id="rId6241" Type="http://schemas.openxmlformats.org/officeDocument/2006/relationships/hyperlink" Target="https://www.swedoffice.se/kategori/49902-kopieringspapper" TargetMode="External"/><Relationship Id="rId9397" Type="http://schemas.openxmlformats.org/officeDocument/2006/relationships/hyperlink" Target="http://nettotobak.com/" TargetMode="External"/><Relationship Id="rId10620" Type="http://schemas.openxmlformats.org/officeDocument/2006/relationships/hyperlink" Target="https://www.mrvegas.com/" TargetMode="External"/><Relationship Id="rId12378" Type="http://schemas.openxmlformats.org/officeDocument/2006/relationships/hyperlink" Target="https://www.lansfast.se/maklare/sodermanland/trosa/" TargetMode="External"/><Relationship Id="rId756" Type="http://schemas.openxmlformats.org/officeDocument/2006/relationships/hyperlink" Target="https://www.villarelining.se/" TargetMode="External"/><Relationship Id="rId1386" Type="http://schemas.openxmlformats.org/officeDocument/2006/relationships/hyperlink" Target="http://aretrotale.com/" TargetMode="External"/><Relationship Id="rId2437" Type="http://schemas.openxmlformats.org/officeDocument/2006/relationships/hyperlink" Target="https://alfa.no/collections/fritidssko-til-dame" TargetMode="External"/><Relationship Id="rId3835" Type="http://schemas.openxmlformats.org/officeDocument/2006/relationships/hyperlink" Target="https://borsbolag.se/nikotinets-roll-i-affarsvarlden/" TargetMode="External"/><Relationship Id="rId9464" Type="http://schemas.openxmlformats.org/officeDocument/2006/relationships/hyperlink" Target="http://kleer.se/" TargetMode="External"/><Relationship Id="rId12792" Type="http://schemas.openxmlformats.org/officeDocument/2006/relationships/hyperlink" Target="https://influencereffect.se/skala-foretaget-med-kelvin-valj-ratt-ljus-for-att-bygga-ditt-varumarke/" TargetMode="External"/><Relationship Id="rId409" Type="http://schemas.openxmlformats.org/officeDocument/2006/relationships/hyperlink" Target="http://elmarknad.se/" TargetMode="External"/><Relationship Id="rId1039" Type="http://schemas.openxmlformats.org/officeDocument/2006/relationships/hyperlink" Target="https://www.newsanyway.com/2023/07/20/the-art-of-sock-pairing-creating-stylish-combinations/" TargetMode="External"/><Relationship Id="rId2851" Type="http://schemas.openxmlformats.org/officeDocument/2006/relationships/hyperlink" Target="https://happycasino.se/casino" TargetMode="External"/><Relationship Id="rId3902" Type="http://schemas.openxmlformats.org/officeDocument/2006/relationships/hyperlink" Target="https://www.smileproduktionsbyra.se/" TargetMode="External"/><Relationship Id="rId8066" Type="http://schemas.openxmlformats.org/officeDocument/2006/relationships/hyperlink" Target="https://valkomnahem.se/sa-snusar-du-med-stil/" TargetMode="External"/><Relationship Id="rId9117" Type="http://schemas.openxmlformats.org/officeDocument/2006/relationships/hyperlink" Target="https://yourgild.com/insurance" TargetMode="External"/><Relationship Id="rId11394" Type="http://schemas.openxmlformats.org/officeDocument/2006/relationships/hyperlink" Target="https://haxan.se/" TargetMode="External"/><Relationship Id="rId12445" Type="http://schemas.openxmlformats.org/officeDocument/2006/relationships/hyperlink" Target="https://www.saleseffect.se/fair-investments-for-en-rattvis-kapitalforvaltning/" TargetMode="External"/><Relationship Id="rId92" Type="http://schemas.openxmlformats.org/officeDocument/2006/relationships/hyperlink" Target="http://ljusgrossisten.se/" TargetMode="External"/><Relationship Id="rId823" Type="http://schemas.openxmlformats.org/officeDocument/2006/relationships/hyperlink" Target="http://rehabgrossisten.com/" TargetMode="External"/><Relationship Id="rId1453" Type="http://schemas.openxmlformats.org/officeDocument/2006/relationships/hyperlink" Target="http://www.alfa.no/" TargetMode="External"/><Relationship Id="rId2504" Type="http://schemas.openxmlformats.org/officeDocument/2006/relationships/hyperlink" Target="https://www.rambollnatura.se/" TargetMode="External"/><Relationship Id="rId7082" Type="http://schemas.openxmlformats.org/officeDocument/2006/relationships/hyperlink" Target="https://www.polteknik.se/svensk-iptv-framtidens-tv-tittande" TargetMode="External"/><Relationship Id="rId8480" Type="http://schemas.openxmlformats.org/officeDocument/2006/relationships/hyperlink" Target="http://bethard.com/sv/sports" TargetMode="External"/><Relationship Id="rId9531" Type="http://schemas.openxmlformats.org/officeDocument/2006/relationships/hyperlink" Target="http://maklarringen.se/" TargetMode="External"/><Relationship Id="rId11047" Type="http://schemas.openxmlformats.org/officeDocument/2006/relationships/hyperlink" Target="https://www.kvarnx.com/bitcoin" TargetMode="External"/><Relationship Id="rId11461" Type="http://schemas.openxmlformats.org/officeDocument/2006/relationships/hyperlink" Target="https://modernalivet.se/hem-bostad/vikten-av-en-god-belysning-i-ditt-hem/" TargetMode="External"/><Relationship Id="rId12512" Type="http://schemas.openxmlformats.org/officeDocument/2006/relationships/hyperlink" Target="https://www.di.se/brandstudio/fair-investments/fair-investments-vi-tar-bara-betalt-for-verkliga-resultat-det-tjanar-alla-pa/" TargetMode="External"/><Relationship Id="rId1106" Type="http://schemas.openxmlformats.org/officeDocument/2006/relationships/hyperlink" Target="http://foyen.se/" TargetMode="External"/><Relationship Id="rId1520" Type="http://schemas.openxmlformats.org/officeDocument/2006/relationships/hyperlink" Target="http://happysocks.com/" TargetMode="External"/><Relationship Id="rId4676" Type="http://schemas.openxmlformats.org/officeDocument/2006/relationships/hyperlink" Target="https://www.totallystockholm.se/hitta-balansen-i-vardagen-moderna-livsstilsval/" TargetMode="External"/><Relationship Id="rId5727" Type="http://schemas.openxmlformats.org/officeDocument/2006/relationships/hyperlink" Target="http://kvarnx.com/" TargetMode="External"/><Relationship Id="rId8133" Type="http://schemas.openxmlformats.org/officeDocument/2006/relationships/hyperlink" Target="http://lansfast.se/" TargetMode="External"/><Relationship Id="rId10063" Type="http://schemas.openxmlformats.org/officeDocument/2006/relationships/hyperlink" Target="https://www.ihus.nu/vaxter-som-alskar-ditt-fonster-och-de-som-trivs-i-badrummet/" TargetMode="External"/><Relationship Id="rId11114" Type="http://schemas.openxmlformats.org/officeDocument/2006/relationships/hyperlink" Target="https://www.megariches.com/sv/jackpots/" TargetMode="External"/><Relationship Id="rId3278" Type="http://schemas.openxmlformats.org/officeDocument/2006/relationships/hyperlink" Target="http://spelklubben.se/" TargetMode="External"/><Relationship Id="rId3692" Type="http://schemas.openxmlformats.org/officeDocument/2006/relationships/hyperlink" Target="https://socialbizmagazine.com/customer-engagement-strategies-inspired-by-matchmaking/" TargetMode="External"/><Relationship Id="rId4329" Type="http://schemas.openxmlformats.org/officeDocument/2006/relationships/hyperlink" Target="http://e-ciggbolaget.se/" TargetMode="External"/><Relationship Id="rId4743" Type="http://schemas.openxmlformats.org/officeDocument/2006/relationships/hyperlink" Target="https://fairinvestments.se/" TargetMode="External"/><Relationship Id="rId7899" Type="http://schemas.openxmlformats.org/officeDocument/2006/relationships/hyperlink" Target="https://pedrovazpaulo.com/maximizing-efficiency-in-rehabilitation-clinics/" TargetMode="External"/><Relationship Id="rId8200" Type="http://schemas.openxmlformats.org/officeDocument/2006/relationships/hyperlink" Target="http://michaelofrisorerna.se/" TargetMode="External"/><Relationship Id="rId10130" Type="http://schemas.openxmlformats.org/officeDocument/2006/relationships/hyperlink" Target="http://kungaslottet.se/" TargetMode="External"/><Relationship Id="rId13286" Type="http://schemas.openxmlformats.org/officeDocument/2006/relationships/hyperlink" Target="https://finns.se/foretagstjanster/kontorsstadning/" TargetMode="External"/><Relationship Id="rId199" Type="http://schemas.openxmlformats.org/officeDocument/2006/relationships/hyperlink" Target="https://zelium.se/allmanhet/sa-kan-du-fa-stadrutiner-att-halla-sig/" TargetMode="External"/><Relationship Id="rId2294" Type="http://schemas.openxmlformats.org/officeDocument/2006/relationships/hyperlink" Target="https://ingelaclarin.se/investera-hallbart-kanns-battre-i-sjalen" TargetMode="External"/><Relationship Id="rId3345" Type="http://schemas.openxmlformats.org/officeDocument/2006/relationships/hyperlink" Target="https://www.heteknik.se/" TargetMode="External"/><Relationship Id="rId266" Type="http://schemas.openxmlformats.org/officeDocument/2006/relationships/hyperlink" Target="https://healthyliving.se/sa-far-du-dina-vanor-att-halla-sig-under-det-nya-aret/" TargetMode="External"/><Relationship Id="rId680" Type="http://schemas.openxmlformats.org/officeDocument/2006/relationships/hyperlink" Target="http://blugiallo.com/" TargetMode="External"/><Relationship Id="rId2361" Type="http://schemas.openxmlformats.org/officeDocument/2006/relationships/hyperlink" Target="https://conclean.se/produkter/minireningsverk/" TargetMode="External"/><Relationship Id="rId3412" Type="http://schemas.openxmlformats.org/officeDocument/2006/relationships/hyperlink" Target="http://tryggvi.se/" TargetMode="External"/><Relationship Id="rId4810" Type="http://schemas.openxmlformats.org/officeDocument/2006/relationships/hyperlink" Target="https://nordenhydraulic.se/tjanster/" TargetMode="External"/><Relationship Id="rId6568" Type="http://schemas.openxmlformats.org/officeDocument/2006/relationships/hyperlink" Target="https://www.bethard.com/sv/sports" TargetMode="External"/><Relationship Id="rId7619" Type="http://schemas.openxmlformats.org/officeDocument/2006/relationships/hyperlink" Target="http://aerius.se/" TargetMode="External"/><Relationship Id="rId7966" Type="http://schemas.openxmlformats.org/officeDocument/2006/relationships/hyperlink" Target="https://www.dagensinfrastruktur.se/2025/02/28/blir-det-verkligen-bra-nar-olika-aktorer-ska-bygga-vara-stader/" TargetMode="External"/><Relationship Id="rId10947" Type="http://schemas.openxmlformats.org/officeDocument/2006/relationships/hyperlink" Target="https://www.hajper.com/sv" TargetMode="External"/><Relationship Id="rId13006" Type="http://schemas.openxmlformats.org/officeDocument/2006/relationships/hyperlink" Target="http://mrvegas.com/" TargetMode="External"/><Relationship Id="rId333" Type="http://schemas.openxmlformats.org/officeDocument/2006/relationships/hyperlink" Target="http://haxan.se/" TargetMode="External"/><Relationship Id="rId2014" Type="http://schemas.openxmlformats.org/officeDocument/2006/relationships/hyperlink" Target="https://ledkungen.se/collections/led-lister" TargetMode="External"/><Relationship Id="rId6982" Type="http://schemas.openxmlformats.org/officeDocument/2006/relationships/hyperlink" Target="https://havstomt.se/artiklar/ett-hus-vid-havet-lagarna-som-galler-knepen-att-kunna/" TargetMode="External"/><Relationship Id="rId9041" Type="http://schemas.openxmlformats.org/officeDocument/2006/relationships/hyperlink" Target="https://technobark.com/best-gps-dog-fences/" TargetMode="External"/><Relationship Id="rId1030" Type="http://schemas.openxmlformats.org/officeDocument/2006/relationships/hyperlink" Target="https://www.openthenews.com/tips-on-how-to-choose-socks-for-a-party/" TargetMode="External"/><Relationship Id="rId4186" Type="http://schemas.openxmlformats.org/officeDocument/2006/relationships/hyperlink" Target="http://alfa.no/" TargetMode="External"/><Relationship Id="rId5584" Type="http://schemas.openxmlformats.org/officeDocument/2006/relationships/hyperlink" Target="https://www.ectool.nu/grundlaggande-bilunderhall-en-guide-for-alla-bilagare/" TargetMode="External"/><Relationship Id="rId6635" Type="http://schemas.openxmlformats.org/officeDocument/2006/relationships/hyperlink" Target="http://rusta.se/" TargetMode="External"/><Relationship Id="rId12022" Type="http://schemas.openxmlformats.org/officeDocument/2006/relationships/hyperlink" Target="http://haxan.se/" TargetMode="External"/><Relationship Id="rId400" Type="http://schemas.openxmlformats.org/officeDocument/2006/relationships/hyperlink" Target="http://lansfast.se/" TargetMode="External"/><Relationship Id="rId5237" Type="http://schemas.openxmlformats.org/officeDocument/2006/relationships/hyperlink" Target="https://www.abcdirekt.se/hur-digitala-verktyg-har-revolutionerat-kladtryck-broderi/" TargetMode="External"/><Relationship Id="rId5651" Type="http://schemas.openxmlformats.org/officeDocument/2006/relationships/hyperlink" Target="https://www.cherry.com/sv/casino/jackpotspel" TargetMode="External"/><Relationship Id="rId6702" Type="http://schemas.openxmlformats.org/officeDocument/2006/relationships/hyperlink" Target="https://faktafreak.se/vaping-for-nyborjare-tips-for-en-battre-upplevelse/" TargetMode="External"/><Relationship Id="rId9858" Type="http://schemas.openxmlformats.org/officeDocument/2006/relationships/hyperlink" Target="https://hockeynews.se/nyheter/kombinationen-av-hockey-och-spel-fran-betting-till-nostalgiskt-bordshockey" TargetMode="External"/><Relationship Id="rId11788" Type="http://schemas.openxmlformats.org/officeDocument/2006/relationships/hyperlink" Target="https://eventeffect.se/index-trading-maximera-avkastningen-genom-evenemang-och-event/" TargetMode="External"/><Relationship Id="rId12839" Type="http://schemas.openxmlformats.org/officeDocument/2006/relationships/hyperlink" Target="https://mynicco.com/" TargetMode="External"/><Relationship Id="rId1847" Type="http://schemas.openxmlformats.org/officeDocument/2006/relationships/hyperlink" Target="https://pontechmarina.com/se/flytbrygga/vagbrytare/" TargetMode="External"/><Relationship Id="rId4253" Type="http://schemas.openxmlformats.org/officeDocument/2006/relationships/hyperlink" Target="https://brofastet.se/totalentreprenader-nyckeln-till-framgangsrika-projekt-inom-vvs-och-bygg/" TargetMode="External"/><Relationship Id="rId5304" Type="http://schemas.openxmlformats.org/officeDocument/2006/relationships/hyperlink" Target="https://lemontree.se/tjanster/devops/site-reliability-engineering/" TargetMode="External"/><Relationship Id="rId8874" Type="http://schemas.openxmlformats.org/officeDocument/2006/relationships/hyperlink" Target="http://glassfactory.fi/" TargetMode="External"/><Relationship Id="rId9925" Type="http://schemas.openxmlformats.org/officeDocument/2006/relationships/hyperlink" Target="https://www.purakliniken.se/" TargetMode="External"/><Relationship Id="rId4320" Type="http://schemas.openxmlformats.org/officeDocument/2006/relationships/hyperlink" Target="http://spelklubben.se/" TargetMode="External"/><Relationship Id="rId7476" Type="http://schemas.openxmlformats.org/officeDocument/2006/relationships/hyperlink" Target="http://hajper.com/" TargetMode="External"/><Relationship Id="rId7890" Type="http://schemas.openxmlformats.org/officeDocument/2006/relationships/hyperlink" Target="https://www.totallystockholm.se/spelets-sista-utpost-sa-slinker-du-in-pa-sveriges-enda-casino/" TargetMode="External"/><Relationship Id="rId8527" Type="http://schemas.openxmlformats.org/officeDocument/2006/relationships/hyperlink" Target="https://mockfjards.se/att-byta-fonster" TargetMode="External"/><Relationship Id="rId10457" Type="http://schemas.openxmlformats.org/officeDocument/2006/relationships/hyperlink" Target="https://myslandet.se/blogg/sa-skapar-du-den-ultimata-mysmiljon-i-sovrummet/" TargetMode="External"/><Relationship Id="rId11855" Type="http://schemas.openxmlformats.org/officeDocument/2006/relationships/hyperlink" Target="https://www.tryggbil.se/" TargetMode="External"/><Relationship Id="rId12906" Type="http://schemas.openxmlformats.org/officeDocument/2006/relationships/hyperlink" Target="http://dbet.com/" TargetMode="External"/><Relationship Id="rId190" Type="http://schemas.openxmlformats.org/officeDocument/2006/relationships/hyperlink" Target="https://carolinkonig.se/2022/12/15/valj-ratt-barnvagn-kopguide-for-forstagangsforaldrar/" TargetMode="External"/><Relationship Id="rId1914" Type="http://schemas.openxmlformats.org/officeDocument/2006/relationships/hyperlink" Target="https://pontonhamnar.se/produkter/flytbrygga/" TargetMode="External"/><Relationship Id="rId6078" Type="http://schemas.openxmlformats.org/officeDocument/2006/relationships/hyperlink" Target="http://kanalgratis.se/" TargetMode="External"/><Relationship Id="rId6492" Type="http://schemas.openxmlformats.org/officeDocument/2006/relationships/hyperlink" Target="https://passioneffect.se/kombinera-ett-aktivt-arbetsliv-med-hundansvar/" TargetMode="External"/><Relationship Id="rId7129" Type="http://schemas.openxmlformats.org/officeDocument/2006/relationships/hyperlink" Target="https://www.swedoffice.se/kategori/49902-kopieringspapper" TargetMode="External"/><Relationship Id="rId7543" Type="http://schemas.openxmlformats.org/officeDocument/2006/relationships/hyperlink" Target="https://www.bethard.com/sv/sports" TargetMode="External"/><Relationship Id="rId8941" Type="http://schemas.openxmlformats.org/officeDocument/2006/relationships/hyperlink" Target="http://willabgarden.de/" TargetMode="External"/><Relationship Id="rId10871" Type="http://schemas.openxmlformats.org/officeDocument/2006/relationships/hyperlink" Target="https://www.executiveeffect.se/optimera-din-arbetsdag-med-smarta-energikickar/" TargetMode="External"/><Relationship Id="rId11508" Type="http://schemas.openxmlformats.org/officeDocument/2006/relationships/hyperlink" Target="http://robomarkets.com/" TargetMode="External"/><Relationship Id="rId11922" Type="http://schemas.openxmlformats.org/officeDocument/2006/relationships/hyperlink" Target="https://www.robomarkets.com/se/" TargetMode="External"/><Relationship Id="rId5094" Type="http://schemas.openxmlformats.org/officeDocument/2006/relationships/hyperlink" Target="https://lemontree.se/tjanster/devops/site-reliability-engineering/" TargetMode="External"/><Relationship Id="rId6145" Type="http://schemas.openxmlformats.org/officeDocument/2006/relationships/hyperlink" Target="https://aretrotale.com/" TargetMode="External"/><Relationship Id="rId10524" Type="http://schemas.openxmlformats.org/officeDocument/2006/relationships/hyperlink" Target="https://www.gigwise.com/why-content-creators-are-using-epidemic-sounds-royalty-free-music-platform/" TargetMode="External"/><Relationship Id="rId2688" Type="http://schemas.openxmlformats.org/officeDocument/2006/relationships/hyperlink" Target="http://glitnor.com/" TargetMode="External"/><Relationship Id="rId3739" Type="http://schemas.openxmlformats.org/officeDocument/2006/relationships/hyperlink" Target="https://m6bygg.se/" TargetMode="External"/><Relationship Id="rId5161" Type="http://schemas.openxmlformats.org/officeDocument/2006/relationships/hyperlink" Target="https://e-ciggbolaget.se/vitt-snus/" TargetMode="External"/><Relationship Id="rId7610" Type="http://schemas.openxmlformats.org/officeDocument/2006/relationships/hyperlink" Target="http://rusta.com/sv-se/hem-och-inredning/mattor" TargetMode="External"/><Relationship Id="rId12696" Type="http://schemas.openxmlformats.org/officeDocument/2006/relationships/hyperlink" Target="http://startmotor.se/" TargetMode="External"/><Relationship Id="rId2755" Type="http://schemas.openxmlformats.org/officeDocument/2006/relationships/hyperlink" Target="https://distansinstitutet.se/distansutbildningar/pedagogik/vardbitrade/" TargetMode="External"/><Relationship Id="rId3806" Type="http://schemas.openxmlformats.org/officeDocument/2006/relationships/hyperlink" Target="http://tiotak.se/" TargetMode="External"/><Relationship Id="rId6212" Type="http://schemas.openxmlformats.org/officeDocument/2006/relationships/hyperlink" Target="https://www.motormagasinet.se/lb-article/180978/framtidens-bilar-och-utbildning-hur-tekniska-framsteg-paverkar-korutbildningen" TargetMode="External"/><Relationship Id="rId9368" Type="http://schemas.openxmlformats.org/officeDocument/2006/relationships/hyperlink" Target="https://mikaelelias.se/blogg/pickers-market-nar-kunderna-har-makten/" TargetMode="External"/><Relationship Id="rId9782" Type="http://schemas.openxmlformats.org/officeDocument/2006/relationships/hyperlink" Target="http://rusta.se/" TargetMode="External"/><Relationship Id="rId11298" Type="http://schemas.openxmlformats.org/officeDocument/2006/relationships/hyperlink" Target="https://hustillsalu.se/" TargetMode="External"/><Relationship Id="rId12349" Type="http://schemas.openxmlformats.org/officeDocument/2006/relationships/hyperlink" Target="https://triwa.com/" TargetMode="External"/><Relationship Id="rId12763" Type="http://schemas.openxmlformats.org/officeDocument/2006/relationships/hyperlink" Target="https://dinbyggnad.se/effektiv-ljudisolering-med-akustikprodukter-i-byggprocessen/" TargetMode="External"/><Relationship Id="rId727" Type="http://schemas.openxmlformats.org/officeDocument/2006/relationships/hyperlink" Target="https://evigliv.se/ha-en-spadag-for-dig-sjalv-eller-med-dina-vanner/" TargetMode="External"/><Relationship Id="rId1357" Type="http://schemas.openxmlformats.org/officeDocument/2006/relationships/hyperlink" Target="http://conclean.se/" TargetMode="External"/><Relationship Id="rId1771" Type="http://schemas.openxmlformats.org/officeDocument/2006/relationships/hyperlink" Target="https://bolagshistorik.se/flytbryggor-robusta-materialval-och-anpassningsbar-design-for-hallbar-infrastruktur-pa-vattnet/" TargetMode="External"/><Relationship Id="rId2408" Type="http://schemas.openxmlformats.org/officeDocument/2006/relationships/hyperlink" Target="https://app.ahrefs.com/keywords-explorer/google/se/overview?keyword=cbd%20olja" TargetMode="External"/><Relationship Id="rId2822" Type="http://schemas.openxmlformats.org/officeDocument/2006/relationships/hyperlink" Target="http://aretrotale.com/" TargetMode="External"/><Relationship Id="rId5978" Type="http://schemas.openxmlformats.org/officeDocument/2006/relationships/hyperlink" Target="https://hudsonweekly.com/the-importance-of-staying-hydrated-how-water-affects-your-health/" TargetMode="External"/><Relationship Id="rId8384" Type="http://schemas.openxmlformats.org/officeDocument/2006/relationships/hyperlink" Target="http://rusta.com/sv-se/hem-och-inredning/mattor" TargetMode="External"/><Relationship Id="rId9435" Type="http://schemas.openxmlformats.org/officeDocument/2006/relationships/hyperlink" Target="https://bovision.se/inspiration/hitta-raett-tandlaekare-naer-du-flyttar-till-stockholm" TargetMode="External"/><Relationship Id="rId11365" Type="http://schemas.openxmlformats.org/officeDocument/2006/relationships/hyperlink" Target="http://fairinvestments.se/" TargetMode="External"/><Relationship Id="rId12416" Type="http://schemas.openxmlformats.org/officeDocument/2006/relationships/hyperlink" Target="https://www.oconnors.se/" TargetMode="External"/><Relationship Id="rId63" Type="http://schemas.openxmlformats.org/officeDocument/2006/relationships/hyperlink" Target="https://haxan.se/" TargetMode="External"/><Relationship Id="rId1424" Type="http://schemas.openxmlformats.org/officeDocument/2006/relationships/hyperlink" Target="https://advancepointcap.com/construction-loans/" TargetMode="External"/><Relationship Id="rId4994" Type="http://schemas.openxmlformats.org/officeDocument/2006/relationships/hyperlink" Target="https://www.framtidensbygg.se/lb-article/180718/bra-investeringar-i-byggbranschen-2024-hallbarhet-och-regionala-mojligheter" TargetMode="External"/><Relationship Id="rId8037" Type="http://schemas.openxmlformats.org/officeDocument/2006/relationships/hyperlink" Target="http://upplevelse.com/" TargetMode="External"/><Relationship Id="rId8451" Type="http://schemas.openxmlformats.org/officeDocument/2006/relationships/hyperlink" Target="https://aretrotale.com/" TargetMode="External"/><Relationship Id="rId9502" Type="http://schemas.openxmlformats.org/officeDocument/2006/relationships/hyperlink" Target="http://upplevelse.com/" TargetMode="External"/><Relationship Id="rId10381" Type="http://schemas.openxmlformats.org/officeDocument/2006/relationships/hyperlink" Target="http://bethard.com/" TargetMode="External"/><Relationship Id="rId11018" Type="http://schemas.openxmlformats.org/officeDocument/2006/relationships/hyperlink" Target="https://www.deadlinenews.co.uk/2025/09/02/the-most-popular-tv-series-from-scotland/" TargetMode="External"/><Relationship Id="rId11432" Type="http://schemas.openxmlformats.org/officeDocument/2006/relationships/hyperlink" Target="https://www.lansfast.se/maklare/sodermanland/nykoping/" TargetMode="External"/><Relationship Id="rId12830" Type="http://schemas.openxmlformats.org/officeDocument/2006/relationships/hyperlink" Target="https://kruunukaluste.fi/kauppa/puutarhakalusteet-ulkokalusteet-ja-terassikalusteet/" TargetMode="External"/><Relationship Id="rId3596" Type="http://schemas.openxmlformats.org/officeDocument/2006/relationships/hyperlink" Target="https://www.alfa.no/" TargetMode="External"/><Relationship Id="rId4647" Type="http://schemas.openxmlformats.org/officeDocument/2006/relationships/hyperlink" Target="https://www.spelklubben.se/" TargetMode="External"/><Relationship Id="rId7053" Type="http://schemas.openxmlformats.org/officeDocument/2006/relationships/hyperlink" Target="https://mynicco.com/" TargetMode="External"/><Relationship Id="rId8104" Type="http://schemas.openxmlformats.org/officeDocument/2006/relationships/hyperlink" Target="https://skaparum.se/forsakringar-for-solcellsanlaggningar-inom-byggbranschen/" TargetMode="External"/><Relationship Id="rId10034" Type="http://schemas.openxmlformats.org/officeDocument/2006/relationships/hyperlink" Target="https://www.zmarta.se/" TargetMode="External"/><Relationship Id="rId2198" Type="http://schemas.openxmlformats.org/officeDocument/2006/relationships/hyperlink" Target="http://ledkungen.se/" TargetMode="External"/><Relationship Id="rId3249" Type="http://schemas.openxmlformats.org/officeDocument/2006/relationships/hyperlink" Target="http://glitnor.com/" TargetMode="External"/><Relationship Id="rId7120" Type="http://schemas.openxmlformats.org/officeDocument/2006/relationships/hyperlink" Target="https://husresan.se/maklartjanster-i-trosa-en-guide-for-kopare-och-saljare/" TargetMode="External"/><Relationship Id="rId584" Type="http://schemas.openxmlformats.org/officeDocument/2006/relationships/hyperlink" Target="https://tiotak.se/" TargetMode="External"/><Relationship Id="rId2265" Type="http://schemas.openxmlformats.org/officeDocument/2006/relationships/hyperlink" Target="https://www.spoors.health/" TargetMode="External"/><Relationship Id="rId3663" Type="http://schemas.openxmlformats.org/officeDocument/2006/relationships/hyperlink" Target="https://www.skanerunt.nu/" TargetMode="External"/><Relationship Id="rId4714" Type="http://schemas.openxmlformats.org/officeDocument/2006/relationships/hyperlink" Target="http://tryggbil.se/" TargetMode="External"/><Relationship Id="rId9292" Type="http://schemas.openxmlformats.org/officeDocument/2006/relationships/hyperlink" Target="http://rbentreprenad.se/" TargetMode="External"/><Relationship Id="rId10101" Type="http://schemas.openxmlformats.org/officeDocument/2006/relationships/hyperlink" Target="https://www.tidningen.se/annons/att-lana-ar-en-svensk-livsstil-men-har-vi-rad/" TargetMode="External"/><Relationship Id="rId13257" Type="http://schemas.openxmlformats.org/officeDocument/2006/relationships/hyperlink" Target="https://sakraror.se/vara-tjanster/allman-service-vvs/vvs-i-taby/" TargetMode="External"/><Relationship Id="rId237" Type="http://schemas.openxmlformats.org/officeDocument/2006/relationships/hyperlink" Target="http://blugiallo.com/" TargetMode="External"/><Relationship Id="rId3316" Type="http://schemas.openxmlformats.org/officeDocument/2006/relationships/hyperlink" Target="http://carpcon.se/" TargetMode="External"/><Relationship Id="rId3730" Type="http://schemas.openxmlformats.org/officeDocument/2006/relationships/hyperlink" Target="https://www.mariatand.se/behandling/tandimplantat-stockholm" TargetMode="External"/><Relationship Id="rId6886" Type="http://schemas.openxmlformats.org/officeDocument/2006/relationships/hyperlink" Target="https://ljungbynu.se/native/cherry-casino-aatervander-till-sverige-med-spannande-nyheter/2751" TargetMode="External"/><Relationship Id="rId7937" Type="http://schemas.openxmlformats.org/officeDocument/2006/relationships/hyperlink" Target="http://sesec.se/" TargetMode="External"/><Relationship Id="rId10918" Type="http://schemas.openxmlformats.org/officeDocument/2006/relationships/hyperlink" Target="https://www.myownwater.com/aluminum-water-bottles" TargetMode="External"/><Relationship Id="rId12273" Type="http://schemas.openxmlformats.org/officeDocument/2006/relationships/hyperlink" Target="https://ecommunity.se/halsosvampar-pa-frammarsch/" TargetMode="External"/><Relationship Id="rId651" Type="http://schemas.openxmlformats.org/officeDocument/2006/relationships/hyperlink" Target="https://www.barbiesbeautybits.com/2023/04/top-tips-to-get-your-wardrobe-spring.html" TargetMode="External"/><Relationship Id="rId1281" Type="http://schemas.openxmlformats.org/officeDocument/2006/relationships/hyperlink" Target="https://distansinstitutet.se/distansutbildningar/hr/" TargetMode="External"/><Relationship Id="rId2332" Type="http://schemas.openxmlformats.org/officeDocument/2006/relationships/hyperlink" Target="http://e-ciggbolaget.se/" TargetMode="External"/><Relationship Id="rId5488" Type="http://schemas.openxmlformats.org/officeDocument/2006/relationships/hyperlink" Target="https://e-ciggbolaget.se/e-cigaretter/engangs-vape/" TargetMode="External"/><Relationship Id="rId6539" Type="http://schemas.openxmlformats.org/officeDocument/2006/relationships/hyperlink" Target="https://clearfuze.com/solutions/it-consulting/" TargetMode="External"/><Relationship Id="rId6953" Type="http://schemas.openxmlformats.org/officeDocument/2006/relationships/hyperlink" Target="https://www.nyaprojekt.se/2024/12/21/flexibla-foretagsbostader-nyckeln-till-smidigare-byggprojekt/" TargetMode="External"/><Relationship Id="rId12340" Type="http://schemas.openxmlformats.org/officeDocument/2006/relationships/hyperlink" Target="https://arctic.se/se/forsakringslosningar/svensksolenergi/" TargetMode="External"/><Relationship Id="rId304" Type="http://schemas.openxmlformats.org/officeDocument/2006/relationships/hyperlink" Target="https://poolstart.se/upptack-fordelarna-med-dr-ceuracle-skincare/" TargetMode="External"/><Relationship Id="rId5555" Type="http://schemas.openxmlformats.org/officeDocument/2006/relationships/hyperlink" Target="https://www.rita.nu/" TargetMode="External"/><Relationship Id="rId6606" Type="http://schemas.openxmlformats.org/officeDocument/2006/relationships/hyperlink" Target="http://upplevelse.com/" TargetMode="External"/><Relationship Id="rId9012" Type="http://schemas.openxmlformats.org/officeDocument/2006/relationships/hyperlink" Target="https://www.zmarta.se/tips-rad/nyheter/snittrantor-bolan-mars-2025" TargetMode="External"/><Relationship Id="rId1001" Type="http://schemas.openxmlformats.org/officeDocument/2006/relationships/hyperlink" Target="https://distansinstitutet.se/distansutbildningar/administration/loneadministrator/" TargetMode="External"/><Relationship Id="rId4157" Type="http://schemas.openxmlformats.org/officeDocument/2006/relationships/hyperlink" Target="http://e-ciggbolaget.se/" TargetMode="External"/><Relationship Id="rId4571" Type="http://schemas.openxmlformats.org/officeDocument/2006/relationships/hyperlink" Target="https://aaatak.se/" TargetMode="External"/><Relationship Id="rId5208" Type="http://schemas.openxmlformats.org/officeDocument/2006/relationships/hyperlink" Target="http://pricecarz.com/" TargetMode="External"/><Relationship Id="rId5622" Type="http://schemas.openxmlformats.org/officeDocument/2006/relationships/hyperlink" Target="https://byggx.se/nar-ska-du-ringa-en-rormokare-tecken-pa-att-du-behover-professionell-hjalp/" TargetMode="External"/><Relationship Id="rId8778" Type="http://schemas.openxmlformats.org/officeDocument/2006/relationships/hyperlink" Target="http://kruunukaluste.fi/" TargetMode="External"/><Relationship Id="rId9829" Type="http://schemas.openxmlformats.org/officeDocument/2006/relationships/hyperlink" Target="http://skidvalla.se/" TargetMode="External"/><Relationship Id="rId3173" Type="http://schemas.openxmlformats.org/officeDocument/2006/relationships/hyperlink" Target="https://distansinstitutet.se/distansutbildningar/inredning/inredare/" TargetMode="External"/><Relationship Id="rId4224" Type="http://schemas.openxmlformats.org/officeDocument/2006/relationships/hyperlink" Target="https://fairinvestments.se/" TargetMode="External"/><Relationship Id="rId11759" Type="http://schemas.openxmlformats.org/officeDocument/2006/relationships/hyperlink" Target="http://yagya.com/" TargetMode="External"/><Relationship Id="rId1818" Type="http://schemas.openxmlformats.org/officeDocument/2006/relationships/hyperlink" Target="https://socialsummit17.se/sanering-och-fasadtvatt-vikten-av-professionella-for-hallbara-resultat/" TargetMode="External"/><Relationship Id="rId3240" Type="http://schemas.openxmlformats.org/officeDocument/2006/relationships/hyperlink" Target="https://arctic.se/nibe-warmepumpe-versicherung/" TargetMode="External"/><Relationship Id="rId6396" Type="http://schemas.openxmlformats.org/officeDocument/2006/relationships/hyperlink" Target="https://www.kamux.fi/" TargetMode="External"/><Relationship Id="rId7794" Type="http://schemas.openxmlformats.org/officeDocument/2006/relationships/hyperlink" Target="http://technobark.com/" TargetMode="External"/><Relationship Id="rId8845" Type="http://schemas.openxmlformats.org/officeDocument/2006/relationships/hyperlink" Target="https://mariefredstidning.se/2025/04/25/vad-ar-ett-tandimplantat-behover-du-ett/" TargetMode="External"/><Relationship Id="rId10775" Type="http://schemas.openxmlformats.org/officeDocument/2006/relationships/hyperlink" Target="http://michaelofrisorerna.se/" TargetMode="External"/><Relationship Id="rId11826" Type="http://schemas.openxmlformats.org/officeDocument/2006/relationships/hyperlink" Target="http://blugiallo.com/" TargetMode="External"/><Relationship Id="rId13181" Type="http://schemas.openxmlformats.org/officeDocument/2006/relationships/hyperlink" Target="https://eventeffect.se/kreativa-giveaways-gor-skillnad-i-event-marketing/" TargetMode="External"/><Relationship Id="rId161" Type="http://schemas.openxmlformats.org/officeDocument/2006/relationships/hyperlink" Target="https://sipski.se/" TargetMode="External"/><Relationship Id="rId6049" Type="http://schemas.openxmlformats.org/officeDocument/2006/relationships/hyperlink" Target="http://joureliten.se/" TargetMode="External"/><Relationship Id="rId7447" Type="http://schemas.openxmlformats.org/officeDocument/2006/relationships/hyperlink" Target="http://rusta.se/" TargetMode="External"/><Relationship Id="rId7861" Type="http://schemas.openxmlformats.org/officeDocument/2006/relationships/hyperlink" Target="http://spelklubben.se/" TargetMode="External"/><Relationship Id="rId8912" Type="http://schemas.openxmlformats.org/officeDocument/2006/relationships/hyperlink" Target="http://gonorthshop.com/" TargetMode="External"/><Relationship Id="rId10428" Type="http://schemas.openxmlformats.org/officeDocument/2006/relationships/hyperlink" Target="https://www.omkrets.se/var-i-solna-hor-du-hemma/" TargetMode="External"/><Relationship Id="rId10842" Type="http://schemas.openxmlformats.org/officeDocument/2006/relationships/hyperlink" Target="https://joinstriveon.com/" TargetMode="External"/><Relationship Id="rId6463" Type="http://schemas.openxmlformats.org/officeDocument/2006/relationships/hyperlink" Target="https://rorjour247.se/" TargetMode="External"/><Relationship Id="rId7514" Type="http://schemas.openxmlformats.org/officeDocument/2006/relationships/hyperlink" Target="https://www.nykommun.se/2025/01/29/rena-ytor-leder-till-klara-tankar/" TargetMode="External"/><Relationship Id="rId978" Type="http://schemas.openxmlformats.org/officeDocument/2006/relationships/hyperlink" Target="http://vont.se/" TargetMode="External"/><Relationship Id="rId2659" Type="http://schemas.openxmlformats.org/officeDocument/2006/relationships/hyperlink" Target="http://distansinstitutet.se/" TargetMode="External"/><Relationship Id="rId5065" Type="http://schemas.openxmlformats.org/officeDocument/2006/relationships/hyperlink" Target="https://www.executiveeffect.se/hur-ai-omformar-bettingbranschen-en-titt-pa-framtiden/" TargetMode="External"/><Relationship Id="rId6116" Type="http://schemas.openxmlformats.org/officeDocument/2006/relationships/hyperlink" Target="http://kvarnx.com/" TargetMode="External"/><Relationship Id="rId6530" Type="http://schemas.openxmlformats.org/officeDocument/2006/relationships/hyperlink" Target="https://euroweeklynews.com/2024/11/28/best-tips-for-shopping-the-right-vintage-look/" TargetMode="External"/><Relationship Id="rId9686" Type="http://schemas.openxmlformats.org/officeDocument/2006/relationships/hyperlink" Target="https://glassfactory.fi/sv/collections/speglar-med-belysning" TargetMode="External"/><Relationship Id="rId12667" Type="http://schemas.openxmlformats.org/officeDocument/2006/relationships/hyperlink" Target="https://passioneffect.se/produkter-som-haller-i-langden/" TargetMode="External"/><Relationship Id="rId1675" Type="http://schemas.openxmlformats.org/officeDocument/2006/relationships/hyperlink" Target="http://advancepointcap.com/" TargetMode="External"/><Relationship Id="rId2726" Type="http://schemas.openxmlformats.org/officeDocument/2006/relationships/hyperlink" Target="https://ranaposten.no/refinansiering-av-forbrukslan/" TargetMode="External"/><Relationship Id="rId4081" Type="http://schemas.openxmlformats.org/officeDocument/2006/relationships/hyperlink" Target="https://www.affarsvarlden.se/native/spetsig-fond-hittar-globala-vinnare" TargetMode="External"/><Relationship Id="rId5132" Type="http://schemas.openxmlformats.org/officeDocument/2006/relationships/hyperlink" Target="https://www.dl.nu/sa-hittar-du-ratt-tandlakare" TargetMode="External"/><Relationship Id="rId8288" Type="http://schemas.openxmlformats.org/officeDocument/2006/relationships/hyperlink" Target="http://ekstromgaray.se/" TargetMode="External"/><Relationship Id="rId9339" Type="http://schemas.openxmlformats.org/officeDocument/2006/relationships/hyperlink" Target="https://www.swedoffice.se/kategori/69602-gaffelparm-trarygg" TargetMode="External"/><Relationship Id="rId9753" Type="http://schemas.openxmlformats.org/officeDocument/2006/relationships/hyperlink" Target="https://turner.fi/" TargetMode="External"/><Relationship Id="rId11269" Type="http://schemas.openxmlformats.org/officeDocument/2006/relationships/hyperlink" Target="https://www.dieselkraft.se/" TargetMode="External"/><Relationship Id="rId1328" Type="http://schemas.openxmlformats.org/officeDocument/2006/relationships/hyperlink" Target="https://clotheshor.se/?p=298" TargetMode="External"/><Relationship Id="rId8355" Type="http://schemas.openxmlformats.org/officeDocument/2006/relationships/hyperlink" Target="https://vitamagazine.com/2025/03/21/how-technology-is-helping-us-better-understand-dogs/" TargetMode="External"/><Relationship Id="rId9406" Type="http://schemas.openxmlformats.org/officeDocument/2006/relationships/hyperlink" Target="http://rusta.se/" TargetMode="External"/><Relationship Id="rId11683" Type="http://schemas.openxmlformats.org/officeDocument/2006/relationships/hyperlink" Target="http://vontabel.com/" TargetMode="External"/><Relationship Id="rId12734" Type="http://schemas.openxmlformats.org/officeDocument/2006/relationships/hyperlink" Target="https://herrprylar.se/mans-roll-i-att-skapa-en-tryggare-miljo-med-sakerhetslosningar/" TargetMode="External"/><Relationship Id="rId1742" Type="http://schemas.openxmlformats.org/officeDocument/2006/relationships/hyperlink" Target="https://lemontree.se/tjanster/testautomatisering/" TargetMode="External"/><Relationship Id="rId4898" Type="http://schemas.openxmlformats.org/officeDocument/2006/relationships/hyperlink" Target="http://spelklubben.se/" TargetMode="External"/><Relationship Id="rId5949" Type="http://schemas.openxmlformats.org/officeDocument/2006/relationships/hyperlink" Target="https://supernormal.health/se/medicinsk-viktnedgang/Information-om-lakemedel/rybelsus/" TargetMode="External"/><Relationship Id="rId7371" Type="http://schemas.openxmlformats.org/officeDocument/2006/relationships/hyperlink" Target="https://www.chattanoogarehab.com/us/clinical-electrotherapy/electrical-stimulation" TargetMode="External"/><Relationship Id="rId8008" Type="http://schemas.openxmlformats.org/officeDocument/2006/relationships/hyperlink" Target="https://www.klamm.de/news/fruehlingsmode-2025-die-neuesten-trends-52N1884e.html" TargetMode="External"/><Relationship Id="rId9820" Type="http://schemas.openxmlformats.org/officeDocument/2006/relationships/hyperlink" Target="https://tiotak.se/byta-tak-maskinhall/" TargetMode="External"/><Relationship Id="rId10285" Type="http://schemas.openxmlformats.org/officeDocument/2006/relationships/hyperlink" Target="https://husresan.se/ratt-belysning-for-ditt-hem-skapar-trivsel-och-atmosfar/" TargetMode="External"/><Relationship Id="rId11336" Type="http://schemas.openxmlformats.org/officeDocument/2006/relationships/hyperlink" Target="https://eventeffect.se/farinvestment-se-en-omfattande-guide/" TargetMode="External"/><Relationship Id="rId11750" Type="http://schemas.openxmlformats.org/officeDocument/2006/relationships/hyperlink" Target="https://americanracehorse.com/the-rise-of-premium-equestrian-wear-the-hottest-items-this-fall/" TargetMode="External"/><Relationship Id="rId12801" Type="http://schemas.openxmlformats.org/officeDocument/2006/relationships/hyperlink" Target="https://www.lsb.se/lana-pengar" TargetMode="External"/><Relationship Id="rId34" Type="http://schemas.openxmlformats.org/officeDocument/2006/relationships/hyperlink" Target="https://brafiler.se/" TargetMode="External"/><Relationship Id="rId4965" Type="http://schemas.openxmlformats.org/officeDocument/2006/relationships/hyperlink" Target="https://alltomnorrtalje.se/papptak-en-vaxande-trend-i-stockholmsomradet/" TargetMode="External"/><Relationship Id="rId7024" Type="http://schemas.openxmlformats.org/officeDocument/2006/relationships/hyperlink" Target="https://www.soup.io/key-trends-shaping-the-future-of-healthcare" TargetMode="External"/><Relationship Id="rId8422" Type="http://schemas.openxmlformats.org/officeDocument/2006/relationships/hyperlink" Target="http://upplevelse.com/" TargetMode="External"/><Relationship Id="rId10352" Type="http://schemas.openxmlformats.org/officeDocument/2006/relationships/hyperlink" Target="https://tipsmedoss.com/2025/ovrigt/livebetting-sa-utnyttjar-du-realtidsinformation-for-ett-battre-spel/" TargetMode="External"/><Relationship Id="rId11403" Type="http://schemas.openxmlformats.org/officeDocument/2006/relationships/hyperlink" Target="https://babyblogg.se/nyblivna-foraldrar-glom-inte-att-ta-hand-om-er-sjalva-ocksa/" TargetMode="External"/><Relationship Id="rId3567" Type="http://schemas.openxmlformats.org/officeDocument/2006/relationships/hyperlink" Target="http://distansinstitutet.se/" TargetMode="External"/><Relationship Id="rId3981" Type="http://schemas.openxmlformats.org/officeDocument/2006/relationships/hyperlink" Target="https://www.cattisb.se/admin/editor.php?url=att-kanna-sig-trygg-hos-tandlakaren" TargetMode="External"/><Relationship Id="rId4618" Type="http://schemas.openxmlformats.org/officeDocument/2006/relationships/hyperlink" Target="https://www.casinorus.se/blogg/sa-paverkar-ny-teknik-casinospel/" TargetMode="External"/><Relationship Id="rId10005" Type="http://schemas.openxmlformats.org/officeDocument/2006/relationships/hyperlink" Target="http://mrvegas.com/" TargetMode="External"/><Relationship Id="rId488" Type="http://schemas.openxmlformats.org/officeDocument/2006/relationships/hyperlink" Target="https://www.vont.se/" TargetMode="External"/><Relationship Id="rId2169" Type="http://schemas.openxmlformats.org/officeDocument/2006/relationships/hyperlink" Target="https://www.radio86.se/aven-en-liten-vattenlacka-kan-bli-ett-stort-problem" TargetMode="External"/><Relationship Id="rId2583" Type="http://schemas.openxmlformats.org/officeDocument/2006/relationships/hyperlink" Target="http://ledkungen.se/" TargetMode="External"/><Relationship Id="rId3634" Type="http://schemas.openxmlformats.org/officeDocument/2006/relationships/hyperlink" Target="http://fairinvestments.se/" TargetMode="External"/><Relationship Id="rId6040" Type="http://schemas.openxmlformats.org/officeDocument/2006/relationships/hyperlink" Target="https://www.kingsizemag.se/okategoriserat/inredningstips-for-den-som-vill-undvika-generiska-klicheer/" TargetMode="External"/><Relationship Id="rId9196" Type="http://schemas.openxmlformats.org/officeDocument/2006/relationships/hyperlink" Target="https://herrexperten.se/basta-tipsen-for-bilvard-som-varar-lange/" TargetMode="External"/><Relationship Id="rId12177" Type="http://schemas.openxmlformats.org/officeDocument/2006/relationships/hyperlink" Target="http://schjodt.com/" TargetMode="External"/><Relationship Id="rId12591" Type="http://schemas.openxmlformats.org/officeDocument/2006/relationships/hyperlink" Target="https://mockfjards.se/fonster" TargetMode="External"/><Relationship Id="rId13228" Type="http://schemas.openxmlformats.org/officeDocument/2006/relationships/hyperlink" Target="http://kleer.se/" TargetMode="External"/><Relationship Id="rId555" Type="http://schemas.openxmlformats.org/officeDocument/2006/relationships/hyperlink" Target="https://www.happysocks.com/us/collection/socks-for-men" TargetMode="External"/><Relationship Id="rId1185" Type="http://schemas.openxmlformats.org/officeDocument/2006/relationships/hyperlink" Target="https://socialsummit17.se/stadprodukter-och-deras-vikt-i-skapandet-av-ett-valbehallet-hem/" TargetMode="External"/><Relationship Id="rId2236" Type="http://schemas.openxmlformats.org/officeDocument/2006/relationships/hyperlink" Target="http://villarelining.se/" TargetMode="External"/><Relationship Id="rId2650" Type="http://schemas.openxmlformats.org/officeDocument/2006/relationships/hyperlink" Target="https://cannabislight.se/" TargetMode="External"/><Relationship Id="rId3701" Type="http://schemas.openxmlformats.org/officeDocument/2006/relationships/hyperlink" Target="https://www.audiofly.se/stil-och-elegans-den-vita-skjortan-for-damer/" TargetMode="External"/><Relationship Id="rId6857" Type="http://schemas.openxmlformats.org/officeDocument/2006/relationships/hyperlink" Target="http://hajper.com/" TargetMode="External"/><Relationship Id="rId7908" Type="http://schemas.openxmlformats.org/officeDocument/2006/relationships/hyperlink" Target="https://guldkorn.nu/utforska-livets-sma-guldkorn/" TargetMode="External"/><Relationship Id="rId9263" Type="http://schemas.openxmlformats.org/officeDocument/2006/relationships/hyperlink" Target="https://villahagen.se/professionell-taklaggning-for-ladugardar-och-lantbruk-i-sodra-sverige/" TargetMode="External"/><Relationship Id="rId11193" Type="http://schemas.openxmlformats.org/officeDocument/2006/relationships/hyperlink" Target="http://arctic.se/" TargetMode="External"/><Relationship Id="rId12244" Type="http://schemas.openxmlformats.org/officeDocument/2006/relationships/hyperlink" Target="http://robomarkets.com/" TargetMode="External"/><Relationship Id="rId208" Type="http://schemas.openxmlformats.org/officeDocument/2006/relationships/hyperlink" Target="https://publicistpaper.com/4-reasons-to-consider-getting-custom-tailored-clothing/" TargetMode="External"/><Relationship Id="rId622" Type="http://schemas.openxmlformats.org/officeDocument/2006/relationships/hyperlink" Target="http://happysocks.com/" TargetMode="External"/><Relationship Id="rId1252" Type="http://schemas.openxmlformats.org/officeDocument/2006/relationships/hyperlink" Target="http://advancepointcap.com/" TargetMode="External"/><Relationship Id="rId2303" Type="http://schemas.openxmlformats.org/officeDocument/2006/relationships/hyperlink" Target="http://distansinstitutet.se/" TargetMode="External"/><Relationship Id="rId5459" Type="http://schemas.openxmlformats.org/officeDocument/2006/relationships/hyperlink" Target="https://www.sportfack.se/annons/20240920/digitalisering-i-sportbranschen-vad-vi-kan-lara-fran-natcasinon-och-spelindustrin/" TargetMode="External"/><Relationship Id="rId9330" Type="http://schemas.openxmlformats.org/officeDocument/2006/relationships/hyperlink" Target="http://lsb.se/" TargetMode="External"/><Relationship Id="rId4475" Type="http://schemas.openxmlformats.org/officeDocument/2006/relationships/hyperlink" Target="https://m6bygg.se/" TargetMode="External"/><Relationship Id="rId5873" Type="http://schemas.openxmlformats.org/officeDocument/2006/relationships/hyperlink" Target="https://gladjebubblan.se/minska-din-nikotinberoende-med-nikotinfri-vape/" TargetMode="External"/><Relationship Id="rId6924" Type="http://schemas.openxmlformats.org/officeDocument/2006/relationships/hyperlink" Target="http://kingsizemag.se/okategoriserat/trender-inom-estetisk-tandvard-stockholm-som-ledande-kraft/" TargetMode="External"/><Relationship Id="rId11260" Type="http://schemas.openxmlformats.org/officeDocument/2006/relationships/hyperlink" Target="https://www.dieselkraft.se/" TargetMode="External"/><Relationship Id="rId12311" Type="http://schemas.openxmlformats.org/officeDocument/2006/relationships/hyperlink" Target="http://alexbyggkonsult.se/" TargetMode="External"/><Relationship Id="rId3077" Type="http://schemas.openxmlformats.org/officeDocument/2006/relationships/hyperlink" Target="https://legendbygg.com/" TargetMode="External"/><Relationship Id="rId4128" Type="http://schemas.openxmlformats.org/officeDocument/2006/relationships/hyperlink" Target="https://storgruppen.se/asbestsanering/" TargetMode="External"/><Relationship Id="rId5526" Type="http://schemas.openxmlformats.org/officeDocument/2006/relationships/hyperlink" Target="http://sakraror.se/" TargetMode="External"/><Relationship Id="rId5940" Type="http://schemas.openxmlformats.org/officeDocument/2006/relationships/hyperlink" Target="https://www.entreprenad.com/lb-article/180899/kapitalforvaltning-for-entreprenadsektorn-bygg-en-solid-grund" TargetMode="External"/><Relationship Id="rId2093" Type="http://schemas.openxmlformats.org/officeDocument/2006/relationships/hyperlink" Target="http://freckeus.se/" TargetMode="External"/><Relationship Id="rId3491" Type="http://schemas.openxmlformats.org/officeDocument/2006/relationships/hyperlink" Target="https://e-ciggbolaget.se/e-cigaretter/engangs-vape/n-one/" TargetMode="External"/><Relationship Id="rId4542" Type="http://schemas.openxmlformats.org/officeDocument/2006/relationships/hyperlink" Target="http://e-ciggbolaget.se/" TargetMode="External"/><Relationship Id="rId7698" Type="http://schemas.openxmlformats.org/officeDocument/2006/relationships/hyperlink" Target="http://vardagsfrid.se/" TargetMode="External"/><Relationship Id="rId8749" Type="http://schemas.openxmlformats.org/officeDocument/2006/relationships/hyperlink" Target="https://www.pokersidan.se/pokerartiklar/starthandsstrategi-for-texas-holdem-poker/" TargetMode="External"/><Relationship Id="rId10679" Type="http://schemas.openxmlformats.org/officeDocument/2006/relationships/hyperlink" Target="http://stockholms-rorvvs.se/" TargetMode="External"/><Relationship Id="rId13085" Type="http://schemas.openxmlformats.org/officeDocument/2006/relationships/hyperlink" Target="https://www.dbet.com/se/casino/" TargetMode="External"/><Relationship Id="rId3144" Type="http://schemas.openxmlformats.org/officeDocument/2006/relationships/hyperlink" Target="http://arctic.se/" TargetMode="External"/><Relationship Id="rId7765" Type="http://schemas.openxmlformats.org/officeDocument/2006/relationships/hyperlink" Target="https://www.grontsamhallsbyggande.se/2025/02/20/ar-det-miljovanligt-att-bo-pa-vattnet/" TargetMode="External"/><Relationship Id="rId8816" Type="http://schemas.openxmlformats.org/officeDocument/2006/relationships/hyperlink" Target="https://passioneffect.se/att-bli-med-barn-ar-dyrt-sa-har-kan-du-spara-in-tusenlappar/" TargetMode="External"/><Relationship Id="rId10746" Type="http://schemas.openxmlformats.org/officeDocument/2006/relationships/hyperlink" Target="https://supernormal.health/se/" TargetMode="External"/><Relationship Id="rId13152" Type="http://schemas.openxmlformats.org/officeDocument/2006/relationships/hyperlink" Target="http://mrvegas.com/" TargetMode="External"/><Relationship Id="rId2160" Type="http://schemas.openxmlformats.org/officeDocument/2006/relationships/hyperlink" Target="https://www.executiveeffect.se/vad-ar-fair-investments/" TargetMode="External"/><Relationship Id="rId3211" Type="http://schemas.openxmlformats.org/officeDocument/2006/relationships/hyperlink" Target="http://startmotor.se/" TargetMode="External"/><Relationship Id="rId6367" Type="http://schemas.openxmlformats.org/officeDocument/2006/relationships/hyperlink" Target="https://www.cdg.io/" TargetMode="External"/><Relationship Id="rId6781" Type="http://schemas.openxmlformats.org/officeDocument/2006/relationships/hyperlink" Target="http://svenskafonster.se/" TargetMode="External"/><Relationship Id="rId7418" Type="http://schemas.openxmlformats.org/officeDocument/2006/relationships/hyperlink" Target="http://technobark.com/" TargetMode="External"/><Relationship Id="rId7832" Type="http://schemas.openxmlformats.org/officeDocument/2006/relationships/hyperlink" Target="https://svenskafonster.se/fonster" TargetMode="External"/><Relationship Id="rId132" Type="http://schemas.openxmlformats.org/officeDocument/2006/relationships/hyperlink" Target="https://nem.health/" TargetMode="External"/><Relationship Id="rId5383" Type="http://schemas.openxmlformats.org/officeDocument/2006/relationships/hyperlink" Target="http://snusnetto.se/" TargetMode="External"/><Relationship Id="rId6434" Type="http://schemas.openxmlformats.org/officeDocument/2006/relationships/hyperlink" Target="https://www.n&#228;tcasinoguide.se/" TargetMode="External"/><Relationship Id="rId10813" Type="http://schemas.openxmlformats.org/officeDocument/2006/relationships/hyperlink" Target="http://fairinvestments.se/" TargetMode="External"/><Relationship Id="rId1579" Type="http://schemas.openxmlformats.org/officeDocument/2006/relationships/hyperlink" Target="https://svalan.se/skadebesiktning-i-tyreso-en-fullstandig-guide-till-processen/" TargetMode="External"/><Relationship Id="rId2977" Type="http://schemas.openxmlformats.org/officeDocument/2006/relationships/hyperlink" Target="https://www.xtremt.se/frunk-bar-ett-revolutionerande-inslag-inom-engangsvapearvarlden/" TargetMode="External"/><Relationship Id="rId5036" Type="http://schemas.openxmlformats.org/officeDocument/2006/relationships/hyperlink" Target="https://ledarsidorna.se/it-system-inom-igaming-industrin/" TargetMode="External"/><Relationship Id="rId5450" Type="http://schemas.openxmlformats.org/officeDocument/2006/relationships/hyperlink" Target="http://ekstromgaray.se/" TargetMode="External"/><Relationship Id="rId12985" Type="http://schemas.openxmlformats.org/officeDocument/2006/relationships/hyperlink" Target="https://distansinstitutet.se/distansutbildningar/pedagogik/" TargetMode="External"/><Relationship Id="rId949" Type="http://schemas.openxmlformats.org/officeDocument/2006/relationships/hyperlink" Target="https://conclean.se/produkter/minireningsverk/" TargetMode="External"/><Relationship Id="rId1993" Type="http://schemas.openxmlformats.org/officeDocument/2006/relationships/hyperlink" Target="https://www.rambollnatura.se/investering-med-hjalp-av-ett-investmentbolag" TargetMode="External"/><Relationship Id="rId4052" Type="http://schemas.openxmlformats.org/officeDocument/2006/relationships/hyperlink" Target="http://fairinvestments.se/" TargetMode="External"/><Relationship Id="rId5103" Type="http://schemas.openxmlformats.org/officeDocument/2006/relationships/hyperlink" Target="http://tiotak.se/" TargetMode="External"/><Relationship Id="rId6501" Type="http://schemas.openxmlformats.org/officeDocument/2006/relationships/hyperlink" Target="https://www.saleseffect.se/strategisk-marknadsforing-stark-varumarket-med-profilklader/" TargetMode="External"/><Relationship Id="rId8259" Type="http://schemas.openxmlformats.org/officeDocument/2006/relationships/hyperlink" Target="https://www.spelklubben.se/sv/casino" TargetMode="External"/><Relationship Id="rId9657" Type="http://schemas.openxmlformats.org/officeDocument/2006/relationships/hyperlink" Target="http://lilla-varlden.se/" TargetMode="External"/><Relationship Id="rId11587" Type="http://schemas.openxmlformats.org/officeDocument/2006/relationships/hyperlink" Target="https://fashionablefit.net/" TargetMode="External"/><Relationship Id="rId12638" Type="http://schemas.openxmlformats.org/officeDocument/2006/relationships/hyperlink" Target="https://www.merinfo.se/foretag/Fair-Investments-Sweden-AB-5568169626/2k3576i-kqah" TargetMode="External"/><Relationship Id="rId1646" Type="http://schemas.openxmlformats.org/officeDocument/2006/relationships/hyperlink" Target="http://triwa.com/" TargetMode="External"/><Relationship Id="rId8673" Type="http://schemas.openxmlformats.org/officeDocument/2006/relationships/hyperlink" Target="https://www.swedoffice.se/" TargetMode="External"/><Relationship Id="rId9724" Type="http://schemas.openxmlformats.org/officeDocument/2006/relationships/hyperlink" Target="http://nordicknots.com/" TargetMode="External"/><Relationship Id="rId10189" Type="http://schemas.openxmlformats.org/officeDocument/2006/relationships/hyperlink" Target="https://www.megariches.com/sv/" TargetMode="External"/><Relationship Id="rId11654" Type="http://schemas.openxmlformats.org/officeDocument/2006/relationships/hyperlink" Target="https://borsbolag.se/" TargetMode="External"/><Relationship Id="rId12705" Type="http://schemas.openxmlformats.org/officeDocument/2006/relationships/hyperlink" Target="https://hemforalla.se/flexibla-boendelosningar-for-foretag-i-stockholm/" TargetMode="External"/><Relationship Id="rId1713" Type="http://schemas.openxmlformats.org/officeDocument/2006/relationships/hyperlink" Target="https://bolagshistorik.se/att-lara-sig-att-utveckla-hemsidor-en-guide-for-nyborjare/" TargetMode="External"/><Relationship Id="rId4869" Type="http://schemas.openxmlformats.org/officeDocument/2006/relationships/hyperlink" Target="https://www.spelklubben.se/sv/betting" TargetMode="External"/><Relationship Id="rId7275" Type="http://schemas.openxmlformats.org/officeDocument/2006/relationships/hyperlink" Target="https://www.dagensnaringsliv.se/20250130/276362/hundtraning-med-gladje" TargetMode="External"/><Relationship Id="rId8326" Type="http://schemas.openxmlformats.org/officeDocument/2006/relationships/hyperlink" Target="https://www.vanl.fi/virtaa-ja-vinkkeja-maailmantahdilta" TargetMode="External"/><Relationship Id="rId8740" Type="http://schemas.openxmlformats.org/officeDocument/2006/relationships/hyperlink" Target="http://invozio.com/" TargetMode="External"/><Relationship Id="rId10256" Type="http://schemas.openxmlformats.org/officeDocument/2006/relationships/hyperlink" Target="http://bethard.com/" TargetMode="External"/><Relationship Id="rId10670" Type="http://schemas.openxmlformats.org/officeDocument/2006/relationships/hyperlink" Target="https://www.lsb.se/" TargetMode="External"/><Relationship Id="rId11307" Type="http://schemas.openxmlformats.org/officeDocument/2006/relationships/hyperlink" Target="https://veckodag.nu/" TargetMode="External"/><Relationship Id="rId11721" Type="http://schemas.openxmlformats.org/officeDocument/2006/relationships/hyperlink" Target="http://yagya.com/" TargetMode="External"/><Relationship Id="rId3885" Type="http://schemas.openxmlformats.org/officeDocument/2006/relationships/hyperlink" Target="https://www.tandea.se/" TargetMode="External"/><Relationship Id="rId4936" Type="http://schemas.openxmlformats.org/officeDocument/2006/relationships/hyperlink" Target="https://www.snuset.se/tobaksfritt-snus/" TargetMode="External"/><Relationship Id="rId6291" Type="http://schemas.openxmlformats.org/officeDocument/2006/relationships/hyperlink" Target="https://www.startmotor.se/kategori/generatorer" TargetMode="External"/><Relationship Id="rId7342" Type="http://schemas.openxmlformats.org/officeDocument/2006/relationships/hyperlink" Target="https://www.entreprenad.com/lb-article/181178/nyckeln-till-langsiktig-framgang-for-entreprenadforetag" TargetMode="External"/><Relationship Id="rId10323" Type="http://schemas.openxmlformats.org/officeDocument/2006/relationships/hyperlink" Target="https://ladytalk.se/akut-tandvard-for-kvinnor-i-stockholm-vid-plotsliga-besvar/" TargetMode="External"/><Relationship Id="rId2487" Type="http://schemas.openxmlformats.org/officeDocument/2006/relationships/hyperlink" Target="http://distansinstitutet.se/" TargetMode="External"/><Relationship Id="rId3538" Type="http://schemas.openxmlformats.org/officeDocument/2006/relationships/hyperlink" Target="https://nordictimes.com/partner/happycasino-garanterad-underhallning-spanning-lycka/" TargetMode="External"/><Relationship Id="rId12495" Type="http://schemas.openxmlformats.org/officeDocument/2006/relationships/hyperlink" Target="http://reveljens.se/" TargetMode="External"/><Relationship Id="rId459" Type="http://schemas.openxmlformats.org/officeDocument/2006/relationships/hyperlink" Target="https://ecommunity.se/swedoffice-se-sajten-for-alla-dina-kontorsmaterialsbehov/" TargetMode="External"/><Relationship Id="rId873" Type="http://schemas.openxmlformats.org/officeDocument/2006/relationships/hyperlink" Target="http://creditsafe.se/" TargetMode="External"/><Relationship Id="rId1089" Type="http://schemas.openxmlformats.org/officeDocument/2006/relationships/hyperlink" Target="https://haronaglarspa.se/big-ben-stand-up-skrattfesten-som-fangar-hjartat-av-stockholm/" TargetMode="External"/><Relationship Id="rId2554" Type="http://schemas.openxmlformats.org/officeDocument/2006/relationships/hyperlink" Target="https://fairinvestments.se/in-english/" TargetMode="External"/><Relationship Id="rId3952" Type="http://schemas.openxmlformats.org/officeDocument/2006/relationships/hyperlink" Target="https://everynightstudios.com/" TargetMode="External"/><Relationship Id="rId6011" Type="http://schemas.openxmlformats.org/officeDocument/2006/relationships/hyperlink" Target="https://www.cdg.io/services/virtual-ciso/" TargetMode="External"/><Relationship Id="rId9167" Type="http://schemas.openxmlformats.org/officeDocument/2006/relationships/hyperlink" Target="https://technomeow.com/best-self-cleaning-litter-boxes-this-year/" TargetMode="External"/><Relationship Id="rId9581" Type="http://schemas.openxmlformats.org/officeDocument/2006/relationships/hyperlink" Target="https://www.grontsamhallsbyggande.se/2025/05/26/sa-byggs-det-mer-klimatsmart-5-avgorande-nycklar-for-framtidens-samhallen/" TargetMode="External"/><Relationship Id="rId11097" Type="http://schemas.openxmlformats.org/officeDocument/2006/relationships/hyperlink" Target="http://mrvegas.com/" TargetMode="External"/><Relationship Id="rId12148" Type="http://schemas.openxmlformats.org/officeDocument/2006/relationships/hyperlink" Target="https://www.freckeus.se/" TargetMode="External"/><Relationship Id="rId526" Type="http://schemas.openxmlformats.org/officeDocument/2006/relationships/hyperlink" Target="http://toyota-forklifts.se/" TargetMode="External"/><Relationship Id="rId1156" Type="http://schemas.openxmlformats.org/officeDocument/2006/relationships/hyperlink" Target="http://miamipool.se/" TargetMode="External"/><Relationship Id="rId2207" Type="http://schemas.openxmlformats.org/officeDocument/2006/relationships/hyperlink" Target="https://www.tandea.se/" TargetMode="External"/><Relationship Id="rId3605" Type="http://schemas.openxmlformats.org/officeDocument/2006/relationships/hyperlink" Target="https://www.lansfast.se/maklare/stockholm/taby-danderyd/" TargetMode="External"/><Relationship Id="rId8183" Type="http://schemas.openxmlformats.org/officeDocument/2006/relationships/hyperlink" Target="http://tkw.se/" TargetMode="External"/><Relationship Id="rId9234" Type="http://schemas.openxmlformats.org/officeDocument/2006/relationships/hyperlink" Target="https://www.rusta.com/se/sv/fritid/husdjur/hund/hundfoder/" TargetMode="External"/><Relationship Id="rId12562" Type="http://schemas.openxmlformats.org/officeDocument/2006/relationships/hyperlink" Target="http://hemplybalance.com/" TargetMode="External"/><Relationship Id="rId940" Type="http://schemas.openxmlformats.org/officeDocument/2006/relationships/hyperlink" Target="https://www.happysocks.com/us/collection/socks-for-women" TargetMode="External"/><Relationship Id="rId1570" Type="http://schemas.openxmlformats.org/officeDocument/2006/relationships/hyperlink" Target="https://abm-utvikling.no/herresko-for-vinteren-stil-og-funksjonalitet-i-ett/" TargetMode="External"/><Relationship Id="rId2621" Type="http://schemas.openxmlformats.org/officeDocument/2006/relationships/hyperlink" Target="https://www.positivlaktarkultur.se/investera-eller-spara" TargetMode="External"/><Relationship Id="rId5777" Type="http://schemas.openxmlformats.org/officeDocument/2006/relationships/hyperlink" Target="https://www.kolla.tv/artikel/sport-pa-tv-och-betting-fran-tipsextra-till-livesandningar-pa-spelsajter" TargetMode="External"/><Relationship Id="rId6828" Type="http://schemas.openxmlformats.org/officeDocument/2006/relationships/hyperlink" Target="https://www.bethard.com/sv/sports" TargetMode="External"/><Relationship Id="rId11164" Type="http://schemas.openxmlformats.org/officeDocument/2006/relationships/hyperlink" Target="https://notyfile.se/" TargetMode="External"/><Relationship Id="rId12215" Type="http://schemas.openxmlformats.org/officeDocument/2006/relationships/hyperlink" Target="http://ritty.se/" TargetMode="External"/><Relationship Id="rId1223" Type="http://schemas.openxmlformats.org/officeDocument/2006/relationships/hyperlink" Target="http://schjodt.com/" TargetMode="External"/><Relationship Id="rId4379" Type="http://schemas.openxmlformats.org/officeDocument/2006/relationships/hyperlink" Target="https://merkapital.se/varfor-kundomdomen-ar-avgorande-for-investeringsframgang/" TargetMode="External"/><Relationship Id="rId4793" Type="http://schemas.openxmlformats.org/officeDocument/2006/relationships/hyperlink" Target="https://www.rusta.com/se/sv/fritid/husdjur/hund/hundfoder/" TargetMode="External"/><Relationship Id="rId5844" Type="http://schemas.openxmlformats.org/officeDocument/2006/relationships/hyperlink" Target="http://seniorrabatt.se/" TargetMode="External"/><Relationship Id="rId8250" Type="http://schemas.openxmlformats.org/officeDocument/2006/relationships/hyperlink" Target="http://nordicknots.com/us" TargetMode="External"/><Relationship Id="rId9301" Type="http://schemas.openxmlformats.org/officeDocument/2006/relationships/hyperlink" Target="https://alxmedia.se/tips/sa-ar-det-att-jobba-som-frilansare-frihet-ansvar-och-allt-daremellan/" TargetMode="External"/><Relationship Id="rId10180" Type="http://schemas.openxmlformats.org/officeDocument/2006/relationships/hyperlink" Target="https://sesec.se/" TargetMode="External"/><Relationship Id="rId11231" Type="http://schemas.openxmlformats.org/officeDocument/2006/relationships/hyperlink" Target="https://sahlstorm.se/ny-teknologi-for-din-halsa/" TargetMode="External"/><Relationship Id="rId3395" Type="http://schemas.openxmlformats.org/officeDocument/2006/relationships/hyperlink" Target="https://www.traslottet.se/flytbrygga-eller-fast-brygga" TargetMode="External"/><Relationship Id="rId4446" Type="http://schemas.openxmlformats.org/officeDocument/2006/relationships/hyperlink" Target="http://jovialsundsvall.se/" TargetMode="External"/><Relationship Id="rId4860" Type="http://schemas.openxmlformats.org/officeDocument/2006/relationships/hyperlink" Target="https://www.kvarnx.com/sv" TargetMode="External"/><Relationship Id="rId5911" Type="http://schemas.openxmlformats.org/officeDocument/2006/relationships/hyperlink" Target="https://dagenstv.com/artikel/jackpot-vinster-pa-film-och-tv-5-titlar-du-inte-far-missa" TargetMode="External"/><Relationship Id="rId3048" Type="http://schemas.openxmlformats.org/officeDocument/2006/relationships/hyperlink" Target="http://spelklubben.se/" TargetMode="External"/><Relationship Id="rId3462" Type="http://schemas.openxmlformats.org/officeDocument/2006/relationships/hyperlink" Target="http://arctic.se/" TargetMode="External"/><Relationship Id="rId4513" Type="http://schemas.openxmlformats.org/officeDocument/2006/relationships/hyperlink" Target="https://firmify.se/miljovanliga-alternativ-hallbarhet-inom-framstallandet-av-kopieringspapper/" TargetMode="External"/><Relationship Id="rId7669" Type="http://schemas.openxmlformats.org/officeDocument/2006/relationships/hyperlink" Target="https://hobbybyggare.se/valj-ratt-batmotordelar-for-en-lyckad-hobby-pa-vattnet/" TargetMode="External"/><Relationship Id="rId10997" Type="http://schemas.openxmlformats.org/officeDocument/2006/relationships/hyperlink" Target="https://www.kungaslottet.se/live-casino/" TargetMode="External"/><Relationship Id="rId13056" Type="http://schemas.openxmlformats.org/officeDocument/2006/relationships/hyperlink" Target="http://himala.ai/" TargetMode="External"/><Relationship Id="rId383" Type="http://schemas.openxmlformats.org/officeDocument/2006/relationships/hyperlink" Target="http://toyota-forklifts.se/" TargetMode="External"/><Relationship Id="rId2064" Type="http://schemas.openxmlformats.org/officeDocument/2006/relationships/hyperlink" Target="http://aretrotale.com/" TargetMode="External"/><Relationship Id="rId3115" Type="http://schemas.openxmlformats.org/officeDocument/2006/relationships/hyperlink" Target="https://socialsummit17.se/pontech-innovativa-skapare-av-hallbara-skraddarsydda-flytbryggor/" TargetMode="External"/><Relationship Id="rId6685" Type="http://schemas.openxmlformats.org/officeDocument/2006/relationships/hyperlink" Target="http://lansfast.se/" TargetMode="External"/><Relationship Id="rId9091" Type="http://schemas.openxmlformats.org/officeDocument/2006/relationships/hyperlink" Target="https://dryft.se/badrum-stockholm/" TargetMode="External"/><Relationship Id="rId12072" Type="http://schemas.openxmlformats.org/officeDocument/2006/relationships/hyperlink" Target="http://vontabel.com/" TargetMode="External"/><Relationship Id="rId13123" Type="http://schemas.openxmlformats.org/officeDocument/2006/relationships/hyperlink" Target="https://london-tv.co.uk/how-to-be-the-host-that-makes-guests-feel-comfortable-immediately/" TargetMode="External"/><Relationship Id="rId450" Type="http://schemas.openxmlformats.org/officeDocument/2006/relationships/hyperlink" Target="http://tiotak.se/" TargetMode="External"/><Relationship Id="rId1080" Type="http://schemas.openxmlformats.org/officeDocument/2006/relationships/hyperlink" Target="http://alfa.no/" TargetMode="External"/><Relationship Id="rId2131" Type="http://schemas.openxmlformats.org/officeDocument/2006/relationships/hyperlink" Target="https://app.ahrefs.com/keywords-explorer/google/se/overview?keyword=lions%20mane%20svamp" TargetMode="External"/><Relationship Id="rId5287" Type="http://schemas.openxmlformats.org/officeDocument/2006/relationships/hyperlink" Target="http://everynightstudios.com/" TargetMode="External"/><Relationship Id="rId6338" Type="http://schemas.openxmlformats.org/officeDocument/2006/relationships/hyperlink" Target="http://skidvalla.se/" TargetMode="External"/><Relationship Id="rId7736" Type="http://schemas.openxmlformats.org/officeDocument/2006/relationships/hyperlink" Target="http://arctic.se/nibe-warmepumpe-versicherung/" TargetMode="External"/><Relationship Id="rId10717" Type="http://schemas.openxmlformats.org/officeDocument/2006/relationships/hyperlink" Target="http://maklarringen.se/" TargetMode="External"/><Relationship Id="rId103" Type="http://schemas.openxmlformats.org/officeDocument/2006/relationships/hyperlink" Target="https://b&#228;stf&#246;rs&#228;kringar.se/" TargetMode="External"/><Relationship Id="rId6752" Type="http://schemas.openxmlformats.org/officeDocument/2006/relationships/hyperlink" Target="https://mittlillahus.se/hemstadning-i-stockholm-och-uppsala-fordelarna-med-att-anlita-vardagsfrid/" TargetMode="External"/><Relationship Id="rId7803" Type="http://schemas.openxmlformats.org/officeDocument/2006/relationships/hyperlink" Target="http://hund.se/koppel-selar-och-halsband" TargetMode="External"/><Relationship Id="rId12889" Type="http://schemas.openxmlformats.org/officeDocument/2006/relationships/hyperlink" Target="http://chattanoogarehab.com/" TargetMode="External"/><Relationship Id="rId1897" Type="http://schemas.openxmlformats.org/officeDocument/2006/relationships/hyperlink" Target="https://moveitmama.se/overvinna-tandlakarskrack" TargetMode="External"/><Relationship Id="rId2948" Type="http://schemas.openxmlformats.org/officeDocument/2006/relationships/hyperlink" Target="https://nhl-odds.nu/artiklar/forbattra-tittarupplevelsen-i-nhl-med-analyser/" TargetMode="External"/><Relationship Id="rId5354" Type="http://schemas.openxmlformats.org/officeDocument/2006/relationships/hyperlink" Target="http://kvarnx.com/" TargetMode="External"/><Relationship Id="rId6405" Type="http://schemas.openxmlformats.org/officeDocument/2006/relationships/hyperlink" Target="https://mightygadget.co.uk/smart-homes-and-wellness-the-role-of-electrical-stimulation-devices-in-everyday-health/" TargetMode="External"/><Relationship Id="rId9975" Type="http://schemas.openxmlformats.org/officeDocument/2006/relationships/hyperlink" Target="http://myownwater.com/" TargetMode="External"/><Relationship Id="rId12956" Type="http://schemas.openxmlformats.org/officeDocument/2006/relationships/hyperlink" Target="https://www.executiveeffect.se/forberedelser-som-gor-de-finansiella-besluten-lattare/" TargetMode="External"/><Relationship Id="rId1964" Type="http://schemas.openxmlformats.org/officeDocument/2006/relationships/hyperlink" Target="https://hemplybalance.se/cbd-hampaoljor/" TargetMode="External"/><Relationship Id="rId4370" Type="http://schemas.openxmlformats.org/officeDocument/2006/relationships/hyperlink" Target="https://hockeybladet.nu/artikel/recap-av-hockeysasongen-2023-2024-hojdpunkter-och-overraskningar/" TargetMode="External"/><Relationship Id="rId5007" Type="http://schemas.openxmlformats.org/officeDocument/2006/relationships/hyperlink" Target="https://www.rusta.com/se/sv/fritid/husdjur/hund/hundfoder/" TargetMode="External"/><Relationship Id="rId5421" Type="http://schemas.openxmlformats.org/officeDocument/2006/relationships/hyperlink" Target="https://www.hskraft.se/" TargetMode="External"/><Relationship Id="rId8577" Type="http://schemas.openxmlformats.org/officeDocument/2006/relationships/hyperlink" Target="http://mockfjards.se/" TargetMode="External"/><Relationship Id="rId8991" Type="http://schemas.openxmlformats.org/officeDocument/2006/relationships/hyperlink" Target="https://www.invozio.com/" TargetMode="External"/><Relationship Id="rId9628" Type="http://schemas.openxmlformats.org/officeDocument/2006/relationships/hyperlink" Target="https://www.spelklubben.se/sv/casino/guides/progressiva-jackpottar-hur-de-vaxer-och-hur-du-kan-vinna-stort" TargetMode="External"/><Relationship Id="rId11558" Type="http://schemas.openxmlformats.org/officeDocument/2006/relationships/hyperlink" Target="https://sufracofinebrands.com/kategori/varumarken-compagnie-de-provence" TargetMode="External"/><Relationship Id="rId12609" Type="http://schemas.openxmlformats.org/officeDocument/2006/relationships/hyperlink" Target="https://dryft.se/helrenovering/" TargetMode="External"/><Relationship Id="rId1617" Type="http://schemas.openxmlformats.org/officeDocument/2006/relationships/hyperlink" Target="http://triwa.com/" TargetMode="External"/><Relationship Id="rId4023" Type="http://schemas.openxmlformats.org/officeDocument/2006/relationships/hyperlink" Target="https://www.mariatand.se/" TargetMode="External"/><Relationship Id="rId7179" Type="http://schemas.openxmlformats.org/officeDocument/2006/relationships/hyperlink" Target="http://swedenlongstay.se/" TargetMode="External"/><Relationship Id="rId7593" Type="http://schemas.openxmlformats.org/officeDocument/2006/relationships/hyperlink" Target="https://www.sonderborgnyt.dk/saadan-faar-du-styr-paa-virksomhedens-udestaaende-fakturaer/" TargetMode="External"/><Relationship Id="rId8644" Type="http://schemas.openxmlformats.org/officeDocument/2006/relationships/hyperlink" Target="http://purakliniken.se/" TargetMode="External"/><Relationship Id="rId11972" Type="http://schemas.openxmlformats.org/officeDocument/2006/relationships/hyperlink" Target="https://blugiallo.se/herrklader/klader/kostymbyxor/" TargetMode="External"/><Relationship Id="rId3789" Type="http://schemas.openxmlformats.org/officeDocument/2006/relationships/hyperlink" Target="http://heteknik.se/" TargetMode="External"/><Relationship Id="rId6195" Type="http://schemas.openxmlformats.org/officeDocument/2006/relationships/hyperlink" Target="https://www.cherry.com/sv/welcome-bonus" TargetMode="External"/><Relationship Id="rId7246" Type="http://schemas.openxmlformats.org/officeDocument/2006/relationships/hyperlink" Target="https://www.tandea.se/tandvard/akut-tandvard-stockholm/" TargetMode="External"/><Relationship Id="rId7660" Type="http://schemas.openxmlformats.org/officeDocument/2006/relationships/hyperlink" Target="https://evigliv.se/bra-hundfoder-for-en-halsosam-livsstil-for-din-fyrbenta-van/" TargetMode="External"/><Relationship Id="rId10227" Type="http://schemas.openxmlformats.org/officeDocument/2006/relationships/hyperlink" Target="http://yourgild.com/" TargetMode="External"/><Relationship Id="rId10574" Type="http://schemas.openxmlformats.org/officeDocument/2006/relationships/hyperlink" Target="https://www.warrington-worldwide.co.uk/2025/07/15/why-choosing-quality-over-fast-fashion-is-vital-for-our-planet/" TargetMode="External"/><Relationship Id="rId11625" Type="http://schemas.openxmlformats.org/officeDocument/2006/relationships/hyperlink" Target="http://vontabel.com/" TargetMode="External"/><Relationship Id="rId6262" Type="http://schemas.openxmlformats.org/officeDocument/2006/relationships/hyperlink" Target="http://sakraror.se/" TargetMode="External"/><Relationship Id="rId7313" Type="http://schemas.openxmlformats.org/officeDocument/2006/relationships/hyperlink" Target="http://kleer.se/" TargetMode="External"/><Relationship Id="rId8711" Type="http://schemas.openxmlformats.org/officeDocument/2006/relationships/hyperlink" Target="http://lilla-varlden.se/" TargetMode="External"/><Relationship Id="rId10641" Type="http://schemas.openxmlformats.org/officeDocument/2006/relationships/hyperlink" Target="http://turner.fi/" TargetMode="External"/><Relationship Id="rId3856" Type="http://schemas.openxmlformats.org/officeDocument/2006/relationships/hyperlink" Target="http://spelklubben.se/" TargetMode="External"/><Relationship Id="rId4907" Type="http://schemas.openxmlformats.org/officeDocument/2006/relationships/hyperlink" Target="https://www.lidingonyheter.se/zyn-atervander-med-new-feel-efter-framgangarna-i-usa/" TargetMode="External"/><Relationship Id="rId12399" Type="http://schemas.openxmlformats.org/officeDocument/2006/relationships/hyperlink" Target="http://tryggbil.se/" TargetMode="External"/><Relationship Id="rId777" Type="http://schemas.openxmlformats.org/officeDocument/2006/relationships/hyperlink" Target="https://www.happysocks.com/us/collection/socks-for-men" TargetMode="External"/><Relationship Id="rId2458" Type="http://schemas.openxmlformats.org/officeDocument/2006/relationships/hyperlink" Target="http://kamux.fi/" TargetMode="External"/><Relationship Id="rId2872" Type="http://schemas.openxmlformats.org/officeDocument/2006/relationships/hyperlink" Target="https://e-ciggbolaget.se/e-cigaretter/engangs-vape/frunkbar-frozen-strawberry-engangs-vape/" TargetMode="External"/><Relationship Id="rId3509" Type="http://schemas.openxmlformats.org/officeDocument/2006/relationships/hyperlink" Target="https://e-ciggbolaget.se/e-cigaretter/engangs-vape/frunk-bar" TargetMode="External"/><Relationship Id="rId3923" Type="http://schemas.openxmlformats.org/officeDocument/2006/relationships/hyperlink" Target="https://cannabislight.se/vad-ar-cbd-en-komplett-nyborjarguide/" TargetMode="External"/><Relationship Id="rId8087" Type="http://schemas.openxmlformats.org/officeDocument/2006/relationships/hyperlink" Target="https://www.lottoguiden.se/" TargetMode="External"/><Relationship Id="rId9485" Type="http://schemas.openxmlformats.org/officeDocument/2006/relationships/hyperlink" Target="https://fotbollsthlm.se/uncategorized/allsvenskans-101a-upplaga-sa-tippar-experterna/" TargetMode="External"/><Relationship Id="rId12466" Type="http://schemas.openxmlformats.org/officeDocument/2006/relationships/hyperlink" Target="https://podradio.nu/fair-investments-en-djupdykning-i-finansiell-forvaltning/" TargetMode="External"/><Relationship Id="rId12880" Type="http://schemas.openxmlformats.org/officeDocument/2006/relationships/hyperlink" Target="https://leaptodigital.com/" TargetMode="External"/><Relationship Id="rId844" Type="http://schemas.openxmlformats.org/officeDocument/2006/relationships/hyperlink" Target="https://tiotak.se/" TargetMode="External"/><Relationship Id="rId1474" Type="http://schemas.openxmlformats.org/officeDocument/2006/relationships/hyperlink" Target="https://contentrally.com/alternative-business-financing/" TargetMode="External"/><Relationship Id="rId2525" Type="http://schemas.openxmlformats.org/officeDocument/2006/relationships/hyperlink" Target="https://alfaoutdoor.se/collections/fritidsskor-herr" TargetMode="External"/><Relationship Id="rId9138" Type="http://schemas.openxmlformats.org/officeDocument/2006/relationships/hyperlink" Target="https://kelleher-international.com/" TargetMode="External"/><Relationship Id="rId9552" Type="http://schemas.openxmlformats.org/officeDocument/2006/relationships/hyperlink" Target="https://www.tidningen.se/annons/gransen-mellan-tidsfordriv-och-noje-finns-den/" TargetMode="External"/><Relationship Id="rId11068" Type="http://schemas.openxmlformats.org/officeDocument/2006/relationships/hyperlink" Target="https://www.rusta.com/sv-se/hem-och-inredning/belysning" TargetMode="External"/><Relationship Id="rId11482" Type="http://schemas.openxmlformats.org/officeDocument/2006/relationships/hyperlink" Target="https://nem.health/" TargetMode="External"/><Relationship Id="rId12119" Type="http://schemas.openxmlformats.org/officeDocument/2006/relationships/hyperlink" Target="https://blugiallo.se/herrklader/klader/kostymbyxor/" TargetMode="External"/><Relationship Id="rId12533" Type="http://schemas.openxmlformats.org/officeDocument/2006/relationships/hyperlink" Target="https://ttsab.nu/bygg/" TargetMode="External"/><Relationship Id="rId911" Type="http://schemas.openxmlformats.org/officeDocument/2006/relationships/hyperlink" Target="https://stilguiden.nu/all-i-am-beauty/" TargetMode="External"/><Relationship Id="rId1127" Type="http://schemas.openxmlformats.org/officeDocument/2006/relationships/hyperlink" Target="https://www.zperfume.se/products/inspired-by-chanel-allure-homme-sport" TargetMode="External"/><Relationship Id="rId1541" Type="http://schemas.openxmlformats.org/officeDocument/2006/relationships/hyperlink" Target="https://fruitsedge.com/step-out-in-style-the-wildest-crazy-sock-fashion-trends/" TargetMode="External"/><Relationship Id="rId4697" Type="http://schemas.openxmlformats.org/officeDocument/2006/relationships/hyperlink" Target="http://ledkungen.se/" TargetMode="External"/><Relationship Id="rId5748" Type="http://schemas.openxmlformats.org/officeDocument/2006/relationships/hyperlink" Target="https://www.spelklubben.se/sv/play/book-of-dead" TargetMode="External"/><Relationship Id="rId8154" Type="http://schemas.openxmlformats.org/officeDocument/2006/relationships/hyperlink" Target="https://www.rusta.com/sv-se/hem-och-inredning/belysning" TargetMode="External"/><Relationship Id="rId9205" Type="http://schemas.openxmlformats.org/officeDocument/2006/relationships/hyperlink" Target="https://livsekonomi.se/skraddarsydda-investeringslosningar-for-langsiktig-avkastning-och-trygghet/" TargetMode="External"/><Relationship Id="rId10084" Type="http://schemas.openxmlformats.org/officeDocument/2006/relationships/hyperlink" Target="https://www.svenskbyggtidning.se/2025/06/29/vad-gor-en-bra-stadsdel-7-avgorande-faktorer-for-hallbar-utveckling/" TargetMode="External"/><Relationship Id="rId11135" Type="http://schemas.openxmlformats.org/officeDocument/2006/relationships/hyperlink" Target="http://pontonhamnar.se/" TargetMode="External"/><Relationship Id="rId3299" Type="http://schemas.openxmlformats.org/officeDocument/2006/relationships/hyperlink" Target="http://fairinvestments.se/" TargetMode="External"/><Relationship Id="rId4764" Type="http://schemas.openxmlformats.org/officeDocument/2006/relationships/hyperlink" Target="https://tiotak.se/byta-tak-ekonomibyggnad/" TargetMode="External"/><Relationship Id="rId7170" Type="http://schemas.openxmlformats.org/officeDocument/2006/relationships/hyperlink" Target="https://www.swedoffice.se/" TargetMode="External"/><Relationship Id="rId8221" Type="http://schemas.openxmlformats.org/officeDocument/2006/relationships/hyperlink" Target="https://cityprivathospital.dk/hold-humoret-hojt-med-underholdning-nar-du-restituerer" TargetMode="External"/><Relationship Id="rId10151" Type="http://schemas.openxmlformats.org/officeDocument/2006/relationships/hyperlink" Target="http://videoslots.com/" TargetMode="External"/><Relationship Id="rId11202" Type="http://schemas.openxmlformats.org/officeDocument/2006/relationships/hyperlink" Target="https://www.voguefreaks.com/fashion-items-that-never-go-out-of-style/" TargetMode="External"/><Relationship Id="rId12600" Type="http://schemas.openxmlformats.org/officeDocument/2006/relationships/hyperlink" Target="https://www.spelklubben.se/sv/casino" TargetMode="External"/><Relationship Id="rId3366" Type="http://schemas.openxmlformats.org/officeDocument/2006/relationships/hyperlink" Target="https://www.filippa-k.com/se/sv/dam/ready-to-wear/skjortor-blusar" TargetMode="External"/><Relationship Id="rId4417" Type="http://schemas.openxmlformats.org/officeDocument/2006/relationships/hyperlink" Target="http://tandea.se/" TargetMode="External"/><Relationship Id="rId5815" Type="http://schemas.openxmlformats.org/officeDocument/2006/relationships/hyperlink" Target="http://kleer.se/" TargetMode="External"/><Relationship Id="rId287" Type="http://schemas.openxmlformats.org/officeDocument/2006/relationships/hyperlink" Target="https://brandskor.se/sa-ser-du-till-att-dina-nya-halsovanor-haller-i-det-nya-aret/" TargetMode="External"/><Relationship Id="rId2382" Type="http://schemas.openxmlformats.org/officeDocument/2006/relationships/hyperlink" Target="https://www.imike.se/naturens-gava-for-halsan" TargetMode="External"/><Relationship Id="rId3019" Type="http://schemas.openxmlformats.org/officeDocument/2006/relationships/hyperlink" Target="http://filippa-k.com/se/sv/" TargetMode="External"/><Relationship Id="rId3780" Type="http://schemas.openxmlformats.org/officeDocument/2006/relationships/hyperlink" Target="http://bigbenstandup.com/" TargetMode="External"/><Relationship Id="rId4831" Type="http://schemas.openxmlformats.org/officeDocument/2006/relationships/hyperlink" Target="http://videoslots.com/" TargetMode="External"/><Relationship Id="rId7987" Type="http://schemas.openxmlformats.org/officeDocument/2006/relationships/hyperlink" Target="http://mynicco.com/" TargetMode="External"/><Relationship Id="rId10968" Type="http://schemas.openxmlformats.org/officeDocument/2006/relationships/hyperlink" Target="https://www.hund.se/hundgodis" TargetMode="External"/><Relationship Id="rId354" Type="http://schemas.openxmlformats.org/officeDocument/2006/relationships/hyperlink" Target="https://aktieskole.com/3-tips-til-at-vurdere-om-du-boer-koebe-aktier-i-en-virksomhed-via-dit-eget-selskab/" TargetMode="External"/><Relationship Id="rId2035" Type="http://schemas.openxmlformats.org/officeDocument/2006/relationships/hyperlink" Target="https://www.oconnors.se/" TargetMode="External"/><Relationship Id="rId3433" Type="http://schemas.openxmlformats.org/officeDocument/2006/relationships/hyperlink" Target="https://tiotak.se/plattak/plattak-med-solceller/" TargetMode="External"/><Relationship Id="rId6589" Type="http://schemas.openxmlformats.org/officeDocument/2006/relationships/hyperlink" Target="http://tigerofsweden.com/" TargetMode="External"/><Relationship Id="rId9062" Type="http://schemas.openxmlformats.org/officeDocument/2006/relationships/hyperlink" Target="https://mockfjards.se/fonster" TargetMode="External"/><Relationship Id="rId12390" Type="http://schemas.openxmlformats.org/officeDocument/2006/relationships/hyperlink" Target="http://freckeus.se/" TargetMode="External"/><Relationship Id="rId13027" Type="http://schemas.openxmlformats.org/officeDocument/2006/relationships/hyperlink" Target="https://www.dagensinfrastruktur.se/2025/10/01/renoveringsvagen-hur-hemmen-moderniseras-idag/" TargetMode="External"/><Relationship Id="rId3500" Type="http://schemas.openxmlformats.org/officeDocument/2006/relationships/hyperlink" Target="https://alltomnorrtalje.se/fairinvestments-langsiktig-kapitalforvaltning-for-dig-med-stora-drommar/" TargetMode="External"/><Relationship Id="rId6656" Type="http://schemas.openxmlformats.org/officeDocument/2006/relationships/hyperlink" Target="http://lansfast.se/" TargetMode="External"/><Relationship Id="rId7707" Type="http://schemas.openxmlformats.org/officeDocument/2006/relationships/hyperlink" Target="https://www.tandlakare.se/stad/goteborg/" TargetMode="External"/><Relationship Id="rId12043" Type="http://schemas.openxmlformats.org/officeDocument/2006/relationships/hyperlink" Target="https://www.aura-optik.de/mehrere-engelszahlen-im-alltag-was-es-zu-beachten-gibt/" TargetMode="External"/><Relationship Id="rId421" Type="http://schemas.openxmlformats.org/officeDocument/2006/relationships/hyperlink" Target="https://www.forfest.se/planera-20-talsfesten-alla-tips-du-behover-for-ett-great-gatsby-tema/" TargetMode="External"/><Relationship Id="rId1051" Type="http://schemas.openxmlformats.org/officeDocument/2006/relationships/hyperlink" Target="https://www.mynewsdesk.com/se/visibility-punktum-group/blog_posts/ett-djupdyk-i-testautomatisering-114708" TargetMode="External"/><Relationship Id="rId2102" Type="http://schemas.openxmlformats.org/officeDocument/2006/relationships/hyperlink" Target="http://ritty.se/" TargetMode="External"/><Relationship Id="rId5258" Type="http://schemas.openxmlformats.org/officeDocument/2006/relationships/hyperlink" Target="https://thestripesblog.com/the-perfect-dish-for-a-dinner-date-impress-with-elegance-and-flavor/" TargetMode="External"/><Relationship Id="rId5672" Type="http://schemas.openxmlformats.org/officeDocument/2006/relationships/hyperlink" Target="http://pontonhamnar.se/" TargetMode="External"/><Relationship Id="rId6309" Type="http://schemas.openxmlformats.org/officeDocument/2006/relationships/hyperlink" Target="http://purakliniken.se/" TargetMode="External"/><Relationship Id="rId6723" Type="http://schemas.openxmlformats.org/officeDocument/2006/relationships/hyperlink" Target="http://everynightstudios.com/" TargetMode="External"/><Relationship Id="rId9879" Type="http://schemas.openxmlformats.org/officeDocument/2006/relationships/hyperlink" Target="https://calbizjournal.com/how-unified-coaching-software-is-ending-the-spreadsheet-chaos/" TargetMode="External"/><Relationship Id="rId12110" Type="http://schemas.openxmlformats.org/officeDocument/2006/relationships/hyperlink" Target="https://preferensaktier.com/investeringssparkonto-isk-och-amerikanska-aktier-en-djupgaende-analys/" TargetMode="External"/><Relationship Id="rId1868" Type="http://schemas.openxmlformats.org/officeDocument/2006/relationships/hyperlink" Target="http://aretrotale.com/" TargetMode="External"/><Relationship Id="rId4274" Type="http://schemas.openxmlformats.org/officeDocument/2006/relationships/hyperlink" Target="https://edgehyllie.se/hemrenovering-tips-for-ett-sakert-och-effektivt-projekt/" TargetMode="External"/><Relationship Id="rId5325" Type="http://schemas.openxmlformats.org/officeDocument/2006/relationships/hyperlink" Target="http://zmarta.se/" TargetMode="External"/><Relationship Id="rId8895" Type="http://schemas.openxmlformats.org/officeDocument/2006/relationships/hyperlink" Target="http://acnespecialisten.se/" TargetMode="External"/><Relationship Id="rId2919" Type="http://schemas.openxmlformats.org/officeDocument/2006/relationships/hyperlink" Target="https://happycasino.se/casino" TargetMode="External"/><Relationship Id="rId3290" Type="http://schemas.openxmlformats.org/officeDocument/2006/relationships/hyperlink" Target="http://fairinvestments.se/" TargetMode="External"/><Relationship Id="rId4341" Type="http://schemas.openxmlformats.org/officeDocument/2006/relationships/hyperlink" Target="http://spelklubben.se/" TargetMode="External"/><Relationship Id="rId7497" Type="http://schemas.openxmlformats.org/officeDocument/2006/relationships/hyperlink" Target="https://www.nettotobak.com/" TargetMode="External"/><Relationship Id="rId8548" Type="http://schemas.openxmlformats.org/officeDocument/2006/relationships/hyperlink" Target="http://kamux.fi/" TargetMode="External"/><Relationship Id="rId9946" Type="http://schemas.openxmlformats.org/officeDocument/2006/relationships/hyperlink" Target="http://kamux.fi/" TargetMode="External"/><Relationship Id="rId11876" Type="http://schemas.openxmlformats.org/officeDocument/2006/relationships/hyperlink" Target="https://tiotak.se/byta-tak-jordbruksfastighet/" TargetMode="External"/><Relationship Id="rId12927" Type="http://schemas.openxmlformats.org/officeDocument/2006/relationships/hyperlink" Target="https://www.tandlakare.se/stad/goteborg/" TargetMode="External"/><Relationship Id="rId1935" Type="http://schemas.openxmlformats.org/officeDocument/2006/relationships/hyperlink" Target="https://www.sitartmag.com/finansiell-aterhamtning" TargetMode="External"/><Relationship Id="rId6099" Type="http://schemas.openxmlformats.org/officeDocument/2006/relationships/hyperlink" Target="http://bbml.se/" TargetMode="External"/><Relationship Id="rId8962" Type="http://schemas.openxmlformats.org/officeDocument/2006/relationships/hyperlink" Target="http://fairinvestments.se/" TargetMode="External"/><Relationship Id="rId10478" Type="http://schemas.openxmlformats.org/officeDocument/2006/relationships/hyperlink" Target="https://www.nolingo.se/fran-nobelbankett-till-andlighet-har-ar-prispengarna-storst/" TargetMode="External"/><Relationship Id="rId10892" Type="http://schemas.openxmlformats.org/officeDocument/2006/relationships/hyperlink" Target="https://www.saleseffect.se/7-enkla-knep-for-att-maximera-ditt-nyhetsbrev/" TargetMode="External"/><Relationship Id="rId11529" Type="http://schemas.openxmlformats.org/officeDocument/2006/relationships/hyperlink" Target="http://sufracofinebrands.com/" TargetMode="External"/><Relationship Id="rId11943" Type="http://schemas.openxmlformats.org/officeDocument/2006/relationships/hyperlink" Target="https://miamipool.se/" TargetMode="External"/><Relationship Id="rId3010" Type="http://schemas.openxmlformats.org/officeDocument/2006/relationships/hyperlink" Target="https://kilander-racing.se/spelklubben-det-ledande-valet-for-online-spelunderhallning/" TargetMode="External"/><Relationship Id="rId6166" Type="http://schemas.openxmlformats.org/officeDocument/2006/relationships/hyperlink" Target="https://www.solardays.se/" TargetMode="External"/><Relationship Id="rId7564" Type="http://schemas.openxmlformats.org/officeDocument/2006/relationships/hyperlink" Target="https://www.hund.se/hundgodis" TargetMode="External"/><Relationship Id="rId8615" Type="http://schemas.openxmlformats.org/officeDocument/2006/relationships/hyperlink" Target="https://cdbilvardsprodukter.se/" TargetMode="External"/><Relationship Id="rId10545" Type="http://schemas.openxmlformats.org/officeDocument/2006/relationships/hyperlink" Target="http://merchoteket.se/" TargetMode="External"/><Relationship Id="rId6580" Type="http://schemas.openxmlformats.org/officeDocument/2006/relationships/hyperlink" Target="https://rabattkodsidan.se/nytt/hur-fungerar-egentligen-valkomstbonusar-pa-casinon/" TargetMode="External"/><Relationship Id="rId7217" Type="http://schemas.openxmlformats.org/officeDocument/2006/relationships/hyperlink" Target="https://vackerhud.se/perioral-dermatit-forsta-och-hantera-hudproblem/" TargetMode="External"/><Relationship Id="rId7631" Type="http://schemas.openxmlformats.org/officeDocument/2006/relationships/hyperlink" Target="http://cdbilvardsprodukter.se/" TargetMode="External"/><Relationship Id="rId10612" Type="http://schemas.openxmlformats.org/officeDocument/2006/relationships/hyperlink" Target="http://megariches.com/" TargetMode="External"/><Relationship Id="rId2776" Type="http://schemas.openxmlformats.org/officeDocument/2006/relationships/hyperlink" Target="https://ekonomistart.se/de-basta-och-mest-populara-casinospelen-i-onlinecasinon/" TargetMode="External"/><Relationship Id="rId3827" Type="http://schemas.openxmlformats.org/officeDocument/2006/relationships/hyperlink" Target="https://w3elsolenergi.se/" TargetMode="External"/><Relationship Id="rId5182" Type="http://schemas.openxmlformats.org/officeDocument/2006/relationships/hyperlink" Target="https://sakraror.se/" TargetMode="External"/><Relationship Id="rId6233" Type="http://schemas.openxmlformats.org/officeDocument/2006/relationships/hyperlink" Target="https://www.lansfast.se/maklare/sodermanland/trosa/" TargetMode="External"/><Relationship Id="rId9389" Type="http://schemas.openxmlformats.org/officeDocument/2006/relationships/hyperlink" Target="https://www.aktiekunskap.nu/aktieblogg/allt-du-behover-veta-for-att-kopa-utlandska-aktier/" TargetMode="External"/><Relationship Id="rId748" Type="http://schemas.openxmlformats.org/officeDocument/2006/relationships/hyperlink" Target="https://nybyggande.se/detta-bor-man-tanka-pa-nar-man-ska-anlita-hantverkare/" TargetMode="External"/><Relationship Id="rId1378" Type="http://schemas.openxmlformats.org/officeDocument/2006/relationships/hyperlink" Target="http://fairinvestments.se/" TargetMode="External"/><Relationship Id="rId1792" Type="http://schemas.openxmlformats.org/officeDocument/2006/relationships/hyperlink" Target="https://www.freckeus.se/" TargetMode="External"/><Relationship Id="rId2429" Type="http://schemas.openxmlformats.org/officeDocument/2006/relationships/hyperlink" Target="http://e-ciggbolaget.se/" TargetMode="External"/><Relationship Id="rId2843" Type="http://schemas.openxmlformats.org/officeDocument/2006/relationships/hyperlink" Target="http://glitnor.com/" TargetMode="External"/><Relationship Id="rId5999" Type="http://schemas.openxmlformats.org/officeDocument/2006/relationships/hyperlink" Target="https://kelleher-international.com/professional-matchmaking-for-men/" TargetMode="External"/><Relationship Id="rId6300" Type="http://schemas.openxmlformats.org/officeDocument/2006/relationships/hyperlink" Target="https://tiotak.se/byta-tak-maskinhall/" TargetMode="External"/><Relationship Id="rId9456" Type="http://schemas.openxmlformats.org/officeDocument/2006/relationships/hyperlink" Target="http://upplevelse.com/" TargetMode="External"/><Relationship Id="rId9870" Type="http://schemas.openxmlformats.org/officeDocument/2006/relationships/hyperlink" Target="https://financedigest.com/insurtech-spotlight-simplifying-coverage-for-small-businesses-cmbuy16ie000sa71il7i9op1j/" TargetMode="External"/><Relationship Id="rId11386" Type="http://schemas.openxmlformats.org/officeDocument/2006/relationships/hyperlink" Target="http://haxan.se/" TargetMode="External"/><Relationship Id="rId12437" Type="http://schemas.openxmlformats.org/officeDocument/2006/relationships/hyperlink" Target="https://www.alvtorpet.se/" TargetMode="External"/><Relationship Id="rId12784" Type="http://schemas.openxmlformats.org/officeDocument/2006/relationships/hyperlink" Target="https://sandudden.se/kick-off/" TargetMode="External"/><Relationship Id="rId84" Type="http://schemas.openxmlformats.org/officeDocument/2006/relationships/hyperlink" Target="https://elleblonde.com/2022/11/03/get-the-most-out-of-the-fall-season/" TargetMode="External"/><Relationship Id="rId815" Type="http://schemas.openxmlformats.org/officeDocument/2006/relationships/hyperlink" Target="https://businessmanualen.se/detta-ska-man-tanka-pa-nar-man-valjer-en-arbetsplattform-till-en-arbetsplats/" TargetMode="External"/><Relationship Id="rId1445" Type="http://schemas.openxmlformats.org/officeDocument/2006/relationships/hyperlink" Target="http://rehabgrossisten.com/" TargetMode="External"/><Relationship Id="rId8058" Type="http://schemas.openxmlformats.org/officeDocument/2006/relationships/hyperlink" Target="http://ekstromgaray.se/" TargetMode="External"/><Relationship Id="rId8472" Type="http://schemas.openxmlformats.org/officeDocument/2006/relationships/hyperlink" Target="http://svenskiptv.com/" TargetMode="External"/><Relationship Id="rId9109" Type="http://schemas.openxmlformats.org/officeDocument/2006/relationships/hyperlink" Target="http://nettotobak.com/" TargetMode="External"/><Relationship Id="rId9523" Type="http://schemas.openxmlformats.org/officeDocument/2006/relationships/hyperlink" Target="http://petster.se/" TargetMode="External"/><Relationship Id="rId11039" Type="http://schemas.openxmlformats.org/officeDocument/2006/relationships/hyperlink" Target="http://kvarnx.com/" TargetMode="External"/><Relationship Id="rId12851" Type="http://schemas.openxmlformats.org/officeDocument/2006/relationships/hyperlink" Target="https://arctic.se/nibe-warmepumpe-versicherung/" TargetMode="External"/><Relationship Id="rId2910" Type="http://schemas.openxmlformats.org/officeDocument/2006/relationships/hyperlink" Target="https://luckycasino.com/sv/" TargetMode="External"/><Relationship Id="rId7074" Type="http://schemas.openxmlformats.org/officeDocument/2006/relationships/hyperlink" Target="https://www.spelklubben.se/sv/responsible-gaming" TargetMode="External"/><Relationship Id="rId8125" Type="http://schemas.openxmlformats.org/officeDocument/2006/relationships/hyperlink" Target="https://fritidsfinans.se/optimera-din-kapitalforvaltning-for-hogre-avkastning/" TargetMode="External"/><Relationship Id="rId11453" Type="http://schemas.openxmlformats.org/officeDocument/2006/relationships/hyperlink" Target="https://www.lansfast.se/maklare/sodermanland/nykoping/" TargetMode="External"/><Relationship Id="rId12504" Type="http://schemas.openxmlformats.org/officeDocument/2006/relationships/hyperlink" Target="http://fairinvestments.se/" TargetMode="External"/><Relationship Id="rId1512" Type="http://schemas.openxmlformats.org/officeDocument/2006/relationships/hyperlink" Target="https://fashionsizzle.com/2023/10/02/5-ways-to-style-your-socks-to-make-your-outfit-pop/" TargetMode="External"/><Relationship Id="rId4668" Type="http://schemas.openxmlformats.org/officeDocument/2006/relationships/hyperlink" Target="http://cherry.com/" TargetMode="External"/><Relationship Id="rId5719" Type="http://schemas.openxmlformats.org/officeDocument/2006/relationships/hyperlink" Target="https://www.nodepositbonus.cc/bonuses/100-free-bets-juicy-stakes/" TargetMode="External"/><Relationship Id="rId6090" Type="http://schemas.openxmlformats.org/officeDocument/2006/relationships/hyperlink" Target="http://chattanoogarehab.com/" TargetMode="External"/><Relationship Id="rId7141" Type="http://schemas.openxmlformats.org/officeDocument/2006/relationships/hyperlink" Target="https://www.rusta.com/se/sv/fritid/husdjur/hund/hundfoder/" TargetMode="External"/><Relationship Id="rId10055" Type="http://schemas.openxmlformats.org/officeDocument/2006/relationships/hyperlink" Target="https://www.chattanoogarehab.com/us/clinical-electrotherapy/electrical-stimulation" TargetMode="External"/><Relationship Id="rId11106" Type="http://schemas.openxmlformats.org/officeDocument/2006/relationships/hyperlink" Target="http://kungaslottet.se/" TargetMode="External"/><Relationship Id="rId11520" Type="http://schemas.openxmlformats.org/officeDocument/2006/relationships/hyperlink" Target="http://schjodt.com/" TargetMode="External"/><Relationship Id="rId3684" Type="http://schemas.openxmlformats.org/officeDocument/2006/relationships/hyperlink" Target="https://www.mistyann.se/kan-man-kopa-ett-overgivet-hus" TargetMode="External"/><Relationship Id="rId4735" Type="http://schemas.openxmlformats.org/officeDocument/2006/relationships/hyperlink" Target="http://spelklubben.se/" TargetMode="External"/><Relationship Id="rId10122" Type="http://schemas.openxmlformats.org/officeDocument/2006/relationships/hyperlink" Target="https://www.boupplysningen.se/flytta/saker-till-forsta-hemmet" TargetMode="External"/><Relationship Id="rId13278" Type="http://schemas.openxmlformats.org/officeDocument/2006/relationships/hyperlink" Target="https://www.lilla-varlden.se/" TargetMode="External"/><Relationship Id="rId2286" Type="http://schemas.openxmlformats.org/officeDocument/2006/relationships/hyperlink" Target="https://haxan.se/products/haxan-silverputs" TargetMode="External"/><Relationship Id="rId3337" Type="http://schemas.openxmlformats.org/officeDocument/2006/relationships/hyperlink" Target="http://bigbenstandup.com/" TargetMode="External"/><Relationship Id="rId3751" Type="http://schemas.openxmlformats.org/officeDocument/2006/relationships/hyperlink" Target="https://www.linnestudenterna.se/" TargetMode="External"/><Relationship Id="rId4802" Type="http://schemas.openxmlformats.org/officeDocument/2006/relationships/hyperlink" Target="http://kvarnx.com/" TargetMode="External"/><Relationship Id="rId7958" Type="http://schemas.openxmlformats.org/officeDocument/2006/relationships/hyperlink" Target="https://www.spelapoker.se/casino-online/" TargetMode="External"/><Relationship Id="rId12294" Type="http://schemas.openxmlformats.org/officeDocument/2006/relationships/hyperlink" Target="https://www.robomarkets.com/se/forex-trading/platforms/metatrader4-mt4/" TargetMode="External"/><Relationship Id="rId258" Type="http://schemas.openxmlformats.org/officeDocument/2006/relationships/hyperlink" Target="https://b&#228;stf&#246;rs&#228;kringar.se/villaforsakring/" TargetMode="External"/><Relationship Id="rId672" Type="http://schemas.openxmlformats.org/officeDocument/2006/relationships/hyperlink" Target="https://www.flushthefashion.com/culture/how-to-get-your-wardrobe-ready-for-spring/" TargetMode="External"/><Relationship Id="rId2353" Type="http://schemas.openxmlformats.org/officeDocument/2006/relationships/hyperlink" Target="http://distansinstitutet.se/" TargetMode="External"/><Relationship Id="rId3404" Type="http://schemas.openxmlformats.org/officeDocument/2006/relationships/hyperlink" Target="https://restate.se/ombildning-till-bostadsratt/" TargetMode="External"/><Relationship Id="rId6974" Type="http://schemas.openxmlformats.org/officeDocument/2006/relationships/hyperlink" Target="https://www.nyaprojekt.se/2024/12/21/nar-behover-du-bygglov/" TargetMode="External"/><Relationship Id="rId9380" Type="http://schemas.openxmlformats.org/officeDocument/2006/relationships/hyperlink" Target="https://spaweekendhotell.se/artiklar/spabehandlingar-bra-for-huden-eller-bara-hokus-pokus/" TargetMode="External"/><Relationship Id="rId10939" Type="http://schemas.openxmlformats.org/officeDocument/2006/relationships/hyperlink" Target="https://www.dbet.com/" TargetMode="External"/><Relationship Id="rId12361" Type="http://schemas.openxmlformats.org/officeDocument/2006/relationships/hyperlink" Target="https://www.vont.se/" TargetMode="External"/><Relationship Id="rId325" Type="http://schemas.openxmlformats.org/officeDocument/2006/relationships/hyperlink" Target="https://egenvilla.se/sa-gor-du-stadningen-roligare/" TargetMode="External"/><Relationship Id="rId2006" Type="http://schemas.openxmlformats.org/officeDocument/2006/relationships/hyperlink" Target="http://mariatand.se/" TargetMode="External"/><Relationship Id="rId2420" Type="http://schemas.openxmlformats.org/officeDocument/2006/relationships/hyperlink" Target="https://lemontree.se/tjanster/devops/site-reliability-engineering/" TargetMode="External"/><Relationship Id="rId5576" Type="http://schemas.openxmlformats.org/officeDocument/2006/relationships/hyperlink" Target="https://www.swedoffice.se/kategori/49902-kopieringspapper" TargetMode="External"/><Relationship Id="rId6627" Type="http://schemas.openxmlformats.org/officeDocument/2006/relationships/hyperlink" Target="https://forvaltarbrevet.com/datum-investor-utdelning/" TargetMode="External"/><Relationship Id="rId9033" Type="http://schemas.openxmlformats.org/officeDocument/2006/relationships/hyperlink" Target="http://myownwater.com/" TargetMode="External"/><Relationship Id="rId12014" Type="http://schemas.openxmlformats.org/officeDocument/2006/relationships/hyperlink" Target="https://instrumentpolen.se/svenska-bilmekaniker-i-tyreso-din-vag-till-bekymmersfri-bilkorning/" TargetMode="External"/><Relationship Id="rId1022" Type="http://schemas.openxmlformats.org/officeDocument/2006/relationships/hyperlink" Target="https://distansinstitutet.se/artiklar/mot-studenten-projektledare/" TargetMode="External"/><Relationship Id="rId4178" Type="http://schemas.openxmlformats.org/officeDocument/2006/relationships/hyperlink" Target="http://svenskaeljouren.se/" TargetMode="External"/><Relationship Id="rId4592" Type="http://schemas.openxmlformats.org/officeDocument/2006/relationships/hyperlink" Target="http://snusnetto.se/" TargetMode="External"/><Relationship Id="rId5229" Type="http://schemas.openxmlformats.org/officeDocument/2006/relationships/hyperlink" Target="https://www.joureliten.se/jour-elektriker/" TargetMode="External"/><Relationship Id="rId5990" Type="http://schemas.openxmlformats.org/officeDocument/2006/relationships/hyperlink" Target="http://nodepositbonus.cc/" TargetMode="External"/><Relationship Id="rId9100" Type="http://schemas.openxmlformats.org/officeDocument/2006/relationships/hyperlink" Target="https://stockholms-rorvvs.se/" TargetMode="External"/><Relationship Id="rId3194" Type="http://schemas.openxmlformats.org/officeDocument/2006/relationships/hyperlink" Target="https://www.sistersinlaw.se/blog/2024/4/5/hur-man-klar-sig-for-ett-sommarbrollop" TargetMode="External"/><Relationship Id="rId4245" Type="http://schemas.openxmlformats.org/officeDocument/2006/relationships/hyperlink" Target="https://bigbenstandup.com/svensk-stand-up/svenska-komiker/tomas-bonderud" TargetMode="External"/><Relationship Id="rId5643" Type="http://schemas.openxmlformats.org/officeDocument/2006/relationships/hyperlink" Target="http://fairinvestments.se/" TargetMode="External"/><Relationship Id="rId8799" Type="http://schemas.openxmlformats.org/officeDocument/2006/relationships/hyperlink" Target="https://pontechmarina.com/se/flytbrygga/" TargetMode="External"/><Relationship Id="rId11030" Type="http://schemas.openxmlformats.org/officeDocument/2006/relationships/hyperlink" Target="http://kruunukaluste.fi/" TargetMode="External"/><Relationship Id="rId1839" Type="http://schemas.openxmlformats.org/officeDocument/2006/relationships/hyperlink" Target="https://bonusfamilj.se/sakerstall-tandhalsan-hos-en-valetablerad-tandlakare/" TargetMode="External"/><Relationship Id="rId5710" Type="http://schemas.openxmlformats.org/officeDocument/2006/relationships/hyperlink" Target="http://soartzy.com/" TargetMode="External"/><Relationship Id="rId8866" Type="http://schemas.openxmlformats.org/officeDocument/2006/relationships/hyperlink" Target="https://etherions.com/the-importance-of-concentration-and-focus-for-thriving-under-pressure-in-trading/" TargetMode="External"/><Relationship Id="rId9917" Type="http://schemas.openxmlformats.org/officeDocument/2006/relationships/hyperlink" Target="http://nettotobak.com/" TargetMode="External"/><Relationship Id="rId10796" Type="http://schemas.openxmlformats.org/officeDocument/2006/relationships/hyperlink" Target="https://foretagande.se/varfor-foretag-borde-experimentera-mer-med-arbetstider" TargetMode="External"/><Relationship Id="rId11847" Type="http://schemas.openxmlformats.org/officeDocument/2006/relationships/hyperlink" Target="http://blugiallo.com/" TargetMode="External"/><Relationship Id="rId182" Type="http://schemas.openxmlformats.org/officeDocument/2006/relationships/hyperlink" Target="https://www.elmarknad.se/" TargetMode="External"/><Relationship Id="rId1906" Type="http://schemas.openxmlformats.org/officeDocument/2006/relationships/hyperlink" Target="https://www.fly-comair.com/how-to-choose-a-solar-watch-for-your-air-travel" TargetMode="External"/><Relationship Id="rId3261" Type="http://schemas.openxmlformats.org/officeDocument/2006/relationships/hyperlink" Target="http://spelklubben.se/" TargetMode="External"/><Relationship Id="rId4312" Type="http://schemas.openxmlformats.org/officeDocument/2006/relationships/hyperlink" Target="https://paracas.se/nar-bilen-inte-fungerar-som-den-ska-hur-en-palitlig-bilverkstad-kan-hjalpa-dig/" TargetMode="External"/><Relationship Id="rId7468" Type="http://schemas.openxmlformats.org/officeDocument/2006/relationships/hyperlink" Target="http://svenskafonster.se/" TargetMode="External"/><Relationship Id="rId7882" Type="http://schemas.openxmlformats.org/officeDocument/2006/relationships/hyperlink" Target="http://mobot.com/" TargetMode="External"/><Relationship Id="rId8519" Type="http://schemas.openxmlformats.org/officeDocument/2006/relationships/hyperlink" Target="http://bethard.com/" TargetMode="External"/><Relationship Id="rId8933" Type="http://schemas.openxmlformats.org/officeDocument/2006/relationships/hyperlink" Target="https://thestripesblog.com/smart-tech-for-happier-healthier-pets/" TargetMode="External"/><Relationship Id="rId10449" Type="http://schemas.openxmlformats.org/officeDocument/2006/relationships/hyperlink" Target="https://www.rusta.com/sv-se/hem-och-inredning/mattor" TargetMode="External"/><Relationship Id="rId6484" Type="http://schemas.openxmlformats.org/officeDocument/2006/relationships/hyperlink" Target="https://aerius.se/tjanster/sjalvdrag/" TargetMode="External"/><Relationship Id="rId7535" Type="http://schemas.openxmlformats.org/officeDocument/2006/relationships/hyperlink" Target="https://mockfjards.se/" TargetMode="External"/><Relationship Id="rId10516" Type="http://schemas.openxmlformats.org/officeDocument/2006/relationships/hyperlink" Target="https://snickare.online/snickare" TargetMode="External"/><Relationship Id="rId10863" Type="http://schemas.openxmlformats.org/officeDocument/2006/relationships/hyperlink" Target="https://wellio.se/" TargetMode="External"/><Relationship Id="rId11914" Type="http://schemas.openxmlformats.org/officeDocument/2006/relationships/hyperlink" Target="http://robomarkets.com/" TargetMode="External"/><Relationship Id="rId999" Type="http://schemas.openxmlformats.org/officeDocument/2006/relationships/hyperlink" Target="http://distansinstitutet.se/" TargetMode="External"/><Relationship Id="rId5086" Type="http://schemas.openxmlformats.org/officeDocument/2006/relationships/hyperlink" Target="http://hbel.se/" TargetMode="External"/><Relationship Id="rId6137" Type="http://schemas.openxmlformats.org/officeDocument/2006/relationships/hyperlink" Target="https://breakingac.com/news/2024/oct/30/a-guide-to-no-deposit-bonuses-in-online-casinos/" TargetMode="External"/><Relationship Id="rId6551" Type="http://schemas.openxmlformats.org/officeDocument/2006/relationships/hyperlink" Target="https://www.oekotopp.de/" TargetMode="External"/><Relationship Id="rId7602" Type="http://schemas.openxmlformats.org/officeDocument/2006/relationships/hyperlink" Target="https://filmeye.se/svenska-filmkaraktarer-som-snusar-mangder" TargetMode="External"/><Relationship Id="rId10930" Type="http://schemas.openxmlformats.org/officeDocument/2006/relationships/hyperlink" Target="https://technomeow.com/best-self-cleaning-litter-boxes-this-year/" TargetMode="External"/><Relationship Id="rId1696" Type="http://schemas.openxmlformats.org/officeDocument/2006/relationships/hyperlink" Target="https://pontechmarina.com/se/flytbrygga/" TargetMode="External"/><Relationship Id="rId5153" Type="http://schemas.openxmlformats.org/officeDocument/2006/relationships/hyperlink" Target="http://bigbenstandup.com/" TargetMode="External"/><Relationship Id="rId6204" Type="http://schemas.openxmlformats.org/officeDocument/2006/relationships/hyperlink" Target="https://svenskacasinosajterna.se/inlagg/spelklubben-se-recension-en-palitlig-och-anvandarvanlig-casinoplattform/" TargetMode="External"/><Relationship Id="rId12688" Type="http://schemas.openxmlformats.org/officeDocument/2006/relationships/hyperlink" Target="https://dindromvilla.se/mattor-som-forvandlar-ditt-hem-till-en-mysig-oas/" TargetMode="External"/><Relationship Id="rId1349" Type="http://schemas.openxmlformats.org/officeDocument/2006/relationships/hyperlink" Target="https://marketingmartin.se/testautomatisering/" TargetMode="External"/><Relationship Id="rId2747" Type="http://schemas.openxmlformats.org/officeDocument/2006/relationships/hyperlink" Target="https://www.norteam.se/" TargetMode="External"/><Relationship Id="rId5220" Type="http://schemas.openxmlformats.org/officeDocument/2006/relationships/hyperlink" Target="http://mariatand.se/" TargetMode="External"/><Relationship Id="rId8376" Type="http://schemas.openxmlformats.org/officeDocument/2006/relationships/hyperlink" Target="http://mockfjards.se/" TargetMode="External"/><Relationship Id="rId9774" Type="http://schemas.openxmlformats.org/officeDocument/2006/relationships/hyperlink" Target="http://hund.se/" TargetMode="External"/><Relationship Id="rId12755" Type="http://schemas.openxmlformats.org/officeDocument/2006/relationships/hyperlink" Target="https://www.indoorprofessional.se/" TargetMode="External"/><Relationship Id="rId719" Type="http://schemas.openxmlformats.org/officeDocument/2006/relationships/hyperlink" Target="https://arctic.se/nibewp/" TargetMode="External"/><Relationship Id="rId1763" Type="http://schemas.openxmlformats.org/officeDocument/2006/relationships/hyperlink" Target="http://foyen.se/" TargetMode="External"/><Relationship Id="rId2814" Type="http://schemas.openxmlformats.org/officeDocument/2006/relationships/hyperlink" Target="https://www.totallydublin.ie/uncategorized/spelklubben-det-ansvarsfulla-onlinecasinot-for-framtiden/" TargetMode="External"/><Relationship Id="rId8029" Type="http://schemas.openxmlformats.org/officeDocument/2006/relationships/hyperlink" Target="https://pedrovazpaulo.com/the-hidden-cost-of-data-breaches/" TargetMode="External"/><Relationship Id="rId8790" Type="http://schemas.openxmlformats.org/officeDocument/2006/relationships/hyperlink" Target="http://aerius.se/" TargetMode="External"/><Relationship Id="rId9427" Type="http://schemas.openxmlformats.org/officeDocument/2006/relationships/hyperlink" Target="https://balansekonomi.se/eu-politikerna-och-det-vita-snuset-darfor-kan-det-inte-forbjudas/" TargetMode="External"/><Relationship Id="rId9841" Type="http://schemas.openxmlformats.org/officeDocument/2006/relationships/hyperlink" Target="https://gladafamiljer.se/smidiga-kop-av-barnprodukter-for-hela-familjen/" TargetMode="External"/><Relationship Id="rId11357" Type="http://schemas.openxmlformats.org/officeDocument/2006/relationships/hyperlink" Target="https://valutor.nu/vaxla-resevaluta-pa-arlanda/" TargetMode="External"/><Relationship Id="rId11771" Type="http://schemas.openxmlformats.org/officeDocument/2006/relationships/hyperlink" Target="https://yagya.com/products/monogram-long-sleeve-shirt-tan" TargetMode="External"/><Relationship Id="rId12408" Type="http://schemas.openxmlformats.org/officeDocument/2006/relationships/hyperlink" Target="http://bigbenstandup.com/" TargetMode="External"/><Relationship Id="rId12822" Type="http://schemas.openxmlformats.org/officeDocument/2006/relationships/hyperlink" Target="http://turner.fi/" TargetMode="External"/><Relationship Id="rId55" Type="http://schemas.openxmlformats.org/officeDocument/2006/relationships/hyperlink" Target="http://blugiallo.com/" TargetMode="External"/><Relationship Id="rId1416" Type="http://schemas.openxmlformats.org/officeDocument/2006/relationships/hyperlink" Target="http://rehabgrossisten.com/" TargetMode="External"/><Relationship Id="rId1830" Type="http://schemas.openxmlformats.org/officeDocument/2006/relationships/hyperlink" Target="https://andreanorrman.se/husbesiktningar-en-avgorande-process-for-bade-saljare-och-kopare/" TargetMode="External"/><Relationship Id="rId4986" Type="http://schemas.openxmlformats.org/officeDocument/2006/relationships/hyperlink" Target="https://fairinvestments.se/" TargetMode="External"/><Relationship Id="rId7392" Type="http://schemas.openxmlformats.org/officeDocument/2006/relationships/hyperlink" Target="https://www.allaannonser.se/samarb-renovera-fonster.html" TargetMode="External"/><Relationship Id="rId8443" Type="http://schemas.openxmlformats.org/officeDocument/2006/relationships/hyperlink" Target="https://clearfuze.com/solutions/it-consulting/" TargetMode="External"/><Relationship Id="rId10373" Type="http://schemas.openxmlformats.org/officeDocument/2006/relationships/hyperlink" Target="https://dreamfilm.se/blogg/varfor-gillar-vi-trios-i-barn-och-ungdomsfilm/" TargetMode="External"/><Relationship Id="rId11424" Type="http://schemas.openxmlformats.org/officeDocument/2006/relationships/hyperlink" Target="https://poolstart.se/hur-man-saljer-en-villa-i-nykoping/" TargetMode="External"/><Relationship Id="rId3588" Type="http://schemas.openxmlformats.org/officeDocument/2006/relationships/hyperlink" Target="http://fairinvestments.se/" TargetMode="External"/><Relationship Id="rId4639" Type="http://schemas.openxmlformats.org/officeDocument/2006/relationships/hyperlink" Target="https://www.mrnicco.com/" TargetMode="External"/><Relationship Id="rId7045" Type="http://schemas.openxmlformats.org/officeDocument/2006/relationships/hyperlink" Target="http://mynicco.com/" TargetMode="External"/><Relationship Id="rId8510" Type="http://schemas.openxmlformats.org/officeDocument/2006/relationships/hyperlink" Target="https://www.startmotor.se/kategori/b%C3%A5tbatteri" TargetMode="External"/><Relationship Id="rId10026" Type="http://schemas.openxmlformats.org/officeDocument/2006/relationships/hyperlink" Target="https://glassfactory.fi/sv/collections/speglar-med-belysning" TargetMode="External"/><Relationship Id="rId10440" Type="http://schemas.openxmlformats.org/officeDocument/2006/relationships/hyperlink" Target="https://www.startmotor.se/batmotordelar" TargetMode="External"/><Relationship Id="rId3655" Type="http://schemas.openxmlformats.org/officeDocument/2006/relationships/hyperlink" Target="http://mrnicco.com/" TargetMode="External"/><Relationship Id="rId4706" Type="http://schemas.openxmlformats.org/officeDocument/2006/relationships/hyperlink" Target="https://annasfotnoter.se/underhall-av-tak-aret-runt-sasongsrelaterade-tips-skador-att-se-upp-for/" TargetMode="External"/><Relationship Id="rId6061" Type="http://schemas.openxmlformats.org/officeDocument/2006/relationships/hyperlink" Target="http://spelklubben.se/" TargetMode="External"/><Relationship Id="rId7112" Type="http://schemas.openxmlformats.org/officeDocument/2006/relationships/hyperlink" Target="https://www.startmotor.se/kategori/startmotorer" TargetMode="External"/><Relationship Id="rId12198" Type="http://schemas.openxmlformats.org/officeDocument/2006/relationships/hyperlink" Target="http://fairinvestments.se/" TargetMode="External"/><Relationship Id="rId13249" Type="http://schemas.openxmlformats.org/officeDocument/2006/relationships/hyperlink" Target="https://industrimagasinet.se/flexibla-boendelosningar-for-foretagsresor-i-stockholm/" TargetMode="External"/><Relationship Id="rId576" Type="http://schemas.openxmlformats.org/officeDocument/2006/relationships/hyperlink" Target="https://rehabgrossisten.com/skydd-bandage/hand/handledsstod/" TargetMode="External"/><Relationship Id="rId990" Type="http://schemas.openxmlformats.org/officeDocument/2006/relationships/hyperlink" Target="https://www.theluxeinsider.com/lifestyle/5-things-to-consider-when-looking-for-pre-owned-luxury-items/" TargetMode="External"/><Relationship Id="rId2257" Type="http://schemas.openxmlformats.org/officeDocument/2006/relationships/hyperlink" Target="https://www.fly-comair.com/how-to-choose-a-solar-watch-for-your-air-travel" TargetMode="External"/><Relationship Id="rId2671" Type="http://schemas.openxmlformats.org/officeDocument/2006/relationships/hyperlink" Target="https://www.illervanner.se/aldrig-for-sent-att-borja-spara" TargetMode="External"/><Relationship Id="rId3308" Type="http://schemas.openxmlformats.org/officeDocument/2006/relationships/hyperlink" Target="http://fairinvestments.se/" TargetMode="External"/><Relationship Id="rId9284" Type="http://schemas.openxmlformats.org/officeDocument/2006/relationships/hyperlink" Target="http://sesec.se/" TargetMode="External"/><Relationship Id="rId229" Type="http://schemas.openxmlformats.org/officeDocument/2006/relationships/hyperlink" Target="http://askskinfo.com/" TargetMode="External"/><Relationship Id="rId643" Type="http://schemas.openxmlformats.org/officeDocument/2006/relationships/hyperlink" Target="https://www.happysocks.com/us/collection/socks-for-women" TargetMode="External"/><Relationship Id="rId1273" Type="http://schemas.openxmlformats.org/officeDocument/2006/relationships/hyperlink" Target="http://distansinstitutet.se/" TargetMode="External"/><Relationship Id="rId2324" Type="http://schemas.openxmlformats.org/officeDocument/2006/relationships/hyperlink" Target="http://lemontree.se/" TargetMode="External"/><Relationship Id="rId3722" Type="http://schemas.openxmlformats.org/officeDocument/2006/relationships/hyperlink" Target="http://spelklubben.se/" TargetMode="External"/><Relationship Id="rId6878" Type="http://schemas.openxmlformats.org/officeDocument/2006/relationships/hyperlink" Target="https://nordicknots.com/us/rugs" TargetMode="External"/><Relationship Id="rId7929" Type="http://schemas.openxmlformats.org/officeDocument/2006/relationships/hyperlink" Target="http://mockfjards.se/" TargetMode="External"/><Relationship Id="rId9351" Type="http://schemas.openxmlformats.org/officeDocument/2006/relationships/hyperlink" Target="https://www.cherry.com/sv/" TargetMode="External"/><Relationship Id="rId12265" Type="http://schemas.openxmlformats.org/officeDocument/2006/relationships/hyperlink" Target="https://blugiallo.se/herrklader/klader/kostymbyxor/" TargetMode="External"/><Relationship Id="rId13316" Type="http://schemas.openxmlformats.org/officeDocument/2006/relationships/hyperlink" Target="http://epidemicsounds.com/" TargetMode="External"/><Relationship Id="rId5894" Type="http://schemas.openxmlformats.org/officeDocument/2006/relationships/hyperlink" Target="https://bonusfamilj.se/att-ge-ut-en-bok-en-familjekvall-i-bokhyllan/" TargetMode="External"/><Relationship Id="rId6945" Type="http://schemas.openxmlformats.org/officeDocument/2006/relationships/hyperlink" Target="https://www.nyaprojekt.se/2024/12/21/hallbara-flytbryggor-flytande-konstruktioner-innovativa-losningar-for-framtidens-kustnara-byggprojekt/" TargetMode="External"/><Relationship Id="rId9004" Type="http://schemas.openxmlformats.org/officeDocument/2006/relationships/hyperlink" Target="https://nyweekly.com/business/how-the-roofing-industry-impacts-modern-homes-and-businesses/" TargetMode="External"/><Relationship Id="rId11281" Type="http://schemas.openxmlformats.org/officeDocument/2006/relationships/hyperlink" Target="https://www.dieselkraft.se/" TargetMode="External"/><Relationship Id="rId12332" Type="http://schemas.openxmlformats.org/officeDocument/2006/relationships/hyperlink" Target="http://tandea.se/" TargetMode="External"/><Relationship Id="rId710" Type="http://schemas.openxmlformats.org/officeDocument/2006/relationships/hyperlink" Target="https://schjodt.com/expertise/rekonstruktion-insolvens" TargetMode="External"/><Relationship Id="rId1340" Type="http://schemas.openxmlformats.org/officeDocument/2006/relationships/hyperlink" Target="https://serviceteknikerkarlstad.se/fastighetsjuridik-fran-hyresratt-till-fastighetsbildning/" TargetMode="External"/><Relationship Id="rId3098" Type="http://schemas.openxmlformats.org/officeDocument/2006/relationships/hyperlink" Target="https://dinlokalabokhandel.se/att-ta-det-forsta-steget-mot-ett-korkort/" TargetMode="External"/><Relationship Id="rId4496" Type="http://schemas.openxmlformats.org/officeDocument/2006/relationships/hyperlink" Target="https://zelium.se/allmanhet/fordelar-med-att-vara-senior-pensionar-mojligheter-och-formaner-i-samhallet/" TargetMode="External"/><Relationship Id="rId5547" Type="http://schemas.openxmlformats.org/officeDocument/2006/relationships/hyperlink" Target="https://kajsabergqvist.nu/hojdhopp-sverige/" TargetMode="External"/><Relationship Id="rId5961" Type="http://schemas.openxmlformats.org/officeDocument/2006/relationships/hyperlink" Target="https://dragons.no/slik-kan-bedrifter-begrense-risiko-i-dagens-usikre-marked/" TargetMode="External"/><Relationship Id="rId4149" Type="http://schemas.openxmlformats.org/officeDocument/2006/relationships/hyperlink" Target="http://snusnetto.se/" TargetMode="External"/><Relationship Id="rId4563" Type="http://schemas.openxmlformats.org/officeDocument/2006/relationships/hyperlink" Target="http://joureliten.se/" TargetMode="External"/><Relationship Id="rId5614" Type="http://schemas.openxmlformats.org/officeDocument/2006/relationships/hyperlink" Target="https://massagestockholm.se/" TargetMode="External"/><Relationship Id="rId8020" Type="http://schemas.openxmlformats.org/officeDocument/2006/relationships/hyperlink" Target="https://tvohjelmat.com/suurten-tv-urheilutuotantojen-korkeat-yleiskustannukset/" TargetMode="External"/><Relationship Id="rId11001" Type="http://schemas.openxmlformats.org/officeDocument/2006/relationships/hyperlink" Target="http://spelklubben.se/" TargetMode="External"/><Relationship Id="rId3165" Type="http://schemas.openxmlformats.org/officeDocument/2006/relationships/hyperlink" Target="http://mariatand.se/" TargetMode="External"/><Relationship Id="rId4216" Type="http://schemas.openxmlformats.org/officeDocument/2006/relationships/hyperlink" Target="http://tandea.se/" TargetMode="External"/><Relationship Id="rId4630" Type="http://schemas.openxmlformats.org/officeDocument/2006/relationships/hyperlink" Target="https://www.spelklubben.se/sv/betting" TargetMode="External"/><Relationship Id="rId7786" Type="http://schemas.openxmlformats.org/officeDocument/2006/relationships/hyperlink" Target="https://www.motorshop.nu/vikten-av-att-ha-en-bilverkstad-man-kan-lita-pa" TargetMode="External"/><Relationship Id="rId8837" Type="http://schemas.openxmlformats.org/officeDocument/2006/relationships/hyperlink" Target="https://www.lsb.se/" TargetMode="External"/><Relationship Id="rId13173" Type="http://schemas.openxmlformats.org/officeDocument/2006/relationships/hyperlink" Target="http://spelklubben.se/" TargetMode="External"/><Relationship Id="rId2181" Type="http://schemas.openxmlformats.org/officeDocument/2006/relationships/hyperlink" Target="https://www.theartofthepossible.net/molntjanster-fran-microsoft" TargetMode="External"/><Relationship Id="rId3232" Type="http://schemas.openxmlformats.org/officeDocument/2006/relationships/hyperlink" Target="https://www.mariatand.se/behandling/tandimplantat-stockholm" TargetMode="External"/><Relationship Id="rId6388" Type="http://schemas.openxmlformats.org/officeDocument/2006/relationships/hyperlink" Target="https://tesso.fi/luottovakuutus-ja-riskienhallinta-vahva-yhdistelma-menestyksen-saavuttamiseen/" TargetMode="External"/><Relationship Id="rId7439" Type="http://schemas.openxmlformats.org/officeDocument/2006/relationships/hyperlink" Target="http://michaelofrisorerna.se/" TargetMode="External"/><Relationship Id="rId10767" Type="http://schemas.openxmlformats.org/officeDocument/2006/relationships/hyperlink" Target="https://www.tandlakare.se/stad/stockholm/" TargetMode="External"/><Relationship Id="rId11818" Type="http://schemas.openxmlformats.org/officeDocument/2006/relationships/hyperlink" Target="https://markets.vontobel.com/nb-no" TargetMode="External"/><Relationship Id="rId153" Type="http://schemas.openxmlformats.org/officeDocument/2006/relationships/hyperlink" Target="https://ljusgrossisten.se/" TargetMode="External"/><Relationship Id="rId6455" Type="http://schemas.openxmlformats.org/officeDocument/2006/relationships/hyperlink" Target="https://www.cherry.com/sv" TargetMode="External"/><Relationship Id="rId7853" Type="http://schemas.openxmlformats.org/officeDocument/2006/relationships/hyperlink" Target="https://varmlandsbygden.se/partner/din-hunds-koppellosa-dromresa-i-varmland-7-platser-din-hund-kommer-alska/" TargetMode="External"/><Relationship Id="rId8904" Type="http://schemas.openxmlformats.org/officeDocument/2006/relationships/hyperlink" Target="http://mockfjards.se/" TargetMode="External"/><Relationship Id="rId10834" Type="http://schemas.openxmlformats.org/officeDocument/2006/relationships/hyperlink" Target="http://videoslots.com/" TargetMode="External"/><Relationship Id="rId13240" Type="http://schemas.openxmlformats.org/officeDocument/2006/relationships/hyperlink" Target="http://startmotor.se/" TargetMode="External"/><Relationship Id="rId220" Type="http://schemas.openxmlformats.org/officeDocument/2006/relationships/hyperlink" Target="http://arctic.se/" TargetMode="External"/><Relationship Id="rId2998" Type="http://schemas.openxmlformats.org/officeDocument/2006/relationships/hyperlink" Target="https://thebrewery.se/voom-bar-den-ultimata-engangs-e-cigarett-erfarenheten/" TargetMode="External"/><Relationship Id="rId5057" Type="http://schemas.openxmlformats.org/officeDocument/2006/relationships/hyperlink" Target="https://www.spelklubben.se/sv/live-casino" TargetMode="External"/><Relationship Id="rId6108" Type="http://schemas.openxmlformats.org/officeDocument/2006/relationships/hyperlink" Target="http://kanalgratis.se/" TargetMode="External"/><Relationship Id="rId7506" Type="http://schemas.openxmlformats.org/officeDocument/2006/relationships/hyperlink" Target="http://kamux.fi/" TargetMode="External"/><Relationship Id="rId7920" Type="http://schemas.openxmlformats.org/officeDocument/2006/relationships/hyperlink" Target="http://cherry.com/" TargetMode="External"/><Relationship Id="rId10901" Type="http://schemas.openxmlformats.org/officeDocument/2006/relationships/hyperlink" Target="https://www.laprogressive.com/sponsored/alternative-to-smoking" TargetMode="External"/><Relationship Id="rId4073" Type="http://schemas.openxmlformats.org/officeDocument/2006/relationships/hyperlink" Target="http://lansfast.se/" TargetMode="External"/><Relationship Id="rId5471" Type="http://schemas.openxmlformats.org/officeDocument/2006/relationships/hyperlink" Target="https://www.riotimesonline.com/emerging-tourism-trends-in-south-america/" TargetMode="External"/><Relationship Id="rId6522" Type="http://schemas.openxmlformats.org/officeDocument/2006/relationships/hyperlink" Target="http://nodepositbonus.cc/" TargetMode="External"/><Relationship Id="rId9678" Type="http://schemas.openxmlformats.org/officeDocument/2006/relationships/hyperlink" Target="http://videoslots.com/" TargetMode="External"/><Relationship Id="rId12659" Type="http://schemas.openxmlformats.org/officeDocument/2006/relationships/hyperlink" Target="https://www.mrvegas.com/" TargetMode="External"/><Relationship Id="rId1667" Type="http://schemas.openxmlformats.org/officeDocument/2006/relationships/hyperlink" Target="https://barnkatalogen.se/darfor-ar-det-viktigt-att-ta-hand-om-ditt-barns-tander/" TargetMode="External"/><Relationship Id="rId2718" Type="http://schemas.openxmlformats.org/officeDocument/2006/relationships/hyperlink" Target="http://mariatand.se/" TargetMode="External"/><Relationship Id="rId5124" Type="http://schemas.openxmlformats.org/officeDocument/2006/relationships/hyperlink" Target="https://www.startmotor.se/kategori/generatorer" TargetMode="External"/><Relationship Id="rId8694" Type="http://schemas.openxmlformats.org/officeDocument/2006/relationships/hyperlink" Target="https://tryggbil.se/volkswagen/" TargetMode="External"/><Relationship Id="rId9745" Type="http://schemas.openxmlformats.org/officeDocument/2006/relationships/hyperlink" Target="http://turner.fi/" TargetMode="External"/><Relationship Id="rId11675" Type="http://schemas.openxmlformats.org/officeDocument/2006/relationships/hyperlink" Target="https://brafiler.se/nyheter/dessa-tj%C3%A4nster-kan-vara-kloka-att-ha-tillg%C3%A5ng-till-n%C3%A4r-du-b%C3%B6rjar-med-investeringar/1011" TargetMode="External"/><Relationship Id="rId12726" Type="http://schemas.openxmlformats.org/officeDocument/2006/relationships/hyperlink" Target="http://tryggbil.se/" TargetMode="External"/><Relationship Id="rId1734" Type="http://schemas.openxmlformats.org/officeDocument/2006/relationships/hyperlink" Target="https://www.nojesnytthelsingborg.se/2023/11/21/vilken-styrka-ska-man-valja-pa-sin-forsta-e-cigg/" TargetMode="External"/><Relationship Id="rId4140" Type="http://schemas.openxmlformats.org/officeDocument/2006/relationships/hyperlink" Target="https://www.snusnetto.se/nyheter/" TargetMode="External"/><Relationship Id="rId7296" Type="http://schemas.openxmlformats.org/officeDocument/2006/relationships/hyperlink" Target="https://www.dagensinfrastruktur.se/2025/01/22/investera-i-infrastruktur-en-hemlig-tungviktare-pa-borsen/" TargetMode="External"/><Relationship Id="rId8347" Type="http://schemas.openxmlformats.org/officeDocument/2006/relationships/hyperlink" Target="https://dryft.se/" TargetMode="External"/><Relationship Id="rId8761" Type="http://schemas.openxmlformats.org/officeDocument/2006/relationships/hyperlink" Target="https://tv24.se/tips/kanalerna-vi-vaxte-upp-med-men-glomde-bort" TargetMode="External"/><Relationship Id="rId9812" Type="http://schemas.openxmlformats.org/officeDocument/2006/relationships/hyperlink" Target="http://sakraror.se/" TargetMode="External"/><Relationship Id="rId10277" Type="http://schemas.openxmlformats.org/officeDocument/2006/relationships/hyperlink" Target="http://hund.se/" TargetMode="External"/><Relationship Id="rId11328" Type="http://schemas.openxmlformats.org/officeDocument/2006/relationships/hyperlink" Target="https://now.nu/kapitalforvaltning-sa-fungerar-det/" TargetMode="External"/><Relationship Id="rId26" Type="http://schemas.openxmlformats.org/officeDocument/2006/relationships/hyperlink" Target="https://digitalhalsan.nu/2022/09/15/var-halsa-ar-livsviktig/" TargetMode="External"/><Relationship Id="rId7363" Type="http://schemas.openxmlformats.org/officeDocument/2006/relationships/hyperlink" Target="https://www.kelleher-international.com/" TargetMode="External"/><Relationship Id="rId8414" Type="http://schemas.openxmlformats.org/officeDocument/2006/relationships/hyperlink" Target="https://www.nettotobak.com/zyn/" TargetMode="External"/><Relationship Id="rId10691" Type="http://schemas.openxmlformats.org/officeDocument/2006/relationships/hyperlink" Target="https://foretagande.se/en-gronare-foretagsekonomi-sa-raddar-du-bade-planeten-och-planboken" TargetMode="External"/><Relationship Id="rId11742" Type="http://schemas.openxmlformats.org/officeDocument/2006/relationships/hyperlink" Target="https://yagya.com/" TargetMode="External"/><Relationship Id="rId1801" Type="http://schemas.openxmlformats.org/officeDocument/2006/relationships/hyperlink" Target="https://schjodt.com/expertise/rekonstruktion-insolvens" TargetMode="External"/><Relationship Id="rId3559" Type="http://schemas.openxmlformats.org/officeDocument/2006/relationships/hyperlink" Target="http://fairinvestments.se/" TargetMode="External"/><Relationship Id="rId4957" Type="http://schemas.openxmlformats.org/officeDocument/2006/relationships/hyperlink" Target="https://cannabislight.se/" TargetMode="External"/><Relationship Id="rId7016" Type="http://schemas.openxmlformats.org/officeDocument/2006/relationships/hyperlink" Target="https://www.coface.no/ordliste-for-kredittforsikring-og-kreditthaandtering/kredittvurdering" TargetMode="External"/><Relationship Id="rId7430" Type="http://schemas.openxmlformats.org/officeDocument/2006/relationships/hyperlink" Target="http://ekstromgaray.se/" TargetMode="External"/><Relationship Id="rId10344" Type="http://schemas.openxmlformats.org/officeDocument/2006/relationships/hyperlink" Target="https://www.kungaslottet.se/live-casino/" TargetMode="External"/><Relationship Id="rId3973" Type="http://schemas.openxmlformats.org/officeDocument/2006/relationships/hyperlink" Target="https://sakraror.se/vara-tjanster/allman-service-vvs/vvs-i-sollentuna/" TargetMode="External"/><Relationship Id="rId6032" Type="http://schemas.openxmlformats.org/officeDocument/2006/relationships/hyperlink" Target="http://spelklubben.se/" TargetMode="External"/><Relationship Id="rId9188" Type="http://schemas.openxmlformats.org/officeDocument/2006/relationships/hyperlink" Target="https://arctic.se/se/forsakringslosningar/svensksolenergi/" TargetMode="External"/><Relationship Id="rId10411" Type="http://schemas.openxmlformats.org/officeDocument/2006/relationships/hyperlink" Target="https://www.bastacasinoguide.se/casinoguide/vilket-casinospel-passar-din-personlighet/" TargetMode="External"/><Relationship Id="rId894" Type="http://schemas.openxmlformats.org/officeDocument/2006/relationships/hyperlink" Target="http://happysocks.com/" TargetMode="External"/><Relationship Id="rId1177" Type="http://schemas.openxmlformats.org/officeDocument/2006/relationships/hyperlink" Target="https://aretrotale.com/" TargetMode="External"/><Relationship Id="rId2575" Type="http://schemas.openxmlformats.org/officeDocument/2006/relationships/hyperlink" Target="https://www.favorreklambyra.se/smarta-investeringar" TargetMode="External"/><Relationship Id="rId3626" Type="http://schemas.openxmlformats.org/officeDocument/2006/relationships/hyperlink" Target="https://www.lerumvildmark.se/" TargetMode="External"/><Relationship Id="rId12169" Type="http://schemas.openxmlformats.org/officeDocument/2006/relationships/hyperlink" Target="https://investeringer.se/relining-nar-det-ar-dags-att-agera/" TargetMode="External"/><Relationship Id="rId12583" Type="http://schemas.openxmlformats.org/officeDocument/2006/relationships/hyperlink" Target="http://bbml.se/" TargetMode="External"/><Relationship Id="rId547" Type="http://schemas.openxmlformats.org/officeDocument/2006/relationships/hyperlink" Target="http://elmarknad.se/" TargetMode="External"/><Relationship Id="rId961" Type="http://schemas.openxmlformats.org/officeDocument/2006/relationships/hyperlink" Target="https://www.happysocks.com/eu/collection/dressed" TargetMode="External"/><Relationship Id="rId1591" Type="http://schemas.openxmlformats.org/officeDocument/2006/relationships/hyperlink" Target="https://andreanorrman.se/fair-investments-forvaltning-radgivning-och-pension/" TargetMode="External"/><Relationship Id="rId2228" Type="http://schemas.openxmlformats.org/officeDocument/2006/relationships/hyperlink" Target="https://tomtechblog.com/your-smartphone-your-shield-how-to-strengthen-your-device-s-cybersecurity/" TargetMode="External"/><Relationship Id="rId2642" Type="http://schemas.openxmlformats.org/officeDocument/2006/relationships/hyperlink" Target="https://hemplybalance.se/cbd-hampaoljor/" TargetMode="External"/><Relationship Id="rId5798" Type="http://schemas.openxmlformats.org/officeDocument/2006/relationships/hyperlink" Target="http://tiotak.se/" TargetMode="External"/><Relationship Id="rId6849" Type="http://schemas.openxmlformats.org/officeDocument/2006/relationships/hyperlink" Target="https://vardagsfrid.se/stadning/kontorsstadning" TargetMode="External"/><Relationship Id="rId9255" Type="http://schemas.openxmlformats.org/officeDocument/2006/relationships/hyperlink" Target="https://www.swedoffice.se/" TargetMode="External"/><Relationship Id="rId11185" Type="http://schemas.openxmlformats.org/officeDocument/2006/relationships/hyperlink" Target="https://malm&#246;cloud.se/the-power-of-onboarding-uniting-the-workspace-getting-organized-motivated-and-engaged/" TargetMode="External"/><Relationship Id="rId12236" Type="http://schemas.openxmlformats.org/officeDocument/2006/relationships/hyperlink" Target="https://www.sistersinlaw.se/blog/2023/11/3/magiska-brollopsforberedelser" TargetMode="External"/><Relationship Id="rId12650" Type="http://schemas.openxmlformats.org/officeDocument/2006/relationships/hyperlink" Target="https://www.lsb.se/" TargetMode="External"/><Relationship Id="rId614" Type="http://schemas.openxmlformats.org/officeDocument/2006/relationships/hyperlink" Target="https://tiotak.se/" TargetMode="External"/><Relationship Id="rId1244" Type="http://schemas.openxmlformats.org/officeDocument/2006/relationships/hyperlink" Target="https://www.swedoffice.se/" TargetMode="External"/><Relationship Id="rId5865" Type="http://schemas.openxmlformats.org/officeDocument/2006/relationships/hyperlink" Target="https://byggavilla.se/byta-tak-pa-maskinhall-en-guide-inom-byggbranschen/" TargetMode="External"/><Relationship Id="rId6916" Type="http://schemas.openxmlformats.org/officeDocument/2006/relationships/hyperlink" Target="https://www.hund.se/koppel-selar-och-halsband" TargetMode="External"/><Relationship Id="rId8271" Type="http://schemas.openxmlformats.org/officeDocument/2006/relationships/hyperlink" Target="http://ekstromgaray.se/" TargetMode="External"/><Relationship Id="rId9322" Type="http://schemas.openxmlformats.org/officeDocument/2006/relationships/hyperlink" Target="https://hockeybladet.nu/artikel/stanley-cup-forutsattningarna-infor-slutet/" TargetMode="External"/><Relationship Id="rId11252" Type="http://schemas.openxmlformats.org/officeDocument/2006/relationships/hyperlink" Target="https://adamsteen.se/motoroptimering/" TargetMode="External"/><Relationship Id="rId12303" Type="http://schemas.openxmlformats.org/officeDocument/2006/relationships/hyperlink" Target="http://ledkungen.se/" TargetMode="External"/><Relationship Id="rId1311" Type="http://schemas.openxmlformats.org/officeDocument/2006/relationships/hyperlink" Target="https://www.happysocks.com/us/adults/trend-edit" TargetMode="External"/><Relationship Id="rId4467" Type="http://schemas.openxmlformats.org/officeDocument/2006/relationships/hyperlink" Target="http://mariatand.se/" TargetMode="External"/><Relationship Id="rId4881" Type="http://schemas.openxmlformats.org/officeDocument/2006/relationships/hyperlink" Target="https://b&#228;sta-fonderna.nu/blogg/fonder-den-enkla-vagen-till-smartare-investeringar/" TargetMode="External"/><Relationship Id="rId5518" Type="http://schemas.openxmlformats.org/officeDocument/2006/relationships/hyperlink" Target="https://alltomnorrtalje.se/tandea-tandvardskliniken-som-satter-standarden-for-hela-familjen/" TargetMode="External"/><Relationship Id="rId3069" Type="http://schemas.openxmlformats.org/officeDocument/2006/relationships/hyperlink" Target="http://hvvs.se/" TargetMode="External"/><Relationship Id="rId3483" Type="http://schemas.openxmlformats.org/officeDocument/2006/relationships/hyperlink" Target="https://www.filippa-k.com/se/sv/dam/ready-to-wear/kavajer" TargetMode="External"/><Relationship Id="rId4534" Type="http://schemas.openxmlformats.org/officeDocument/2006/relationships/hyperlink" Target="https://www.vont.se/to-go" TargetMode="External"/><Relationship Id="rId5932" Type="http://schemas.openxmlformats.org/officeDocument/2006/relationships/hyperlink" Target="https://www.spelklubben.se/sv/casino" TargetMode="External"/><Relationship Id="rId13077" Type="http://schemas.openxmlformats.org/officeDocument/2006/relationships/hyperlink" Target="http://bergetsro.se/" TargetMode="External"/><Relationship Id="rId2085" Type="http://schemas.openxmlformats.org/officeDocument/2006/relationships/hyperlink" Target="https://www.alexbyggkonsult.se/" TargetMode="External"/><Relationship Id="rId3136" Type="http://schemas.openxmlformats.org/officeDocument/2006/relationships/hyperlink" Target="https://bygghuddinge.se/alvtorpet-lagenheter-i-centrala-solleftea/" TargetMode="External"/><Relationship Id="rId471" Type="http://schemas.openxmlformats.org/officeDocument/2006/relationships/hyperlink" Target="http://haxan.se/" TargetMode="External"/><Relationship Id="rId2152" Type="http://schemas.openxmlformats.org/officeDocument/2006/relationships/hyperlink" Target="https://www.tryggbil.se/" TargetMode="External"/><Relationship Id="rId3550" Type="http://schemas.openxmlformats.org/officeDocument/2006/relationships/hyperlink" Target="https://www.vaken.se/cbd-olja-extrakt-forstklassig-kvalitet-blixtsnabba-leveranser-hos-cannabislight/" TargetMode="External"/><Relationship Id="rId4601" Type="http://schemas.openxmlformats.org/officeDocument/2006/relationships/hyperlink" Target="http://cherry.com/" TargetMode="External"/><Relationship Id="rId7757" Type="http://schemas.openxmlformats.org/officeDocument/2006/relationships/hyperlink" Target="https://www.dagensinfrastruktur.se/2025/02/20/de-basta-samsta-aren-for-stockholmsborsen-nagonsin/" TargetMode="External"/><Relationship Id="rId8808" Type="http://schemas.openxmlformats.org/officeDocument/2006/relationships/hyperlink" Target="http://hund.se/" TargetMode="External"/><Relationship Id="rId10738" Type="http://schemas.openxmlformats.org/officeDocument/2006/relationships/hyperlink" Target="https://www.rusta.com/sv-se/hem-och-inredning/belysning" TargetMode="External"/><Relationship Id="rId12093" Type="http://schemas.openxmlformats.org/officeDocument/2006/relationships/hyperlink" Target="https://www.pensionplanering.se/2023/10/23/vad-ar-rekonstruktion/" TargetMode="External"/><Relationship Id="rId13144" Type="http://schemas.openxmlformats.org/officeDocument/2006/relationships/hyperlink" Target="http://startmotor.se/" TargetMode="External"/><Relationship Id="rId124" Type="http://schemas.openxmlformats.org/officeDocument/2006/relationships/hyperlink" Target="https://www.menshairstylesx.com/summary-of-tailored-clothes/" TargetMode="External"/><Relationship Id="rId3203" Type="http://schemas.openxmlformats.org/officeDocument/2006/relationships/hyperlink" Target="https://blogg.vett-och-etikett.com/svenskt-mode-en-vav-av-tradition-och-innovation/" TargetMode="External"/><Relationship Id="rId6359" Type="http://schemas.openxmlformats.org/officeDocument/2006/relationships/hyperlink" Target="http://printler.com/" TargetMode="External"/><Relationship Id="rId6773" Type="http://schemas.openxmlformats.org/officeDocument/2006/relationships/hyperlink" Target="http://tryggbil.se/" TargetMode="External"/><Relationship Id="rId7824" Type="http://schemas.openxmlformats.org/officeDocument/2006/relationships/hyperlink" Target="https://svenskafonster.se/fonster" TargetMode="External"/><Relationship Id="rId10805" Type="http://schemas.openxmlformats.org/officeDocument/2006/relationships/hyperlink" Target="https://www.ihus.nu/trygghet-vid-fastighetsaffarer-darfor-valjer-fler-investerare-fair-investments/" TargetMode="External"/><Relationship Id="rId12160" Type="http://schemas.openxmlformats.org/officeDocument/2006/relationships/hyperlink" Target="https://tiotak.se/byta-tak-ekonomibyggnad/" TargetMode="External"/><Relationship Id="rId13211" Type="http://schemas.openxmlformats.org/officeDocument/2006/relationships/hyperlink" Target="https://yorkshirewonders.co.uk/casinos-in-yorkshire" TargetMode="External"/><Relationship Id="rId2969" Type="http://schemas.openxmlformats.org/officeDocument/2006/relationships/hyperlink" Target="https://kelleher-international.com/" TargetMode="External"/><Relationship Id="rId5375" Type="http://schemas.openxmlformats.org/officeDocument/2006/relationships/hyperlink" Target="https://www.cherry.com/sv/live-casino" TargetMode="External"/><Relationship Id="rId6426" Type="http://schemas.openxmlformats.org/officeDocument/2006/relationships/hyperlink" Target="http://oljedroppen.se/" TargetMode="External"/><Relationship Id="rId6840" Type="http://schemas.openxmlformats.org/officeDocument/2006/relationships/hyperlink" Target="https://cdbilvardsprodukter.se/" TargetMode="External"/><Relationship Id="rId9996" Type="http://schemas.openxmlformats.org/officeDocument/2006/relationships/hyperlink" Target="http://willabgarden.de/" TargetMode="External"/><Relationship Id="rId1985" Type="http://schemas.openxmlformats.org/officeDocument/2006/relationships/hyperlink" Target="https://www.vont.se/nicotine-pouches" TargetMode="External"/><Relationship Id="rId4391" Type="http://schemas.openxmlformats.org/officeDocument/2006/relationships/hyperlink" Target="https://familjeekonomin.se/forsta-foretagets-ekonomiska-halsa-genom-bokslut/" TargetMode="External"/><Relationship Id="rId5028" Type="http://schemas.openxmlformats.org/officeDocument/2006/relationships/hyperlink" Target="https://www.kvarnx.com/sv/kryptovalutor" TargetMode="External"/><Relationship Id="rId5442" Type="http://schemas.openxmlformats.org/officeDocument/2006/relationships/hyperlink" Target="https://thecelebportal.com/discover-the-ultimate-destination-for-romance-this-winter/" TargetMode="External"/><Relationship Id="rId8598" Type="http://schemas.openxmlformats.org/officeDocument/2006/relationships/hyperlink" Target="http://acnespecialisten.se/" TargetMode="External"/><Relationship Id="rId9649" Type="http://schemas.openxmlformats.org/officeDocument/2006/relationships/hyperlink" Target="https://www.byggnyheter.se/20250602/32149/stora-investeringar-i-grona-byggprojekt-2025" TargetMode="External"/><Relationship Id="rId11579" Type="http://schemas.openxmlformats.org/officeDocument/2006/relationships/hyperlink" Target="https://sufracofinebrands.com/kategori/aleppotval/" TargetMode="External"/><Relationship Id="rId12977" Type="http://schemas.openxmlformats.org/officeDocument/2006/relationships/hyperlink" Target="http://bethard.com/" TargetMode="External"/><Relationship Id="rId1638" Type="http://schemas.openxmlformats.org/officeDocument/2006/relationships/hyperlink" Target="https://emblemwealth.com/small-businesses-come-out-of-crisis/" TargetMode="External"/><Relationship Id="rId4044" Type="http://schemas.openxmlformats.org/officeDocument/2006/relationships/hyperlink" Target="http://startmotor.se/" TargetMode="External"/><Relationship Id="rId8665" Type="http://schemas.openxmlformats.org/officeDocument/2006/relationships/hyperlink" Target="https://semesterdags.se/foretagsbostader-som-gor-resor-enklare-for-anstallda/" TargetMode="External"/><Relationship Id="rId11993" Type="http://schemas.openxmlformats.org/officeDocument/2006/relationships/hyperlink" Target="https://lemontree.se/tjanster/testautomatisering/" TargetMode="External"/><Relationship Id="rId3060" Type="http://schemas.openxmlformats.org/officeDocument/2006/relationships/hyperlink" Target="https://www.totallystockholm.se/att-hitta-det-basta-och-billigaste-elbolaget-genom-elavtaldirekt/" TargetMode="External"/><Relationship Id="rId4111" Type="http://schemas.openxmlformats.org/officeDocument/2006/relationships/hyperlink" Target="https://www.tandea.se/" TargetMode="External"/><Relationship Id="rId7267" Type="http://schemas.openxmlformats.org/officeDocument/2006/relationships/hyperlink" Target="http://nordicknots.com/us" TargetMode="External"/><Relationship Id="rId8318" Type="http://schemas.openxmlformats.org/officeDocument/2006/relationships/hyperlink" Target="https://allapengar.se/darfor-ska-du-alltid-ha-ett-investeringskapital-redo/" TargetMode="External"/><Relationship Id="rId9716" Type="http://schemas.openxmlformats.org/officeDocument/2006/relationships/hyperlink" Target="http://happypancake.se/" TargetMode="External"/><Relationship Id="rId10595" Type="http://schemas.openxmlformats.org/officeDocument/2006/relationships/hyperlink" Target="https://feedbuzzard.com/how-ai-is-transforming-pet-care/" TargetMode="External"/><Relationship Id="rId11646" Type="http://schemas.openxmlformats.org/officeDocument/2006/relationships/hyperlink" Target="https://markets.vontobel.com/fi-fi/tuotteet/viputuotteet/bull-biear-sertifikaatti/DE000VP4YPH0" TargetMode="External"/><Relationship Id="rId1705" Type="http://schemas.openxmlformats.org/officeDocument/2006/relationships/hyperlink" Target="https://smartfinansiering.se/effektivt-arbete/" TargetMode="External"/><Relationship Id="rId6283" Type="http://schemas.openxmlformats.org/officeDocument/2006/relationships/hyperlink" Target="http://seniorrabatt.se/" TargetMode="External"/><Relationship Id="rId7681" Type="http://schemas.openxmlformats.org/officeDocument/2006/relationships/hyperlink" Target="https://byggavilla.se/viktiga-faktorer-att-tanka-pa-vid-installation-av-vvs-system-i-byggprojekt/" TargetMode="External"/><Relationship Id="rId8732" Type="http://schemas.openxmlformats.org/officeDocument/2006/relationships/hyperlink" Target="https://ng.se/artiklar/19-smarta-frilandsideer-for-extra-cash" TargetMode="External"/><Relationship Id="rId10248" Type="http://schemas.openxmlformats.org/officeDocument/2006/relationships/hyperlink" Target="https://thesource.com/2025/07/08/rugs-interior-design-importance/" TargetMode="External"/><Relationship Id="rId10662" Type="http://schemas.openxmlformats.org/officeDocument/2006/relationships/hyperlink" Target="http://lsb.se/" TargetMode="External"/><Relationship Id="rId11713" Type="http://schemas.openxmlformats.org/officeDocument/2006/relationships/hyperlink" Target="https://markets.vontobel.com/fi-fi/tuotteet" TargetMode="External"/><Relationship Id="rId3877" Type="http://schemas.openxmlformats.org/officeDocument/2006/relationships/hyperlink" Target="http://fairinvestments.se/" TargetMode="External"/><Relationship Id="rId4928" Type="http://schemas.openxmlformats.org/officeDocument/2006/relationships/hyperlink" Target="http://kvarnx.com/" TargetMode="External"/><Relationship Id="rId7334" Type="http://schemas.openxmlformats.org/officeDocument/2006/relationships/hyperlink" Target="https://www.svenskbyggtidning.se/2025/01/22/bor-du-anlita-en-totalentreprenad-absolut-och-har-ar-varfor/" TargetMode="External"/><Relationship Id="rId10315" Type="http://schemas.openxmlformats.org/officeDocument/2006/relationships/hyperlink" Target="http://michaelofrisorerna.se/" TargetMode="External"/><Relationship Id="rId798" Type="http://schemas.openxmlformats.org/officeDocument/2006/relationships/hyperlink" Target="http://happysocks.com/" TargetMode="External"/><Relationship Id="rId2479" Type="http://schemas.openxmlformats.org/officeDocument/2006/relationships/hyperlink" Target="https://www.forfattarcentrum.nu/distansstudier-oppnar-nya-dorrar" TargetMode="External"/><Relationship Id="rId2893" Type="http://schemas.openxmlformats.org/officeDocument/2006/relationships/hyperlink" Target="https://luckycasino.com/fi/" TargetMode="External"/><Relationship Id="rId3944" Type="http://schemas.openxmlformats.org/officeDocument/2006/relationships/hyperlink" Target="http://aaatak.se/" TargetMode="External"/><Relationship Id="rId6350" Type="http://schemas.openxmlformats.org/officeDocument/2006/relationships/hyperlink" Target="http://upplevelse.com/" TargetMode="External"/><Relationship Id="rId7401" Type="http://schemas.openxmlformats.org/officeDocument/2006/relationships/hyperlink" Target="https://www.executiveeffect.se/post-covid-kontoren-medarbetarna-vill-inte-langre-ha-kontor-som-kanns-som-kontor/" TargetMode="External"/><Relationship Id="rId12487" Type="http://schemas.openxmlformats.org/officeDocument/2006/relationships/hyperlink" Target="https://eventeffect.se/omdefiniera-investeringslandskapet-med-fair-investments-en-djupdykning-i-enastaende-prestanda-rattvisa-avgifter/" TargetMode="External"/><Relationship Id="rId865" Type="http://schemas.openxmlformats.org/officeDocument/2006/relationships/hyperlink" Target="https://schjodt.com/expertise/rekonstruktion-insolvens" TargetMode="External"/><Relationship Id="rId1495" Type="http://schemas.openxmlformats.org/officeDocument/2006/relationships/hyperlink" Target="http://advancepointcap.com/" TargetMode="External"/><Relationship Id="rId2546" Type="http://schemas.openxmlformats.org/officeDocument/2006/relationships/hyperlink" Target="http://tiotak.se/" TargetMode="External"/><Relationship Id="rId2960" Type="http://schemas.openxmlformats.org/officeDocument/2006/relationships/hyperlink" Target="https://n&#228;tcasinona.se/casino/fran-pionjarer-till-revolutionarer-aventyret-bakom-online-casinonas-framgang/" TargetMode="External"/><Relationship Id="rId6003" Type="http://schemas.openxmlformats.org/officeDocument/2006/relationships/hyperlink" Target="http://kamux.fi/" TargetMode="External"/><Relationship Id="rId9159" Type="http://schemas.openxmlformats.org/officeDocument/2006/relationships/hyperlink" Target="http://technobark.com/" TargetMode="External"/><Relationship Id="rId9573" Type="http://schemas.openxmlformats.org/officeDocument/2006/relationships/hyperlink" Target="https://ng.se/artiklar/dags-for-ett-nytt-kapitel-karriarskiften-mitt-i-livet" TargetMode="External"/><Relationship Id="rId11089" Type="http://schemas.openxmlformats.org/officeDocument/2006/relationships/hyperlink" Target="https://kulturbloggen.com/?p=196915" TargetMode="External"/><Relationship Id="rId518" Type="http://schemas.openxmlformats.org/officeDocument/2006/relationships/hyperlink" Target="https://www.swedoffice.se/" TargetMode="External"/><Relationship Id="rId932" Type="http://schemas.openxmlformats.org/officeDocument/2006/relationships/hyperlink" Target="https://dodbuzz.com/choosing-the-right-dog-socks/" TargetMode="External"/><Relationship Id="rId1148" Type="http://schemas.openxmlformats.org/officeDocument/2006/relationships/hyperlink" Target="https://www.affarsvarlden.se/tagg/fair-investments" TargetMode="External"/><Relationship Id="rId1562" Type="http://schemas.openxmlformats.org/officeDocument/2006/relationships/hyperlink" Target="https://aip.nu/elever-kanner-sig-lurade-av-utbildningsforetag-som-anlitas-av-kommuner/" TargetMode="External"/><Relationship Id="rId2613" Type="http://schemas.openxmlformats.org/officeDocument/2006/relationships/hyperlink" Target="https://www.prestacreator.com/why-you-need-an-open-source-solution-for-your-online-store" TargetMode="External"/><Relationship Id="rId5769" Type="http://schemas.openxmlformats.org/officeDocument/2006/relationships/hyperlink" Target="https://ng.se/artiklar/dreamhack-stockholm-gar-snart-av-stapeln" TargetMode="External"/><Relationship Id="rId8175" Type="http://schemas.openxmlformats.org/officeDocument/2006/relationships/hyperlink" Target="https://miljonhuset.se/professionella-taklaggningstjanster-for-ditt-hem-i-sodra-sverige/" TargetMode="External"/><Relationship Id="rId9226" Type="http://schemas.openxmlformats.org/officeDocument/2006/relationships/hyperlink" Target="http://purakliniken.se/" TargetMode="External"/><Relationship Id="rId9640" Type="http://schemas.openxmlformats.org/officeDocument/2006/relationships/hyperlink" Target="https://www.vindkraftsnyheter.se/20250602/8692/flytande-vindkraftverk-framtidens-losning-energi-till-havs" TargetMode="External"/><Relationship Id="rId11156" Type="http://schemas.openxmlformats.org/officeDocument/2006/relationships/hyperlink" Target="http://fairinvestments.se/" TargetMode="External"/><Relationship Id="rId12207" Type="http://schemas.openxmlformats.org/officeDocument/2006/relationships/hyperlink" Target="http://ledkungen.se/" TargetMode="External"/><Relationship Id="rId12554" Type="http://schemas.openxmlformats.org/officeDocument/2006/relationships/hyperlink" Target="https://www.saleseffect.se/mat-utvardera-optimera-strategier-for-konstant-tillvaxt/" TargetMode="External"/><Relationship Id="rId1215" Type="http://schemas.openxmlformats.org/officeDocument/2006/relationships/hyperlink" Target="https://edgehyllie.se/modern-relining-teknik-for-vvs-i-villor/" TargetMode="External"/><Relationship Id="rId7191" Type="http://schemas.openxmlformats.org/officeDocument/2006/relationships/hyperlink" Target="https://www.hund.se/koppel-selar-och-halsband" TargetMode="External"/><Relationship Id="rId8242" Type="http://schemas.openxmlformats.org/officeDocument/2006/relationships/hyperlink" Target="http://willabgarden.de/" TargetMode="External"/><Relationship Id="rId11570" Type="http://schemas.openxmlformats.org/officeDocument/2006/relationships/hyperlink" Target="https://sufracofinebrands.com/produkt/harborste-stor-med-svinborst-andree-jardin/" TargetMode="External"/><Relationship Id="rId12621" Type="http://schemas.openxmlformats.org/officeDocument/2006/relationships/hyperlink" Target="https://hollywoodlife.com/2025/09/05/royalty-free-vs-copyright-free-music/" TargetMode="External"/><Relationship Id="rId3387" Type="http://schemas.openxmlformats.org/officeDocument/2006/relationships/hyperlink" Target="https://herbalstore.se/spelklubben-revolutionen-av-trygga-snabba-transaktioner-i-online-casinovarlden/" TargetMode="External"/><Relationship Id="rId4785" Type="http://schemas.openxmlformats.org/officeDocument/2006/relationships/hyperlink" Target="http://aretrotale.com/" TargetMode="External"/><Relationship Id="rId5836" Type="http://schemas.openxmlformats.org/officeDocument/2006/relationships/hyperlink" Target="http://mariatand.se/" TargetMode="External"/><Relationship Id="rId10172" Type="http://schemas.openxmlformats.org/officeDocument/2006/relationships/hyperlink" Target="http://rusta.se/" TargetMode="External"/><Relationship Id="rId11223" Type="http://schemas.openxmlformats.org/officeDocument/2006/relationships/hyperlink" Target="https://chronos.se/" TargetMode="External"/><Relationship Id="rId4438" Type="http://schemas.openxmlformats.org/officeDocument/2006/relationships/hyperlink" Target="http://foyen.se/" TargetMode="External"/><Relationship Id="rId4852" Type="http://schemas.openxmlformats.org/officeDocument/2006/relationships/hyperlink" Target="http://spelklubben.se/" TargetMode="External"/><Relationship Id="rId5903" Type="http://schemas.openxmlformats.org/officeDocument/2006/relationships/hyperlink" Target="https://alltombeauty.se/akne-en-guide-till-friskare-hud/" TargetMode="External"/><Relationship Id="rId10989" Type="http://schemas.openxmlformats.org/officeDocument/2006/relationships/hyperlink" Target="https://www.rusta.com/sv-se/hem-och-inredning/mattor" TargetMode="External"/><Relationship Id="rId3454" Type="http://schemas.openxmlformats.org/officeDocument/2006/relationships/hyperlink" Target="https://w3elsolenergi.se/" TargetMode="External"/><Relationship Id="rId4505" Type="http://schemas.openxmlformats.org/officeDocument/2006/relationships/hyperlink" Target="https://brofastet.se/likstromsgeneratorer-deras-syfte-i-samband-med-den-elektriska-motorn/" TargetMode="External"/><Relationship Id="rId13048" Type="http://schemas.openxmlformats.org/officeDocument/2006/relationships/hyperlink" Target="https://www.zmarta.se/lana-pengar" TargetMode="External"/><Relationship Id="rId375" Type="http://schemas.openxmlformats.org/officeDocument/2006/relationships/hyperlink" Target="http://kopbarnvagn.se/" TargetMode="External"/><Relationship Id="rId2056" Type="http://schemas.openxmlformats.org/officeDocument/2006/relationships/hyperlink" Target="https://distansinstitutet.se/distansutbildningar/pedagogik/socialpedagog/" TargetMode="External"/><Relationship Id="rId2470" Type="http://schemas.openxmlformats.org/officeDocument/2006/relationships/hyperlink" Target="https://www.kiropraktoreklund.com/" TargetMode="External"/><Relationship Id="rId3107" Type="http://schemas.openxmlformats.org/officeDocument/2006/relationships/hyperlink" Target="https://socialsummit17.se/mariatorgets-tandlakarmottagning-en-pilgrimsvandring-genom-sodermalms-tandvardshistoria/" TargetMode="External"/><Relationship Id="rId3521" Type="http://schemas.openxmlformats.org/officeDocument/2006/relationships/hyperlink" Target="https://www.tandea.se/" TargetMode="External"/><Relationship Id="rId6677" Type="http://schemas.openxmlformats.org/officeDocument/2006/relationships/hyperlink" Target="https://industrimagasinet.se/effektivisera-ditt-foretags-ekonomi-med-kleers-bokforingsprogram/" TargetMode="External"/><Relationship Id="rId7728" Type="http://schemas.openxmlformats.org/officeDocument/2006/relationships/hyperlink" Target="https://svenskiptv.com/" TargetMode="External"/><Relationship Id="rId9083" Type="http://schemas.openxmlformats.org/officeDocument/2006/relationships/hyperlink" Target="https://www.lsb.se/" TargetMode="External"/><Relationship Id="rId12064" Type="http://schemas.openxmlformats.org/officeDocument/2006/relationships/hyperlink" Target="https://conclean.se/produkter/minireningsverk/" TargetMode="External"/><Relationship Id="rId13115" Type="http://schemas.openxmlformats.org/officeDocument/2006/relationships/hyperlink" Target="https://golfp&#229;tv.se/blogg/sa-bettar-du-pa-golf-enligt-new-york-times-sportexperter/" TargetMode="External"/><Relationship Id="rId442" Type="http://schemas.openxmlformats.org/officeDocument/2006/relationships/hyperlink" Target="https://bytevarsity.com/elevate-your-style-with-the-best-mens-socks/" TargetMode="External"/><Relationship Id="rId1072" Type="http://schemas.openxmlformats.org/officeDocument/2006/relationships/hyperlink" Target="https://serviceteknikerkarlstad.se/maklare-i-trosa-en-guide-till-fastighetsmarknaden-och-kop-salj-processen/" TargetMode="External"/><Relationship Id="rId2123" Type="http://schemas.openxmlformats.org/officeDocument/2006/relationships/hyperlink" Target="http://saneringscompaniet.se/" TargetMode="External"/><Relationship Id="rId5279" Type="http://schemas.openxmlformats.org/officeDocument/2006/relationships/hyperlink" Target="https://tipsmedoss.com/" TargetMode="External"/><Relationship Id="rId5693" Type="http://schemas.openxmlformats.org/officeDocument/2006/relationships/hyperlink" Target="http://zmarta.se/" TargetMode="External"/><Relationship Id="rId6744" Type="http://schemas.openxmlformats.org/officeDocument/2006/relationships/hyperlink" Target="https://arctic.se/se/forsakringslosningar/svensksolenergi/" TargetMode="External"/><Relationship Id="rId9150" Type="http://schemas.openxmlformats.org/officeDocument/2006/relationships/hyperlink" Target="http://myownwater.com/" TargetMode="External"/><Relationship Id="rId10709" Type="http://schemas.openxmlformats.org/officeDocument/2006/relationships/hyperlink" Target="https://monc.se/fakta/ekonomisk-tillvaxt/" TargetMode="External"/><Relationship Id="rId11080" Type="http://schemas.openxmlformats.org/officeDocument/2006/relationships/hyperlink" Target="https://www.mrvegas.com/sv/sports/" TargetMode="External"/><Relationship Id="rId12131" Type="http://schemas.openxmlformats.org/officeDocument/2006/relationships/hyperlink" Target="https://www.villa-sverige.se/2023/10/20/att-investera-i-din-halsa-en-nikotinfri-e-cigaretta-i-jamforelse-med-att-aga-ett-hem/" TargetMode="External"/><Relationship Id="rId4295" Type="http://schemas.openxmlformats.org/officeDocument/2006/relationships/hyperlink" Target="http://spelklubben.se/" TargetMode="External"/><Relationship Id="rId5346" Type="http://schemas.openxmlformats.org/officeDocument/2006/relationships/hyperlink" Target="https://www.bethard.com/sv/sports/live" TargetMode="External"/><Relationship Id="rId1889" Type="http://schemas.openxmlformats.org/officeDocument/2006/relationships/hyperlink" Target="https://www.lansfast.se/maklare/stockholm/taby-danderyd/" TargetMode="External"/><Relationship Id="rId4362" Type="http://schemas.openxmlformats.org/officeDocument/2006/relationships/hyperlink" Target="https://www.cherry.com/sv/casino" TargetMode="External"/><Relationship Id="rId5760" Type="http://schemas.openxmlformats.org/officeDocument/2006/relationships/hyperlink" Target="https://keynote.se/totalrenovering-sa-skapar-du-ditt-dromhem/" TargetMode="External"/><Relationship Id="rId6811" Type="http://schemas.openxmlformats.org/officeDocument/2006/relationships/hyperlink" Target="https://www.saleseffect.se/19-smadetaljer-med-stor-effekt-pa-kontoret-och-trivseln/" TargetMode="External"/><Relationship Id="rId9967" Type="http://schemas.openxmlformats.org/officeDocument/2006/relationships/hyperlink" Target="https://newsdipper.co.uk/top-vintage-trends-of-2025-and-how-to-incorporate-them-into-your-look" TargetMode="External"/><Relationship Id="rId11897" Type="http://schemas.openxmlformats.org/officeDocument/2006/relationships/hyperlink" Target="https://www.cialisnz.nu/2023/09/27/relining-en-modern-losning-for-rorsystem/" TargetMode="External"/><Relationship Id="rId12948" Type="http://schemas.openxmlformats.org/officeDocument/2006/relationships/hyperlink" Target="https://www.northtracker.com/korjournal/" TargetMode="External"/><Relationship Id="rId1956" Type="http://schemas.openxmlformats.org/officeDocument/2006/relationships/hyperlink" Target="https://carpcon.se/fonsterbyte/" TargetMode="External"/><Relationship Id="rId4015" Type="http://schemas.openxmlformats.org/officeDocument/2006/relationships/hyperlink" Target="http://fairinvestments.se/" TargetMode="External"/><Relationship Id="rId5413" Type="http://schemas.openxmlformats.org/officeDocument/2006/relationships/hyperlink" Target="https://tryggbil.se/volkswagen/" TargetMode="External"/><Relationship Id="rId8569" Type="http://schemas.openxmlformats.org/officeDocument/2006/relationships/hyperlink" Target="https://ng.se/artiklar/billiga-investeringar-med-stora-resultat-for-sjalvkanslan" TargetMode="External"/><Relationship Id="rId8983" Type="http://schemas.openxmlformats.org/officeDocument/2006/relationships/hyperlink" Target="https://www.djungeltrumman.se/wp-login.php?loggedout=true&amp;wp_lang=sv_SE" TargetMode="External"/><Relationship Id="rId10499" Type="http://schemas.openxmlformats.org/officeDocument/2006/relationships/hyperlink" Target="https://flyttgaranti.se/flytt" TargetMode="External"/><Relationship Id="rId11964" Type="http://schemas.openxmlformats.org/officeDocument/2006/relationships/hyperlink" Target="https://www.executiveeffect.se/vad-ar-fair-investments/" TargetMode="External"/><Relationship Id="rId1609" Type="http://schemas.openxmlformats.org/officeDocument/2006/relationships/hyperlink" Target="https://malm&#246;cloud.se/led-lampor-framtidens-belysning-och-dess-oandliga-mangsidighet/" TargetMode="External"/><Relationship Id="rId7585" Type="http://schemas.openxmlformats.org/officeDocument/2006/relationships/hyperlink" Target="http://nodepositbonus.cc/" TargetMode="External"/><Relationship Id="rId8636" Type="http://schemas.openxmlformats.org/officeDocument/2006/relationships/hyperlink" Target="https://www.lansfast.se/maklare/sodermanland/trosa/" TargetMode="External"/><Relationship Id="rId10566" Type="http://schemas.openxmlformats.org/officeDocument/2006/relationships/hyperlink" Target="https://naturaplug.com/latest/summer-wellness-hacks-for-a-happier-you/" TargetMode="External"/><Relationship Id="rId11617" Type="http://schemas.openxmlformats.org/officeDocument/2006/relationships/hyperlink" Target="https://www.villarelining.se/" TargetMode="External"/><Relationship Id="rId3031" Type="http://schemas.openxmlformats.org/officeDocument/2006/relationships/hyperlink" Target="https://awaio.com/" TargetMode="External"/><Relationship Id="rId6187" Type="http://schemas.openxmlformats.org/officeDocument/2006/relationships/hyperlink" Target="http://chattanoogarehab.com/" TargetMode="External"/><Relationship Id="rId7238" Type="http://schemas.openxmlformats.org/officeDocument/2006/relationships/hyperlink" Target="http://tigerofsweden.com/" TargetMode="External"/><Relationship Id="rId7652" Type="http://schemas.openxmlformats.org/officeDocument/2006/relationships/hyperlink" Target="https://www.hund.se/koppel-selar-och-halsband" TargetMode="External"/><Relationship Id="rId8703" Type="http://schemas.openxmlformats.org/officeDocument/2006/relationships/hyperlink" Target="https://industribanken.se/sakerhetslosningar-som-starker-foretagets-trygghet-och-produktivitet/" TargetMode="External"/><Relationship Id="rId10219" Type="http://schemas.openxmlformats.org/officeDocument/2006/relationships/hyperlink" Target="https://www.nykommun.se/2025/07/07/allt-fler-svenskar-bor-i-gated-communities/" TargetMode="External"/><Relationship Id="rId10980" Type="http://schemas.openxmlformats.org/officeDocument/2006/relationships/hyperlink" Target="https://distansinstitutet.se/distansutbildningar/pedagogik/" TargetMode="External"/><Relationship Id="rId2797" Type="http://schemas.openxmlformats.org/officeDocument/2006/relationships/hyperlink" Target="https://www.totallystockholm.se/det-nya-onlinecasinot-som-leder-vagen-till-spannande-underhallning/" TargetMode="External"/><Relationship Id="rId3848" Type="http://schemas.openxmlformats.org/officeDocument/2006/relationships/hyperlink" Target="https://e-ciggbolaget.se/e-cigaretter/engangs-vape/" TargetMode="External"/><Relationship Id="rId6254" Type="http://schemas.openxmlformats.org/officeDocument/2006/relationships/hyperlink" Target="https://herrexperten.se/trygg-bil-en-trygg-partner-for-man-med-bilbehov/" TargetMode="External"/><Relationship Id="rId7305" Type="http://schemas.openxmlformats.org/officeDocument/2006/relationships/hyperlink" Target="http://fairinvestments.se/" TargetMode="External"/><Relationship Id="rId10633" Type="http://schemas.openxmlformats.org/officeDocument/2006/relationships/hyperlink" Target="http://kamux.fi/" TargetMode="External"/><Relationship Id="rId769" Type="http://schemas.openxmlformats.org/officeDocument/2006/relationships/hyperlink" Target="https://www.vont.se/to-go/0-mg-ml" TargetMode="External"/><Relationship Id="rId1399" Type="http://schemas.openxmlformats.org/officeDocument/2006/relationships/hyperlink" Target="https://www.happysocks.com/us/adults/trend-edit" TargetMode="External"/><Relationship Id="rId5270" Type="http://schemas.openxmlformats.org/officeDocument/2006/relationships/hyperlink" Target="https://www.attention-riks.nu/" TargetMode="External"/><Relationship Id="rId6321" Type="http://schemas.openxmlformats.org/officeDocument/2006/relationships/hyperlink" Target="https://matkalaset.se/catering-i-stockholm-skraddarsydda-menyer-for-alla-tillfallen/" TargetMode="External"/><Relationship Id="rId9477" Type="http://schemas.openxmlformats.org/officeDocument/2006/relationships/hyperlink" Target="https://www.bethard.com/sv/sports" TargetMode="External"/><Relationship Id="rId10700" Type="http://schemas.openxmlformats.org/officeDocument/2006/relationships/hyperlink" Target="https://www.lsb.se/privatlan" TargetMode="External"/><Relationship Id="rId1466" Type="http://schemas.openxmlformats.org/officeDocument/2006/relationships/hyperlink" Target="https://advancepointcap.com/auto-repair-loans/" TargetMode="External"/><Relationship Id="rId2864" Type="http://schemas.openxmlformats.org/officeDocument/2006/relationships/hyperlink" Target="https://www.realtid.se/la-reinemannens-solcellsbolag-byter-skal/" TargetMode="External"/><Relationship Id="rId3915" Type="http://schemas.openxmlformats.org/officeDocument/2006/relationships/hyperlink" Target="http://alfa.se/" TargetMode="External"/><Relationship Id="rId8079" Type="http://schemas.openxmlformats.org/officeDocument/2006/relationships/hyperlink" Target="https://www.spelklubben.se/sv" TargetMode="External"/><Relationship Id="rId8493" Type="http://schemas.openxmlformats.org/officeDocument/2006/relationships/hyperlink" Target="http://kruunukaluste.fi/" TargetMode="External"/><Relationship Id="rId9891" Type="http://schemas.openxmlformats.org/officeDocument/2006/relationships/hyperlink" Target="http://nordicknots.com/" TargetMode="External"/><Relationship Id="rId12458" Type="http://schemas.openxmlformats.org/officeDocument/2006/relationships/hyperlink" Target="http://m6bygg.se/" TargetMode="External"/><Relationship Id="rId12872" Type="http://schemas.openxmlformats.org/officeDocument/2006/relationships/hyperlink" Target="https://willabgarden.de/" TargetMode="External"/><Relationship Id="rId836" Type="http://schemas.openxmlformats.org/officeDocument/2006/relationships/hyperlink" Target="http://blugiallo.com/" TargetMode="External"/><Relationship Id="rId1119" Type="http://schemas.openxmlformats.org/officeDocument/2006/relationships/hyperlink" Target="http://happysocks.com/" TargetMode="External"/><Relationship Id="rId1880" Type="http://schemas.openxmlformats.org/officeDocument/2006/relationships/hyperlink" Target="https://www.spelklubben.se/sv" TargetMode="External"/><Relationship Id="rId2517" Type="http://schemas.openxmlformats.org/officeDocument/2006/relationships/hyperlink" Target="http://fairinvestments.se/" TargetMode="External"/><Relationship Id="rId2931" Type="http://schemas.openxmlformats.org/officeDocument/2006/relationships/hyperlink" Target="https://podradio.nu/tandlakare-i-stockholm-en-nyckelaktor-for-tandhalsa-i-huvudstaden/" TargetMode="External"/><Relationship Id="rId7095" Type="http://schemas.openxmlformats.org/officeDocument/2006/relationships/hyperlink" Target="http://kvarnx.com/" TargetMode="External"/><Relationship Id="rId8146" Type="http://schemas.openxmlformats.org/officeDocument/2006/relationships/hyperlink" Target="http://rusta.se/" TargetMode="External"/><Relationship Id="rId9544" Type="http://schemas.openxmlformats.org/officeDocument/2006/relationships/hyperlink" Target="https://passioneffect.se/varfor-ar-maklaryrket-sa-populart/" TargetMode="External"/><Relationship Id="rId11474" Type="http://schemas.openxmlformats.org/officeDocument/2006/relationships/hyperlink" Target="https://nem.health/" TargetMode="External"/><Relationship Id="rId12525" Type="http://schemas.openxmlformats.org/officeDocument/2006/relationships/hyperlink" Target="http://fairinvestments.se/" TargetMode="External"/><Relationship Id="rId903" Type="http://schemas.openxmlformats.org/officeDocument/2006/relationships/hyperlink" Target="http://pontech.se/" TargetMode="External"/><Relationship Id="rId1533" Type="http://schemas.openxmlformats.org/officeDocument/2006/relationships/hyperlink" Target="https://www.happysocks.com/us/adults/trend-edit" TargetMode="External"/><Relationship Id="rId4689" Type="http://schemas.openxmlformats.org/officeDocument/2006/relationships/hyperlink" Target="https://freddielarsson.se/konsten-att-framfora-vass-provocerande-humor-balansgangen-mellan-humor-hansyn/" TargetMode="External"/><Relationship Id="rId8560" Type="http://schemas.openxmlformats.org/officeDocument/2006/relationships/hyperlink" Target="https://whatstrending.com/6-tips-to-organize-your-kitchen-cabinets/" TargetMode="External"/><Relationship Id="rId9611" Type="http://schemas.openxmlformats.org/officeDocument/2006/relationships/hyperlink" Target="http://spelklubben.se/" TargetMode="External"/><Relationship Id="rId10076" Type="http://schemas.openxmlformats.org/officeDocument/2006/relationships/hyperlink" Target="https://www.mrvegas.com/sv/" TargetMode="External"/><Relationship Id="rId10490" Type="http://schemas.openxmlformats.org/officeDocument/2006/relationships/hyperlink" Target="http://hajper.com/" TargetMode="External"/><Relationship Id="rId11127" Type="http://schemas.openxmlformats.org/officeDocument/2006/relationships/hyperlink" Target="https://ekonomikunskap.se/vax-med-barnet-prylarna-som-haller-fran-nyfodd-till-forskola/" TargetMode="External"/><Relationship Id="rId11541" Type="http://schemas.openxmlformats.org/officeDocument/2006/relationships/hyperlink" Target="https://eventeffect.se/vikten-av-atmosfaren-i-evenemanget/" TargetMode="External"/><Relationship Id="rId1600" Type="http://schemas.openxmlformats.org/officeDocument/2006/relationships/hyperlink" Target="https://savethefuture.se/solcellsanlaggningar-en-omfattande-guide-fran-installation-till-forsakring-och-underhall/" TargetMode="External"/><Relationship Id="rId4756" Type="http://schemas.openxmlformats.org/officeDocument/2006/relationships/hyperlink" Target="http://e-ciggbolaget.se/" TargetMode="External"/><Relationship Id="rId5807" Type="http://schemas.openxmlformats.org/officeDocument/2006/relationships/hyperlink" Target="http://rusta.se/" TargetMode="External"/><Relationship Id="rId7162" Type="http://schemas.openxmlformats.org/officeDocument/2006/relationships/hyperlink" Target="http://seniorrabatt.se/" TargetMode="External"/><Relationship Id="rId8213" Type="http://schemas.openxmlformats.org/officeDocument/2006/relationships/hyperlink" Target="http://himala.ai/" TargetMode="External"/><Relationship Id="rId10143" Type="http://schemas.openxmlformats.org/officeDocument/2006/relationships/hyperlink" Target="https://www.byggnyheter.se/20250623/32266/underlatta-hemmabygget-med-experthjalp" TargetMode="External"/><Relationship Id="rId13299" Type="http://schemas.openxmlformats.org/officeDocument/2006/relationships/hyperlink" Target="http://tkw.se/" TargetMode="External"/><Relationship Id="rId3358" Type="http://schemas.openxmlformats.org/officeDocument/2006/relationships/hyperlink" Target="https://gravnorrkoping.se/pontech-ledande-inom-hallbara-skraddarsydda-flytbryggor/" TargetMode="External"/><Relationship Id="rId3772" Type="http://schemas.openxmlformats.org/officeDocument/2006/relationships/hyperlink" Target="https://bygghuddinge.se/bergvarme-i-kallt-klimat-en-effektiv-och-hallbar-losning/" TargetMode="External"/><Relationship Id="rId4409" Type="http://schemas.openxmlformats.org/officeDocument/2006/relationships/hyperlink" Target="https://husjournalen.se/hur-du-valjer-ratt-forsakring-for-dina-solceller/" TargetMode="External"/><Relationship Id="rId4823" Type="http://schemas.openxmlformats.org/officeDocument/2006/relationships/hyperlink" Target="http://kvarnx.com/" TargetMode="External"/><Relationship Id="rId7979" Type="http://schemas.openxmlformats.org/officeDocument/2006/relationships/hyperlink" Target="https://www.lokaltidningen.nu/2025-02-28/travets-historia-sa-har-hastutrustning-forandrats-genom-tiderna-7eae2" TargetMode="External"/><Relationship Id="rId10210" Type="http://schemas.openxmlformats.org/officeDocument/2006/relationships/hyperlink" Target="https://thesource.com/2025/07/01/digital-solutions-simplify-coaching-success/" TargetMode="External"/><Relationship Id="rId279" Type="http://schemas.openxmlformats.org/officeDocument/2006/relationships/hyperlink" Target="https://www.kopbarnvagn.se/sv/artiklar/bugaboo/index.html" TargetMode="External"/><Relationship Id="rId693" Type="http://schemas.openxmlformats.org/officeDocument/2006/relationships/hyperlink" Target="https://hemsidor24.se/artiklar/engangsvapes-for-vapers-pa-sprang/" TargetMode="External"/><Relationship Id="rId2374" Type="http://schemas.openxmlformats.org/officeDocument/2006/relationships/hyperlink" Target="http://e-ciggbolaget.se/" TargetMode="External"/><Relationship Id="rId3425" Type="http://schemas.openxmlformats.org/officeDocument/2006/relationships/hyperlink" Target="http://pontonhamnar.se/" TargetMode="External"/><Relationship Id="rId13019" Type="http://schemas.openxmlformats.org/officeDocument/2006/relationships/hyperlink" Target="https://www.grontsamhallsbyggande.se/2025/09/05/rotavdraget-mitt-i-klimatdebatten/" TargetMode="External"/><Relationship Id="rId346" Type="http://schemas.openxmlformats.org/officeDocument/2006/relationships/hyperlink" Target="http://haxan.se/" TargetMode="External"/><Relationship Id="rId760" Type="http://schemas.openxmlformats.org/officeDocument/2006/relationships/hyperlink" Target="http://fairinvestments.se/" TargetMode="External"/><Relationship Id="rId1390" Type="http://schemas.openxmlformats.org/officeDocument/2006/relationships/hyperlink" Target="https://www.happysocks.com/us/collection/socks-for-men" TargetMode="External"/><Relationship Id="rId2027" Type="http://schemas.openxmlformats.org/officeDocument/2006/relationships/hyperlink" Target="http://villarelining.se/" TargetMode="External"/><Relationship Id="rId2441" Type="http://schemas.openxmlformats.org/officeDocument/2006/relationships/hyperlink" Target="http://e-ciggbolaget.se/" TargetMode="External"/><Relationship Id="rId5597" Type="http://schemas.openxmlformats.org/officeDocument/2006/relationships/hyperlink" Target="https://sakraror.se/vara-tjanster/allman-service-vvs/vvs-i-sollentuna/" TargetMode="External"/><Relationship Id="rId6995" Type="http://schemas.openxmlformats.org/officeDocument/2006/relationships/hyperlink" Target="https://modulhus.se/vaga-tank-om-kan-ett-modulhus-vara-ratt-for-dig/" TargetMode="External"/><Relationship Id="rId9054" Type="http://schemas.openxmlformats.org/officeDocument/2006/relationships/hyperlink" Target="http://sakraror.se/" TargetMode="External"/><Relationship Id="rId12382" Type="http://schemas.openxmlformats.org/officeDocument/2006/relationships/hyperlink" Target="http://fairinvestments.se/" TargetMode="External"/><Relationship Id="rId413" Type="http://schemas.openxmlformats.org/officeDocument/2006/relationships/hyperlink" Target="https://www.expensive-world.com/most-expensive-tuxedos/" TargetMode="External"/><Relationship Id="rId1043" Type="http://schemas.openxmlformats.org/officeDocument/2006/relationships/hyperlink" Target="https://www.happysocks.com/us/collection/socks-for-men" TargetMode="External"/><Relationship Id="rId4199" Type="http://schemas.openxmlformats.org/officeDocument/2006/relationships/hyperlink" Target="https://draghundcenter.se/" TargetMode="External"/><Relationship Id="rId6648" Type="http://schemas.openxmlformats.org/officeDocument/2006/relationships/hyperlink" Target="https://fragbite.se/all/news/56490/fran-kasinot-till-twitch-blackjack-som-en-vaxande-esportkategori" TargetMode="External"/><Relationship Id="rId8070" Type="http://schemas.openxmlformats.org/officeDocument/2006/relationships/hyperlink" Target="http://vardagsfrid.se/" TargetMode="External"/><Relationship Id="rId9121" Type="http://schemas.openxmlformats.org/officeDocument/2006/relationships/hyperlink" Target="http://yourgild.com/" TargetMode="External"/><Relationship Id="rId12035" Type="http://schemas.openxmlformats.org/officeDocument/2006/relationships/hyperlink" Target="https://www.rosmarinolja.nu/" TargetMode="External"/><Relationship Id="rId5664" Type="http://schemas.openxmlformats.org/officeDocument/2006/relationships/hyperlink" Target="http://bethard.com/" TargetMode="External"/><Relationship Id="rId6715" Type="http://schemas.openxmlformats.org/officeDocument/2006/relationships/hyperlink" Target="https://businesshelper.se/foretagsboende-en-nyckel-till-framgang-inom-affarsvarlden/" TargetMode="External"/><Relationship Id="rId11051" Type="http://schemas.openxmlformats.org/officeDocument/2006/relationships/hyperlink" Target="https://luurituki.fi/taman-takia-moni-epaonnistuvat-muutossa/" TargetMode="External"/><Relationship Id="rId12102" Type="http://schemas.openxmlformats.org/officeDocument/2006/relationships/hyperlink" Target="https://www.goteborg-bostader.se/2023/10/25/minireningsverk-for-enskilda-avlopp-hallbara-losningar-for-avloppshantering/" TargetMode="External"/><Relationship Id="rId1110" Type="http://schemas.openxmlformats.org/officeDocument/2006/relationships/hyperlink" Target="https://sek-converter.se/fastighetsjuridik-och-digitalisering-framtidens-utmaningar-och-mojligheter/" TargetMode="External"/><Relationship Id="rId4266" Type="http://schemas.openxmlformats.org/officeDocument/2006/relationships/hyperlink" Target="https://sundsvallbergvarme.se/" TargetMode="External"/><Relationship Id="rId4680" Type="http://schemas.openxmlformats.org/officeDocument/2006/relationships/hyperlink" Target="https://cannabislight.se/produkt/premium-cbdolja-20pct/" TargetMode="External"/><Relationship Id="rId5317" Type="http://schemas.openxmlformats.org/officeDocument/2006/relationships/hyperlink" Target="https://www.sportochfritidsnyheter.se/20241001/3994/5-tips-dig-som-inte-vill-missa-ett-enda-sportevenemang" TargetMode="External"/><Relationship Id="rId5731" Type="http://schemas.openxmlformats.org/officeDocument/2006/relationships/hyperlink" Target="http://spelklubben.se/" TargetMode="External"/><Relationship Id="rId8887" Type="http://schemas.openxmlformats.org/officeDocument/2006/relationships/hyperlink" Target="https://bovision.se/inspiration/koepa-bostad-med-traedgaard-det-haer-kan-du-fixa-sjaelv" TargetMode="External"/><Relationship Id="rId9938" Type="http://schemas.openxmlformats.org/officeDocument/2006/relationships/hyperlink" Target="http://bethard.com/" TargetMode="External"/><Relationship Id="rId11868" Type="http://schemas.openxmlformats.org/officeDocument/2006/relationships/hyperlink" Target="http://haxan.se/" TargetMode="External"/><Relationship Id="rId1927" Type="http://schemas.openxmlformats.org/officeDocument/2006/relationships/hyperlink" Target="https://www.vont.co/de/e-zigarette/0-mg-ml" TargetMode="External"/><Relationship Id="rId3282" Type="http://schemas.openxmlformats.org/officeDocument/2006/relationships/hyperlink" Target="https://www.spela-roulette.se/nyheter/spelklubben-recension-av-casinot/" TargetMode="External"/><Relationship Id="rId4333" Type="http://schemas.openxmlformats.org/officeDocument/2006/relationships/hyperlink" Target="https://rikedomen.se/vetenskapen-bakom-vaping-vad-sager-forskningen-om-halsoeffekterna/" TargetMode="External"/><Relationship Id="rId7489" Type="http://schemas.openxmlformats.org/officeDocument/2006/relationships/hyperlink" Target="http://clearfuze.com/" TargetMode="External"/><Relationship Id="rId8954" Type="http://schemas.openxmlformats.org/officeDocument/2006/relationships/hyperlink" Target="https://www.spelklubben.se/sv/live-casino" TargetMode="External"/><Relationship Id="rId12919" Type="http://schemas.openxmlformats.org/officeDocument/2006/relationships/hyperlink" Target="https://standupsverige.se/standupklubben-ar-som-ett-casino/" TargetMode="External"/><Relationship Id="rId13290" Type="http://schemas.openxmlformats.org/officeDocument/2006/relationships/hyperlink" Target="http://indoorprofessional.se/" TargetMode="External"/><Relationship Id="rId4400" Type="http://schemas.openxmlformats.org/officeDocument/2006/relationships/hyperlink" Target="https://tinytech.se/sa-har-diversifierar-du-dina-investeringar-for-maximal-sakerhet/" TargetMode="External"/><Relationship Id="rId7556" Type="http://schemas.openxmlformats.org/officeDocument/2006/relationships/hyperlink" Target="http://bethard.com/" TargetMode="External"/><Relationship Id="rId8607" Type="http://schemas.openxmlformats.org/officeDocument/2006/relationships/hyperlink" Target="http://arctic.se/" TargetMode="External"/><Relationship Id="rId10884" Type="http://schemas.openxmlformats.org/officeDocument/2006/relationships/hyperlink" Target="https://passioneffect.se/sma-detaljer-formar-stora-intryck-sa-skapar-leende-fortroende/" TargetMode="External"/><Relationship Id="rId11935" Type="http://schemas.openxmlformats.org/officeDocument/2006/relationships/hyperlink" Target="http://foyen.se/" TargetMode="External"/><Relationship Id="rId270" Type="http://schemas.openxmlformats.org/officeDocument/2006/relationships/hyperlink" Target="https://www.elmarknad.se/" TargetMode="External"/><Relationship Id="rId3002" Type="http://schemas.openxmlformats.org/officeDocument/2006/relationships/hyperlink" Target="https://www.spelklubben.se/sv/casino" TargetMode="External"/><Relationship Id="rId6158" Type="http://schemas.openxmlformats.org/officeDocument/2006/relationships/hyperlink" Target="https://arctic.se/se/forsakringslosningar/svensksolenergi/" TargetMode="External"/><Relationship Id="rId6572" Type="http://schemas.openxmlformats.org/officeDocument/2006/relationships/hyperlink" Target="http://bethard.com/" TargetMode="External"/><Relationship Id="rId7209" Type="http://schemas.openxmlformats.org/officeDocument/2006/relationships/hyperlink" Target="https://www.joureliten.se/jour-elektriker/" TargetMode="External"/><Relationship Id="rId7970" Type="http://schemas.openxmlformats.org/officeDocument/2006/relationships/hyperlink" Target="https://dagenstv.com/artikel/da-sands-skidskytte-vm-2025-favoriterna-att-halla-koll-pa" TargetMode="External"/><Relationship Id="rId10537" Type="http://schemas.openxmlformats.org/officeDocument/2006/relationships/hyperlink" Target="https://www.spelklubben.se/sv/" TargetMode="External"/><Relationship Id="rId10951" Type="http://schemas.openxmlformats.org/officeDocument/2006/relationships/hyperlink" Target="https://vikingaliv.se/" TargetMode="External"/><Relationship Id="rId5174" Type="http://schemas.openxmlformats.org/officeDocument/2006/relationships/hyperlink" Target="http://rehabgrossisten.com/" TargetMode="External"/><Relationship Id="rId6225" Type="http://schemas.openxmlformats.org/officeDocument/2006/relationships/hyperlink" Target="http://dinkorskola.se/" TargetMode="External"/><Relationship Id="rId7623" Type="http://schemas.openxmlformats.org/officeDocument/2006/relationships/hyperlink" Target="https://skaparum.se/forsakringslosningar-for-solcellsanlaggningar-inom-byggsektorn/" TargetMode="External"/><Relationship Id="rId10604" Type="http://schemas.openxmlformats.org/officeDocument/2006/relationships/hyperlink" Target="https://www.londondaily.news/how-recent-uk-regulations-are-redefining-casino-bonuses-in-london/" TargetMode="External"/><Relationship Id="rId13010" Type="http://schemas.openxmlformats.org/officeDocument/2006/relationships/hyperlink" Target="https://www.nolingo.se/a-b-testning-i-digitala-annonser-hur-fungerar-det/" TargetMode="External"/><Relationship Id="rId2768" Type="http://schemas.openxmlformats.org/officeDocument/2006/relationships/hyperlink" Target="https://cl.luckycasino.com/es/live" TargetMode="External"/><Relationship Id="rId3819" Type="http://schemas.openxmlformats.org/officeDocument/2006/relationships/hyperlink" Target="https://brofastet.se/guide-till-trapprenovering-tips-och-rad/" TargetMode="External"/><Relationship Id="rId9795" Type="http://schemas.openxmlformats.org/officeDocument/2006/relationships/hyperlink" Target="https://direktbygg.se/viktiga-reservdelar-for-att-halla-din-volvo-penta-batmotor-i-toppskick/" TargetMode="External"/><Relationship Id="rId12776" Type="http://schemas.openxmlformats.org/officeDocument/2006/relationships/hyperlink" Target="http://rusta.se/" TargetMode="External"/><Relationship Id="rId1784" Type="http://schemas.openxmlformats.org/officeDocument/2006/relationships/hyperlink" Target="http://hemplybalance.com/" TargetMode="External"/><Relationship Id="rId2835" Type="http://schemas.openxmlformats.org/officeDocument/2006/relationships/hyperlink" Target="https://www.spelklubben.se/sv/live-casino" TargetMode="External"/><Relationship Id="rId4190" Type="http://schemas.openxmlformats.org/officeDocument/2006/relationships/hyperlink" Target="https://no.moyens.net/markedsforing/viktigheten-av-a-undersoke-markedet-for-man-laner-penger/" TargetMode="External"/><Relationship Id="rId5241" Type="http://schemas.openxmlformats.org/officeDocument/2006/relationships/hyperlink" Target="https://everynightstudios.com/" TargetMode="External"/><Relationship Id="rId8397" Type="http://schemas.openxmlformats.org/officeDocument/2006/relationships/hyperlink" Target="http://cateringfabriken.se/" TargetMode="External"/><Relationship Id="rId9448" Type="http://schemas.openxmlformats.org/officeDocument/2006/relationships/hyperlink" Target="http://purakliniken.se/" TargetMode="External"/><Relationship Id="rId9862" Type="http://schemas.openxmlformats.org/officeDocument/2006/relationships/hyperlink" Target="https://www.chattanoogarehab.com/us/clinical-electrotherapy/electrical-stimulation" TargetMode="External"/><Relationship Id="rId11378" Type="http://schemas.openxmlformats.org/officeDocument/2006/relationships/hyperlink" Target="http://haxan.se/" TargetMode="External"/><Relationship Id="rId11792" Type="http://schemas.openxmlformats.org/officeDocument/2006/relationships/hyperlink" Target="http://fairinvestments.se/" TargetMode="External"/><Relationship Id="rId12429" Type="http://schemas.openxmlformats.org/officeDocument/2006/relationships/hyperlink" Target="http://legendbygg.com/" TargetMode="External"/><Relationship Id="rId76" Type="http://schemas.openxmlformats.org/officeDocument/2006/relationships/hyperlink" Target="https://tvillingsajten.se/?p=201" TargetMode="External"/><Relationship Id="rId807" Type="http://schemas.openxmlformats.org/officeDocument/2006/relationships/hyperlink" Target="http://pontech.se/" TargetMode="External"/><Relationship Id="rId1437" Type="http://schemas.openxmlformats.org/officeDocument/2006/relationships/hyperlink" Target="https://www.swedoffice.se/kategori/69602-gaffelparm-trarygg" TargetMode="External"/><Relationship Id="rId1851" Type="http://schemas.openxmlformats.org/officeDocument/2006/relationships/hyperlink" Target="https://serviceteknikerkarlstad.se/vvs-effektiva-system-och-hallbarhet/" TargetMode="External"/><Relationship Id="rId2902" Type="http://schemas.openxmlformats.org/officeDocument/2006/relationships/hyperlink" Target="http://glitnor.com/" TargetMode="External"/><Relationship Id="rId8464" Type="http://schemas.openxmlformats.org/officeDocument/2006/relationships/hyperlink" Target="http://mynicco.com/" TargetMode="External"/><Relationship Id="rId9515" Type="http://schemas.openxmlformats.org/officeDocument/2006/relationships/hyperlink" Target="https://www.hajper.com/sv" TargetMode="External"/><Relationship Id="rId10394" Type="http://schemas.openxmlformats.org/officeDocument/2006/relationships/hyperlink" Target="https://www.smallarupproret.se/sa-tar-du-kommunikationen-mellan-dig-och-din-hund-till-nasta-niva/" TargetMode="External"/><Relationship Id="rId11445" Type="http://schemas.openxmlformats.org/officeDocument/2006/relationships/hyperlink" Target="http://lansfast.se/" TargetMode="External"/><Relationship Id="rId12843" Type="http://schemas.openxmlformats.org/officeDocument/2006/relationships/hyperlink" Target="https://betterthisworld.com/latest-news/the-link-between-emotional-wellness-and-physical-health/" TargetMode="External"/><Relationship Id="rId1504" Type="http://schemas.openxmlformats.org/officeDocument/2006/relationships/hyperlink" Target="https://www.swedoffice.se/kategori/49902-kopieringspapp" TargetMode="External"/><Relationship Id="rId7066" Type="http://schemas.openxmlformats.org/officeDocument/2006/relationships/hyperlink" Target="https://thinkofgames.com/the-power-of-planning-a-blueprint-for-success/" TargetMode="External"/><Relationship Id="rId7480" Type="http://schemas.openxmlformats.org/officeDocument/2006/relationships/hyperlink" Target="http://chattanoogarehab.com/" TargetMode="External"/><Relationship Id="rId8117" Type="http://schemas.openxmlformats.org/officeDocument/2006/relationships/hyperlink" Target="https://ekstromgaray.se/skicka-in-manus/" TargetMode="External"/><Relationship Id="rId8531" Type="http://schemas.openxmlformats.org/officeDocument/2006/relationships/hyperlink" Target="http://mynicco.com/" TargetMode="External"/><Relationship Id="rId10047" Type="http://schemas.openxmlformats.org/officeDocument/2006/relationships/hyperlink" Target="http://spelklubben.se/" TargetMode="External"/><Relationship Id="rId12910" Type="http://schemas.openxmlformats.org/officeDocument/2006/relationships/hyperlink" Target="https://www.djungeltrumman.se/stockholmare-tjanar-mest-men-har-de-mest-pengar-over/" TargetMode="External"/><Relationship Id="rId3676" Type="http://schemas.openxmlformats.org/officeDocument/2006/relationships/hyperlink" Target="http://fairinvestments.se/" TargetMode="External"/><Relationship Id="rId6082" Type="http://schemas.openxmlformats.org/officeDocument/2006/relationships/hyperlink" Target="https://www.dagenshandel.se/lb-article/180930/framtidens-handel-smartare-investeringar-for-langsiktig-framgang" TargetMode="External"/><Relationship Id="rId7133" Type="http://schemas.openxmlformats.org/officeDocument/2006/relationships/hyperlink" Target="http://tiotak.se/" TargetMode="External"/><Relationship Id="rId10461" Type="http://schemas.openxmlformats.org/officeDocument/2006/relationships/hyperlink" Target="https://merchoteket.se/collections/muggar" TargetMode="External"/><Relationship Id="rId11512" Type="http://schemas.openxmlformats.org/officeDocument/2006/relationships/hyperlink" Target="https://businesshelper.se/bli-investerare-redan-idag/" TargetMode="External"/><Relationship Id="rId597" Type="http://schemas.openxmlformats.org/officeDocument/2006/relationships/hyperlink" Target="https://www.vont.se/" TargetMode="External"/><Relationship Id="rId2278" Type="http://schemas.openxmlformats.org/officeDocument/2006/relationships/hyperlink" Target="http://lansfast.se/" TargetMode="External"/><Relationship Id="rId3329" Type="http://schemas.openxmlformats.org/officeDocument/2006/relationships/hyperlink" Target="https://haronaglarspa.se/sthlm-physique-forstklassig-massage-i-hela-stockholm/" TargetMode="External"/><Relationship Id="rId4727" Type="http://schemas.openxmlformats.org/officeDocument/2006/relationships/hyperlink" Target="https://www.dagensinfrastruktur.se/2024/07/25/moderna-livecasinon-en-revolution-inom-online-spel/" TargetMode="External"/><Relationship Id="rId7200" Type="http://schemas.openxmlformats.org/officeDocument/2006/relationships/hyperlink" Target="https://arctic.se/se/forsakringslosningar/svensksolenergi/" TargetMode="External"/><Relationship Id="rId10114" Type="http://schemas.openxmlformats.org/officeDocument/2006/relationships/hyperlink" Target="https://minifinder.se/" TargetMode="External"/><Relationship Id="rId1294" Type="http://schemas.openxmlformats.org/officeDocument/2006/relationships/hyperlink" Target="http://distansinstitutet.se/" TargetMode="External"/><Relationship Id="rId2692" Type="http://schemas.openxmlformats.org/officeDocument/2006/relationships/hyperlink" Target="https://www.varldenshaftigaste.se/artiklar/den-ultimata-guiden-till-roliga-spel-online-upptack-en-varld-av-underhallning/" TargetMode="External"/><Relationship Id="rId3743" Type="http://schemas.openxmlformats.org/officeDocument/2006/relationships/hyperlink" Target="http://arctic.se/" TargetMode="External"/><Relationship Id="rId6899" Type="http://schemas.openxmlformats.org/officeDocument/2006/relationships/hyperlink" Target="http://dinkorskola.se/" TargetMode="External"/><Relationship Id="rId12286" Type="http://schemas.openxmlformats.org/officeDocument/2006/relationships/hyperlink" Target="http://robomarkets.com/" TargetMode="External"/><Relationship Id="rId664" Type="http://schemas.openxmlformats.org/officeDocument/2006/relationships/hyperlink" Target="https://www.facebook.com/fairinvestmentsswedenAB/" TargetMode="External"/><Relationship Id="rId2345" Type="http://schemas.openxmlformats.org/officeDocument/2006/relationships/hyperlink" Target="https://www.xocmusic.com/how-to-buy-an-authentic-vintage-designer-handbag-the-guide" TargetMode="External"/><Relationship Id="rId3810" Type="http://schemas.openxmlformats.org/officeDocument/2006/relationships/hyperlink" Target="https://tommytappar.se/sa-kan-du-sanka-dina-energikostnader-hemma/" TargetMode="External"/><Relationship Id="rId6966" Type="http://schemas.openxmlformats.org/officeDocument/2006/relationships/hyperlink" Target="http://mockfjards.se/att-byta-fonster" TargetMode="External"/><Relationship Id="rId9372" Type="http://schemas.openxmlformats.org/officeDocument/2006/relationships/hyperlink" Target="https://mrvegas.com/" TargetMode="External"/><Relationship Id="rId12353" Type="http://schemas.openxmlformats.org/officeDocument/2006/relationships/hyperlink" Target="http://www.die-fans.de/fussball/aktuell/artikel/,Franz+Beckenbauer%3A+Eine+Fu%C3%9Fball-Legende+ist+tot,67532,,,,,south" TargetMode="External"/><Relationship Id="rId317" Type="http://schemas.openxmlformats.org/officeDocument/2006/relationships/hyperlink" Target="https://industrimagasinet.se/alla-borde-ha-en-hjartstartare-i-hemmet/" TargetMode="External"/><Relationship Id="rId731" Type="http://schemas.openxmlformats.org/officeDocument/2006/relationships/hyperlink" Target="https://www.enterprisemagazine.se/nyheter/artikel/fair-investments-modellportfolj-har-gatt-700-procent-upp" TargetMode="External"/><Relationship Id="rId1361" Type="http://schemas.openxmlformats.org/officeDocument/2006/relationships/hyperlink" Target="https://www.hometownstation.com/featured-stories/how-to-launch-a-medical-practice-with-the-right-financing-480113" TargetMode="External"/><Relationship Id="rId2412" Type="http://schemas.openxmlformats.org/officeDocument/2006/relationships/hyperlink" Target="http://distansinstitutet.se/" TargetMode="External"/><Relationship Id="rId5568" Type="http://schemas.openxmlformats.org/officeDocument/2006/relationships/hyperlink" Target="http://standupsverige.se/" TargetMode="External"/><Relationship Id="rId5982" Type="http://schemas.openxmlformats.org/officeDocument/2006/relationships/hyperlink" Target="https://clab.fi/tietokoneen-kotelon-tuunaaminen-silikonin-ja-epoksin-avulla/" TargetMode="External"/><Relationship Id="rId6619" Type="http://schemas.openxmlformats.org/officeDocument/2006/relationships/hyperlink" Target="https://www.petster.se/" TargetMode="External"/><Relationship Id="rId9025" Type="http://schemas.openxmlformats.org/officeDocument/2006/relationships/hyperlink" Target="https://www.expressen.se/brandstudio/cherry-casino/historien-bakom-nordens-aldsta-casinobolag/" TargetMode="External"/><Relationship Id="rId12006" Type="http://schemas.openxmlformats.org/officeDocument/2006/relationships/hyperlink" Target="https://ledkungen.se/collections/led-lister" TargetMode="External"/><Relationship Id="rId12420" Type="http://schemas.openxmlformats.org/officeDocument/2006/relationships/hyperlink" Target="http://hvvs.se/" TargetMode="External"/><Relationship Id="rId1014" Type="http://schemas.openxmlformats.org/officeDocument/2006/relationships/hyperlink" Target="http://distansinstitutet.se/" TargetMode="External"/><Relationship Id="rId4584" Type="http://schemas.openxmlformats.org/officeDocument/2006/relationships/hyperlink" Target="https://www.creditsafe.com/dk/da/kredit-risiko/kreditrapporter/kreditvurdering.html" TargetMode="External"/><Relationship Id="rId5635" Type="http://schemas.openxmlformats.org/officeDocument/2006/relationships/hyperlink" Target="https://filmeye.se/recension-focus-med-will-smith-och-margot-robbie/" TargetMode="External"/><Relationship Id="rId8041" Type="http://schemas.openxmlformats.org/officeDocument/2006/relationships/hyperlink" Target="https://www.cafe.se/partner/tva-annalkande-masterskap-for-alla-som-alskar-vintersport/" TargetMode="External"/><Relationship Id="rId11022" Type="http://schemas.openxmlformats.org/officeDocument/2006/relationships/hyperlink" Target="https://www.indiehackers.com/post/small-business-insurance-building-resilience-against-the-unexpected-825b667042" TargetMode="External"/><Relationship Id="rId3186" Type="http://schemas.openxmlformats.org/officeDocument/2006/relationships/hyperlink" Target="https://www.tivedshandel.se/" TargetMode="External"/><Relationship Id="rId4237" Type="http://schemas.openxmlformats.org/officeDocument/2006/relationships/hyperlink" Target="http://hvvs.se/" TargetMode="External"/><Relationship Id="rId4651" Type="http://schemas.openxmlformats.org/officeDocument/2006/relationships/hyperlink" Target="http://cannabislight.se/" TargetMode="External"/><Relationship Id="rId13194" Type="http://schemas.openxmlformats.org/officeDocument/2006/relationships/hyperlink" Target="http://kamux.fi/" TargetMode="External"/><Relationship Id="rId3253" Type="http://schemas.openxmlformats.org/officeDocument/2006/relationships/hyperlink" Target="http://glitnor.com/" TargetMode="External"/><Relationship Id="rId4304" Type="http://schemas.openxmlformats.org/officeDocument/2006/relationships/hyperlink" Target="https://www.veterinarklinikenbirsta.se/" TargetMode="External"/><Relationship Id="rId5702" Type="http://schemas.openxmlformats.org/officeDocument/2006/relationships/hyperlink" Target="http://snusnetto.se/" TargetMode="External"/><Relationship Id="rId8858" Type="http://schemas.openxmlformats.org/officeDocument/2006/relationships/hyperlink" Target="https://mynicco.com/" TargetMode="External"/><Relationship Id="rId9909" Type="http://schemas.openxmlformats.org/officeDocument/2006/relationships/hyperlink" Target="https://www.alennuskoodi.fm/kun-turvallisuus-tarkeampaa-kuin-alennus-turvallista-alykasta-ja-tyylikasta-turnerilla/" TargetMode="External"/><Relationship Id="rId10788" Type="http://schemas.openxmlformats.org/officeDocument/2006/relationships/hyperlink" Target="https://onlinehem.se/effektiv-stadning-for-en-halsosam-boendemiljo-i-stockholm/" TargetMode="External"/><Relationship Id="rId11839" Type="http://schemas.openxmlformats.org/officeDocument/2006/relationships/hyperlink" Target="https://listor.se/livsstil/5-trender-som-format-dagens-kultur-under-det-senaste-decenniet/" TargetMode="External"/><Relationship Id="rId174" Type="http://schemas.openxmlformats.org/officeDocument/2006/relationships/hyperlink" Target="http://chronos.se/" TargetMode="External"/><Relationship Id="rId7874" Type="http://schemas.openxmlformats.org/officeDocument/2006/relationships/hyperlink" Target="https://kelleher-international.com/professional-matchmaking-for-men/" TargetMode="External"/><Relationship Id="rId8925" Type="http://schemas.openxmlformats.org/officeDocument/2006/relationships/hyperlink" Target="http://arctic.se/nibe-warmepumpe-versicherung/" TargetMode="External"/><Relationship Id="rId10855" Type="http://schemas.openxmlformats.org/officeDocument/2006/relationships/hyperlink" Target="http://merchoteket.se/" TargetMode="External"/><Relationship Id="rId11906" Type="http://schemas.openxmlformats.org/officeDocument/2006/relationships/hyperlink" Target="https://www.calminax.se/2023/09/26/sopborsten-en-forbisedd-hjalte-i-ditt-personliga-hygienritual/" TargetMode="External"/><Relationship Id="rId13261" Type="http://schemas.openxmlformats.org/officeDocument/2006/relationships/hyperlink" Target="http://tiotak.se/" TargetMode="External"/><Relationship Id="rId241" Type="http://schemas.openxmlformats.org/officeDocument/2006/relationships/hyperlink" Target="https://poolstart.se/" TargetMode="External"/><Relationship Id="rId3320" Type="http://schemas.openxmlformats.org/officeDocument/2006/relationships/hyperlink" Target="https://edgehyllie.se/legend-bygg-en-pionjar-inom-byggindustrin/" TargetMode="External"/><Relationship Id="rId5078" Type="http://schemas.openxmlformats.org/officeDocument/2006/relationships/hyperlink" Target="https://aretrotale.com/en/" TargetMode="External"/><Relationship Id="rId6476" Type="http://schemas.openxmlformats.org/officeDocument/2006/relationships/hyperlink" Target="http://casinogringos.se/" TargetMode="External"/><Relationship Id="rId6890" Type="http://schemas.openxmlformats.org/officeDocument/2006/relationships/hyperlink" Target="https://hemplybalance.se/cbd-hampaoljor/" TargetMode="External"/><Relationship Id="rId7527" Type="http://schemas.openxmlformats.org/officeDocument/2006/relationships/hyperlink" Target="http://fairinvestments.se/" TargetMode="External"/><Relationship Id="rId7941" Type="http://schemas.openxmlformats.org/officeDocument/2006/relationships/hyperlink" Target="http://cherry.com/" TargetMode="External"/><Relationship Id="rId10508" Type="http://schemas.openxmlformats.org/officeDocument/2006/relationships/hyperlink" Target="https://distansinstitutet.se/distansutbildningar/vard-och-omsorg/socialpedagog/" TargetMode="External"/><Relationship Id="rId5492" Type="http://schemas.openxmlformats.org/officeDocument/2006/relationships/hyperlink" Target="http://fairinvestments.se/" TargetMode="External"/><Relationship Id="rId6129" Type="http://schemas.openxmlformats.org/officeDocument/2006/relationships/hyperlink" Target="https://mynicco.com/" TargetMode="External"/><Relationship Id="rId6543" Type="http://schemas.openxmlformats.org/officeDocument/2006/relationships/hyperlink" Target="http://cwinz.com/" TargetMode="External"/><Relationship Id="rId9699" Type="http://schemas.openxmlformats.org/officeDocument/2006/relationships/hyperlink" Target="https://www.stockholmsbyggnyheter.se/20250701/6546/roren-som-haller-ihop-staden-stockholms-underjordiska-rorsystem" TargetMode="External"/><Relationship Id="rId10922" Type="http://schemas.openxmlformats.org/officeDocument/2006/relationships/hyperlink" Target="http://technobark.com/" TargetMode="External"/><Relationship Id="rId1688" Type="http://schemas.openxmlformats.org/officeDocument/2006/relationships/hyperlink" Target="http://alfa.no/" TargetMode="External"/><Relationship Id="rId2739" Type="http://schemas.openxmlformats.org/officeDocument/2006/relationships/hyperlink" Target="http://tiotak.se/" TargetMode="External"/><Relationship Id="rId4094" Type="http://schemas.openxmlformats.org/officeDocument/2006/relationships/hyperlink" Target="http://fairinvestments.se/" TargetMode="External"/><Relationship Id="rId5145" Type="http://schemas.openxmlformats.org/officeDocument/2006/relationships/hyperlink" Target="https://thefrisky.com/balancing-modern-life-with-digital-fun/" TargetMode="External"/><Relationship Id="rId6610" Type="http://schemas.openxmlformats.org/officeDocument/2006/relationships/hyperlink" Target="https://casino-nytt.se/nya-livespel-dags-att-testa-annat-an-blackjack-och-roulette/" TargetMode="External"/><Relationship Id="rId9766" Type="http://schemas.openxmlformats.org/officeDocument/2006/relationships/hyperlink" Target="http://ekstromgaray.se/" TargetMode="External"/><Relationship Id="rId1755" Type="http://schemas.openxmlformats.org/officeDocument/2006/relationships/hyperlink" Target="https://www.executiveeffect.se/modern-tandvard-med-omsorg-pa-sodermalm-din-palitliga-tandlakare-for-optimal-munhalsa/" TargetMode="External"/><Relationship Id="rId4161" Type="http://schemas.openxmlformats.org/officeDocument/2006/relationships/hyperlink" Target="http://alfa.no/" TargetMode="External"/><Relationship Id="rId5212" Type="http://schemas.openxmlformats.org/officeDocument/2006/relationships/hyperlink" Target="https://www.citypendeln.se/stand-up-i-stockholm-en-evigt-vaxande-scen/" TargetMode="External"/><Relationship Id="rId8368" Type="http://schemas.openxmlformats.org/officeDocument/2006/relationships/hyperlink" Target="https://www.executiveeffect.se/foretagsledare-maste-tanka-som-psykologer-nar-de-inreder-och-renoverar-kontoret/" TargetMode="External"/><Relationship Id="rId8782" Type="http://schemas.openxmlformats.org/officeDocument/2006/relationships/hyperlink" Target="https://luurituki.fi/nain-sosiaalinen-media-vaikuttaa-siihen-mita-trendeja-seuraamme/" TargetMode="External"/><Relationship Id="rId9419" Type="http://schemas.openxmlformats.org/officeDocument/2006/relationships/hyperlink" Target="https://www.mrvegas.com/" TargetMode="External"/><Relationship Id="rId10298" Type="http://schemas.openxmlformats.org/officeDocument/2006/relationships/hyperlink" Target="https://byggupp.se/vvs-tjanster-som-hojer-kvaliteten-i-byggprojekt-i-stockholm/" TargetMode="External"/><Relationship Id="rId11349" Type="http://schemas.openxmlformats.org/officeDocument/2006/relationships/hyperlink" Target="https://news.cision.com/se/fair-investments" TargetMode="External"/><Relationship Id="rId11696" Type="http://schemas.openxmlformats.org/officeDocument/2006/relationships/hyperlink" Target="https://downloadcentral.no/news/hvordan-finne-de-beste-investeringsmulighetene/1023" TargetMode="External"/><Relationship Id="rId12747" Type="http://schemas.openxmlformats.org/officeDocument/2006/relationships/hyperlink" Target="http://tandea.se/tandvard/akut-tandvard-stockholm/" TargetMode="External"/><Relationship Id="rId1408" Type="http://schemas.openxmlformats.org/officeDocument/2006/relationships/hyperlink" Target="https://blugiallo.se/herrklader/klader/kostymer/" TargetMode="External"/><Relationship Id="rId2806" Type="http://schemas.openxmlformats.org/officeDocument/2006/relationships/hyperlink" Target="http://spelklubben.se/" TargetMode="External"/><Relationship Id="rId7384" Type="http://schemas.openxmlformats.org/officeDocument/2006/relationships/hyperlink" Target="https://himala.com/" TargetMode="External"/><Relationship Id="rId8435" Type="http://schemas.openxmlformats.org/officeDocument/2006/relationships/hyperlink" Target="http://clearfuze.com/" TargetMode="External"/><Relationship Id="rId9833" Type="http://schemas.openxmlformats.org/officeDocument/2006/relationships/hyperlink" Target="https://www.tandlakare.se/stad/goteborg/" TargetMode="External"/><Relationship Id="rId11763" Type="http://schemas.openxmlformats.org/officeDocument/2006/relationships/hyperlink" Target="https://whatsnew2day.com/things-to-consider-when-buying-horse-riding-clothing/" TargetMode="External"/><Relationship Id="rId12814" Type="http://schemas.openxmlformats.org/officeDocument/2006/relationships/hyperlink" Target="https://www.etlehti.fi/blogit/liiketoiminta/miksi-oikea-teollisuusovi-saastaa-tuhansia-euroja-vuodessa" TargetMode="External"/><Relationship Id="rId47" Type="http://schemas.openxmlformats.org/officeDocument/2006/relationships/hyperlink" Target="https://www.totallyorebro.se/ovrigt/en-omfattande-guide-for-att-forsta-socklar-pa-led-och-glodlampor/" TargetMode="External"/><Relationship Id="rId1822" Type="http://schemas.openxmlformats.org/officeDocument/2006/relationships/hyperlink" Target="https://notyfile.se/" TargetMode="External"/><Relationship Id="rId4978" Type="http://schemas.openxmlformats.org/officeDocument/2006/relationships/hyperlink" Target="https://www.bethard.com/sv/" TargetMode="External"/><Relationship Id="rId7037" Type="http://schemas.openxmlformats.org/officeDocument/2006/relationships/hyperlink" Target="https://sosugary.com/a-flavorful-journey-how-asian-cuisine-captivates-american-palates/" TargetMode="External"/><Relationship Id="rId9900" Type="http://schemas.openxmlformats.org/officeDocument/2006/relationships/hyperlink" Target="http://kamux.fi/" TargetMode="External"/><Relationship Id="rId10365" Type="http://schemas.openxmlformats.org/officeDocument/2006/relationships/hyperlink" Target="https://glassfactory.fi/sv/collections/speglar-med-belysning" TargetMode="External"/><Relationship Id="rId11416" Type="http://schemas.openxmlformats.org/officeDocument/2006/relationships/hyperlink" Target="https://www.lansfast.se/maklare/sodermanland/nykoping/" TargetMode="External"/><Relationship Id="rId11830" Type="http://schemas.openxmlformats.org/officeDocument/2006/relationships/hyperlink" Target="https://faa.dk/annoncoerbetaltindhold/unge-traeder-ind-paa-aktiemarkedet-men-det-er-ikke-fyns-ungdom-der-gaar-forrest" TargetMode="External"/><Relationship Id="rId3994" Type="http://schemas.openxmlformats.org/officeDocument/2006/relationships/hyperlink" Target="https://www.apelviken.nu/" TargetMode="External"/><Relationship Id="rId6053" Type="http://schemas.openxmlformats.org/officeDocument/2006/relationships/hyperlink" Target="https://www.nyaprojekt.se/2024/10/28/skraddarsydd-kapitalforvaltning-for-tillvaxtforetag-inom-bygg-och-utveckling/" TargetMode="External"/><Relationship Id="rId7451" Type="http://schemas.openxmlformats.org/officeDocument/2006/relationships/hyperlink" Target="https://www.totallystockholm.se/skenande-elpriser-i-stockholm-enkel-vagledning-fran-budgetknep-till-langsiktiga-investeringar/" TargetMode="External"/><Relationship Id="rId8502" Type="http://schemas.openxmlformats.org/officeDocument/2006/relationships/hyperlink" Target="http://aerius.se/" TargetMode="External"/><Relationship Id="rId10018" Type="http://schemas.openxmlformats.org/officeDocument/2006/relationships/hyperlink" Target="https://www.lsb.se/lana-pengar" TargetMode="External"/><Relationship Id="rId10432" Type="http://schemas.openxmlformats.org/officeDocument/2006/relationships/hyperlink" Target="http://hund.se/" TargetMode="External"/><Relationship Id="rId2596" Type="http://schemas.openxmlformats.org/officeDocument/2006/relationships/hyperlink" Target="https://notyfile.se/sv/" TargetMode="External"/><Relationship Id="rId3647" Type="http://schemas.openxmlformats.org/officeDocument/2006/relationships/hyperlink" Target="https://teknologihjelp.com/hvordan-ai-revolusjonerer-kredittvurdering-og-lanegodkjenning/" TargetMode="External"/><Relationship Id="rId7104" Type="http://schemas.openxmlformats.org/officeDocument/2006/relationships/hyperlink" Target="http://svenskafonster.se/" TargetMode="External"/><Relationship Id="rId568" Type="http://schemas.openxmlformats.org/officeDocument/2006/relationships/hyperlink" Target="http://lansfast.se/" TargetMode="External"/><Relationship Id="rId982" Type="http://schemas.openxmlformats.org/officeDocument/2006/relationships/hyperlink" Target="http://alfa.no/" TargetMode="External"/><Relationship Id="rId1198" Type="http://schemas.openxmlformats.org/officeDocument/2006/relationships/hyperlink" Target="https://tiotak.se/byta-tak-maskinhall/" TargetMode="External"/><Relationship Id="rId2249" Type="http://schemas.openxmlformats.org/officeDocument/2006/relationships/hyperlink" Target="https://www.vont.co/de/e-zigarette" TargetMode="External"/><Relationship Id="rId2663" Type="http://schemas.openxmlformats.org/officeDocument/2006/relationships/hyperlink" Target="https://www.commedica.com/kapitalforvaltning-vad-ar-det" TargetMode="External"/><Relationship Id="rId3714" Type="http://schemas.openxmlformats.org/officeDocument/2006/relationships/hyperlink" Target="https://firmify.se/arbetsplatsens-halsa-och-valmaende-viktiga-strategier-for-foretag/" TargetMode="External"/><Relationship Id="rId6120" Type="http://schemas.openxmlformats.org/officeDocument/2006/relationships/hyperlink" Target="http://chattanoogarehab.com/" TargetMode="External"/><Relationship Id="rId9276" Type="http://schemas.openxmlformats.org/officeDocument/2006/relationships/hyperlink" Target="https://tryggbil.se/volkswagen/" TargetMode="External"/><Relationship Id="rId9690" Type="http://schemas.openxmlformats.org/officeDocument/2006/relationships/hyperlink" Target="https://www.nykommun.se/2025/06/03/har-ar-foretagsviljan-storst-i-sverige/" TargetMode="External"/><Relationship Id="rId12257" Type="http://schemas.openxmlformats.org/officeDocument/2006/relationships/hyperlink" Target="https://press.newsmachine.com/pressrelease/view/knack-kladkoden-med-denna-guide-40924" TargetMode="External"/><Relationship Id="rId13308" Type="http://schemas.openxmlformats.org/officeDocument/2006/relationships/hyperlink" Target="https://satsamanualen.se/jamfor-forsakringar-for-att-hitta-det-basta-skyddet-till-ratt-pris/" TargetMode="External"/><Relationship Id="rId635" Type="http://schemas.openxmlformats.org/officeDocument/2006/relationships/hyperlink" Target="http://arctic.se/" TargetMode="External"/><Relationship Id="rId1265" Type="http://schemas.openxmlformats.org/officeDocument/2006/relationships/hyperlink" Target="http://distansinstitutet.se/" TargetMode="External"/><Relationship Id="rId2316" Type="http://schemas.openxmlformats.org/officeDocument/2006/relationships/hyperlink" Target="https://www.swedoffice.se/" TargetMode="External"/><Relationship Id="rId2730" Type="http://schemas.openxmlformats.org/officeDocument/2006/relationships/hyperlink" Target="https://arctic.se/se/forsakringslosningar/svensksolenergi/" TargetMode="External"/><Relationship Id="rId5886" Type="http://schemas.openxmlformats.org/officeDocument/2006/relationships/hyperlink" Target="https://e-ciggbolaget.se/e-cigaretter/" TargetMode="External"/><Relationship Id="rId8292" Type="http://schemas.openxmlformats.org/officeDocument/2006/relationships/hyperlink" Target="http://svenskiptv.com/" TargetMode="External"/><Relationship Id="rId9343" Type="http://schemas.openxmlformats.org/officeDocument/2006/relationships/hyperlink" Target="http://minifinder.se/" TargetMode="External"/><Relationship Id="rId11273" Type="http://schemas.openxmlformats.org/officeDocument/2006/relationships/hyperlink" Target="http://dieselkraft.se/" TargetMode="External"/><Relationship Id="rId12671" Type="http://schemas.openxmlformats.org/officeDocument/2006/relationships/hyperlink" Target="https://www.bethard.com/sv/sports" TargetMode="External"/><Relationship Id="rId702" Type="http://schemas.openxmlformats.org/officeDocument/2006/relationships/hyperlink" Target="https://nybyggande.se/varfor-du-alltid-bor-borja-med-planeringen-av-ett-byggprojekt-i-sa-god-tid-som-mojligt/" TargetMode="External"/><Relationship Id="rId1332" Type="http://schemas.openxmlformats.org/officeDocument/2006/relationships/hyperlink" Target="https://www.robomarkets.com/se/" TargetMode="External"/><Relationship Id="rId4488" Type="http://schemas.openxmlformats.org/officeDocument/2006/relationships/hyperlink" Target="https://www.purakliniken.se/estetisk-injektion/botox-stockholm/" TargetMode="External"/><Relationship Id="rId5539" Type="http://schemas.openxmlformats.org/officeDocument/2006/relationships/hyperlink" Target="https://www.nodepositbonus.cc/no-deposit-casinos/" TargetMode="External"/><Relationship Id="rId6937" Type="http://schemas.openxmlformats.org/officeDocument/2006/relationships/hyperlink" Target="https://www.rusta.com/sv-se/fritid/husdjur/hundfoder" TargetMode="External"/><Relationship Id="rId9410" Type="http://schemas.openxmlformats.org/officeDocument/2006/relationships/hyperlink" Target="https://www.tandea.se/kliniker/haninge/" TargetMode="External"/><Relationship Id="rId12324" Type="http://schemas.openxmlformats.org/officeDocument/2006/relationships/hyperlink" Target="https://carpcon.se/" TargetMode="External"/><Relationship Id="rId5953" Type="http://schemas.openxmlformats.org/officeDocument/2006/relationships/hyperlink" Target="http://startmotor.se/" TargetMode="External"/><Relationship Id="rId8012" Type="http://schemas.openxmlformats.org/officeDocument/2006/relationships/hyperlink" Target="http://kamux.fi/" TargetMode="External"/><Relationship Id="rId11340" Type="http://schemas.openxmlformats.org/officeDocument/2006/relationships/hyperlink" Target="http://fairinvestments.se/" TargetMode="External"/><Relationship Id="rId3157" Type="http://schemas.openxmlformats.org/officeDocument/2006/relationships/hyperlink" Target="https://bygghuddinge.se/w3-ledande-inom-elinstallationer-solcellspaket-for-hemmet/" TargetMode="External"/><Relationship Id="rId4555" Type="http://schemas.openxmlformats.org/officeDocument/2006/relationships/hyperlink" Target="https://bygghuddinge.se/upptack-fordelarna-med-formtrappan/" TargetMode="External"/><Relationship Id="rId5606" Type="http://schemas.openxmlformats.org/officeDocument/2006/relationships/hyperlink" Target="http://e-ciggbolaget.se/" TargetMode="External"/><Relationship Id="rId13098" Type="http://schemas.openxmlformats.org/officeDocument/2006/relationships/hyperlink" Target="https://www.megariches.com/welcome-bonus" TargetMode="External"/><Relationship Id="rId3571" Type="http://schemas.openxmlformats.org/officeDocument/2006/relationships/hyperlink" Target="https://www.dotartdesign.co.uk/tailoring-your-website-for-your-target-audience" TargetMode="External"/><Relationship Id="rId4208" Type="http://schemas.openxmlformats.org/officeDocument/2006/relationships/hyperlink" Target="https://myinternetaccess.net/understanding-cybersecurity-the-essential-pillar-of-digital-safety/" TargetMode="External"/><Relationship Id="rId4622" Type="http://schemas.openxmlformats.org/officeDocument/2006/relationships/hyperlink" Target="https://madforit.se/blogg/gonzos-quest-vad-gor-det-sa-speciellt/" TargetMode="External"/><Relationship Id="rId7778" Type="http://schemas.openxmlformats.org/officeDocument/2006/relationships/hyperlink" Target="https://www.spelklubben.se/sv/live-casino" TargetMode="External"/><Relationship Id="rId8829" Type="http://schemas.openxmlformats.org/officeDocument/2006/relationships/hyperlink" Target="http://minifinder.se/" TargetMode="External"/><Relationship Id="rId10759" Type="http://schemas.openxmlformats.org/officeDocument/2006/relationships/hyperlink" Target="https://sakraror.se/" TargetMode="External"/><Relationship Id="rId13165" Type="http://schemas.openxmlformats.org/officeDocument/2006/relationships/hyperlink" Target="http://www.di.se/brandstudio/fair-investments/fair-investments-vi-tar-bara-betalt-for-verkliga-resultat-det-tjanar-alla-pa/" TargetMode="External"/><Relationship Id="rId492" Type="http://schemas.openxmlformats.org/officeDocument/2006/relationships/hyperlink" Target="http://blugiallo.com/" TargetMode="External"/><Relationship Id="rId2173" Type="http://schemas.openxmlformats.org/officeDocument/2006/relationships/hyperlink" Target="https://www.hvvs.se/" TargetMode="External"/><Relationship Id="rId3224" Type="http://schemas.openxmlformats.org/officeDocument/2006/relationships/hyperlink" Target="https://www.inspiremethursday.com/the-right-clothes-can-boost-creativity" TargetMode="External"/><Relationship Id="rId6794" Type="http://schemas.openxmlformats.org/officeDocument/2006/relationships/hyperlink" Target="https://passioneffect.se/kan-vitt-snus-hjalpa-dig-sluta-roka-och-forbattra-halsan-pa-arbetsplatsen/" TargetMode="External"/><Relationship Id="rId7845" Type="http://schemas.openxmlformats.org/officeDocument/2006/relationships/hyperlink" Target="http://kvarnx.com/" TargetMode="External"/><Relationship Id="rId12181" Type="http://schemas.openxmlformats.org/officeDocument/2006/relationships/hyperlink" Target="https://beautymama.se/?p=979797979813&amp;preview=true" TargetMode="External"/><Relationship Id="rId13232" Type="http://schemas.openxmlformats.org/officeDocument/2006/relationships/hyperlink" Target="https://lillahemmet.se/mattor-som-forvandlar-ditt-hem-till-en-oas/" TargetMode="External"/><Relationship Id="rId145" Type="http://schemas.openxmlformats.org/officeDocument/2006/relationships/hyperlink" Target="https://b&#228;stf&#246;rs&#228;kringar.se/kattforsakring/" TargetMode="External"/><Relationship Id="rId2240" Type="http://schemas.openxmlformats.org/officeDocument/2006/relationships/hyperlink" Target="https://www.commedica.com/varden-skriker-efter-folk" TargetMode="External"/><Relationship Id="rId5396" Type="http://schemas.openxmlformats.org/officeDocument/2006/relationships/hyperlink" Target="http://snusnetto.se/" TargetMode="External"/><Relationship Id="rId6447" Type="http://schemas.openxmlformats.org/officeDocument/2006/relationships/hyperlink" Target="https://foraldraguiden.se/vanliga-tandolyckor-hos-barn-och-hur-du-kan-forebygga-dem/" TargetMode="External"/><Relationship Id="rId6861" Type="http://schemas.openxmlformats.org/officeDocument/2006/relationships/hyperlink" Target="http://spelklubben.se/" TargetMode="External"/><Relationship Id="rId10826" Type="http://schemas.openxmlformats.org/officeDocument/2006/relationships/hyperlink" Target="https://www.executiveeffect.se/reglering-som-konkurrensfordel/" TargetMode="External"/><Relationship Id="rId212" Type="http://schemas.openxmlformats.org/officeDocument/2006/relationships/hyperlink" Target="https://andrashop.se/b/vedeldad-bastu-flera-fordelar-for-halsa-och-hy/" TargetMode="External"/><Relationship Id="rId5049" Type="http://schemas.openxmlformats.org/officeDocument/2006/relationships/hyperlink" Target="http://pontonhamnar.se/" TargetMode="External"/><Relationship Id="rId5463" Type="http://schemas.openxmlformats.org/officeDocument/2006/relationships/hyperlink" Target="https://www.spelklubben.se/sv/live-casino/" TargetMode="External"/><Relationship Id="rId6514" Type="http://schemas.openxmlformats.org/officeDocument/2006/relationships/hyperlink" Target="https://www.myownwater.com/aluminum-water-bottles" TargetMode="External"/><Relationship Id="rId7912" Type="http://schemas.openxmlformats.org/officeDocument/2006/relationships/hyperlink" Target="http://nettotobak.com/" TargetMode="External"/><Relationship Id="rId12998" Type="http://schemas.openxmlformats.org/officeDocument/2006/relationships/hyperlink" Target="http://hajper.com/" TargetMode="External"/><Relationship Id="rId4065" Type="http://schemas.openxmlformats.org/officeDocument/2006/relationships/hyperlink" Target="http://vont.co/de" TargetMode="External"/><Relationship Id="rId5116" Type="http://schemas.openxmlformats.org/officeDocument/2006/relationships/hyperlink" Target="https://www.lansfast.se/maklare/stockholm/taby-danderyd/" TargetMode="External"/><Relationship Id="rId1659" Type="http://schemas.openxmlformats.org/officeDocument/2006/relationships/hyperlink" Target="https://pontonhamnar.se/produkter/flytbrygga/" TargetMode="External"/><Relationship Id="rId3081" Type="http://schemas.openxmlformats.org/officeDocument/2006/relationships/hyperlink" Target="http://awaio.com/" TargetMode="External"/><Relationship Id="rId4132" Type="http://schemas.openxmlformats.org/officeDocument/2006/relationships/hyperlink" Target="http://fairinvestments.se/" TargetMode="External"/><Relationship Id="rId5530" Type="http://schemas.openxmlformats.org/officeDocument/2006/relationships/hyperlink" Target="https://auralcrave.com/en/2024/09/25/green-sounds-sustainability-in-music-festivals-and-concerts/" TargetMode="External"/><Relationship Id="rId7288" Type="http://schemas.openxmlformats.org/officeDocument/2006/relationships/hyperlink" Target="https://aerius.se/ventilation-vasteras/" TargetMode="External"/><Relationship Id="rId8686" Type="http://schemas.openxmlformats.org/officeDocument/2006/relationships/hyperlink" Target="http://tkw.se/" TargetMode="External"/><Relationship Id="rId9737" Type="http://schemas.openxmlformats.org/officeDocument/2006/relationships/hyperlink" Target="https://www.sportingnews.com/us/culture/entertainment/news/evan-stewarts-injury-highlights-new-era-recovery-college-football/8fa28a6c85d36c22408c8709" TargetMode="External"/><Relationship Id="rId11667" Type="http://schemas.openxmlformats.org/officeDocument/2006/relationships/hyperlink" Target="https://markets.vontobel.com/da-dk/produkter/leverage/bull-bear-certifikater/DE000VV3RRW3" TargetMode="External"/><Relationship Id="rId12718" Type="http://schemas.openxmlformats.org/officeDocument/2006/relationships/hyperlink" Target="https://retrohus.se/professionell-taklaggning-for-hallbara-och-skraddarsydda-bostadslosningar/" TargetMode="External"/><Relationship Id="rId1726" Type="http://schemas.openxmlformats.org/officeDocument/2006/relationships/hyperlink" Target="https://e-ciggbolaget.se/e-cigaretter/" TargetMode="External"/><Relationship Id="rId8339" Type="http://schemas.openxmlformats.org/officeDocument/2006/relationships/hyperlink" Target="http://petster.se/" TargetMode="External"/><Relationship Id="rId8753" Type="http://schemas.openxmlformats.org/officeDocument/2006/relationships/hyperlink" Target="https://www.spelklubben.se/sv/betting" TargetMode="External"/><Relationship Id="rId9804" Type="http://schemas.openxmlformats.org/officeDocument/2006/relationships/hyperlink" Target="https://swedenlongstay.se/sv/foretagsbostader/stockholm/" TargetMode="External"/><Relationship Id="rId10269" Type="http://schemas.openxmlformats.org/officeDocument/2006/relationships/hyperlink" Target="https://wwww.nykommun.se/2025/07/21/foretagande-moter-verklighet-en-rora-av-flyttkartonger-och-kaffeflackar/" TargetMode="External"/><Relationship Id="rId10683" Type="http://schemas.openxmlformats.org/officeDocument/2006/relationships/hyperlink" Target="https://www.dagensfastigheter.se/20250805/12993/hallbar-lokalvard-en-avgorande-del-av-framtidens-fastigheter" TargetMode="External"/><Relationship Id="rId11734" Type="http://schemas.openxmlformats.org/officeDocument/2006/relationships/hyperlink" Target="http://yagya.com/" TargetMode="External"/><Relationship Id="rId18" Type="http://schemas.openxmlformats.org/officeDocument/2006/relationships/hyperlink" Target="https://chronos.se/" TargetMode="External"/><Relationship Id="rId3898" Type="http://schemas.openxmlformats.org/officeDocument/2006/relationships/hyperlink" Target="https://www.totallyorebro.se/uncategorized/estetiska-injektioner-for-man-en-vaxande-trend-inom-skonhetsindustrin/" TargetMode="External"/><Relationship Id="rId4949" Type="http://schemas.openxmlformats.org/officeDocument/2006/relationships/hyperlink" Target="http://snusnetto.se/" TargetMode="External"/><Relationship Id="rId7355" Type="http://schemas.openxmlformats.org/officeDocument/2006/relationships/hyperlink" Target="https://mynicco.com/" TargetMode="External"/><Relationship Id="rId8406" Type="http://schemas.openxmlformats.org/officeDocument/2006/relationships/hyperlink" Target="http://tryggbil.se/" TargetMode="External"/><Relationship Id="rId8820" Type="http://schemas.openxmlformats.org/officeDocument/2006/relationships/hyperlink" Target="http://glassfactory.fi/" TargetMode="External"/><Relationship Id="rId10336" Type="http://schemas.openxmlformats.org/officeDocument/2006/relationships/hyperlink" Target="http://spelklubben.se/" TargetMode="External"/><Relationship Id="rId3965" Type="http://schemas.openxmlformats.org/officeDocument/2006/relationships/hyperlink" Target="http://fairinvestments.se/" TargetMode="External"/><Relationship Id="rId6371" Type="http://schemas.openxmlformats.org/officeDocument/2006/relationships/hyperlink" Target="http://myownwater.com/" TargetMode="External"/><Relationship Id="rId7008" Type="http://schemas.openxmlformats.org/officeDocument/2006/relationships/hyperlink" Target="https://dailyemerald.com/157482/promotedposts/from-injuries-to-recovery-discover-the-benefits-of-shockwave-therapy/" TargetMode="External"/><Relationship Id="rId7422" Type="http://schemas.openxmlformats.org/officeDocument/2006/relationships/hyperlink" Target="https://thehometrotters.com/creating-a-relaxing-diy-spa-at-home-simple-steps-to-transform-your-space/" TargetMode="External"/><Relationship Id="rId10750" Type="http://schemas.openxmlformats.org/officeDocument/2006/relationships/hyperlink" Target="https://trevligahem.se/nagra-kontorsmaterial-som-forbattrar-din-arbetsmiljo-hemma/" TargetMode="External"/><Relationship Id="rId11801" Type="http://schemas.openxmlformats.org/officeDocument/2006/relationships/hyperlink" Target="http://tryggbil.se/" TargetMode="External"/><Relationship Id="rId886" Type="http://schemas.openxmlformats.org/officeDocument/2006/relationships/hyperlink" Target="http://toyota-forklifts.se/" TargetMode="External"/><Relationship Id="rId2567" Type="http://schemas.openxmlformats.org/officeDocument/2006/relationships/hyperlink" Target="https://www.plus46fashion.se/leendet-ar-din-viktigaste-accessoar" TargetMode="External"/><Relationship Id="rId3618" Type="http://schemas.openxmlformats.org/officeDocument/2006/relationships/hyperlink" Target="https://arctic.se/se/forsakringslosningar/svensksolenergi/" TargetMode="External"/><Relationship Id="rId6024" Type="http://schemas.openxmlformats.org/officeDocument/2006/relationships/hyperlink" Target="https://eventeffect.se/michael-frisorerna-hur-en-frisorsalong-pa-sodermalm-konkurrerar-pa-en-tuff-marknad/" TargetMode="External"/><Relationship Id="rId9594" Type="http://schemas.openxmlformats.org/officeDocument/2006/relationships/hyperlink" Target="http://hund.se/koppel-selar-och-halsband" TargetMode="External"/><Relationship Id="rId10403" Type="http://schemas.openxmlformats.org/officeDocument/2006/relationships/hyperlink" Target="https://www.dbet.com/sports/" TargetMode="External"/><Relationship Id="rId2" Type="http://schemas.openxmlformats.org/officeDocument/2006/relationships/hyperlink" Target="https://medialvagledning.com/2022/08/25/varje-ar-har-man-en-bokad-lakartid-for-sin-diabetes/" TargetMode="External"/><Relationship Id="rId539" Type="http://schemas.openxmlformats.org/officeDocument/2006/relationships/hyperlink" Target="https://stilero.se/b/inred-hemmakontoret-med-smart-skrivbordsforvaring/" TargetMode="External"/><Relationship Id="rId1169" Type="http://schemas.openxmlformats.org/officeDocument/2006/relationships/hyperlink" Target="http://tandea.se/" TargetMode="External"/><Relationship Id="rId1583" Type="http://schemas.openxmlformats.org/officeDocument/2006/relationships/hyperlink" Target="https://www.tryggbil.se/" TargetMode="External"/><Relationship Id="rId2981" Type="http://schemas.openxmlformats.org/officeDocument/2006/relationships/hyperlink" Target="https://e-ciggbolaget.se/e-cigaretter/engangs-vape/panther-bar/" TargetMode="External"/><Relationship Id="rId5040" Type="http://schemas.openxmlformats.org/officeDocument/2006/relationships/hyperlink" Target="https://www.snusnetto.se/" TargetMode="External"/><Relationship Id="rId8196" Type="http://schemas.openxmlformats.org/officeDocument/2006/relationships/hyperlink" Target="https://industrilinjen.se/sakerhetslosningar-for-foretag-hur-du-skapar-en-tryggare-arbetsmiljo/" TargetMode="External"/><Relationship Id="rId9247" Type="http://schemas.openxmlformats.org/officeDocument/2006/relationships/hyperlink" Target="https://retrohus.se/flexibla-foretagsbostader-for-langtidsboende-i-sverige/" TargetMode="External"/><Relationship Id="rId12575" Type="http://schemas.openxmlformats.org/officeDocument/2006/relationships/hyperlink" Target="https://marketingmartin.se/?p=605" TargetMode="External"/><Relationship Id="rId953" Type="http://schemas.openxmlformats.org/officeDocument/2006/relationships/hyperlink" Target="http://happysocks.com/" TargetMode="External"/><Relationship Id="rId1236" Type="http://schemas.openxmlformats.org/officeDocument/2006/relationships/hyperlink" Target="https://www.alfa.no/collections/tursko" TargetMode="External"/><Relationship Id="rId2634" Type="http://schemas.openxmlformats.org/officeDocument/2006/relationships/hyperlink" Target="http://distansinstitutet.se/" TargetMode="External"/><Relationship Id="rId8263" Type="http://schemas.openxmlformats.org/officeDocument/2006/relationships/hyperlink" Target="http://svenskiptv.com/" TargetMode="External"/><Relationship Id="rId9661" Type="http://schemas.openxmlformats.org/officeDocument/2006/relationships/hyperlink" Target="https://www.byggnyheter.se/20250602/32151/den-moderna-arkitekturtanken-i-sverige-vi-vill-se-oss-sjalva-sa-mycket-vi-kan" TargetMode="External"/><Relationship Id="rId11177" Type="http://schemas.openxmlformats.org/officeDocument/2006/relationships/hyperlink" Target="https://www.alexbyggkonsult.se/" TargetMode="External"/><Relationship Id="rId11591" Type="http://schemas.openxmlformats.org/officeDocument/2006/relationships/hyperlink" Target="https://sufracofinebrands.com/kategori/tvalpump" TargetMode="External"/><Relationship Id="rId12228" Type="http://schemas.openxmlformats.org/officeDocument/2006/relationships/hyperlink" Target="https://trevligahem.se/en-stralande-framtid-for-energibesparing-och-hallbarhet/" TargetMode="External"/><Relationship Id="rId12642" Type="http://schemas.openxmlformats.org/officeDocument/2006/relationships/hyperlink" Target="http://northtracker.com/" TargetMode="External"/><Relationship Id="rId606" Type="http://schemas.openxmlformats.org/officeDocument/2006/relationships/hyperlink" Target="http://askskinfo.com/" TargetMode="External"/><Relationship Id="rId1650" Type="http://schemas.openxmlformats.org/officeDocument/2006/relationships/hyperlink" Target="https://sportjournalen.se/bandage-en-avgorande-komponent-i-forebyggande-och-behandling-av-sportskador/" TargetMode="External"/><Relationship Id="rId2701" Type="http://schemas.openxmlformats.org/officeDocument/2006/relationships/hyperlink" Target="https://fredrik-eriksson.se/digital-underhallning-med-online-kasinon/" TargetMode="External"/><Relationship Id="rId5857" Type="http://schemas.openxmlformats.org/officeDocument/2006/relationships/hyperlink" Target="http://www.tandea.se/kliniker/tandlakare-ostermalm/" TargetMode="External"/><Relationship Id="rId6908" Type="http://schemas.openxmlformats.org/officeDocument/2006/relationships/hyperlink" Target="http://everynightstudios.com/" TargetMode="External"/><Relationship Id="rId9314" Type="http://schemas.openxmlformats.org/officeDocument/2006/relationships/hyperlink" Target="https://flyttgaranti.se/flytt" TargetMode="External"/><Relationship Id="rId10193" Type="http://schemas.openxmlformats.org/officeDocument/2006/relationships/hyperlink" Target="http://megariches.com/" TargetMode="External"/><Relationship Id="rId11244" Type="http://schemas.openxmlformats.org/officeDocument/2006/relationships/hyperlink" Target="https://conclean.se/produkter/minireningsverk/" TargetMode="External"/><Relationship Id="rId1303" Type="http://schemas.openxmlformats.org/officeDocument/2006/relationships/hyperlink" Target="http://happysocks.com/" TargetMode="External"/><Relationship Id="rId4459" Type="http://schemas.openxmlformats.org/officeDocument/2006/relationships/hyperlink" Target="https://edgehyllie.se/led-lister-skapa-stamning-atmosfar-i-ditt-hem/" TargetMode="External"/><Relationship Id="rId4873" Type="http://schemas.openxmlformats.org/officeDocument/2006/relationships/hyperlink" Target="http://cherry.com/" TargetMode="External"/><Relationship Id="rId5924" Type="http://schemas.openxmlformats.org/officeDocument/2006/relationships/hyperlink" Target="http://bbml.se/" TargetMode="External"/><Relationship Id="rId8330" Type="http://schemas.openxmlformats.org/officeDocument/2006/relationships/hyperlink" Target="http://startmotor.se/" TargetMode="External"/><Relationship Id="rId10260" Type="http://schemas.openxmlformats.org/officeDocument/2006/relationships/hyperlink" Target="https://www.futuristarchitecture.com/128213-custom-rugs-designed-to-fit-every-space-and-style.html" TargetMode="External"/><Relationship Id="rId11311" Type="http://schemas.openxmlformats.org/officeDocument/2006/relationships/hyperlink" Target="https://www.di.se/brandstudio/fair-investments/fair-investments-vi-tar-bara-betalt-for-verkliga-resultat-det-tjanar-alla-pa/" TargetMode="External"/><Relationship Id="rId3475" Type="http://schemas.openxmlformats.org/officeDocument/2006/relationships/hyperlink" Target="http://filippa-k.com/se/sv/" TargetMode="External"/><Relationship Id="rId4526" Type="http://schemas.openxmlformats.org/officeDocument/2006/relationships/hyperlink" Target="https://tiotak.se/plattak/plattak-med-solceller/" TargetMode="External"/><Relationship Id="rId4940" Type="http://schemas.openxmlformats.org/officeDocument/2006/relationships/hyperlink" Target="http://bethard.com/" TargetMode="External"/><Relationship Id="rId13069" Type="http://schemas.openxmlformats.org/officeDocument/2006/relationships/hyperlink" Target="https://bilverkstad.eu/sa-forlanger-du-livet-pa-din-begagnade-bil-tips-for-saker-korning/" TargetMode="External"/><Relationship Id="rId396" Type="http://schemas.openxmlformats.org/officeDocument/2006/relationships/hyperlink" Target="https://b&#228;stf&#246;rs&#228;kringar.se/villaforsakring/" TargetMode="External"/><Relationship Id="rId2077" Type="http://schemas.openxmlformats.org/officeDocument/2006/relationships/hyperlink" Target="http://creditsafe.se/" TargetMode="External"/><Relationship Id="rId2491" Type="http://schemas.openxmlformats.org/officeDocument/2006/relationships/hyperlink" Target="http://distansinstitutet.se/" TargetMode="External"/><Relationship Id="rId3128" Type="http://schemas.openxmlformats.org/officeDocument/2006/relationships/hyperlink" Target="https://www.villarelining.se/" TargetMode="External"/><Relationship Id="rId3542" Type="http://schemas.openxmlformats.org/officeDocument/2006/relationships/hyperlink" Target="https://www.spelklubben.se/sv" TargetMode="External"/><Relationship Id="rId6698" Type="http://schemas.openxmlformats.org/officeDocument/2006/relationships/hyperlink" Target="https://pappahajen.se/hall-din-bil-i-trim-en-guide-till-generatorer-och-reservdelar/" TargetMode="External"/><Relationship Id="rId7749" Type="http://schemas.openxmlformats.org/officeDocument/2006/relationships/hyperlink" Target="http://kvarnx.com/" TargetMode="External"/><Relationship Id="rId12085" Type="http://schemas.openxmlformats.org/officeDocument/2006/relationships/hyperlink" Target="https://www.villarelining.se/boka-besiktning" TargetMode="External"/><Relationship Id="rId13136" Type="http://schemas.openxmlformats.org/officeDocument/2006/relationships/hyperlink" Target="https://www.rusta.com/sv-se/hem-och-inredning/mattor" TargetMode="External"/><Relationship Id="rId463" Type="http://schemas.openxmlformats.org/officeDocument/2006/relationships/hyperlink" Target="http://blugiallo.com/" TargetMode="External"/><Relationship Id="rId1093" Type="http://schemas.openxmlformats.org/officeDocument/2006/relationships/hyperlink" Target="https://www.robomarkets.com/se/forex-trading/trading/specifications/card/pro-stan/AMZN/" TargetMode="External"/><Relationship Id="rId2144" Type="http://schemas.openxmlformats.org/officeDocument/2006/relationships/hyperlink" Target="http://fairinvestments.se/" TargetMode="External"/><Relationship Id="rId9171" Type="http://schemas.openxmlformats.org/officeDocument/2006/relationships/hyperlink" Target="http://gonorthshop.com/" TargetMode="External"/><Relationship Id="rId116" Type="http://schemas.openxmlformats.org/officeDocument/2006/relationships/hyperlink" Target="https://www.syskonvagn.nu/" TargetMode="External"/><Relationship Id="rId530" Type="http://schemas.openxmlformats.org/officeDocument/2006/relationships/hyperlink" Target="https://bareblog.se/kopguide-hitta-ratt-motviktstruck-for-foretaget/" TargetMode="External"/><Relationship Id="rId1160" Type="http://schemas.openxmlformats.org/officeDocument/2006/relationships/hyperlink" Target="https://www.tandea.se/" TargetMode="External"/><Relationship Id="rId2211" Type="http://schemas.openxmlformats.org/officeDocument/2006/relationships/hyperlink" Target="https://www.lula.se/darfor-ar-led-battre" TargetMode="External"/><Relationship Id="rId5367" Type="http://schemas.openxmlformats.org/officeDocument/2006/relationships/hyperlink" Target="http://seniorrabatt.se/" TargetMode="External"/><Relationship Id="rId6765" Type="http://schemas.openxmlformats.org/officeDocument/2006/relationships/hyperlink" Target="http://fairinvestments.se/" TargetMode="External"/><Relationship Id="rId7816" Type="http://schemas.openxmlformats.org/officeDocument/2006/relationships/hyperlink" Target="http://startmotor.se/" TargetMode="External"/><Relationship Id="rId12152" Type="http://schemas.openxmlformats.org/officeDocument/2006/relationships/hyperlink" Target="http://haxan.se/" TargetMode="External"/><Relationship Id="rId13203" Type="http://schemas.openxmlformats.org/officeDocument/2006/relationships/hyperlink" Target="http://kamux.fi/" TargetMode="External"/><Relationship Id="rId5781" Type="http://schemas.openxmlformats.org/officeDocument/2006/relationships/hyperlink" Target="http://upplevelse.com/" TargetMode="External"/><Relationship Id="rId6418" Type="http://schemas.openxmlformats.org/officeDocument/2006/relationships/hyperlink" Target="http://fairinvestments.se/" TargetMode="External"/><Relationship Id="rId6832" Type="http://schemas.openxmlformats.org/officeDocument/2006/relationships/hyperlink" Target="http://kvarnx.com/" TargetMode="External"/><Relationship Id="rId9988" Type="http://schemas.openxmlformats.org/officeDocument/2006/relationships/hyperlink" Target="https://www.technology.org/2025/06/16/the-growing-trend-of-automated-pet-care-from-feeding-to-waste-management/" TargetMode="External"/><Relationship Id="rId12969" Type="http://schemas.openxmlformats.org/officeDocument/2006/relationships/hyperlink" Target="https://www.bethard.com/sv/sports" TargetMode="External"/><Relationship Id="rId1977" Type="http://schemas.openxmlformats.org/officeDocument/2006/relationships/hyperlink" Target="https://distansinstitutet.se/distansutbildningar/pedagogik/vardbitrade/" TargetMode="External"/><Relationship Id="rId4383" Type="http://schemas.openxmlformats.org/officeDocument/2006/relationships/hyperlink" Target="https://fairinvestments.se/finansiell-information/" TargetMode="External"/><Relationship Id="rId5434" Type="http://schemas.openxmlformats.org/officeDocument/2006/relationships/hyperlink" Target="http://cdg.io/" TargetMode="External"/><Relationship Id="rId4036" Type="http://schemas.openxmlformats.org/officeDocument/2006/relationships/hyperlink" Target="https://meetingroom.se/" TargetMode="External"/><Relationship Id="rId4450" Type="http://schemas.openxmlformats.org/officeDocument/2006/relationships/hyperlink" Target="https://missli.se/den-ultimata-guiden-for-att-forbereda-din-bostad-for-forsaljning/" TargetMode="External"/><Relationship Id="rId5501" Type="http://schemas.openxmlformats.org/officeDocument/2006/relationships/hyperlink" Target="http://kamux.fi/" TargetMode="External"/><Relationship Id="rId8657" Type="http://schemas.openxmlformats.org/officeDocument/2006/relationships/hyperlink" Target="https://byggavilla.se/effektivitet-och-sakerhet-i-byggprocessen/" TargetMode="External"/><Relationship Id="rId9708" Type="http://schemas.openxmlformats.org/officeDocument/2006/relationships/hyperlink" Target="https://mariefredstidning.se/2025/05/23/fran-bingolotto-till-blockchain-svensk-spelkultur-i-forandring/" TargetMode="External"/><Relationship Id="rId10587" Type="http://schemas.openxmlformats.org/officeDocument/2006/relationships/hyperlink" Target="https://www.myownwater.com/aluminum-water-bottles" TargetMode="External"/><Relationship Id="rId11638" Type="http://schemas.openxmlformats.org/officeDocument/2006/relationships/hyperlink" Target="https://markets.vontobel.com/da-dk/produkter/leverage/bull-bear-certifikater/DE000VV3RRW3" TargetMode="External"/><Relationship Id="rId11985" Type="http://schemas.openxmlformats.org/officeDocument/2006/relationships/hyperlink" Target="https://livsstilsforandringar.se/cbd-oljans-bidragande-till-naturlig-halsa-i-en-varld-praglad-av-stress/" TargetMode="External"/><Relationship Id="rId3052" Type="http://schemas.openxmlformats.org/officeDocument/2006/relationships/hyperlink" Target="http://spelklubben.se/" TargetMode="External"/><Relationship Id="rId4103" Type="http://schemas.openxmlformats.org/officeDocument/2006/relationships/hyperlink" Target="https://cannabislight.se/kategori/cbd-olja-extrakt/" TargetMode="External"/><Relationship Id="rId7259" Type="http://schemas.openxmlformats.org/officeDocument/2006/relationships/hyperlink" Target="http://mobot.com/" TargetMode="External"/><Relationship Id="rId7673" Type="http://schemas.openxmlformats.org/officeDocument/2006/relationships/hyperlink" Target="http://swedenlongstay.se/" TargetMode="External"/><Relationship Id="rId8724" Type="http://schemas.openxmlformats.org/officeDocument/2006/relationships/hyperlink" Target="https://www.dbet.com/sports/" TargetMode="External"/><Relationship Id="rId13060" Type="http://schemas.openxmlformats.org/officeDocument/2006/relationships/hyperlink" Target="https://mxc.com.mx/2025/10/01/musica-que-engancha-como-elegir-la-cancion-perfecta-para-tu-video/" TargetMode="External"/><Relationship Id="rId6275" Type="http://schemas.openxmlformats.org/officeDocument/2006/relationships/hyperlink" Target="https://egenvilla.se/fastighetsformedling-i-trosa-en-guide-till-bostadskop/" TargetMode="External"/><Relationship Id="rId7326" Type="http://schemas.openxmlformats.org/officeDocument/2006/relationships/hyperlink" Target="http://svenskafonster.se/aluminiumfonster" TargetMode="External"/><Relationship Id="rId10654" Type="http://schemas.openxmlformats.org/officeDocument/2006/relationships/hyperlink" Target="https://intomoda.fi/trendit/krypto-tulevaisuuden-kulta-vai-ainoastaan-trendi/" TargetMode="External"/><Relationship Id="rId11705" Type="http://schemas.openxmlformats.org/officeDocument/2006/relationships/hyperlink" Target="http://vontabel.com/" TargetMode="External"/><Relationship Id="rId3869" Type="http://schemas.openxmlformats.org/officeDocument/2006/relationships/hyperlink" Target="https://www.totallyorebro.se/uncategorized/hansyn-till-miljon-nya-sattet-att-investera/" TargetMode="External"/><Relationship Id="rId5291" Type="http://schemas.openxmlformats.org/officeDocument/2006/relationships/hyperlink" Target="https://www.lfc.se/nyheter/57498/pl-omgang-4-fem-heta-matcher-att-spela-pa" TargetMode="External"/><Relationship Id="rId6342" Type="http://schemas.openxmlformats.org/officeDocument/2006/relationships/hyperlink" Target="https://budgetresa.se/skidresor-sa-forbereder-du-dig-for-sasongen/" TargetMode="External"/><Relationship Id="rId7740" Type="http://schemas.openxmlformats.org/officeDocument/2006/relationships/hyperlink" Target="http://rusta.se/" TargetMode="External"/><Relationship Id="rId9498" Type="http://schemas.openxmlformats.org/officeDocument/2006/relationships/hyperlink" Target="https://www.willabgarden.de/gewachshauser/" TargetMode="External"/><Relationship Id="rId10307" Type="http://schemas.openxmlformats.org/officeDocument/2006/relationships/hyperlink" Target="https://www.tandlakare.se/stad/stockholm/" TargetMode="External"/><Relationship Id="rId10721" Type="http://schemas.openxmlformats.org/officeDocument/2006/relationships/hyperlink" Target="https://www.allaannonser.se/samarb-mrvegas.html" TargetMode="External"/><Relationship Id="rId2885" Type="http://schemas.openxmlformats.org/officeDocument/2006/relationships/hyperlink" Target="http://glitnor.com/" TargetMode="External"/><Relationship Id="rId3936" Type="http://schemas.openxmlformats.org/officeDocument/2006/relationships/hyperlink" Target="https://ledarsidorna.se/sov-gott-sa-blir-du-av-med-somnloshet/" TargetMode="External"/><Relationship Id="rId12479" Type="http://schemas.openxmlformats.org/officeDocument/2006/relationships/hyperlink" Target="https://www.affarsvarlden.se/native/spetsig-fond-hittar-globala-vinnare" TargetMode="External"/><Relationship Id="rId12893" Type="http://schemas.openxmlformats.org/officeDocument/2006/relationships/hyperlink" Target="https://www.digitaljournal.com/life/the-importance-of-a-great-rug/article" TargetMode="External"/><Relationship Id="rId857" Type="http://schemas.openxmlformats.org/officeDocument/2006/relationships/hyperlink" Target="http://happysocks.com/" TargetMode="External"/><Relationship Id="rId1487" Type="http://schemas.openxmlformats.org/officeDocument/2006/relationships/hyperlink" Target="https://advancepointcap.com/construction-loans/" TargetMode="External"/><Relationship Id="rId2538" Type="http://schemas.openxmlformats.org/officeDocument/2006/relationships/hyperlink" Target="https://www.in2site.se/" TargetMode="External"/><Relationship Id="rId2952" Type="http://schemas.openxmlformats.org/officeDocument/2006/relationships/hyperlink" Target="https://www.spelklubben.se/sv/live-casino" TargetMode="External"/><Relationship Id="rId9565" Type="http://schemas.openxmlformats.org/officeDocument/2006/relationships/hyperlink" Target="https://www.kleer.se/" TargetMode="External"/><Relationship Id="rId11495" Type="http://schemas.openxmlformats.org/officeDocument/2006/relationships/hyperlink" Target="https://www.robomarkets.com/se/" TargetMode="External"/><Relationship Id="rId12546" Type="http://schemas.openxmlformats.org/officeDocument/2006/relationships/hyperlink" Target="https://www.vont.se/" TargetMode="External"/><Relationship Id="rId924" Type="http://schemas.openxmlformats.org/officeDocument/2006/relationships/hyperlink" Target="https://www.happysocks.com/us/collection/socks-for-men" TargetMode="External"/><Relationship Id="rId1554" Type="http://schemas.openxmlformats.org/officeDocument/2006/relationships/hyperlink" Target="https://www.happysocks.com/us/collection/socks-for-men" TargetMode="External"/><Relationship Id="rId2605" Type="http://schemas.openxmlformats.org/officeDocument/2006/relationships/hyperlink" Target="https://lemontree.se/branscher/bank-finans-forsakring/dora/" TargetMode="External"/><Relationship Id="rId5011" Type="http://schemas.openxmlformats.org/officeDocument/2006/relationships/hyperlink" Target="http://alfa.no/" TargetMode="External"/><Relationship Id="rId8167" Type="http://schemas.openxmlformats.org/officeDocument/2006/relationships/hyperlink" Target="https://fritidsaktivitet.se/att-valja-ratt-kopieringspapper-for-dina-hobbyprojekt/" TargetMode="External"/><Relationship Id="rId8581" Type="http://schemas.openxmlformats.org/officeDocument/2006/relationships/hyperlink" Target="http://tandlakare.se/" TargetMode="External"/><Relationship Id="rId9218" Type="http://schemas.openxmlformats.org/officeDocument/2006/relationships/hyperlink" Target="https://www.lansfast.se/maklare/sodermanland/trosa/" TargetMode="External"/><Relationship Id="rId9632" Type="http://schemas.openxmlformats.org/officeDocument/2006/relationships/hyperlink" Target="http://michaelofrisorerna.se/" TargetMode="External"/><Relationship Id="rId10097" Type="http://schemas.openxmlformats.org/officeDocument/2006/relationships/hyperlink" Target="http://bethard.com/" TargetMode="External"/><Relationship Id="rId11148" Type="http://schemas.openxmlformats.org/officeDocument/2006/relationships/hyperlink" Target="https://www.norteam.se/" TargetMode="External"/><Relationship Id="rId11562" Type="http://schemas.openxmlformats.org/officeDocument/2006/relationships/hyperlink" Target="http://sufracofinebrands.com/" TargetMode="External"/><Relationship Id="rId12960" Type="http://schemas.openxmlformats.org/officeDocument/2006/relationships/hyperlink" Target="https://www.di.se/brandstudio/fair-investments/fair-investments-vi-tar-bara-betalt-for-verkliga-resultat-det-tjanar-alla-pa/" TargetMode="External"/><Relationship Id="rId1207" Type="http://schemas.openxmlformats.org/officeDocument/2006/relationships/hyperlink" Target="http://tryggbil.se/" TargetMode="External"/><Relationship Id="rId1621" Type="http://schemas.openxmlformats.org/officeDocument/2006/relationships/hyperlink" Target="https://www.swedoffice.se/kategori/49902-kopieringspapp" TargetMode="External"/><Relationship Id="rId4777" Type="http://schemas.openxmlformats.org/officeDocument/2006/relationships/hyperlink" Target="http://fairinvestments.se/" TargetMode="External"/><Relationship Id="rId5828" Type="http://schemas.openxmlformats.org/officeDocument/2006/relationships/hyperlink" Target="https://boendekatalogen.se/maklare-nykoping-din-guide-till-bostadsmarknaden/" TargetMode="External"/><Relationship Id="rId7183" Type="http://schemas.openxmlformats.org/officeDocument/2006/relationships/hyperlink" Target="https://adventureguide.se/skidupplevelser-maximera-din-skidakning-med-ratt-skidvalla/" TargetMode="External"/><Relationship Id="rId8234" Type="http://schemas.openxmlformats.org/officeDocument/2006/relationships/hyperlink" Target="https://www.axofinans.se/" TargetMode="External"/><Relationship Id="rId10164" Type="http://schemas.openxmlformats.org/officeDocument/2006/relationships/hyperlink" Target="https://www.orderhero.se/ratt-snus-till-ratt-vin-en-ny-varld-av-smakupplevelser/" TargetMode="External"/><Relationship Id="rId11215" Type="http://schemas.openxmlformats.org/officeDocument/2006/relationships/hyperlink" Target="https://gentlemannaguiden.com/sa-har-styr-du-upp-ditt-brollop-fran-frieri-till-till-storslagen-fest/" TargetMode="External"/><Relationship Id="rId12613" Type="http://schemas.openxmlformats.org/officeDocument/2006/relationships/hyperlink" Target="https://www.sporthalsa.se/artiklar/hur-ar-en-bra-tranare-enligt-idrottspsykologi/" TargetMode="External"/><Relationship Id="rId3379" Type="http://schemas.openxmlformats.org/officeDocument/2006/relationships/hyperlink" Target="http://spelklubben.se/" TargetMode="External"/><Relationship Id="rId3793" Type="http://schemas.openxmlformats.org/officeDocument/2006/relationships/hyperlink" Target="https://jovialsundsvall.se/" TargetMode="External"/><Relationship Id="rId7250" Type="http://schemas.openxmlformats.org/officeDocument/2006/relationships/hyperlink" Target="http://clearfuze.com/" TargetMode="External"/><Relationship Id="rId8301" Type="http://schemas.openxmlformats.org/officeDocument/2006/relationships/hyperlink" Target="http://upplevelse.com/" TargetMode="External"/><Relationship Id="rId2395" Type="http://schemas.openxmlformats.org/officeDocument/2006/relationships/hyperlink" Target="https://www.lansfast.se/maklare/stockholm/taby-danderyd/" TargetMode="External"/><Relationship Id="rId3446" Type="http://schemas.openxmlformats.org/officeDocument/2006/relationships/hyperlink" Target="http://m6bygg.se/" TargetMode="External"/><Relationship Id="rId4844" Type="http://schemas.openxmlformats.org/officeDocument/2006/relationships/hyperlink" Target="https://tvprogram.nu/blogg/casinoreklamer-da-och-nu-en-resa-genom-tidens-spel" TargetMode="External"/><Relationship Id="rId10231" Type="http://schemas.openxmlformats.org/officeDocument/2006/relationships/hyperlink" Target="https://leaptodigital.com/roofing-crm" TargetMode="External"/><Relationship Id="rId367" Type="http://schemas.openxmlformats.org/officeDocument/2006/relationships/hyperlink" Target="https://mandemagasinet.dk/til-forretningsmanden-derfor-skal-du-investere-i-kreditvurdering-til-din-virksomhed/" TargetMode="External"/><Relationship Id="rId2048" Type="http://schemas.openxmlformats.org/officeDocument/2006/relationships/hyperlink" Target="http://w3solenergi.se/" TargetMode="External"/><Relationship Id="rId3860" Type="http://schemas.openxmlformats.org/officeDocument/2006/relationships/hyperlink" Target="https://ecommunity.se/viktiga-tips-nar-du-byter-till-ett-nytt-casino/" TargetMode="External"/><Relationship Id="rId4911" Type="http://schemas.openxmlformats.org/officeDocument/2006/relationships/hyperlink" Target="https://www.cherry.com/sv/responsible-gaming" TargetMode="External"/><Relationship Id="rId9075" Type="http://schemas.openxmlformats.org/officeDocument/2006/relationships/hyperlink" Target="http://rusta.se/" TargetMode="External"/><Relationship Id="rId781" Type="http://schemas.openxmlformats.org/officeDocument/2006/relationships/hyperlink" Target="http://happysocks.com/" TargetMode="External"/><Relationship Id="rId2462" Type="http://schemas.openxmlformats.org/officeDocument/2006/relationships/hyperlink" Target="https://www.vont.se/to-go/0-mg-ml" TargetMode="External"/><Relationship Id="rId3513" Type="http://schemas.openxmlformats.org/officeDocument/2006/relationships/hyperlink" Target="http://glitnor.com/" TargetMode="External"/><Relationship Id="rId6669" Type="http://schemas.openxmlformats.org/officeDocument/2006/relationships/hyperlink" Target="https://www.rusta.com/se/sv/hem--inredning/mattor/" TargetMode="External"/><Relationship Id="rId8091" Type="http://schemas.openxmlformats.org/officeDocument/2006/relationships/hyperlink" Target="https://svenskiptv.com/hur-fungerar-iptv-kom-igang/" TargetMode="External"/><Relationship Id="rId12056" Type="http://schemas.openxmlformats.org/officeDocument/2006/relationships/hyperlink" Target="https://nyheteridag.se/vont-omdefinierar-vape-upplevelsen-med-innovation/" TargetMode="External"/><Relationship Id="rId12470" Type="http://schemas.openxmlformats.org/officeDocument/2006/relationships/hyperlink" Target="https://www.affarsvarlden.se/native/spetsig-fond-hittar-globala-vinnare" TargetMode="External"/><Relationship Id="rId13107" Type="http://schemas.openxmlformats.org/officeDocument/2006/relationships/hyperlink" Target="https://nordicknots.com/us/custom-rugs" TargetMode="External"/><Relationship Id="rId434" Type="http://schemas.openxmlformats.org/officeDocument/2006/relationships/hyperlink" Target="https://www.vont.se/" TargetMode="External"/><Relationship Id="rId1064" Type="http://schemas.openxmlformats.org/officeDocument/2006/relationships/hyperlink" Target="https://www.swedoffice.se/kategori/49902-kopieringspapper" TargetMode="External"/><Relationship Id="rId2115" Type="http://schemas.openxmlformats.org/officeDocument/2006/relationships/hyperlink" Target="https://klubbace.se/hur-kan-pengar-vaxa" TargetMode="External"/><Relationship Id="rId5685" Type="http://schemas.openxmlformats.org/officeDocument/2006/relationships/hyperlink" Target="https://presenttipsaren.nu/en-meningsfull-gava-for-den-blivande-forfattaren/" TargetMode="External"/><Relationship Id="rId6736" Type="http://schemas.openxmlformats.org/officeDocument/2006/relationships/hyperlink" Target="http://hund.se/" TargetMode="External"/><Relationship Id="rId9142" Type="http://schemas.openxmlformats.org/officeDocument/2006/relationships/hyperlink" Target="https://www.feast-magazine.co.uk/fashion-2/why-timeless-styles-keep-returning-to-the-spotlight-57389" TargetMode="External"/><Relationship Id="rId11072" Type="http://schemas.openxmlformats.org/officeDocument/2006/relationships/hyperlink" Target="http://startmotor.se/" TargetMode="External"/><Relationship Id="rId12123" Type="http://schemas.openxmlformats.org/officeDocument/2006/relationships/hyperlink" Target="http://arctic.se/" TargetMode="External"/><Relationship Id="rId501" Type="http://schemas.openxmlformats.org/officeDocument/2006/relationships/hyperlink" Target="http://kopbarnvagn.se/" TargetMode="External"/><Relationship Id="rId1131" Type="http://schemas.openxmlformats.org/officeDocument/2006/relationships/hyperlink" Target="http://isakstrafikskola.se/" TargetMode="External"/><Relationship Id="rId4287" Type="http://schemas.openxmlformats.org/officeDocument/2006/relationships/hyperlink" Target="https://lightsymposium.se/valj-ratt-kopieringspapper-for-verksamhetens-alla-behov/" TargetMode="External"/><Relationship Id="rId5338" Type="http://schemas.openxmlformats.org/officeDocument/2006/relationships/hyperlink" Target="https://www.naturligtglutenfritt.se/" TargetMode="External"/><Relationship Id="rId5752" Type="http://schemas.openxmlformats.org/officeDocument/2006/relationships/hyperlink" Target="http://bbml.se/" TargetMode="External"/><Relationship Id="rId6803" Type="http://schemas.openxmlformats.org/officeDocument/2006/relationships/hyperlink" Target="https://ekstromgaray.se/" TargetMode="External"/><Relationship Id="rId9959" Type="http://schemas.openxmlformats.org/officeDocument/2006/relationships/hyperlink" Target="http://turner.fi/" TargetMode="External"/><Relationship Id="rId4354" Type="http://schemas.openxmlformats.org/officeDocument/2006/relationships/hyperlink" Target="https://www.kimura.se/spannande-fajt-under-ufc-paris-benoit-saint-denis-gar-match/" TargetMode="External"/><Relationship Id="rId5405" Type="http://schemas.openxmlformats.org/officeDocument/2006/relationships/hyperlink" Target="http://pontonhamnar.se/" TargetMode="External"/><Relationship Id="rId11889" Type="http://schemas.openxmlformats.org/officeDocument/2006/relationships/hyperlink" Target="https://www.indlaeg.nu/2023/09/25/sokandet-efter-halsosammare-alternativ-nikotinfri-vape/" TargetMode="External"/><Relationship Id="rId1948" Type="http://schemas.openxmlformats.org/officeDocument/2006/relationships/hyperlink" Target="http://schjodt.com/" TargetMode="External"/><Relationship Id="rId3370" Type="http://schemas.openxmlformats.org/officeDocument/2006/relationships/hyperlink" Target="http://distansinstitutet.se/" TargetMode="External"/><Relationship Id="rId4007" Type="http://schemas.openxmlformats.org/officeDocument/2006/relationships/hyperlink" Target="https://www.saleseffect.se/vitt-snus-en-revolution-pa-snusmarknaden/" TargetMode="External"/><Relationship Id="rId4421" Type="http://schemas.openxmlformats.org/officeDocument/2006/relationships/hyperlink" Target="http://www.kelleher-international.com/" TargetMode="External"/><Relationship Id="rId7577" Type="http://schemas.openxmlformats.org/officeDocument/2006/relationships/hyperlink" Target="https://www.upscalelivingmag.com/news/bringing-the-outdoors-in-the-role-of-textiles-in-creating-a-cozy-scandinavian-inspired-home/" TargetMode="External"/><Relationship Id="rId8975" Type="http://schemas.openxmlformats.org/officeDocument/2006/relationships/hyperlink" Target="https://www.nordiskaprojekt.se/2025/04/28/nybyggnationer-innanfor-tullarna/" TargetMode="External"/><Relationship Id="rId11956" Type="http://schemas.openxmlformats.org/officeDocument/2006/relationships/hyperlink" Target="http://fairinvestments.se/" TargetMode="External"/><Relationship Id="rId291" Type="http://schemas.openxmlformats.org/officeDocument/2006/relationships/hyperlink" Target="https://haxan.se/" TargetMode="External"/><Relationship Id="rId3023" Type="http://schemas.openxmlformats.org/officeDocument/2006/relationships/hyperlink" Target="https://budgetbrollop.se/dammode-och-kostymer-for-kvinnor-en-tidlos-elegans/" TargetMode="External"/><Relationship Id="rId6179" Type="http://schemas.openxmlformats.org/officeDocument/2006/relationships/hyperlink" Target="https://heysugarmagazine.se/" TargetMode="External"/><Relationship Id="rId7991" Type="http://schemas.openxmlformats.org/officeDocument/2006/relationships/hyperlink" Target="https://www.kelleher-international.com/" TargetMode="External"/><Relationship Id="rId8628" Type="http://schemas.openxmlformats.org/officeDocument/2006/relationships/hyperlink" Target="http://fairinvestments.se/" TargetMode="External"/><Relationship Id="rId10558" Type="http://schemas.openxmlformats.org/officeDocument/2006/relationships/hyperlink" Target="https://www.executiveeffect.se/5-satt-att-sluta-vara-en-chef-och-borja-vara-en-forebild/" TargetMode="External"/><Relationship Id="rId10972" Type="http://schemas.openxmlformats.org/officeDocument/2006/relationships/hyperlink" Target="http://videoslots.com/" TargetMode="External"/><Relationship Id="rId11609" Type="http://schemas.openxmlformats.org/officeDocument/2006/relationships/hyperlink" Target="http://tiotak.se/" TargetMode="External"/><Relationship Id="rId5195" Type="http://schemas.openxmlformats.org/officeDocument/2006/relationships/hyperlink" Target="https://www.vont.se/vitt-snus" TargetMode="External"/><Relationship Id="rId6593" Type="http://schemas.openxmlformats.org/officeDocument/2006/relationships/hyperlink" Target="https://www.lfc.se/nyheter/58042/en-sasongsinledning-som-far-en-att-dromma" TargetMode="External"/><Relationship Id="rId7644" Type="http://schemas.openxmlformats.org/officeDocument/2006/relationships/hyperlink" Target="https://villaprojekt.se/sa-har-koper-och-saljer-du-fastigheter-pa-ratt-satt/" TargetMode="External"/><Relationship Id="rId10625" Type="http://schemas.openxmlformats.org/officeDocument/2006/relationships/hyperlink" Target="https://www.londondaily.news/the-push-for-greater-transparency-in-online-casinos/" TargetMode="External"/><Relationship Id="rId13031" Type="http://schemas.openxmlformats.org/officeDocument/2006/relationships/hyperlink" Target="https://www.grontsamhallsbyggande.se/2025/10/01/funkar-beloningar-for-klimatsmarta-val/" TargetMode="External"/><Relationship Id="rId2789" Type="http://schemas.openxmlformats.org/officeDocument/2006/relationships/hyperlink" Target="http://glitnor.com/" TargetMode="External"/><Relationship Id="rId6246" Type="http://schemas.openxmlformats.org/officeDocument/2006/relationships/hyperlink" Target="https://tiotak.se/" TargetMode="External"/><Relationship Id="rId6660" Type="http://schemas.openxmlformats.org/officeDocument/2006/relationships/hyperlink" Target="https://beautytube.se/skonhet-borjar-med-ett-leende-tjanster-pa-mariatorgets-tandlakarmottagning/" TargetMode="External"/><Relationship Id="rId7711" Type="http://schemas.openxmlformats.org/officeDocument/2006/relationships/hyperlink" Target="http://ataraxiavardcentral.se/" TargetMode="External"/><Relationship Id="rId12797" Type="http://schemas.openxmlformats.org/officeDocument/2006/relationships/hyperlink" Target="https://influencereffect.se/vagen-till-att-bygga-trovardiga-samarbeten-med-influencers/" TargetMode="External"/><Relationship Id="rId2856" Type="http://schemas.openxmlformats.org/officeDocument/2006/relationships/hyperlink" Target="https://www.schmack.se/soker-du-jobb" TargetMode="External"/><Relationship Id="rId3907" Type="http://schemas.openxmlformats.org/officeDocument/2006/relationships/hyperlink" Target="https://www.startmotor.se/kategori/generatorer" TargetMode="External"/><Relationship Id="rId5262" Type="http://schemas.openxmlformats.org/officeDocument/2006/relationships/hyperlink" Target="https://www.myownwater.com/" TargetMode="External"/><Relationship Id="rId6313" Type="http://schemas.openxmlformats.org/officeDocument/2006/relationships/hyperlink" Target="https://supernormal.health/se/" TargetMode="External"/><Relationship Id="rId9469" Type="http://schemas.openxmlformats.org/officeDocument/2006/relationships/hyperlink" Target="https://distansinstitutet.se/distansutbildningar/pedagogik/" TargetMode="External"/><Relationship Id="rId9883" Type="http://schemas.openxmlformats.org/officeDocument/2006/relationships/hyperlink" Target="http://yourgild.com/" TargetMode="External"/><Relationship Id="rId11399" Type="http://schemas.openxmlformats.org/officeDocument/2006/relationships/hyperlink" Target="https://www.kopbarnvagn.se/sv/artiklar/axkid-minikid-3-tar.html" TargetMode="External"/><Relationship Id="rId97" Type="http://schemas.openxmlformats.org/officeDocument/2006/relationships/hyperlink" Target="https://lyckoklovern.se/2022/11/07/tank-pa-dessa-saker-nar-du-flyttar-till-en-villa/" TargetMode="External"/><Relationship Id="rId828" Type="http://schemas.openxmlformats.org/officeDocument/2006/relationships/hyperlink" Target="https://rehabgrossisten.com/skydd-bandage/kna/knaskydd/" TargetMode="External"/><Relationship Id="rId1458" Type="http://schemas.openxmlformats.org/officeDocument/2006/relationships/hyperlink" Target="http://lansfast.se/" TargetMode="External"/><Relationship Id="rId1872" Type="http://schemas.openxmlformats.org/officeDocument/2006/relationships/hyperlink" Target="http://mariatand.se/" TargetMode="External"/><Relationship Id="rId2509" Type="http://schemas.openxmlformats.org/officeDocument/2006/relationships/hyperlink" Target="http://distansinstitutet.se/" TargetMode="External"/><Relationship Id="rId8485" Type="http://schemas.openxmlformats.org/officeDocument/2006/relationships/hyperlink" Target="https://outletsuomi.com/puutarhatrendit-sosiaalisessa-mediassa-tana-paivana/" TargetMode="External"/><Relationship Id="rId9536" Type="http://schemas.openxmlformats.org/officeDocument/2006/relationships/hyperlink" Target="https://eventeffect.se/event-pa-offentlig-plats-tank-pa-detta/" TargetMode="External"/><Relationship Id="rId12864" Type="http://schemas.openxmlformats.org/officeDocument/2006/relationships/hyperlink" Target="http://technobark.com/" TargetMode="External"/><Relationship Id="rId1525" Type="http://schemas.openxmlformats.org/officeDocument/2006/relationships/hyperlink" Target="https://www.happysocks.com/us/collection/socks-for-men" TargetMode="External"/><Relationship Id="rId2923" Type="http://schemas.openxmlformats.org/officeDocument/2006/relationships/hyperlink" Target="http://cannabislight.se/" TargetMode="External"/><Relationship Id="rId7087" Type="http://schemas.openxmlformats.org/officeDocument/2006/relationships/hyperlink" Target="https://www.petster.se/hast/" TargetMode="External"/><Relationship Id="rId8138" Type="http://schemas.openxmlformats.org/officeDocument/2006/relationships/hyperlink" Target="http://hund.se/" TargetMode="External"/><Relationship Id="rId8552" Type="http://schemas.openxmlformats.org/officeDocument/2006/relationships/hyperlink" Target="http://godies.fi/" TargetMode="External"/><Relationship Id="rId9950" Type="http://schemas.openxmlformats.org/officeDocument/2006/relationships/hyperlink" Target="https://intomoda.fi/ihmiset/luo-oma-kesaparatiisisi/" TargetMode="External"/><Relationship Id="rId10068" Type="http://schemas.openxmlformats.org/officeDocument/2006/relationships/hyperlink" Target="http://nettotobak.com/" TargetMode="External"/><Relationship Id="rId11466" Type="http://schemas.openxmlformats.org/officeDocument/2006/relationships/hyperlink" Target="http://miamipool.se/" TargetMode="External"/><Relationship Id="rId11880" Type="http://schemas.openxmlformats.org/officeDocument/2006/relationships/hyperlink" Target="http://tiotak.se/" TargetMode="External"/><Relationship Id="rId12517" Type="http://schemas.openxmlformats.org/officeDocument/2006/relationships/hyperlink" Target="https://skapapengar.se/ny-bolagsfokuserad-investeringsfilosofi/" TargetMode="External"/><Relationship Id="rId12931" Type="http://schemas.openxmlformats.org/officeDocument/2006/relationships/hyperlink" Target="http://megariches.com/" TargetMode="External"/><Relationship Id="rId7154" Type="http://schemas.openxmlformats.org/officeDocument/2006/relationships/hyperlink" Target="http://lansfast.se/" TargetMode="External"/><Relationship Id="rId8205" Type="http://schemas.openxmlformats.org/officeDocument/2006/relationships/hyperlink" Target="https://villaprojekt.se/trygga-och-palitliga-flyttlosningar-for-ditt-nasta-bostadsbyte-i-vastsverige/" TargetMode="External"/><Relationship Id="rId9603" Type="http://schemas.openxmlformats.org/officeDocument/2006/relationships/hyperlink" Target="https://svenskafonster.se/altandorr" TargetMode="External"/><Relationship Id="rId10482" Type="http://schemas.openxmlformats.org/officeDocument/2006/relationships/hyperlink" Target="https://svenskalopare.se/kost-och-naring/sa-kompletterar-du-medicinsk-viktnedgang-med-traditionella-metoder-for-basta-resultat/" TargetMode="External"/><Relationship Id="rId11119" Type="http://schemas.openxmlformats.org/officeDocument/2006/relationships/hyperlink" Target="https://ekonomikunskap.se/sparande-och-underhall-fran-batskrov-till-aktieportfolj/" TargetMode="External"/><Relationship Id="rId11533" Type="http://schemas.openxmlformats.org/officeDocument/2006/relationships/hyperlink" Target="https://modernalivet.se/" TargetMode="External"/><Relationship Id="rId2299" Type="http://schemas.openxmlformats.org/officeDocument/2006/relationships/hyperlink" Target="http://norteam.se/" TargetMode="External"/><Relationship Id="rId3697" Type="http://schemas.openxmlformats.org/officeDocument/2006/relationships/hyperlink" Target="https://kelleher-international.com/" TargetMode="External"/><Relationship Id="rId4748" Type="http://schemas.openxmlformats.org/officeDocument/2006/relationships/hyperlink" Target="https://www.grontsamhallsbyggande.se/2024/07/25/hallbara-investeringar-for-en-gron-framtid/" TargetMode="External"/><Relationship Id="rId10135" Type="http://schemas.openxmlformats.org/officeDocument/2006/relationships/hyperlink" Target="https://www.violamilano.com/" TargetMode="External"/><Relationship Id="rId11600" Type="http://schemas.openxmlformats.org/officeDocument/2006/relationships/hyperlink" Target="https://www.swedoffice.se/kategori/49902-kopieringspapper" TargetMode="External"/><Relationship Id="rId3764" Type="http://schemas.openxmlformats.org/officeDocument/2006/relationships/hyperlink" Target="https://legendbygg.com/" TargetMode="External"/><Relationship Id="rId4815" Type="http://schemas.openxmlformats.org/officeDocument/2006/relationships/hyperlink" Target="https://now.nu/en-guide-till-flytbryggor-forvandla-din-sjotomt/" TargetMode="External"/><Relationship Id="rId6170" Type="http://schemas.openxmlformats.org/officeDocument/2006/relationships/hyperlink" Target="https://e-ciggbolaget.se/e-cigaretter/startpaket/" TargetMode="External"/><Relationship Id="rId7221" Type="http://schemas.openxmlformats.org/officeDocument/2006/relationships/hyperlink" Target="https://cdbilvardsprodukter.se/" TargetMode="External"/><Relationship Id="rId10202" Type="http://schemas.openxmlformats.org/officeDocument/2006/relationships/hyperlink" Target="https://hudsonweekly.com/the-power-of-crm-a-game-changer-for-the-roofing-industry/" TargetMode="External"/><Relationship Id="rId685" Type="http://schemas.openxmlformats.org/officeDocument/2006/relationships/hyperlink" Target="https://www.dieselkraft.se/" TargetMode="External"/><Relationship Id="rId2366" Type="http://schemas.openxmlformats.org/officeDocument/2006/relationships/hyperlink" Target="https://www.dejavubok.se/tips-for-dig-med-dalig-ekonomi" TargetMode="External"/><Relationship Id="rId2780" Type="http://schemas.openxmlformats.org/officeDocument/2006/relationships/hyperlink" Target="https://happycasino.se/" TargetMode="External"/><Relationship Id="rId3417" Type="http://schemas.openxmlformats.org/officeDocument/2006/relationships/hyperlink" Target="https://jimmys.se/quality-hotel-sundsvall-och-dess-oslagbara-restaurang-q-bar-den-naturliga-samlingsplatsen-for-mat-musik-manniskor/" TargetMode="External"/><Relationship Id="rId3831" Type="http://schemas.openxmlformats.org/officeDocument/2006/relationships/hyperlink" Target="http://e-ciggbolaget.se/" TargetMode="External"/><Relationship Id="rId6987" Type="http://schemas.openxmlformats.org/officeDocument/2006/relationships/hyperlink" Target="http://snusnetto.se/" TargetMode="External"/><Relationship Id="rId9393" Type="http://schemas.openxmlformats.org/officeDocument/2006/relationships/hyperlink" Target="https://yourgild.com/" TargetMode="External"/><Relationship Id="rId12374" Type="http://schemas.openxmlformats.org/officeDocument/2006/relationships/hyperlink" Target="https://s-automation.se/kundrelationssystem-crm-verktyg-en-nyckel-till-framgangsrik-kundhantering/" TargetMode="External"/><Relationship Id="rId338" Type="http://schemas.openxmlformats.org/officeDocument/2006/relationships/hyperlink" Target="https://www.kopbarnvagn.se/sv/artiklar/stokke-tripp-trapp/index.html" TargetMode="External"/><Relationship Id="rId752" Type="http://schemas.openxmlformats.org/officeDocument/2006/relationships/hyperlink" Target="https://tiotak.se/" TargetMode="External"/><Relationship Id="rId1382" Type="http://schemas.openxmlformats.org/officeDocument/2006/relationships/hyperlink" Target="https://sund.nu/din-kalla-for-kvalitativa-rehabprodukter-i-over-20-ar-rehabgrossisten-com/" TargetMode="External"/><Relationship Id="rId2019" Type="http://schemas.openxmlformats.org/officeDocument/2006/relationships/hyperlink" Target="https://www.hemsida-f&#246;retag.se/smarta-investeringar-for-framtiden" TargetMode="External"/><Relationship Id="rId2433" Type="http://schemas.openxmlformats.org/officeDocument/2006/relationships/hyperlink" Target="https://mrfinans.com/remember-kredittkort/" TargetMode="External"/><Relationship Id="rId5589" Type="http://schemas.openxmlformats.org/officeDocument/2006/relationships/hyperlink" Target="http://rusta.se/" TargetMode="External"/><Relationship Id="rId9046" Type="http://schemas.openxmlformats.org/officeDocument/2006/relationships/hyperlink" Target="https://dailyemerald.com/165303/promotedposts/first-apartment-must-haves-room-by-room-guide-for-new-renters/" TargetMode="External"/><Relationship Id="rId9460" Type="http://schemas.openxmlformats.org/officeDocument/2006/relationships/hyperlink" Target="https://www.upplevelse.com/presenttips/present-till-pojkvan" TargetMode="External"/><Relationship Id="rId11390" Type="http://schemas.openxmlformats.org/officeDocument/2006/relationships/hyperlink" Target="https://www.executiveeffect.se/haxan-revolutionerande-rengoring-med-hallbara-och-innovativa-produkter/" TargetMode="External"/><Relationship Id="rId12027" Type="http://schemas.openxmlformats.org/officeDocument/2006/relationships/hyperlink" Target="https://www.alexbyggkonsult.se/" TargetMode="External"/><Relationship Id="rId405" Type="http://schemas.openxmlformats.org/officeDocument/2006/relationships/hyperlink" Target="https://sufracofinebrands.com/kategori/aleppotval/" TargetMode="External"/><Relationship Id="rId1035" Type="http://schemas.openxmlformats.org/officeDocument/2006/relationships/hyperlink" Target="http://happysocks.com/" TargetMode="External"/><Relationship Id="rId2500" Type="http://schemas.openxmlformats.org/officeDocument/2006/relationships/hyperlink" Target="http://nordenhydralic.se/" TargetMode="External"/><Relationship Id="rId5656" Type="http://schemas.openxmlformats.org/officeDocument/2006/relationships/hyperlink" Target="https://www.sanghafte.se/artiklar/frukter-och-bar-i-musikens-varld/" TargetMode="External"/><Relationship Id="rId8062" Type="http://schemas.openxmlformats.org/officeDocument/2006/relationships/hyperlink" Target="http://bethard.com/" TargetMode="External"/><Relationship Id="rId9113" Type="http://schemas.openxmlformats.org/officeDocument/2006/relationships/hyperlink" Target="https://thehappypassport.com/respectful-tourism-how-to-blend-in-and-avoid-offending-locals/" TargetMode="External"/><Relationship Id="rId11043" Type="http://schemas.openxmlformats.org/officeDocument/2006/relationships/hyperlink" Target="https://nettiruutu.fi/kryptovaluutat-jatkavat-itsensa-ylittamista/" TargetMode="External"/><Relationship Id="rId12441" Type="http://schemas.openxmlformats.org/officeDocument/2006/relationships/hyperlink" Target="http://fairinvestments.se/" TargetMode="External"/><Relationship Id="rId1102" Type="http://schemas.openxmlformats.org/officeDocument/2006/relationships/hyperlink" Target="https://www.robomarkets.com/se/" TargetMode="External"/><Relationship Id="rId4258" Type="http://schemas.openxmlformats.org/officeDocument/2006/relationships/hyperlink" Target="http://qsundsvall.se/" TargetMode="External"/><Relationship Id="rId5309" Type="http://schemas.openxmlformats.org/officeDocument/2006/relationships/hyperlink" Target="https://www.vont.se/to-go/0-mg-ml" TargetMode="External"/><Relationship Id="rId6707" Type="http://schemas.openxmlformats.org/officeDocument/2006/relationships/hyperlink" Target="https://businesshelper.se/publicering-av-manus-en-guide-till-att-arbeta-med-ekstrom-garay/" TargetMode="External"/><Relationship Id="rId3274" Type="http://schemas.openxmlformats.org/officeDocument/2006/relationships/hyperlink" Target="https://www.spelklubben.se/sv/live-casino/blackjack" TargetMode="External"/><Relationship Id="rId4672" Type="http://schemas.openxmlformats.org/officeDocument/2006/relationships/hyperlink" Target="http://cherry.com/" TargetMode="External"/><Relationship Id="rId5723" Type="http://schemas.openxmlformats.org/officeDocument/2006/relationships/hyperlink" Target="http://rusta.se/" TargetMode="External"/><Relationship Id="rId8879" Type="http://schemas.openxmlformats.org/officeDocument/2006/relationships/hyperlink" Target="http://cateringfabriken.se/" TargetMode="External"/><Relationship Id="rId11110" Type="http://schemas.openxmlformats.org/officeDocument/2006/relationships/hyperlink" Target="https://villalivet.se/allmant/7-ambitiosa-ideer/" TargetMode="External"/><Relationship Id="rId195" Type="http://schemas.openxmlformats.org/officeDocument/2006/relationships/hyperlink" Target="http://chronos.se/" TargetMode="External"/><Relationship Id="rId1919" Type="http://schemas.openxmlformats.org/officeDocument/2006/relationships/hyperlink" Target="https://pontechmarina.com/se/flytbrygga/" TargetMode="External"/><Relationship Id="rId4325" Type="http://schemas.openxmlformats.org/officeDocument/2006/relationships/hyperlink" Target="http://w3elsolenergi.se/" TargetMode="External"/><Relationship Id="rId7895" Type="http://schemas.openxmlformats.org/officeDocument/2006/relationships/hyperlink" Target="http://chattanoogarehab.com/" TargetMode="External"/><Relationship Id="rId8946" Type="http://schemas.openxmlformats.org/officeDocument/2006/relationships/hyperlink" Target="https://www.willabgarden.de/gewachshauser/" TargetMode="External"/><Relationship Id="rId10876" Type="http://schemas.openxmlformats.org/officeDocument/2006/relationships/hyperlink" Target="https://passioneffect.se/mer-an-bara-fika-pa-jobbet-vikten-av-sma-lyxiga-pauser-i-arbetslivet/" TargetMode="External"/><Relationship Id="rId11927" Type="http://schemas.openxmlformats.org/officeDocument/2006/relationships/hyperlink" Target="https://www.pensionsplaneraren.se/2023/09/26/daytrading-inom-online-trading-en-djupdykning-i-kortfristig-handel/" TargetMode="External"/><Relationship Id="rId13282" Type="http://schemas.openxmlformats.org/officeDocument/2006/relationships/hyperlink" Target="https://familjfakta.se/samarbete-mellan-familjemedlemmar-for-att-uppna-hudhalsa-tillsammans/" TargetMode="External"/><Relationship Id="rId2290" Type="http://schemas.openxmlformats.org/officeDocument/2006/relationships/hyperlink" Target="http://lansfast.se/" TargetMode="External"/><Relationship Id="rId3341" Type="http://schemas.openxmlformats.org/officeDocument/2006/relationships/hyperlink" Target="https://bygghuddinge.se/freckeus-fornyar-klassisk-arkitektur-for-en-ny-tid/" TargetMode="External"/><Relationship Id="rId6497" Type="http://schemas.openxmlformats.org/officeDocument/2006/relationships/hyperlink" Target="http://tigerofsweden.com/" TargetMode="External"/><Relationship Id="rId7548" Type="http://schemas.openxmlformats.org/officeDocument/2006/relationships/hyperlink" Target="http://chattanoogarehab.com/" TargetMode="External"/><Relationship Id="rId7962" Type="http://schemas.openxmlformats.org/officeDocument/2006/relationships/hyperlink" Target="http://fairinvestments.se/" TargetMode="External"/><Relationship Id="rId10529" Type="http://schemas.openxmlformats.org/officeDocument/2006/relationships/hyperlink" Target="http://tryggbil.se/" TargetMode="External"/><Relationship Id="rId262" Type="http://schemas.openxmlformats.org/officeDocument/2006/relationships/hyperlink" Target="http://elmarknad.se/" TargetMode="External"/><Relationship Id="rId5099" Type="http://schemas.openxmlformats.org/officeDocument/2006/relationships/hyperlink" Target="https://restate.se/ombildning-till-bostadsratt/" TargetMode="External"/><Relationship Id="rId6564" Type="http://schemas.openxmlformats.org/officeDocument/2006/relationships/hyperlink" Target="https://itsmeyourdani.se/en-frisk-flakt-i-en-fargglad-varld-vapes-utan-nikotin" TargetMode="External"/><Relationship Id="rId7615" Type="http://schemas.openxmlformats.org/officeDocument/2006/relationships/hyperlink" Target="http://upplevelse.com/" TargetMode="External"/><Relationship Id="rId10943" Type="http://schemas.openxmlformats.org/officeDocument/2006/relationships/hyperlink" Target="https://www.newst.se/darfor-hanger-stadsliv-och-tandhalsa-ihop/" TargetMode="External"/><Relationship Id="rId13002" Type="http://schemas.openxmlformats.org/officeDocument/2006/relationships/hyperlink" Target="https://duochjobbet.se/sa-fungerar-en-fastanstallning/" TargetMode="External"/><Relationship Id="rId2010" Type="http://schemas.openxmlformats.org/officeDocument/2006/relationships/hyperlink" Target="https://www.idreren.se/" TargetMode="External"/><Relationship Id="rId5166" Type="http://schemas.openxmlformats.org/officeDocument/2006/relationships/hyperlink" Target="https://www.kafekajak.se/" TargetMode="External"/><Relationship Id="rId5580" Type="http://schemas.openxmlformats.org/officeDocument/2006/relationships/hyperlink" Target="http://tiotak.se/" TargetMode="External"/><Relationship Id="rId6217" Type="http://schemas.openxmlformats.org/officeDocument/2006/relationships/hyperlink" Target="http://fairinvestments.se/" TargetMode="External"/><Relationship Id="rId6631" Type="http://schemas.openxmlformats.org/officeDocument/2006/relationships/hyperlink" Target="https://news.cision.com/se/fair-investments" TargetMode="External"/><Relationship Id="rId9787" Type="http://schemas.openxmlformats.org/officeDocument/2006/relationships/hyperlink" Target="https://www.rusta.com/se/sv/fritid/husdjur/hund/hundfoder/" TargetMode="External"/><Relationship Id="rId4182" Type="http://schemas.openxmlformats.org/officeDocument/2006/relationships/hyperlink" Target="http://alfa.no/" TargetMode="External"/><Relationship Id="rId5233" Type="http://schemas.openxmlformats.org/officeDocument/2006/relationships/hyperlink" Target="http://tryggbil.se/" TargetMode="External"/><Relationship Id="rId8389" Type="http://schemas.openxmlformats.org/officeDocument/2006/relationships/hyperlink" Target="http://sakraror.se/" TargetMode="External"/><Relationship Id="rId12768" Type="http://schemas.openxmlformats.org/officeDocument/2006/relationships/hyperlink" Target="https://soundofmusic.nu/artikel/psykoakustik/" TargetMode="External"/><Relationship Id="rId1776" Type="http://schemas.openxmlformats.org/officeDocument/2006/relationships/hyperlink" Target="http://mariatand.se/" TargetMode="External"/><Relationship Id="rId2827" Type="http://schemas.openxmlformats.org/officeDocument/2006/relationships/hyperlink" Target="https://haxan.se/products/propplosare" TargetMode="External"/><Relationship Id="rId9854" Type="http://schemas.openxmlformats.org/officeDocument/2006/relationships/hyperlink" Target="http://yourgild.com/" TargetMode="External"/><Relationship Id="rId11784" Type="http://schemas.openxmlformats.org/officeDocument/2006/relationships/hyperlink" Target="http://robomarkets.com/" TargetMode="External"/><Relationship Id="rId12835" Type="http://schemas.openxmlformats.org/officeDocument/2006/relationships/hyperlink" Target="https://talonaika.fi/nain-kalustat-fiksusti-pienen-tilan-7-huonekaluvinkkia-joka-vapauttaa-tila/" TargetMode="External"/><Relationship Id="rId68" Type="http://schemas.openxmlformats.org/officeDocument/2006/relationships/hyperlink" Target="https://orebroextra.se/" TargetMode="External"/><Relationship Id="rId1429" Type="http://schemas.openxmlformats.org/officeDocument/2006/relationships/hyperlink" Target="https://kakform.se/" TargetMode="External"/><Relationship Id="rId1843" Type="http://schemas.openxmlformats.org/officeDocument/2006/relationships/hyperlink" Target="http://norteam.se/" TargetMode="External"/><Relationship Id="rId4999" Type="http://schemas.openxmlformats.org/officeDocument/2006/relationships/hyperlink" Target="http://purakliniken.se/" TargetMode="External"/><Relationship Id="rId5300" Type="http://schemas.openxmlformats.org/officeDocument/2006/relationships/hyperlink" Target="https://moveitmama.se/" TargetMode="External"/><Relationship Id="rId7058" Type="http://schemas.openxmlformats.org/officeDocument/2006/relationships/hyperlink" Target="https://dailyemerald.com/157479/promotedposts/how-to-plan-the-perfect-date-based-on-your-personality-match/" TargetMode="External"/><Relationship Id="rId8456" Type="http://schemas.openxmlformats.org/officeDocument/2006/relationships/hyperlink" Target="https://pezcyclingnews.com/newswire/items-to-pack-for-a-biking-trip/" TargetMode="External"/><Relationship Id="rId8870" Type="http://schemas.openxmlformats.org/officeDocument/2006/relationships/hyperlink" Target="https://www.flygbussarna.se/arlanda" TargetMode="External"/><Relationship Id="rId9507" Type="http://schemas.openxmlformats.org/officeDocument/2006/relationships/hyperlink" Target="https://www.dbet.com/" TargetMode="External"/><Relationship Id="rId9921" Type="http://schemas.openxmlformats.org/officeDocument/2006/relationships/hyperlink" Target="https://www.omkrets.se/ljusets-roll-i-samtidens-arkitektur-mer-an-bara-funktion/" TargetMode="External"/><Relationship Id="rId10386" Type="http://schemas.openxmlformats.org/officeDocument/2006/relationships/hyperlink" Target="https://minifinder.se/" TargetMode="External"/><Relationship Id="rId11437" Type="http://schemas.openxmlformats.org/officeDocument/2006/relationships/hyperlink" Target="https://galamagazine.se/gor-dig-redo-for-varen-genom-att-se-over-din-garderob/" TargetMode="External"/><Relationship Id="rId11851" Type="http://schemas.openxmlformats.org/officeDocument/2006/relationships/hyperlink" Target="https://www.herningfolkeblad.dk/link/800f50a3-b6cb-49d9-af6a-b84561800e8c/" TargetMode="External"/><Relationship Id="rId1910" Type="http://schemas.openxmlformats.org/officeDocument/2006/relationships/hyperlink" Target="https://moveitmama.se/overvinna-tandlakarskrack" TargetMode="External"/><Relationship Id="rId7472" Type="http://schemas.openxmlformats.org/officeDocument/2006/relationships/hyperlink" Target="https://www.lokaltidningen.nu/2025-01-27/travlopp-att-se-fram-emot-i-februari-2025-7af22" TargetMode="External"/><Relationship Id="rId8109" Type="http://schemas.openxmlformats.org/officeDocument/2006/relationships/hyperlink" Target="http://cdbilvardsprodukter.se/" TargetMode="External"/><Relationship Id="rId8523" Type="http://schemas.openxmlformats.org/officeDocument/2006/relationships/hyperlink" Target="https://www.djungeltrumman.se/varstadningsknep-life-hack-edition-2/" TargetMode="External"/><Relationship Id="rId10039" Type="http://schemas.openxmlformats.org/officeDocument/2006/relationships/hyperlink" Target="https://podcast24.co.uk/blog/exploring-wealth-understanding-the-fascination-about-finance-in-young-people-2025" TargetMode="External"/><Relationship Id="rId10453" Type="http://schemas.openxmlformats.org/officeDocument/2006/relationships/hyperlink" Target="http://glassfactory.fi/" TargetMode="External"/><Relationship Id="rId11504" Type="http://schemas.openxmlformats.org/officeDocument/2006/relationships/hyperlink" Target="https://www.robomarkets.com/se/forex-trading/trading/specifications/card/pro-stan/AMZN/" TargetMode="External"/><Relationship Id="rId12902" Type="http://schemas.openxmlformats.org/officeDocument/2006/relationships/hyperlink" Target="https://www.zmarta.se/lana-pengar/privatlan" TargetMode="External"/><Relationship Id="rId3668" Type="http://schemas.openxmlformats.org/officeDocument/2006/relationships/hyperlink" Target="https://www.startmotor.se/kategori/solenoider" TargetMode="External"/><Relationship Id="rId4719" Type="http://schemas.openxmlformats.org/officeDocument/2006/relationships/hyperlink" Target="http://cherry.com/" TargetMode="External"/><Relationship Id="rId6074" Type="http://schemas.openxmlformats.org/officeDocument/2006/relationships/hyperlink" Target="https://soartzy.com/" TargetMode="External"/><Relationship Id="rId7125" Type="http://schemas.openxmlformats.org/officeDocument/2006/relationships/hyperlink" Target="http://mariatand.se/" TargetMode="External"/><Relationship Id="rId10106" Type="http://schemas.openxmlformats.org/officeDocument/2006/relationships/hyperlink" Target="http://nettotobak.com/" TargetMode="External"/><Relationship Id="rId589" Type="http://schemas.openxmlformats.org/officeDocument/2006/relationships/hyperlink" Target="https://byggmester.se/fornya-hemmet-utan-renovering/" TargetMode="External"/><Relationship Id="rId2684" Type="http://schemas.openxmlformats.org/officeDocument/2006/relationships/hyperlink" Target="https://e-ciggbolaget.se/e-cigaretter/pod-system/pod-kit/voom-bar-engangs-e-cigarett/" TargetMode="External"/><Relationship Id="rId3735" Type="http://schemas.openxmlformats.org/officeDocument/2006/relationships/hyperlink" Target="https://www.realtid.se/la-reinemannens-solcellsbolag-byter-skal/" TargetMode="External"/><Relationship Id="rId5090" Type="http://schemas.openxmlformats.org/officeDocument/2006/relationships/hyperlink" Target="https://www.traslottet.se/tips-med-ledlister" TargetMode="External"/><Relationship Id="rId6141" Type="http://schemas.openxmlformats.org/officeDocument/2006/relationships/hyperlink" Target="https://ocnjdaily.com/news/2024/oct/30/no-deposit-bonuses-a-consumers-guide-to-understanding-online-offers/" TargetMode="External"/><Relationship Id="rId9297" Type="http://schemas.openxmlformats.org/officeDocument/2006/relationships/hyperlink" Target="https://vackerhud.se/akut-tandvard-i-stockholm-for-ett-vackert-leende/" TargetMode="External"/><Relationship Id="rId10520" Type="http://schemas.openxmlformats.org/officeDocument/2006/relationships/hyperlink" Target="http://epidemicsounds.com/" TargetMode="External"/><Relationship Id="rId12278" Type="http://schemas.openxmlformats.org/officeDocument/2006/relationships/hyperlink" Target="https://www.frii.se/viktiga-tips-for-effektivt-fastighetsagande/" TargetMode="External"/><Relationship Id="rId656" Type="http://schemas.openxmlformats.org/officeDocument/2006/relationships/hyperlink" Target="http://creditsafe.se/" TargetMode="External"/><Relationship Id="rId1286" Type="http://schemas.openxmlformats.org/officeDocument/2006/relationships/hyperlink" Target="https://svalan.se/kommunikator-utbildning-pa-distans-och-dess-mojligheter-utmaningar/" TargetMode="External"/><Relationship Id="rId2337" Type="http://schemas.openxmlformats.org/officeDocument/2006/relationships/hyperlink" Target="https://aretrotale.com/" TargetMode="External"/><Relationship Id="rId9364" Type="http://schemas.openxmlformats.org/officeDocument/2006/relationships/hyperlink" Target="http://kungaslottet.se/" TargetMode="External"/><Relationship Id="rId12692" Type="http://schemas.openxmlformats.org/officeDocument/2006/relationships/hyperlink" Target="https://www.rusta.com/sv-se/hem-och-inredning/belysning" TargetMode="External"/><Relationship Id="rId309" Type="http://schemas.openxmlformats.org/officeDocument/2006/relationships/hyperlink" Target="https://guldkorn.nu/upptack-fordelarna-med-dr-ceuracle-skincare/" TargetMode="External"/><Relationship Id="rId2751" Type="http://schemas.openxmlformats.org/officeDocument/2006/relationships/hyperlink" Target="https://www.hotelnice.se/losningen-bortom-det-kommunala-avloppsnatet" TargetMode="External"/><Relationship Id="rId3802" Type="http://schemas.openxmlformats.org/officeDocument/2006/relationships/hyperlink" Target="https://m6bygg.se/" TargetMode="External"/><Relationship Id="rId6958" Type="http://schemas.openxmlformats.org/officeDocument/2006/relationships/hyperlink" Target="http://tkw.se/" TargetMode="External"/><Relationship Id="rId8380" Type="http://schemas.openxmlformats.org/officeDocument/2006/relationships/hyperlink" Target="https://tv-tabla.nu/blogg/ekonomiprogram-som-underhallning-nar-tv-tittare-vill-ha-insyn-i-finansvarlden" TargetMode="External"/><Relationship Id="rId9017" Type="http://schemas.openxmlformats.org/officeDocument/2006/relationships/hyperlink" Target="https://invozio.com/" TargetMode="External"/><Relationship Id="rId11294" Type="http://schemas.openxmlformats.org/officeDocument/2006/relationships/hyperlink" Target="http://fairinvestments.se/" TargetMode="External"/><Relationship Id="rId12345" Type="http://schemas.openxmlformats.org/officeDocument/2006/relationships/hyperlink" Target="https://hemmatech.se/devops-en-transformative-kultur-for-effektiv-mjukvaruleverans/" TargetMode="External"/><Relationship Id="rId723" Type="http://schemas.openxmlformats.org/officeDocument/2006/relationships/hyperlink" Target="http://fairinvestments.se/" TargetMode="External"/><Relationship Id="rId1006" Type="http://schemas.openxmlformats.org/officeDocument/2006/relationships/hyperlink" Target="https://kamagraquees.nu/att-studera-hr-utbildning-pa-distans-en-vag-mot-en-framgangsrik-hr-karriar/" TargetMode="External"/><Relationship Id="rId1353" Type="http://schemas.openxmlformats.org/officeDocument/2006/relationships/hyperlink" Target="https://www.oconnors.se/" TargetMode="External"/><Relationship Id="rId2404" Type="http://schemas.openxmlformats.org/officeDocument/2006/relationships/hyperlink" Target="https://distansinstitutet.se/distansutbildningar/pedagogik/vardbitrade/" TargetMode="External"/><Relationship Id="rId5974" Type="http://schemas.openxmlformats.org/officeDocument/2006/relationships/hyperlink" Target="https://baseballegg.com/2024/10/22/quenching-the-thirst-for-victory-how-hydration-impacts-baseball-performance/" TargetMode="External"/><Relationship Id="rId8033" Type="http://schemas.openxmlformats.org/officeDocument/2006/relationships/hyperlink" Target="http://bethard.com/sv/sports" TargetMode="External"/><Relationship Id="rId9431" Type="http://schemas.openxmlformats.org/officeDocument/2006/relationships/hyperlink" Target="https://www.megariches.com/" TargetMode="External"/><Relationship Id="rId11361" Type="http://schemas.openxmlformats.org/officeDocument/2006/relationships/hyperlink" Target="https://www.linkedin.com/company/fair-investments-sweden-ab/?originalSubdomain=se" TargetMode="External"/><Relationship Id="rId12412" Type="http://schemas.openxmlformats.org/officeDocument/2006/relationships/hyperlink" Target="https://financefinder.se/den-vasentliga-rollen-av-affarsjuridiska-advokatbyraer-i-stockholm/" TargetMode="External"/><Relationship Id="rId1420" Type="http://schemas.openxmlformats.org/officeDocument/2006/relationships/hyperlink" Target="https://artikelzonen.com/vad-ar-ett-quiz/" TargetMode="External"/><Relationship Id="rId4576" Type="http://schemas.openxmlformats.org/officeDocument/2006/relationships/hyperlink" Target="https://appleworld.today/2024/07/the-importance-of-cybersecurity-for-businesses-today/" TargetMode="External"/><Relationship Id="rId4990" Type="http://schemas.openxmlformats.org/officeDocument/2006/relationships/hyperlink" Target="http://fairinvestments.se/" TargetMode="External"/><Relationship Id="rId5627" Type="http://schemas.openxmlformats.org/officeDocument/2006/relationships/hyperlink" Target="http://aretrotale.com/" TargetMode="External"/><Relationship Id="rId11014" Type="http://schemas.openxmlformats.org/officeDocument/2006/relationships/hyperlink" Target="http://megariches.com/" TargetMode="External"/><Relationship Id="rId3178" Type="http://schemas.openxmlformats.org/officeDocument/2006/relationships/hyperlink" Target="https://rabattkodsidan.se/nytt/happycasino-dar-spanning-och-lycka-mots-for-ultimat-underhallning/" TargetMode="External"/><Relationship Id="rId3592" Type="http://schemas.openxmlformats.org/officeDocument/2006/relationships/hyperlink" Target="https://airfryeroppskrifter.com/fjellsko-en-guide-til-det-riktige-valget-for-dine-utendorseventyr" TargetMode="External"/><Relationship Id="rId4229" Type="http://schemas.openxmlformats.org/officeDocument/2006/relationships/hyperlink" Target="https://shellkonto.nu/sa-fungerar-solceller" TargetMode="External"/><Relationship Id="rId4643" Type="http://schemas.openxmlformats.org/officeDocument/2006/relationships/hyperlink" Target="https://ledarsidorna.se/innovativa-strategier-for-hallbart-ledarskap/" TargetMode="External"/><Relationship Id="rId7799" Type="http://schemas.openxmlformats.org/officeDocument/2006/relationships/hyperlink" Target="https://technomeow.com/best-self-cleaning-litter-boxes-this-year/" TargetMode="External"/><Relationship Id="rId8100" Type="http://schemas.openxmlformats.org/officeDocument/2006/relationships/hyperlink" Target="http://aerius.se/" TargetMode="External"/><Relationship Id="rId10030" Type="http://schemas.openxmlformats.org/officeDocument/2006/relationships/hyperlink" Target="http://dbet.com/" TargetMode="External"/><Relationship Id="rId13186" Type="http://schemas.openxmlformats.org/officeDocument/2006/relationships/hyperlink" Target="http://videoslots.com/" TargetMode="External"/><Relationship Id="rId2194" Type="http://schemas.openxmlformats.org/officeDocument/2006/relationships/hyperlink" Target="https://www.annonsparken.se/nar-det-ar-dags-att-serva-bilen" TargetMode="External"/><Relationship Id="rId3245" Type="http://schemas.openxmlformats.org/officeDocument/2006/relationships/hyperlink" Target="https://www.kulturakademintrappan.se/" TargetMode="External"/><Relationship Id="rId4710" Type="http://schemas.openxmlformats.org/officeDocument/2006/relationships/hyperlink" Target="https://tiotak.se/plattak/plattak-med-solceller/" TargetMode="External"/><Relationship Id="rId7866" Type="http://schemas.openxmlformats.org/officeDocument/2006/relationships/hyperlink" Target="https://svenskiptv.com/" TargetMode="External"/><Relationship Id="rId13253" Type="http://schemas.openxmlformats.org/officeDocument/2006/relationships/hyperlink" Target="https://fritidsfavoriter.se/kontorsmaterial-som-gor-dina-hobbyprojekt-mer-effektiva-och-roliga/" TargetMode="External"/><Relationship Id="rId166" Type="http://schemas.openxmlformats.org/officeDocument/2006/relationships/hyperlink" Target="http://haxan.se/" TargetMode="External"/><Relationship Id="rId580" Type="http://schemas.openxmlformats.org/officeDocument/2006/relationships/hyperlink" Target="https://andrashop.se/b/platsbyggd-forvaring/" TargetMode="External"/><Relationship Id="rId2261" Type="http://schemas.openxmlformats.org/officeDocument/2006/relationships/hyperlink" Target="http://mariatand.se/" TargetMode="External"/><Relationship Id="rId3312" Type="http://schemas.openxmlformats.org/officeDocument/2006/relationships/hyperlink" Target="https://kelleher-international.com/" TargetMode="External"/><Relationship Id="rId6468" Type="http://schemas.openxmlformats.org/officeDocument/2006/relationships/hyperlink" Target="https://eventeffect.se/samarbete-mellan-eventplanerare-och-cateringforetag/" TargetMode="External"/><Relationship Id="rId7519" Type="http://schemas.openxmlformats.org/officeDocument/2006/relationships/hyperlink" Target="https://passioneffect.se/varfor-ar-det-sa-svart-att-halla-vikten-trots-att-det-aldrig-varit-enklare-att-ga-ner/" TargetMode="External"/><Relationship Id="rId8917" Type="http://schemas.openxmlformats.org/officeDocument/2006/relationships/hyperlink" Target="https://www.kelleher-international.com/" TargetMode="External"/><Relationship Id="rId10847" Type="http://schemas.openxmlformats.org/officeDocument/2006/relationships/hyperlink" Target="https://www.sfweekly.com/marketplace/cold-packs-for-muscle-relaxation-what-you-need-to-know/article_d706f721-14bd-4b9d-b1c5-cafb94539f47.html" TargetMode="External"/><Relationship Id="rId233" Type="http://schemas.openxmlformats.org/officeDocument/2006/relationships/hyperlink" Target="https://guldkorn.nu/en-introduktion-till-hba1c-testning-for-diabetespatienter/" TargetMode="External"/><Relationship Id="rId5484" Type="http://schemas.openxmlformats.org/officeDocument/2006/relationships/hyperlink" Target="https://rabattkodsidan.se/nytt/utforska-startpaket-for-vape-och-e-cigaretter-pa-e-ciggbolaget/" TargetMode="External"/><Relationship Id="rId6882" Type="http://schemas.openxmlformats.org/officeDocument/2006/relationships/hyperlink" Target="http://cherry.com/" TargetMode="External"/><Relationship Id="rId7933" Type="http://schemas.openxmlformats.org/officeDocument/2006/relationships/hyperlink" Target="https://eventeffect.se/teknik-team-och-timing-nycklarna-till-ett-lyckat-evenemang/" TargetMode="External"/><Relationship Id="rId10914" Type="http://schemas.openxmlformats.org/officeDocument/2006/relationships/hyperlink" Target="https://www.thesportsbank.net/business/aluminium-bottled-water-what-sports-fans-should-know/" TargetMode="External"/><Relationship Id="rId13320" Type="http://schemas.openxmlformats.org/officeDocument/2006/relationships/hyperlink" Target="https://leaptodigital.com/roofing-crm" TargetMode="External"/><Relationship Id="rId300" Type="http://schemas.openxmlformats.org/officeDocument/2006/relationships/hyperlink" Target="http://kopbarnvagn.se/" TargetMode="External"/><Relationship Id="rId4086" Type="http://schemas.openxmlformats.org/officeDocument/2006/relationships/hyperlink" Target="https://pengar.in/hur-raknar-jag-ut-manadslon-till-timlon/" TargetMode="External"/><Relationship Id="rId5137" Type="http://schemas.openxmlformats.org/officeDocument/2006/relationships/hyperlink" Target="http://vont.co/de" TargetMode="External"/><Relationship Id="rId6535" Type="http://schemas.openxmlformats.org/officeDocument/2006/relationships/hyperlink" Target="https://revolvertech.com/2024/11/23/how-to-secure-your-home-network-like-a-pro-a-step-by-step-guide/" TargetMode="External"/><Relationship Id="rId5551" Type="http://schemas.openxmlformats.org/officeDocument/2006/relationships/hyperlink" Target="https://www.cherry.com/sv/casino/jackpotspel?limit=1000" TargetMode="External"/><Relationship Id="rId6602" Type="http://schemas.openxmlformats.org/officeDocument/2006/relationships/hyperlink" Target="http://bethard.com/" TargetMode="External"/><Relationship Id="rId9758" Type="http://schemas.openxmlformats.org/officeDocument/2006/relationships/hyperlink" Target="https://www.sfexaminer.com/marketplace/the-new-role-of-ai-assistants-in-work-life-and-understanding/article_8b82e9d9-453f-4c42-8630-49c27a30ad60.html" TargetMode="External"/><Relationship Id="rId11688" Type="http://schemas.openxmlformats.org/officeDocument/2006/relationships/hyperlink" Target="https://markets.vontobel.com/fi-fi/tuotteet" TargetMode="External"/><Relationship Id="rId12739" Type="http://schemas.openxmlformats.org/officeDocument/2006/relationships/hyperlink" Target="http://michaelofrisorerna.se/" TargetMode="External"/><Relationship Id="rId1747" Type="http://schemas.openxmlformats.org/officeDocument/2006/relationships/hyperlink" Target="https://textiledetails.com/matching-your-watch-to-your-suit/" TargetMode="External"/><Relationship Id="rId4153" Type="http://schemas.openxmlformats.org/officeDocument/2006/relationships/hyperlink" Target="https://www.oslo.com/blog/2024/06/25/utforsk-den-norske-fjellheimen-et-paradis-fotturister/" TargetMode="External"/><Relationship Id="rId5204" Type="http://schemas.openxmlformats.org/officeDocument/2006/relationships/hyperlink" Target="https://www.alfa.no/collections/fritidssko" TargetMode="External"/><Relationship Id="rId8774" Type="http://schemas.openxmlformats.org/officeDocument/2006/relationships/hyperlink" Target="https://www.rusta.com/sv-se/fritid/husdjur/hundfoder" TargetMode="External"/><Relationship Id="rId9825" Type="http://schemas.openxmlformats.org/officeDocument/2006/relationships/hyperlink" Target="https://smartkonstruktion.se/bilverkstadens-betydelse-for-byggbranschens-transportlosningar-i-tyreso/" TargetMode="External"/><Relationship Id="rId39" Type="http://schemas.openxmlformats.org/officeDocument/2006/relationships/hyperlink" Target="https://chronos.se/" TargetMode="External"/><Relationship Id="rId1814" Type="http://schemas.openxmlformats.org/officeDocument/2006/relationships/hyperlink" Target="http://ritty.se/" TargetMode="External"/><Relationship Id="rId4220" Type="http://schemas.openxmlformats.org/officeDocument/2006/relationships/hyperlink" Target="https://www.onelonghouse.com/embracing-the-charm-of-vintage-fashion" TargetMode="External"/><Relationship Id="rId7376" Type="http://schemas.openxmlformats.org/officeDocument/2006/relationships/hyperlink" Target="https://www.kalajokilaakso.fi/artikkeli/luottovakuutuksen-hyodyt-alueellisille-kasvuyrityksille" TargetMode="External"/><Relationship Id="rId7790" Type="http://schemas.openxmlformats.org/officeDocument/2006/relationships/hyperlink" Target="https://svenskiptv.com/hur-fungerar-iptv-kom-igang/" TargetMode="External"/><Relationship Id="rId8427" Type="http://schemas.openxmlformats.org/officeDocument/2006/relationships/hyperlink" Target="https://www.hippson.se/gastrum/storsta-svenska-travvinsterna-genom-tiderna" TargetMode="External"/><Relationship Id="rId8841" Type="http://schemas.openxmlformats.org/officeDocument/2006/relationships/hyperlink" Target="http://petster.se/" TargetMode="External"/><Relationship Id="rId10357" Type="http://schemas.openxmlformats.org/officeDocument/2006/relationships/hyperlink" Target="http://rusta.se/" TargetMode="External"/><Relationship Id="rId11755" Type="http://schemas.openxmlformats.org/officeDocument/2006/relationships/hyperlink" Target="http://yagya.com/" TargetMode="External"/><Relationship Id="rId12806" Type="http://schemas.openxmlformats.org/officeDocument/2006/relationships/hyperlink" Target="https://leaptodigital.com/roofing-crm" TargetMode="External"/><Relationship Id="rId6392" Type="http://schemas.openxmlformats.org/officeDocument/2006/relationships/hyperlink" Target="https://helsinkipost.com/mita-jokaisen-velallisen-tulee-tietaa-perinnasta/" TargetMode="External"/><Relationship Id="rId7029" Type="http://schemas.openxmlformats.org/officeDocument/2006/relationships/hyperlink" Target="http://clearfuze.com/" TargetMode="External"/><Relationship Id="rId7443" Type="http://schemas.openxmlformats.org/officeDocument/2006/relationships/hyperlink" Target="https://pontechmarina.com/se/" TargetMode="External"/><Relationship Id="rId10771" Type="http://schemas.openxmlformats.org/officeDocument/2006/relationships/hyperlink" Target="https://ladycare.se/personlig-harvard-for-kvinnor-i-stockholm/" TargetMode="External"/><Relationship Id="rId11408" Type="http://schemas.openxmlformats.org/officeDocument/2006/relationships/hyperlink" Target="http://lansfast.se/" TargetMode="External"/><Relationship Id="rId11822" Type="http://schemas.openxmlformats.org/officeDocument/2006/relationships/hyperlink" Target="https://www.creditsafe.com/dk/da/kredit-risiko/kreditrapporter/kreditvurdering.html" TargetMode="External"/><Relationship Id="rId2588" Type="http://schemas.openxmlformats.org/officeDocument/2006/relationships/hyperlink" Target="https://miamipool.se/" TargetMode="External"/><Relationship Id="rId3986" Type="http://schemas.openxmlformats.org/officeDocument/2006/relationships/hyperlink" Target="https://www.julianh.se/ranta-pa-ranta-effekten-vad-ar-det" TargetMode="External"/><Relationship Id="rId6045" Type="http://schemas.openxmlformats.org/officeDocument/2006/relationships/hyperlink" Target="http://snusnetto.se/" TargetMode="External"/><Relationship Id="rId10424" Type="http://schemas.openxmlformats.org/officeDocument/2006/relationships/hyperlink" Target="http://glassfactory.fi/" TargetMode="External"/><Relationship Id="rId3639" Type="http://schemas.openxmlformats.org/officeDocument/2006/relationships/hyperlink" Target="http://fairinvestments.se/" TargetMode="External"/><Relationship Id="rId5061" Type="http://schemas.openxmlformats.org/officeDocument/2006/relationships/hyperlink" Target="http://hampabonden.se/" TargetMode="External"/><Relationship Id="rId6112" Type="http://schemas.openxmlformats.org/officeDocument/2006/relationships/hyperlink" Target="http://kleer.se/" TargetMode="External"/><Relationship Id="rId7510" Type="http://schemas.openxmlformats.org/officeDocument/2006/relationships/hyperlink" Target="http://svenskiptv.com/" TargetMode="External"/><Relationship Id="rId9268" Type="http://schemas.openxmlformats.org/officeDocument/2006/relationships/hyperlink" Target="http://tkw.se/" TargetMode="External"/><Relationship Id="rId12596" Type="http://schemas.openxmlformats.org/officeDocument/2006/relationships/hyperlink" Target="https://www.utdplug.co.uk/experiences-in-miniature-lessons-from-the-gaming-world/" TargetMode="External"/><Relationship Id="rId974" Type="http://schemas.openxmlformats.org/officeDocument/2006/relationships/hyperlink" Target="http://villarelining.se/" TargetMode="External"/><Relationship Id="rId2655" Type="http://schemas.openxmlformats.org/officeDocument/2006/relationships/hyperlink" Target="http://glitnor.com/" TargetMode="External"/><Relationship Id="rId3706" Type="http://schemas.openxmlformats.org/officeDocument/2006/relationships/hyperlink" Target="http://filippa-k.com/se/sv/" TargetMode="External"/><Relationship Id="rId9682" Type="http://schemas.openxmlformats.org/officeDocument/2006/relationships/hyperlink" Target="https://www.industritorget.se/nyheter/allt+annat+%c3%a4n+spel+/43279/" TargetMode="External"/><Relationship Id="rId11198" Type="http://schemas.openxmlformats.org/officeDocument/2006/relationships/hyperlink" Target="http://blugiallo.com/" TargetMode="External"/><Relationship Id="rId12249" Type="http://schemas.openxmlformats.org/officeDocument/2006/relationships/hyperlink" Target="https://nyheteridag.se/fa-battre-fokus-pa-ditt-hemmakontor/" TargetMode="External"/><Relationship Id="rId12663" Type="http://schemas.openxmlformats.org/officeDocument/2006/relationships/hyperlink" Target="http://megariches.com/" TargetMode="External"/><Relationship Id="rId627" Type="http://schemas.openxmlformats.org/officeDocument/2006/relationships/hyperlink" Target="https://www.kopbarnvagn.se/sv/artiklar/bugaboo/index.html" TargetMode="External"/><Relationship Id="rId1257" Type="http://schemas.openxmlformats.org/officeDocument/2006/relationships/hyperlink" Target="https://blugiallo.se/guider/brollopsguide-akt-ett-vem/" TargetMode="External"/><Relationship Id="rId1671" Type="http://schemas.openxmlformats.org/officeDocument/2006/relationships/hyperlink" Target="https://www.alfa.no/pages/hvilken-tursko-skal-jeg-velge" TargetMode="External"/><Relationship Id="rId2308" Type="http://schemas.openxmlformats.org/officeDocument/2006/relationships/hyperlink" Target="https://www.radio86.se/tandvark-ar-inte-en-lek" TargetMode="External"/><Relationship Id="rId2722" Type="http://schemas.openxmlformats.org/officeDocument/2006/relationships/hyperlink" Target="https://www.swedoffice.se/kategori/49902-kopieringspapper" TargetMode="External"/><Relationship Id="rId5878" Type="http://schemas.openxmlformats.org/officeDocument/2006/relationships/hyperlink" Target="https://www.vont.se/vape" TargetMode="External"/><Relationship Id="rId6929" Type="http://schemas.openxmlformats.org/officeDocument/2006/relationships/hyperlink" Target="http://svenskafonster.se/" TargetMode="External"/><Relationship Id="rId8284" Type="http://schemas.openxmlformats.org/officeDocument/2006/relationships/hyperlink" Target="https://www.etrender.se/fyra-hr-trender-som-maxar-effektiviteten-pa-framgangsrika-foretag/" TargetMode="External"/><Relationship Id="rId9335" Type="http://schemas.openxmlformats.org/officeDocument/2006/relationships/hyperlink" Target="https://www.rusta.com/sv-se/hem-och-inredning/belysning" TargetMode="External"/><Relationship Id="rId11265" Type="http://schemas.openxmlformats.org/officeDocument/2006/relationships/hyperlink" Target="https://www.industritorget.se/nyheter/chiptrim+och+bilindustrin/34172/" TargetMode="External"/><Relationship Id="rId12316" Type="http://schemas.openxmlformats.org/officeDocument/2006/relationships/hyperlink" Target="http://askskinfo.com/" TargetMode="External"/><Relationship Id="rId1324" Type="http://schemas.openxmlformats.org/officeDocument/2006/relationships/hyperlink" Target="http://robomarkets.com/" TargetMode="External"/><Relationship Id="rId4894" Type="http://schemas.openxmlformats.org/officeDocument/2006/relationships/hyperlink" Target="http://bethard.com/" TargetMode="External"/><Relationship Id="rId5945" Type="http://schemas.openxmlformats.org/officeDocument/2006/relationships/hyperlink" Target="http://purakliniken.se/" TargetMode="External"/><Relationship Id="rId8351" Type="http://schemas.openxmlformats.org/officeDocument/2006/relationships/hyperlink" Target="http://bergetsro.se/" TargetMode="External"/><Relationship Id="rId9402" Type="http://schemas.openxmlformats.org/officeDocument/2006/relationships/hyperlink" Target="https://ekstromgaray.se/" TargetMode="External"/><Relationship Id="rId10281" Type="http://schemas.openxmlformats.org/officeDocument/2006/relationships/hyperlink" Target="http://rusta.se/" TargetMode="External"/><Relationship Id="rId11332" Type="http://schemas.openxmlformats.org/officeDocument/2006/relationships/hyperlink" Target="https://news.cision.com/se/fair-investments" TargetMode="External"/><Relationship Id="rId12730" Type="http://schemas.openxmlformats.org/officeDocument/2006/relationships/hyperlink" Target="https://www.tandlakare.se/stad/stockholm/" TargetMode="External"/><Relationship Id="rId30" Type="http://schemas.openxmlformats.org/officeDocument/2006/relationships/hyperlink" Target="https://blugiallo.com/custom-tailored/clothes/jeans/" TargetMode="External"/><Relationship Id="rId3496" Type="http://schemas.openxmlformats.org/officeDocument/2006/relationships/hyperlink" Target="https://alltomnorrtalje.se/luckycasino-erbjuder-spanning-potential-for-stora-vinster/" TargetMode="External"/><Relationship Id="rId4547" Type="http://schemas.openxmlformats.org/officeDocument/2006/relationships/hyperlink" Target="https://e-ciggbolaget.se/vitt-snus/" TargetMode="External"/><Relationship Id="rId8004" Type="http://schemas.openxmlformats.org/officeDocument/2006/relationships/hyperlink" Target="http://myownwater.com/" TargetMode="External"/><Relationship Id="rId2098" Type="http://schemas.openxmlformats.org/officeDocument/2006/relationships/hyperlink" Target="https://www.foyen.se/om-oss/vara-kontor/foyen-i-stockholm/" TargetMode="External"/><Relationship Id="rId3149" Type="http://schemas.openxmlformats.org/officeDocument/2006/relationships/hyperlink" Target="https://www.executiveeffect.se/vad-ar-fair-investments/" TargetMode="External"/><Relationship Id="rId3563" Type="http://schemas.openxmlformats.org/officeDocument/2006/relationships/hyperlink" Target="https://www.kingsizemag.se/okategoriserat/elavtaldirekt-din-guide-i-sokandet-av-optimala-elavtal/" TargetMode="External"/><Relationship Id="rId4961" Type="http://schemas.openxmlformats.org/officeDocument/2006/relationships/hyperlink" Target="http://alfa.se/" TargetMode="External"/><Relationship Id="rId7020" Type="http://schemas.openxmlformats.org/officeDocument/2006/relationships/hyperlink" Target="https://www.coface.dk/inkasso" TargetMode="External"/><Relationship Id="rId484" Type="http://schemas.openxmlformats.org/officeDocument/2006/relationships/hyperlink" Target="https://pontechmarina.com/se/flytbryggor/" TargetMode="External"/><Relationship Id="rId2165" Type="http://schemas.openxmlformats.org/officeDocument/2006/relationships/hyperlink" Target="https://www.theartofthepossible.net/molntjanster-fran-microsoft" TargetMode="External"/><Relationship Id="rId3216" Type="http://schemas.openxmlformats.org/officeDocument/2006/relationships/hyperlink" Target="https://notyfile.se/sv/" TargetMode="External"/><Relationship Id="rId4614" Type="http://schemas.openxmlformats.org/officeDocument/2006/relationships/hyperlink" Target="http://spelklubben.se/" TargetMode="External"/><Relationship Id="rId9192" Type="http://schemas.openxmlformats.org/officeDocument/2006/relationships/hyperlink" Target="http://cdbilvardsprodukter.se/" TargetMode="External"/><Relationship Id="rId10001" Type="http://schemas.openxmlformats.org/officeDocument/2006/relationships/hyperlink" Target="https://www.mrvegas.com/" TargetMode="External"/><Relationship Id="rId13157" Type="http://schemas.openxmlformats.org/officeDocument/2006/relationships/hyperlink" Target="https://www.videoslots.com/sv/casino/" TargetMode="External"/><Relationship Id="rId137" Type="http://schemas.openxmlformats.org/officeDocument/2006/relationships/hyperlink" Target="https://www.fashionbeautyblog.co.uk/how-to-ensure-that-you-look-your-best-this-fall/" TargetMode="External"/><Relationship Id="rId3630" Type="http://schemas.openxmlformats.org/officeDocument/2006/relationships/hyperlink" Target="https://www.norteam.se/tjanster/sakerhet" TargetMode="External"/><Relationship Id="rId6786" Type="http://schemas.openxmlformats.org/officeDocument/2006/relationships/hyperlink" Target="https://aerius.se/" TargetMode="External"/><Relationship Id="rId7837" Type="http://schemas.openxmlformats.org/officeDocument/2006/relationships/hyperlink" Target="https://bostadsr&#228;tts&#228;garen.se/faktorerna-som-paverkar-priset-pa-bostaden/" TargetMode="External"/><Relationship Id="rId10818" Type="http://schemas.openxmlformats.org/officeDocument/2006/relationships/hyperlink" Target="https://www.reco.se/fair-investments-sweden-ab" TargetMode="External"/><Relationship Id="rId12173" Type="http://schemas.openxmlformats.org/officeDocument/2006/relationships/hyperlink" Target="https://www.villarelining.se/" TargetMode="External"/><Relationship Id="rId13224" Type="http://schemas.openxmlformats.org/officeDocument/2006/relationships/hyperlink" Target="https://arctic.se/se/forsakringslosningar/svensksolenergi/" TargetMode="External"/><Relationship Id="rId551" Type="http://schemas.openxmlformats.org/officeDocument/2006/relationships/hyperlink" Target="https://dinfinans.se/viktiga-saker-att-tanka-pa-som-ny-investerare/" TargetMode="External"/><Relationship Id="rId1181" Type="http://schemas.openxmlformats.org/officeDocument/2006/relationships/hyperlink" Target="https://www.veterinarklinikenbirsta.se/" TargetMode="External"/><Relationship Id="rId2232" Type="http://schemas.openxmlformats.org/officeDocument/2006/relationships/hyperlink" Target="https://distansinstitutet.se/distansutbildningar/pedagogik/vardbitrade/" TargetMode="External"/><Relationship Id="rId5388" Type="http://schemas.openxmlformats.org/officeDocument/2006/relationships/hyperlink" Target="https://www.tarelugnt.se/" TargetMode="External"/><Relationship Id="rId6439" Type="http://schemas.openxmlformats.org/officeDocument/2006/relationships/hyperlink" Target="https://www.joureliten.se/jour-elektriker/" TargetMode="External"/><Relationship Id="rId6853" Type="http://schemas.openxmlformats.org/officeDocument/2006/relationships/hyperlink" Target="http://svenskiptv.com/" TargetMode="External"/><Relationship Id="rId7904" Type="http://schemas.openxmlformats.org/officeDocument/2006/relationships/hyperlink" Target="http://technobark.com/" TargetMode="External"/><Relationship Id="rId12240" Type="http://schemas.openxmlformats.org/officeDocument/2006/relationships/hyperlink" Target="https://www.robomarkets.com/se/forex-trading/trading/isk/" TargetMode="External"/><Relationship Id="rId204" Type="http://schemas.openxmlformats.org/officeDocument/2006/relationships/hyperlink" Target="http://kopbarnvagn.se/" TargetMode="External"/><Relationship Id="rId1998" Type="http://schemas.openxmlformats.org/officeDocument/2006/relationships/hyperlink" Target="https://www.unvelo.se/" TargetMode="External"/><Relationship Id="rId5455" Type="http://schemas.openxmlformats.org/officeDocument/2006/relationships/hyperlink" Target="https://e-ciggbolaget.se/e-cigaretter/" TargetMode="External"/><Relationship Id="rId6506" Type="http://schemas.openxmlformats.org/officeDocument/2006/relationships/hyperlink" Target="http://fairinvestments.se/" TargetMode="External"/><Relationship Id="rId6920" Type="http://schemas.openxmlformats.org/officeDocument/2006/relationships/hyperlink" Target="http://tandea.se/" TargetMode="External"/><Relationship Id="rId4057" Type="http://schemas.openxmlformats.org/officeDocument/2006/relationships/hyperlink" Target="https://finansplassen.no/lan" TargetMode="External"/><Relationship Id="rId4471" Type="http://schemas.openxmlformats.org/officeDocument/2006/relationships/hyperlink" Target="https://oljudsthlm.se/totalentreprenader-mojligheten-till-skapandet-av-spannande-byggnadsprojekt/" TargetMode="External"/><Relationship Id="rId5108" Type="http://schemas.openxmlformats.org/officeDocument/2006/relationships/hyperlink" Target="https://tiotak.se/plattak/plattak-med-solceller/" TargetMode="External"/><Relationship Id="rId5522" Type="http://schemas.openxmlformats.org/officeDocument/2006/relationships/hyperlink" Target="https://everynightstudios.com/collections/designa-egen-keps" TargetMode="External"/><Relationship Id="rId8678" Type="http://schemas.openxmlformats.org/officeDocument/2006/relationships/hyperlink" Target="https://dinbyggnad.se/vikten-av-professionella-rormokartjanster-inom-byggsektorn-i-stockholm/" TargetMode="External"/><Relationship Id="rId9729" Type="http://schemas.openxmlformats.org/officeDocument/2006/relationships/hyperlink" Target="https://yourgild.com/insurance" TargetMode="External"/><Relationship Id="rId3073" Type="http://schemas.openxmlformats.org/officeDocument/2006/relationships/hyperlink" Target="https://interiorforyou.se/hubinette-vvs-din-partner-for-effektivt-vvs-underhall-omsorg-i-uppsala/" TargetMode="External"/><Relationship Id="rId4124" Type="http://schemas.openxmlformats.org/officeDocument/2006/relationships/hyperlink" Target="https://poolstart.se/skapa-din-drompool/" TargetMode="External"/><Relationship Id="rId7694" Type="http://schemas.openxmlformats.org/officeDocument/2006/relationships/hyperlink" Target="http://tkw.se/" TargetMode="External"/><Relationship Id="rId11659" Type="http://schemas.openxmlformats.org/officeDocument/2006/relationships/hyperlink" Target="http://vontabel.com/" TargetMode="External"/><Relationship Id="rId13081" Type="http://schemas.openxmlformats.org/officeDocument/2006/relationships/hyperlink" Target="https://jazziparken.se/hur-far-jazz-oss-att-ma/" TargetMode="External"/><Relationship Id="rId1718" Type="http://schemas.openxmlformats.org/officeDocument/2006/relationships/hyperlink" Target="http://tandea.se/" TargetMode="External"/><Relationship Id="rId3140" Type="http://schemas.openxmlformats.org/officeDocument/2006/relationships/hyperlink" Target="https://ttsab.nu/bygg/" TargetMode="External"/><Relationship Id="rId6296" Type="http://schemas.openxmlformats.org/officeDocument/2006/relationships/hyperlink" Target="https://nybyggande.se/taklaggning-i-fokus-hallbara-losningar-for-lantbruket/" TargetMode="External"/><Relationship Id="rId7347" Type="http://schemas.openxmlformats.org/officeDocument/2006/relationships/hyperlink" Target="http://chattanoogarehab.com/" TargetMode="External"/><Relationship Id="rId8745" Type="http://schemas.openxmlformats.org/officeDocument/2006/relationships/hyperlink" Target="http://spelklubben.se/" TargetMode="External"/><Relationship Id="rId10675" Type="http://schemas.openxmlformats.org/officeDocument/2006/relationships/hyperlink" Target="https://www.dagensfastigheter.se/20250805/12992/vad-sager-trapanelen-om-fastighetens-framtid" TargetMode="External"/><Relationship Id="rId11726" Type="http://schemas.openxmlformats.org/officeDocument/2006/relationships/hyperlink" Target="https://yagya.com/pages/shop" TargetMode="External"/><Relationship Id="rId7761" Type="http://schemas.openxmlformats.org/officeDocument/2006/relationships/hyperlink" Target="https://aerius.se/har-finns-vi/" TargetMode="External"/><Relationship Id="rId8812" Type="http://schemas.openxmlformats.org/officeDocument/2006/relationships/hyperlink" Target="http://ekonomico.se/" TargetMode="External"/><Relationship Id="rId10328" Type="http://schemas.openxmlformats.org/officeDocument/2006/relationships/hyperlink" Target="https://businesshelper.se/stadbranschen-i-stockholm-fokuserar-pa-kvalitet-och-hallbarhet/" TargetMode="External"/><Relationship Id="rId10742" Type="http://schemas.openxmlformats.org/officeDocument/2006/relationships/hyperlink" Target="http://startmotor.se/" TargetMode="External"/><Relationship Id="rId3957" Type="http://schemas.openxmlformats.org/officeDocument/2006/relationships/hyperlink" Target="https://www.imike.se/tvist-och-tvistlosning" TargetMode="External"/><Relationship Id="rId6363" Type="http://schemas.openxmlformats.org/officeDocument/2006/relationships/hyperlink" Target="https://geekvibesnation.com/the-cyberspace-battlefield-what-video-games-can-teach-us-about-protecting-our-data/" TargetMode="External"/><Relationship Id="rId7414" Type="http://schemas.openxmlformats.org/officeDocument/2006/relationships/hyperlink" Target="https://mockfjards.se/" TargetMode="External"/><Relationship Id="rId878" Type="http://schemas.openxmlformats.org/officeDocument/2006/relationships/hyperlink" Target="http://rehabgrossisten.com/" TargetMode="External"/><Relationship Id="rId2559" Type="http://schemas.openxmlformats.org/officeDocument/2006/relationships/hyperlink" Target="https://www.spoors.health/product-page/organic-nordic-lions-mane" TargetMode="External"/><Relationship Id="rId2973" Type="http://schemas.openxmlformats.org/officeDocument/2006/relationships/hyperlink" Target="http://e-ciggbolaget.se/" TargetMode="External"/><Relationship Id="rId6016" Type="http://schemas.openxmlformats.org/officeDocument/2006/relationships/hyperlink" Target="https://www.coface.se/kreditfoersaekring" TargetMode="External"/><Relationship Id="rId6430" Type="http://schemas.openxmlformats.org/officeDocument/2006/relationships/hyperlink" Target="http://aerius.se/" TargetMode="External"/><Relationship Id="rId9586" Type="http://schemas.openxmlformats.org/officeDocument/2006/relationships/hyperlink" Target="http://svenskalasjouren.se/" TargetMode="External"/><Relationship Id="rId12567" Type="http://schemas.openxmlformats.org/officeDocument/2006/relationships/hyperlink" Target="https://www.veterinarklinikenbirsta.se/" TargetMode="External"/><Relationship Id="rId945" Type="http://schemas.openxmlformats.org/officeDocument/2006/relationships/hyperlink" Target="https://fashionedits.com/5-simple-tips-to-add-more-color-to-your-mens-wardrobe/" TargetMode="External"/><Relationship Id="rId1575" Type="http://schemas.openxmlformats.org/officeDocument/2006/relationships/hyperlink" Target="http://tryggbil.se/" TargetMode="External"/><Relationship Id="rId2626" Type="http://schemas.openxmlformats.org/officeDocument/2006/relationships/hyperlink" Target="http://villarelining.se/" TargetMode="External"/><Relationship Id="rId5032" Type="http://schemas.openxmlformats.org/officeDocument/2006/relationships/hyperlink" Target="http://cherry.com/" TargetMode="External"/><Relationship Id="rId8188" Type="http://schemas.openxmlformats.org/officeDocument/2006/relationships/hyperlink" Target="https://tryggbil.se/volkswagen/" TargetMode="External"/><Relationship Id="rId9239" Type="http://schemas.openxmlformats.org/officeDocument/2006/relationships/hyperlink" Target="https://farkamraten.se/man-och-spraket-vikten-av-att-kommunicera-pa-svenska/" TargetMode="External"/><Relationship Id="rId9653" Type="http://schemas.openxmlformats.org/officeDocument/2006/relationships/hyperlink" Target="http://mockfjards.se/" TargetMode="External"/><Relationship Id="rId11169" Type="http://schemas.openxmlformats.org/officeDocument/2006/relationships/hyperlink" Target="https://www.innovate4climate.ch/" TargetMode="External"/><Relationship Id="rId12981" Type="http://schemas.openxmlformats.org/officeDocument/2006/relationships/hyperlink" Target="https://www.cybaero.se/geofencing-signaler-och-en-trygg-vardag/" TargetMode="External"/><Relationship Id="rId1228" Type="http://schemas.openxmlformats.org/officeDocument/2006/relationships/hyperlink" Target="https://www.alfa.no/" TargetMode="External"/><Relationship Id="rId4798" Type="http://schemas.openxmlformats.org/officeDocument/2006/relationships/hyperlink" Target="http://kvarnx.com/" TargetMode="External"/><Relationship Id="rId8255" Type="http://schemas.openxmlformats.org/officeDocument/2006/relationships/hyperlink" Target="https://www.metsomedia.fi/palveluiden-vertailu-verkossa-yha-helpompaa" TargetMode="External"/><Relationship Id="rId9306" Type="http://schemas.openxmlformats.org/officeDocument/2006/relationships/hyperlink" Target="http://svenskalasjouren.se/" TargetMode="External"/><Relationship Id="rId10185" Type="http://schemas.openxmlformats.org/officeDocument/2006/relationships/hyperlink" Target="https://www.sfweekly.com/marketplace/why-small-business-insurance-is-an-essential-business-tool/article_4b263f36-8549-4edc-871c-495f956331f1.html" TargetMode="External"/><Relationship Id="rId11583" Type="http://schemas.openxmlformats.org/officeDocument/2006/relationships/hyperlink" Target="http://sufracofinebrands.com/" TargetMode="External"/><Relationship Id="rId12634" Type="http://schemas.openxmlformats.org/officeDocument/2006/relationships/hyperlink" Target="https://eventeffect.se/sa-bygger-du-ett-robust-kapital-nar-sasongerna-svanger/" TargetMode="External"/><Relationship Id="rId1642" Type="http://schemas.openxmlformats.org/officeDocument/2006/relationships/hyperlink" Target="https://advancepointcap.com/emergency-loan/" TargetMode="External"/><Relationship Id="rId5849" Type="http://schemas.openxmlformats.org/officeDocument/2006/relationships/hyperlink" Target="https://www.startmotor.se/kategori/solenoider" TargetMode="External"/><Relationship Id="rId7271" Type="http://schemas.openxmlformats.org/officeDocument/2006/relationships/hyperlink" Target="http://upplevelse.com/" TargetMode="External"/><Relationship Id="rId8322" Type="http://schemas.openxmlformats.org/officeDocument/2006/relationships/hyperlink" Target="http://chattanoogarehab.com/" TargetMode="External"/><Relationship Id="rId9720" Type="http://schemas.openxmlformats.org/officeDocument/2006/relationships/hyperlink" Target="https://www.kungaslottet.se/sv/mobile/" TargetMode="External"/><Relationship Id="rId11236" Type="http://schemas.openxmlformats.org/officeDocument/2006/relationships/hyperlink" Target="https://chronos.se/" TargetMode="External"/><Relationship Id="rId11650" Type="http://schemas.openxmlformats.org/officeDocument/2006/relationships/hyperlink" Target="https://markets.vontobel.com/fi-fi/tuotteet/viputuotteet/unlimited-turbot" TargetMode="External"/><Relationship Id="rId12701" Type="http://schemas.openxmlformats.org/officeDocument/2006/relationships/hyperlink" Target="http://swedenlongstay.se/" TargetMode="External"/><Relationship Id="rId4865" Type="http://schemas.openxmlformats.org/officeDocument/2006/relationships/hyperlink" Target="https://svenskacasinosidorna.se/nytt/upptack-varlden-av-svenska-casinon/" TargetMode="External"/><Relationship Id="rId5916" Type="http://schemas.openxmlformats.org/officeDocument/2006/relationships/hyperlink" Target="http://e-ciggbolaget.se/" TargetMode="External"/><Relationship Id="rId10252" Type="http://schemas.openxmlformats.org/officeDocument/2006/relationships/hyperlink" Target="https://www.nordicknots.com/us/rugs" TargetMode="External"/><Relationship Id="rId11303" Type="http://schemas.openxmlformats.org/officeDocument/2006/relationships/hyperlink" Target="http://fairinvestments.se/" TargetMode="External"/><Relationship Id="rId388" Type="http://schemas.openxmlformats.org/officeDocument/2006/relationships/hyperlink" Target="https://markets.vontobel.com/sv-se/produkter/leverage/mini-future" TargetMode="External"/><Relationship Id="rId2069" Type="http://schemas.openxmlformats.org/officeDocument/2006/relationships/hyperlink" Target="https://www.the-wedding-bazaar.com/vintage-wedding-ideas-for-a-timeless-look" TargetMode="External"/><Relationship Id="rId3467" Type="http://schemas.openxmlformats.org/officeDocument/2006/relationships/hyperlink" Target="https://www.realtid.se/la-reinemannens-solcellsbolag-byter-skal/" TargetMode="External"/><Relationship Id="rId3881" Type="http://schemas.openxmlformats.org/officeDocument/2006/relationships/hyperlink" Target="https://www.kingsizemag.se/okategoriserat/lagre-rantor-vad-innebar-det-for-din-ekonomi/" TargetMode="External"/><Relationship Id="rId4518" Type="http://schemas.openxmlformats.org/officeDocument/2006/relationships/hyperlink" Target="http://tandea.se/" TargetMode="External"/><Relationship Id="rId4932" Type="http://schemas.openxmlformats.org/officeDocument/2006/relationships/hyperlink" Target="https://www.inredningsnyheter.se/20240820/19780/skapa-en-personlig-och-harmonisk-inredning" TargetMode="External"/><Relationship Id="rId9096" Type="http://schemas.openxmlformats.org/officeDocument/2006/relationships/hyperlink" Target="https://thesiliconreview.com/2025/05/ai-tools-rapidly-emerge-as-the-preferred-choice-for-modern-businesses" TargetMode="External"/><Relationship Id="rId2483" Type="http://schemas.openxmlformats.org/officeDocument/2006/relationships/hyperlink" Target="https://e-ciggbolaget.se/e-cigaretter/engangs-vape/panther-bar/?hr-page=%7B%22product_count%22%3A24%7D" TargetMode="External"/><Relationship Id="rId3534" Type="http://schemas.openxmlformats.org/officeDocument/2006/relationships/hyperlink" Target="http://alfa.se/" TargetMode="External"/><Relationship Id="rId12077" Type="http://schemas.openxmlformats.org/officeDocument/2006/relationships/hyperlink" Target="http://haxan.se/" TargetMode="External"/><Relationship Id="rId12491" Type="http://schemas.openxmlformats.org/officeDocument/2006/relationships/hyperlink" Target="https://www.affarsvarlden.se/native/spetsig-fond-hittar-globala-vinnare" TargetMode="External"/><Relationship Id="rId13128" Type="http://schemas.openxmlformats.org/officeDocument/2006/relationships/hyperlink" Target="http://mrvegas.com/" TargetMode="External"/><Relationship Id="rId455" Type="http://schemas.openxmlformats.org/officeDocument/2006/relationships/hyperlink" Target="https://blugiallo.se/" TargetMode="External"/><Relationship Id="rId1085" Type="http://schemas.openxmlformats.org/officeDocument/2006/relationships/hyperlink" Target="https://www.alfa.no/collections/fjellskisko" TargetMode="External"/><Relationship Id="rId2136" Type="http://schemas.openxmlformats.org/officeDocument/2006/relationships/hyperlink" Target="https://www.streetnstrip.se/laga-bilen-i-stockholm" TargetMode="External"/><Relationship Id="rId2550" Type="http://schemas.openxmlformats.org/officeDocument/2006/relationships/hyperlink" Target="https://www.konstframjandet.org/" TargetMode="External"/><Relationship Id="rId3601" Type="http://schemas.openxmlformats.org/officeDocument/2006/relationships/hyperlink" Target="https://www.plus46fashion.se/hall-koll-detta-om-du-startar-modellagentur" TargetMode="External"/><Relationship Id="rId6757" Type="http://schemas.openxmlformats.org/officeDocument/2006/relationships/hyperlink" Target="https://direktbygg.se/jour-eliten-din-fortrodda-partner-for-jour-el-och-vvs-i-stockholm/" TargetMode="External"/><Relationship Id="rId7808" Type="http://schemas.openxmlformats.org/officeDocument/2006/relationships/hyperlink" Target="https://allwomenstalk.com/aluminium-bottled-water/" TargetMode="External"/><Relationship Id="rId9163" Type="http://schemas.openxmlformats.org/officeDocument/2006/relationships/hyperlink" Target="https://greenheal.net/practical-solutions-for-outdoor-pet-safety/" TargetMode="External"/><Relationship Id="rId11093" Type="http://schemas.openxmlformats.org/officeDocument/2006/relationships/hyperlink" Target="https://www.videoslots.com/" TargetMode="External"/><Relationship Id="rId12144" Type="http://schemas.openxmlformats.org/officeDocument/2006/relationships/hyperlink" Target="https://businessmanualen.se/vagen-till-framgang-hur-du-landar-jobb-pa-en-framstaende-advokatbyra/" TargetMode="External"/><Relationship Id="rId108" Type="http://schemas.openxmlformats.org/officeDocument/2006/relationships/hyperlink" Target="https://www.kopbarnvagn.se/sv/artiklar/bugaboo/index.html" TargetMode="External"/><Relationship Id="rId522" Type="http://schemas.openxmlformats.org/officeDocument/2006/relationships/hyperlink" Target="https://www.swedoffice.se/kategori/49902-kopieringspapp" TargetMode="External"/><Relationship Id="rId1152" Type="http://schemas.openxmlformats.org/officeDocument/2006/relationships/hyperlink" Target="https://socialsummit17.se/testautomation-effektivisera-mjukvarutestning-med-automatiserade-processer/" TargetMode="External"/><Relationship Id="rId2203" Type="http://schemas.openxmlformats.org/officeDocument/2006/relationships/hyperlink" Target="https://www.utbildningsforetagen.se/2020/11/marcus-lindh-distansinstitutet-2-2/" TargetMode="External"/><Relationship Id="rId5359" Type="http://schemas.openxmlformats.org/officeDocument/2006/relationships/hyperlink" Target="https://www.forshagadentaldepa.se/" TargetMode="External"/><Relationship Id="rId5773" Type="http://schemas.openxmlformats.org/officeDocument/2006/relationships/hyperlink" Target="https://www.bethard.com/sv/sports" TargetMode="External"/><Relationship Id="rId9230" Type="http://schemas.openxmlformats.org/officeDocument/2006/relationships/hyperlink" Target="https://villaprojekt.se/mattor-for-varje-rum-i-ditt-hem-sa-valjer-du-ratt-material-och-farg/" TargetMode="External"/><Relationship Id="rId11160" Type="http://schemas.openxmlformats.org/officeDocument/2006/relationships/hyperlink" Target="https://www.gadgetgirl.se/skratt-ar-basta-medicinen" TargetMode="External"/><Relationship Id="rId4375" Type="http://schemas.openxmlformats.org/officeDocument/2006/relationships/hyperlink" Target="http://fairinvestments.se/" TargetMode="External"/><Relationship Id="rId5426" Type="http://schemas.openxmlformats.org/officeDocument/2006/relationships/hyperlink" Target="http://everynightstudios.com/" TargetMode="External"/><Relationship Id="rId6824" Type="http://schemas.openxmlformats.org/officeDocument/2006/relationships/hyperlink" Target="https://www.teknikforaldre.se/" TargetMode="External"/><Relationship Id="rId12211" Type="http://schemas.openxmlformats.org/officeDocument/2006/relationships/hyperlink" Target="https://www.spoors.health/" TargetMode="External"/><Relationship Id="rId1969" Type="http://schemas.openxmlformats.org/officeDocument/2006/relationships/hyperlink" Target="http://haxan.se/" TargetMode="External"/><Relationship Id="rId4028" Type="http://schemas.openxmlformats.org/officeDocument/2006/relationships/hyperlink" Target="http://spelklubben.se/" TargetMode="External"/><Relationship Id="rId5840" Type="http://schemas.openxmlformats.org/officeDocument/2006/relationships/hyperlink" Target="https://nem.health/vo2-max-indikator-for-livslangd-och-kardiovaskular-halsa/" TargetMode="External"/><Relationship Id="rId8996" Type="http://schemas.openxmlformats.org/officeDocument/2006/relationships/hyperlink" Target="https://www.alennuskoodi.fm/alykkaita-vinkkeja-taloutesi-maksimoimiseksi/" TargetMode="External"/><Relationship Id="rId11977" Type="http://schemas.openxmlformats.org/officeDocument/2006/relationships/hyperlink" Target="https://www.daniellastoja.se/2023/09/27/sa-gor-du-smarta-investeringar-en-guide-till-rattvisa-och-lonsamma-val/" TargetMode="External"/><Relationship Id="rId3391" Type="http://schemas.openxmlformats.org/officeDocument/2006/relationships/hyperlink" Target="https://gordetmedrw.se/sv/page/bilvardskurs" TargetMode="External"/><Relationship Id="rId4442" Type="http://schemas.openxmlformats.org/officeDocument/2006/relationships/hyperlink" Target="https://saralundberg.se/skapa-ett-oforglomligt-event-genom-konsten-att-skapa-atmosfar/" TargetMode="External"/><Relationship Id="rId7598" Type="http://schemas.openxmlformats.org/officeDocument/2006/relationships/hyperlink" Target="http://nettotobak.com/" TargetMode="External"/><Relationship Id="rId8649" Type="http://schemas.openxmlformats.org/officeDocument/2006/relationships/hyperlink" Target="https://www.rusta.com/se/sv/hem--inredning/mattor/" TargetMode="External"/><Relationship Id="rId10579" Type="http://schemas.openxmlformats.org/officeDocument/2006/relationships/hyperlink" Target="http://myownwater.com/" TargetMode="External"/><Relationship Id="rId10993" Type="http://schemas.openxmlformats.org/officeDocument/2006/relationships/hyperlink" Target="https://www.byggnyheter.se/20250902/32459/allt-du-vill-veta-om-attefallshus-bygglov-hustyper-och-finansiering" TargetMode="External"/><Relationship Id="rId3044" Type="http://schemas.openxmlformats.org/officeDocument/2006/relationships/hyperlink" Target="https://www.spelklubben.se/sv/casino" TargetMode="External"/><Relationship Id="rId7665" Type="http://schemas.openxmlformats.org/officeDocument/2006/relationships/hyperlink" Target="http://startmotor.se/" TargetMode="External"/><Relationship Id="rId8716" Type="http://schemas.openxmlformats.org/officeDocument/2006/relationships/hyperlink" Target="http://tandea.se/tandvard/akut-tandvard-stockholm/" TargetMode="External"/><Relationship Id="rId10646" Type="http://schemas.openxmlformats.org/officeDocument/2006/relationships/hyperlink" Target="https://turner.fi/" TargetMode="External"/><Relationship Id="rId13052" Type="http://schemas.openxmlformats.org/officeDocument/2006/relationships/hyperlink" Target="https://brollopspresenten.se/hallbara-brollopspresenter-till-bruden/" TargetMode="External"/><Relationship Id="rId2060" Type="http://schemas.openxmlformats.org/officeDocument/2006/relationships/hyperlink" Target="http://creditsafe.se/" TargetMode="External"/><Relationship Id="rId3111" Type="http://schemas.openxmlformats.org/officeDocument/2006/relationships/hyperlink" Target="https://m6bygg.se/" TargetMode="External"/><Relationship Id="rId6267" Type="http://schemas.openxmlformats.org/officeDocument/2006/relationships/hyperlink" Target="https://www.peaccounting.se/var-tjanst/bokforingsprogram/" TargetMode="External"/><Relationship Id="rId6681" Type="http://schemas.openxmlformats.org/officeDocument/2006/relationships/hyperlink" Target="https://www.joureliten.se/jour-rormokare/" TargetMode="External"/><Relationship Id="rId7318" Type="http://schemas.openxmlformats.org/officeDocument/2006/relationships/hyperlink" Target="http://startmotor.se/" TargetMode="External"/><Relationship Id="rId7732" Type="http://schemas.openxmlformats.org/officeDocument/2006/relationships/hyperlink" Target="https://allwomenstalk.com/sriracha-sauce-best-dishes/" TargetMode="External"/><Relationship Id="rId2877" Type="http://schemas.openxmlformats.org/officeDocument/2006/relationships/hyperlink" Target="https://ultranordic.se/panther-bar-en-djarv-nykomling-i-varlden-av-engangsvapes/" TargetMode="External"/><Relationship Id="rId5283" Type="http://schemas.openxmlformats.org/officeDocument/2006/relationships/hyperlink" Target="https://www.cdg.io/services/virtual-ciso/" TargetMode="External"/><Relationship Id="rId6334" Type="http://schemas.openxmlformats.org/officeDocument/2006/relationships/hyperlink" Target="http://everynightstudios.com/" TargetMode="External"/><Relationship Id="rId10713" Type="http://schemas.openxmlformats.org/officeDocument/2006/relationships/hyperlink" Target="https://www.lsb.se/" TargetMode="External"/><Relationship Id="rId849" Type="http://schemas.openxmlformats.org/officeDocument/2006/relationships/hyperlink" Target="https://avisendanmark.dk/annoncorbetalt-indhold/derfor-skal-din-virksomhed-faa-en-kreditvurdering-af-potentielle-kunder" TargetMode="External"/><Relationship Id="rId1479" Type="http://schemas.openxmlformats.org/officeDocument/2006/relationships/hyperlink" Target="http://advancepointcap.com/" TargetMode="External"/><Relationship Id="rId3928" Type="http://schemas.openxmlformats.org/officeDocument/2006/relationships/hyperlink" Target="https://www.allthingsgreen.nu/" TargetMode="External"/><Relationship Id="rId5350" Type="http://schemas.openxmlformats.org/officeDocument/2006/relationships/hyperlink" Target="http://bethard.com/" TargetMode="External"/><Relationship Id="rId6401" Type="http://schemas.openxmlformats.org/officeDocument/2006/relationships/hyperlink" Target="https://www.amazon.com/Racha-Organics-Sriracha-Sauce-Certified/dp/B0CYLCC464" TargetMode="External"/><Relationship Id="rId9557" Type="http://schemas.openxmlformats.org/officeDocument/2006/relationships/hyperlink" Target="http://fairinvestments.se/" TargetMode="External"/><Relationship Id="rId12885" Type="http://schemas.openxmlformats.org/officeDocument/2006/relationships/hyperlink" Target="https://esportare.se/ovrigt/datan-som-gor-e-sporten-begriplig/" TargetMode="External"/><Relationship Id="rId1893" Type="http://schemas.openxmlformats.org/officeDocument/2006/relationships/hyperlink" Target="https://lemontree.se/tjanster/devops/site-reliability-engineering/" TargetMode="External"/><Relationship Id="rId2944" Type="http://schemas.openxmlformats.org/officeDocument/2006/relationships/hyperlink" Target="http://spelklubben.se/" TargetMode="External"/><Relationship Id="rId5003" Type="http://schemas.openxmlformats.org/officeDocument/2006/relationships/hyperlink" Target="https://www.framtidensbygg.se/lb-article/180721/vikten-av-regelbunden-stamspolning-for-fastigheters-hallbarhet" TargetMode="External"/><Relationship Id="rId8159" Type="http://schemas.openxmlformats.org/officeDocument/2006/relationships/hyperlink" Target="https://herrprylar.se/sa-valjer-du-ratt-reservdelar-till-din-volvo-penta-batmotor/" TargetMode="External"/><Relationship Id="rId9971" Type="http://schemas.openxmlformats.org/officeDocument/2006/relationships/hyperlink" Target="https://arctic.se/nibe-warmepumpe-versicherung/" TargetMode="External"/><Relationship Id="rId11487" Type="http://schemas.openxmlformats.org/officeDocument/2006/relationships/hyperlink" Target="http://robomarkets.com/" TargetMode="External"/><Relationship Id="rId12538" Type="http://schemas.openxmlformats.org/officeDocument/2006/relationships/hyperlink" Target="https://www.askskinfo.com/varumarke/skinome" TargetMode="External"/><Relationship Id="rId12952" Type="http://schemas.openxmlformats.org/officeDocument/2006/relationships/hyperlink" Target="http://northtracker.com/" TargetMode="External"/><Relationship Id="rId916" Type="http://schemas.openxmlformats.org/officeDocument/2006/relationships/hyperlink" Target="http://happysocks.com/" TargetMode="External"/><Relationship Id="rId1546" Type="http://schemas.openxmlformats.org/officeDocument/2006/relationships/hyperlink" Target="http://happysocks.com/" TargetMode="External"/><Relationship Id="rId1960" Type="http://schemas.openxmlformats.org/officeDocument/2006/relationships/hyperlink" Target="https://klubbace.se/sluta-snusa-utan-att-sluta-snusa" TargetMode="External"/><Relationship Id="rId7175" Type="http://schemas.openxmlformats.org/officeDocument/2006/relationships/hyperlink" Target="https://beautymama.se/estetisk-tandvard-for-ett-vackert-leende/" TargetMode="External"/><Relationship Id="rId8573" Type="http://schemas.openxmlformats.org/officeDocument/2006/relationships/hyperlink" Target="http://rusta.com/sv-se/fritid/husdjur/hundfoder" TargetMode="External"/><Relationship Id="rId9624" Type="http://schemas.openxmlformats.org/officeDocument/2006/relationships/hyperlink" Target="https://www.husvagnochcamping.se/artiklar/annons/20250602/semesterlon-semesterlan-och-forsakringar-vad-du-behover-tanka-pa/" TargetMode="External"/><Relationship Id="rId10089" Type="http://schemas.openxmlformats.org/officeDocument/2006/relationships/hyperlink" Target="http://svenskalasjouren.se/" TargetMode="External"/><Relationship Id="rId11554" Type="http://schemas.openxmlformats.org/officeDocument/2006/relationships/hyperlink" Target="https://sufracofinebrands.com/" TargetMode="External"/><Relationship Id="rId12605" Type="http://schemas.openxmlformats.org/officeDocument/2006/relationships/hyperlink" Target="https://www.dagensps.se/privatekonomi/ekonomiguider/svenskarna-slar-amerikanerna-i-skuldsattning/" TargetMode="External"/><Relationship Id="rId1613" Type="http://schemas.openxmlformats.org/officeDocument/2006/relationships/hyperlink" Target="https://ritty.se/" TargetMode="External"/><Relationship Id="rId4769" Type="http://schemas.openxmlformats.org/officeDocument/2006/relationships/hyperlink" Target="https://www.nordiskaprojekt.se/2024/07/25/innovationer-och-hallbarhet-i-bygg-och-anlaggningsbranschen/" TargetMode="External"/><Relationship Id="rId8226" Type="http://schemas.openxmlformats.org/officeDocument/2006/relationships/hyperlink" Target="http://chattanoogarehab.com/" TargetMode="External"/><Relationship Id="rId8640" Type="http://schemas.openxmlformats.org/officeDocument/2006/relationships/hyperlink" Target="http://hund.se/" TargetMode="External"/><Relationship Id="rId10156" Type="http://schemas.openxmlformats.org/officeDocument/2006/relationships/hyperlink" Target="https://www.chattanoogarehab.com/us/hot-cold/hot-cold-packs" TargetMode="External"/><Relationship Id="rId10570" Type="http://schemas.openxmlformats.org/officeDocument/2006/relationships/hyperlink" Target="https://mynicco.com/" TargetMode="External"/><Relationship Id="rId11207" Type="http://schemas.openxmlformats.org/officeDocument/2006/relationships/hyperlink" Target="http://blugiallo.com/" TargetMode="External"/><Relationship Id="rId11621" Type="http://schemas.openxmlformats.org/officeDocument/2006/relationships/hyperlink" Target="https://brafiler.se/nyheter/en-vape-kan-vara-ett-utm%C3%A4rkt-verktyg-f%C3%B6r-dig-som-%C3%A4r-intresserad-av-att-sluta-r%C3%B6ka/1027" TargetMode="External"/><Relationship Id="rId3785" Type="http://schemas.openxmlformats.org/officeDocument/2006/relationships/hyperlink" Target="https://aaatak.se/" TargetMode="External"/><Relationship Id="rId4836" Type="http://schemas.openxmlformats.org/officeDocument/2006/relationships/hyperlink" Target="https://www.videoslots.com/" TargetMode="External"/><Relationship Id="rId6191" Type="http://schemas.openxmlformats.org/officeDocument/2006/relationships/hyperlink" Target="https://usalifesstyle.com/innovative-rehab-getting-you-back-on-your-feet/" TargetMode="External"/><Relationship Id="rId7242" Type="http://schemas.openxmlformats.org/officeDocument/2006/relationships/hyperlink" Target="https://www.saleseffect.se/varfor-klar-vi-inte-upp-oss-langre/" TargetMode="External"/><Relationship Id="rId10223" Type="http://schemas.openxmlformats.org/officeDocument/2006/relationships/hyperlink" Target="https://www.mrvegas.com/sv/" TargetMode="External"/><Relationship Id="rId2387" Type="http://schemas.openxmlformats.org/officeDocument/2006/relationships/hyperlink" Target="http://pontonhamnar.se/" TargetMode="External"/><Relationship Id="rId3438" Type="http://schemas.openxmlformats.org/officeDocument/2006/relationships/hyperlink" Target="https://edgehyllie.se/alvtorpet-harmoniska-hem-vid-den-ljuva-alven/" TargetMode="External"/><Relationship Id="rId3852" Type="http://schemas.openxmlformats.org/officeDocument/2006/relationships/hyperlink" Target="http://e-ciggbolaget.se/" TargetMode="External"/><Relationship Id="rId12395" Type="http://schemas.openxmlformats.org/officeDocument/2006/relationships/hyperlink" Target="https://www.hvvs.se/" TargetMode="External"/><Relationship Id="rId359" Type="http://schemas.openxmlformats.org/officeDocument/2006/relationships/hyperlink" Target="http://schjodt.com/" TargetMode="External"/><Relationship Id="rId773" Type="http://schemas.openxmlformats.org/officeDocument/2006/relationships/hyperlink" Target="https://lifestylebyps.com/blogs/mens-fashion-blog/make-your-business-attire-stand-out" TargetMode="External"/><Relationship Id="rId2454" Type="http://schemas.openxmlformats.org/officeDocument/2006/relationships/hyperlink" Target="https://uutisankka.com/uncategorized/kaytetyn-auton-myynti-toiselle-yksityishenkilolle-tai-liikkeeseen/" TargetMode="External"/><Relationship Id="rId3505" Type="http://schemas.openxmlformats.org/officeDocument/2006/relationships/hyperlink" Target="http://dagenshomeopati.se/luckycasino-det-svenska-onlinecasinot-som-erbjuder-enastaende-spelupplevelser/" TargetMode="External"/><Relationship Id="rId4903" Type="http://schemas.openxmlformats.org/officeDocument/2006/relationships/hyperlink" Target="http://kvarnx.com/" TargetMode="External"/><Relationship Id="rId9067" Type="http://schemas.openxmlformats.org/officeDocument/2006/relationships/hyperlink" Target="https://www.sportochfritidsnyheter.se/20250509/4251/behover-din-verksamhet-en-ordningsvakt" TargetMode="External"/><Relationship Id="rId9481" Type="http://schemas.openxmlformats.org/officeDocument/2006/relationships/hyperlink" Target="http://cherry.com/" TargetMode="External"/><Relationship Id="rId12048" Type="http://schemas.openxmlformats.org/officeDocument/2006/relationships/hyperlink" Target="https://nyheteridag.se/investeringssparkonto-isk-ochamerikanska-aktier-endjupgaende-analys/" TargetMode="External"/><Relationship Id="rId426" Type="http://schemas.openxmlformats.org/officeDocument/2006/relationships/hyperlink" Target="https://brafiler.se/nyheter/tips-att-anv%C3%A4nda-n%C3%A4r-du-ska-inreda-ditt-hemmakontor-eller-datorh%C3%B6rna/1013" TargetMode="External"/><Relationship Id="rId1056" Type="http://schemas.openxmlformats.org/officeDocument/2006/relationships/hyperlink" Target="https://www.robomarkets.com/se/" TargetMode="External"/><Relationship Id="rId2107" Type="http://schemas.openxmlformats.org/officeDocument/2006/relationships/hyperlink" Target="https://rehabgrossisten.com/skydd-bandage/kna/knaskydd/" TargetMode="External"/><Relationship Id="rId8083" Type="http://schemas.openxmlformats.org/officeDocument/2006/relationships/hyperlink" Target="http://spelklubben.se/" TargetMode="External"/><Relationship Id="rId9134" Type="http://schemas.openxmlformats.org/officeDocument/2006/relationships/hyperlink" Target="http://mynicco.com/" TargetMode="External"/><Relationship Id="rId12462" Type="http://schemas.openxmlformats.org/officeDocument/2006/relationships/hyperlink" Target="http://fairinvestments.se/" TargetMode="External"/><Relationship Id="rId840" Type="http://schemas.openxmlformats.org/officeDocument/2006/relationships/hyperlink" Target="https://www.thewowstyle.com/how-to-make-a-playful-impression-with-socks/" TargetMode="External"/><Relationship Id="rId1470" Type="http://schemas.openxmlformats.org/officeDocument/2006/relationships/hyperlink" Target="http://advancepointcap.com/" TargetMode="External"/><Relationship Id="rId2521" Type="http://schemas.openxmlformats.org/officeDocument/2006/relationships/hyperlink" Target="https://www.northgrid.se/fonsterbyte-ar-en-investering-pa-flera-satt" TargetMode="External"/><Relationship Id="rId4279" Type="http://schemas.openxmlformats.org/officeDocument/2006/relationships/hyperlink" Target="http://ledkungen.se/" TargetMode="External"/><Relationship Id="rId5677" Type="http://schemas.openxmlformats.org/officeDocument/2006/relationships/hyperlink" Target="https://www.spelklubben.se/sv/" TargetMode="External"/><Relationship Id="rId6728" Type="http://schemas.openxmlformats.org/officeDocument/2006/relationships/hyperlink" Target="http://skidvalla.se/" TargetMode="External"/><Relationship Id="rId11064" Type="http://schemas.openxmlformats.org/officeDocument/2006/relationships/hyperlink" Target="https://ekonomikunskap.se/sa-bygger-du-ett-smartare-pengaflode-utan-att-jobba-mer/" TargetMode="External"/><Relationship Id="rId12115" Type="http://schemas.openxmlformats.org/officeDocument/2006/relationships/hyperlink" Target="http://triwa.com/" TargetMode="External"/><Relationship Id="rId1123" Type="http://schemas.openxmlformats.org/officeDocument/2006/relationships/hyperlink" Target="https://voguefreaks.com/gift-ideas-for-the-boyfriend/" TargetMode="External"/><Relationship Id="rId4693" Type="http://schemas.openxmlformats.org/officeDocument/2006/relationships/hyperlink" Target="https://everynightstudios.com/" TargetMode="External"/><Relationship Id="rId5744" Type="http://schemas.openxmlformats.org/officeDocument/2006/relationships/hyperlink" Target="https://bulletin.nu/arbetskonflikt-i-casinobranschen-vacker-uppmarksamhet" TargetMode="External"/><Relationship Id="rId8150" Type="http://schemas.openxmlformats.org/officeDocument/2006/relationships/hyperlink" Target="https://nutidshuset.se/hundfoder-och-tillbehor-som-gor-ditt-hem-mer-trivseligt-for-din-fyrbenta-van/" TargetMode="External"/><Relationship Id="rId9201" Type="http://schemas.openxmlformats.org/officeDocument/2006/relationships/hyperlink" Target="http://fairinvestments.se/" TargetMode="External"/><Relationship Id="rId10080" Type="http://schemas.openxmlformats.org/officeDocument/2006/relationships/hyperlink" Target="http://merchoteket.se/" TargetMode="External"/><Relationship Id="rId11131" Type="http://schemas.openxmlformats.org/officeDocument/2006/relationships/hyperlink" Target="https://sesec.se/" TargetMode="External"/><Relationship Id="rId3295" Type="http://schemas.openxmlformats.org/officeDocument/2006/relationships/hyperlink" Target="https://distansinstitutet.se/distansutbildningar/ekonomi/ekonomiassistent/" TargetMode="External"/><Relationship Id="rId4346" Type="http://schemas.openxmlformats.org/officeDocument/2006/relationships/hyperlink" Target="https://www.spelklubben.se/sv/live-casino" TargetMode="External"/><Relationship Id="rId4760" Type="http://schemas.openxmlformats.org/officeDocument/2006/relationships/hyperlink" Target="https://www.dagensinfrastruktur.se/2024/07/25/sveriges-rekordstora-infrastruktursatsning/" TargetMode="External"/><Relationship Id="rId5811" Type="http://schemas.openxmlformats.org/officeDocument/2006/relationships/hyperlink" Target="https://skaparum.se/vvs-sollentuna-en-guide-for-effektiva-vvs-losningar-i-byggsektorn/" TargetMode="External"/><Relationship Id="rId8967" Type="http://schemas.openxmlformats.org/officeDocument/2006/relationships/hyperlink" Target="https://www.linkedin.com/company/fair-investments-sweden-ab/" TargetMode="External"/><Relationship Id="rId3362" Type="http://schemas.openxmlformats.org/officeDocument/2006/relationships/hyperlink" Target="https://www.spelklubben.se/sv/casino" TargetMode="External"/><Relationship Id="rId4413" Type="http://schemas.openxmlformats.org/officeDocument/2006/relationships/hyperlink" Target="https://www.tandea.se/" TargetMode="External"/><Relationship Id="rId7569" Type="http://schemas.openxmlformats.org/officeDocument/2006/relationships/hyperlink" Target="https://www.nykommun.se/2025/02/04/hastnaringen-i-sveriges-kommuner-ar-mycket-storre-an-vad-folk-tror" TargetMode="External"/><Relationship Id="rId7983" Type="http://schemas.openxmlformats.org/officeDocument/2006/relationships/hyperlink" Target="https://svenskiptv.com/hur-fungerar-iptv-kom-igang/" TargetMode="External"/><Relationship Id="rId10897" Type="http://schemas.openxmlformats.org/officeDocument/2006/relationships/hyperlink" Target="http://mynicco.com/" TargetMode="External"/><Relationship Id="rId11948" Type="http://schemas.openxmlformats.org/officeDocument/2006/relationships/hyperlink" Target="https://www.malmo-bostader.se/2023/09/27/nojen-och-matupplevelser-i-uppsala-utforska-staden/" TargetMode="External"/><Relationship Id="rId283" Type="http://schemas.openxmlformats.org/officeDocument/2006/relationships/hyperlink" Target="http://blugiallo.com/" TargetMode="External"/><Relationship Id="rId3015" Type="http://schemas.openxmlformats.org/officeDocument/2006/relationships/hyperlink" Target="https://www.spelklubben.se/sv/casino" TargetMode="External"/><Relationship Id="rId6585" Type="http://schemas.openxmlformats.org/officeDocument/2006/relationships/hyperlink" Target="http://kanalgratis.se/" TargetMode="External"/><Relationship Id="rId7636" Type="http://schemas.openxmlformats.org/officeDocument/2006/relationships/hyperlink" Target="https://dryft.se/" TargetMode="External"/><Relationship Id="rId10964" Type="http://schemas.openxmlformats.org/officeDocument/2006/relationships/hyperlink" Target="https://www.omkrets.se/de-maffigaste-arenorna-i-champions-league/" TargetMode="External"/><Relationship Id="rId13023" Type="http://schemas.openxmlformats.org/officeDocument/2006/relationships/hyperlink" Target="https://www.grontsamhallsbyggande.se/2025/10/01/tumma-inte-pa-sakerheten-i-eventplaneringen/" TargetMode="External"/><Relationship Id="rId350" Type="http://schemas.openxmlformats.org/officeDocument/2006/relationships/hyperlink" Target="https://nem.health/" TargetMode="External"/><Relationship Id="rId2031" Type="http://schemas.openxmlformats.org/officeDocument/2006/relationships/hyperlink" Target="https://www.hemsida-f&#246;retag.se/smarta-investeringar-for-framtiden" TargetMode="External"/><Relationship Id="rId5187" Type="http://schemas.openxmlformats.org/officeDocument/2006/relationships/hyperlink" Target="https://www.hedemoragokart.se/" TargetMode="External"/><Relationship Id="rId6238" Type="http://schemas.openxmlformats.org/officeDocument/2006/relationships/hyperlink" Target="https://alltombeauty.se/tandvardens-roll-i-skonhetsvard/" TargetMode="External"/><Relationship Id="rId10617" Type="http://schemas.openxmlformats.org/officeDocument/2006/relationships/hyperlink" Target="https://www.mrvegas.com/" TargetMode="External"/><Relationship Id="rId5254" Type="http://schemas.openxmlformats.org/officeDocument/2006/relationships/hyperlink" Target="https://www.cdg.io/services/virtual-ciso/" TargetMode="External"/><Relationship Id="rId6652" Type="http://schemas.openxmlformats.org/officeDocument/2006/relationships/hyperlink" Target="http://spelklubben.se/" TargetMode="External"/><Relationship Id="rId7703" Type="http://schemas.openxmlformats.org/officeDocument/2006/relationships/hyperlink" Target="http://skidvalla.se/" TargetMode="External"/><Relationship Id="rId12789" Type="http://schemas.openxmlformats.org/officeDocument/2006/relationships/hyperlink" Target="https://influencereffect.se/vara-fyrbenta-vanner-har-blivit-en-del-av-flodet/" TargetMode="External"/><Relationship Id="rId1797" Type="http://schemas.openxmlformats.org/officeDocument/2006/relationships/hyperlink" Target="https://edgehyllie.se/optimera-fastighetens-hallbarhet-och-varde/" TargetMode="External"/><Relationship Id="rId2848" Type="http://schemas.openxmlformats.org/officeDocument/2006/relationships/hyperlink" Target="https://www.tandea.se/" TargetMode="External"/><Relationship Id="rId6305" Type="http://schemas.openxmlformats.org/officeDocument/2006/relationships/hyperlink" Target="https://www.vont.se/vitt-snus" TargetMode="External"/><Relationship Id="rId9875" Type="http://schemas.openxmlformats.org/officeDocument/2006/relationships/hyperlink" Target="http://turner.fi/" TargetMode="External"/><Relationship Id="rId12856" Type="http://schemas.openxmlformats.org/officeDocument/2006/relationships/hyperlink" Target="https://arizonadigitalfreepress.com/personal-responsibility-during-the-climate-change-crisis/" TargetMode="External"/><Relationship Id="rId89" Type="http://schemas.openxmlformats.org/officeDocument/2006/relationships/hyperlink" Target="http://haxan.se/" TargetMode="External"/><Relationship Id="rId1864" Type="http://schemas.openxmlformats.org/officeDocument/2006/relationships/hyperlink" Target="https://alfa.no/collections/skisko-til-herre" TargetMode="External"/><Relationship Id="rId2915" Type="http://schemas.openxmlformats.org/officeDocument/2006/relationships/hyperlink" Target="https://www.lfc.se/nyheter/56264/utforska-den-spannande-varlden-av-luckycasino" TargetMode="External"/><Relationship Id="rId4270" Type="http://schemas.openxmlformats.org/officeDocument/2006/relationships/hyperlink" Target="http://lansfast.se/" TargetMode="External"/><Relationship Id="rId5321" Type="http://schemas.openxmlformats.org/officeDocument/2006/relationships/hyperlink" Target="https://www.zmarta.se/forsakring/bilforsakring" TargetMode="External"/><Relationship Id="rId8477" Type="http://schemas.openxmlformats.org/officeDocument/2006/relationships/hyperlink" Target="https://svenskiptv.com/smart-tv-instruktioner/" TargetMode="External"/><Relationship Id="rId8891" Type="http://schemas.openxmlformats.org/officeDocument/2006/relationships/hyperlink" Target="http://fairinvestments.se/" TargetMode="External"/><Relationship Id="rId9528" Type="http://schemas.openxmlformats.org/officeDocument/2006/relationships/hyperlink" Target="https://www.rusta.com/sv-se/hem-och-inredning/mattor" TargetMode="External"/><Relationship Id="rId9942" Type="http://schemas.openxmlformats.org/officeDocument/2006/relationships/hyperlink" Target="https://supernormal.health/pages/viktnedgang" TargetMode="External"/><Relationship Id="rId11458" Type="http://schemas.openxmlformats.org/officeDocument/2006/relationships/hyperlink" Target="https://www.executiveeffect.se/belysning-for-storre-event/" TargetMode="External"/><Relationship Id="rId12509" Type="http://schemas.openxmlformats.org/officeDocument/2006/relationships/hyperlink" Target="https://www.allabolag.se/5568169626/bokslut" TargetMode="External"/><Relationship Id="rId1517" Type="http://schemas.openxmlformats.org/officeDocument/2006/relationships/hyperlink" Target="http://happysocks.com/" TargetMode="External"/><Relationship Id="rId7079" Type="http://schemas.openxmlformats.org/officeDocument/2006/relationships/hyperlink" Target="https://thestripesblog.com/popular-holiday-gifts-for-sports-enthusiasts/" TargetMode="External"/><Relationship Id="rId7493" Type="http://schemas.openxmlformats.org/officeDocument/2006/relationships/hyperlink" Target="https://www.mellanbygden.nu/2025-01-28/spannande-travlopp-att-se-fram-emot-varen-2025-7e0c4" TargetMode="External"/><Relationship Id="rId8544" Type="http://schemas.openxmlformats.org/officeDocument/2006/relationships/hyperlink" Target="https://www.gigwise.com/music-festivals-should-you-bring-your-pup-to-a-gig/" TargetMode="External"/><Relationship Id="rId10474" Type="http://schemas.openxmlformats.org/officeDocument/2006/relationships/hyperlink" Target="http://cherry.com/" TargetMode="External"/><Relationship Id="rId11872" Type="http://schemas.openxmlformats.org/officeDocument/2006/relationships/hyperlink" Target="https://www.onion.nu/2023/09/25/10-praktiska-tips-for-att-halla-ditt-hus-rent/" TargetMode="External"/><Relationship Id="rId12923" Type="http://schemas.openxmlformats.org/officeDocument/2006/relationships/hyperlink" Target="https://www.chattanoogarehab.com/us/hot-cold/hot-cold-packs" TargetMode="External"/><Relationship Id="rId1931" Type="http://schemas.openxmlformats.org/officeDocument/2006/relationships/hyperlink" Target="http://miamipool.se/" TargetMode="External"/><Relationship Id="rId3689" Type="http://schemas.openxmlformats.org/officeDocument/2006/relationships/hyperlink" Target="http://sakraror.se/" TargetMode="External"/><Relationship Id="rId6095" Type="http://schemas.openxmlformats.org/officeDocument/2006/relationships/hyperlink" Target="https://www.chattanoogarehab.com/shock-wave-rpw" TargetMode="External"/><Relationship Id="rId7146" Type="http://schemas.openxmlformats.org/officeDocument/2006/relationships/hyperlink" Target="https://industribanken.se/automatiserad-bokforing-med-kleer-effektivisera-din-ekonomihantering/" TargetMode="External"/><Relationship Id="rId7560" Type="http://schemas.openxmlformats.org/officeDocument/2006/relationships/hyperlink" Target="https://www.besoccer.com/new/muscle-recovery-and-maintenance-how-soccer-players-stay-in-shape-1346532" TargetMode="External"/><Relationship Id="rId8611" Type="http://schemas.openxmlformats.org/officeDocument/2006/relationships/hyperlink" Target="https://direktbygg.se/bilvard-som-en-del-av-byggprocessen-for-att-sakerstalla-kvalitet-och-hallbarhet/" TargetMode="External"/><Relationship Id="rId10127" Type="http://schemas.openxmlformats.org/officeDocument/2006/relationships/hyperlink" Target="http://himala.ai/" TargetMode="External"/><Relationship Id="rId11525" Type="http://schemas.openxmlformats.org/officeDocument/2006/relationships/hyperlink" Target="https://schjodt.com/expertise/rekonstruktion-insolvens" TargetMode="External"/><Relationship Id="rId6162" Type="http://schemas.openxmlformats.org/officeDocument/2006/relationships/hyperlink" Target="http://everynightstudios.com/" TargetMode="External"/><Relationship Id="rId7213" Type="http://schemas.openxmlformats.org/officeDocument/2006/relationships/hyperlink" Target="http://purakliniken.se/" TargetMode="External"/><Relationship Id="rId10541" Type="http://schemas.openxmlformats.org/officeDocument/2006/relationships/hyperlink" Target="http://upplevelse.com/" TargetMode="External"/><Relationship Id="rId677" Type="http://schemas.openxmlformats.org/officeDocument/2006/relationships/hyperlink" Target="http://blugiallo.com/" TargetMode="External"/><Relationship Id="rId2358" Type="http://schemas.openxmlformats.org/officeDocument/2006/relationships/hyperlink" Target="https://conclean.se/produkter/minireningsverk/" TargetMode="External"/><Relationship Id="rId3756" Type="http://schemas.openxmlformats.org/officeDocument/2006/relationships/hyperlink" Target="http://norteam.se/" TargetMode="External"/><Relationship Id="rId4807" Type="http://schemas.openxmlformats.org/officeDocument/2006/relationships/hyperlink" Target="https://nordenhydraulic.se/hydraulik/hydrauliktillbehor/" TargetMode="External"/><Relationship Id="rId9385" Type="http://schemas.openxmlformats.org/officeDocument/2006/relationships/hyperlink" Target="https://www.boupplysningen.se/nyheter/hur-mycket-borde-jag-spara-i-manaden" TargetMode="External"/><Relationship Id="rId12299" Type="http://schemas.openxmlformats.org/officeDocument/2006/relationships/hyperlink" Target="https://podradio.nu/bevarande-av-klassiska-byggnader-genom-relining-i-stockholm/" TargetMode="External"/><Relationship Id="rId2772" Type="http://schemas.openxmlformats.org/officeDocument/2006/relationships/hyperlink" Target="http://glitnor.com/" TargetMode="External"/><Relationship Id="rId3409" Type="http://schemas.openxmlformats.org/officeDocument/2006/relationships/hyperlink" Target="http://tryggvi.se/" TargetMode="External"/><Relationship Id="rId3823" Type="http://schemas.openxmlformats.org/officeDocument/2006/relationships/hyperlink" Target="https://fairinvestments.se/" TargetMode="External"/><Relationship Id="rId6979" Type="http://schemas.openxmlformats.org/officeDocument/2006/relationships/hyperlink" Target="https://ekonomistart.se/sa-effektiviserar-du-din-smaforetagaradministration-for-att-spara-tid-och-pengar/" TargetMode="External"/><Relationship Id="rId9038" Type="http://schemas.openxmlformats.org/officeDocument/2006/relationships/hyperlink" Target="http://mobot.com/" TargetMode="External"/><Relationship Id="rId12366" Type="http://schemas.openxmlformats.org/officeDocument/2006/relationships/hyperlink" Target="https://carpcon.se/fonsterbyte/" TargetMode="External"/><Relationship Id="rId12780" Type="http://schemas.openxmlformats.org/officeDocument/2006/relationships/hyperlink" Target="https://www.zmarta.se/" TargetMode="External"/><Relationship Id="rId744" Type="http://schemas.openxmlformats.org/officeDocument/2006/relationships/hyperlink" Target="http://lansfast.se/" TargetMode="External"/><Relationship Id="rId1374" Type="http://schemas.openxmlformats.org/officeDocument/2006/relationships/hyperlink" Target="https://www.facebook.com/fairinvestmentsswedenAB/" TargetMode="External"/><Relationship Id="rId2425" Type="http://schemas.openxmlformats.org/officeDocument/2006/relationships/hyperlink" Target="https://finansplassen.no/lan/forbrukslan/refinansiering" TargetMode="External"/><Relationship Id="rId5995" Type="http://schemas.openxmlformats.org/officeDocument/2006/relationships/hyperlink" Target="https://www.kelleher-international.com/" TargetMode="External"/><Relationship Id="rId9452" Type="http://schemas.openxmlformats.org/officeDocument/2006/relationships/hyperlink" Target="https://www.reseledaren.nu/resa-med-snus-allt-du-behover-veta/" TargetMode="External"/><Relationship Id="rId11382" Type="http://schemas.openxmlformats.org/officeDocument/2006/relationships/hyperlink" Target="http://haxan.se/" TargetMode="External"/><Relationship Id="rId12019" Type="http://schemas.openxmlformats.org/officeDocument/2006/relationships/hyperlink" Target="http://miamipool.se/" TargetMode="External"/><Relationship Id="rId12433" Type="http://schemas.openxmlformats.org/officeDocument/2006/relationships/hyperlink" Target="https://gardets.nu/det-dromlika-boende-och-lagenhetssokandet-i-solleftea-en-resa-genom-naturskona-landskap/" TargetMode="External"/><Relationship Id="rId80" Type="http://schemas.openxmlformats.org/officeDocument/2006/relationships/hyperlink" Target="http://blugiallo.com/" TargetMode="External"/><Relationship Id="rId811" Type="http://schemas.openxmlformats.org/officeDocument/2006/relationships/hyperlink" Target="http://www.adligo.io/" TargetMode="External"/><Relationship Id="rId1027" Type="http://schemas.openxmlformats.org/officeDocument/2006/relationships/hyperlink" Target="https://www.theluxeinsider.com/lifestyle/mix-and-match-your-dress-socks-with-your-suit/" TargetMode="External"/><Relationship Id="rId1441" Type="http://schemas.openxmlformats.org/officeDocument/2006/relationships/hyperlink" Target="http://vont.se/" TargetMode="External"/><Relationship Id="rId4597" Type="http://schemas.openxmlformats.org/officeDocument/2006/relationships/hyperlink" Target="https://www.spolarent.se/stamspolning-stockholm/" TargetMode="External"/><Relationship Id="rId5648" Type="http://schemas.openxmlformats.org/officeDocument/2006/relationships/hyperlink" Target="https://www.spelklubben.se/sv/live-casino/game-shows" TargetMode="External"/><Relationship Id="rId8054" Type="http://schemas.openxmlformats.org/officeDocument/2006/relationships/hyperlink" Target="https://www.nykommun.se/kommun/haninge/" TargetMode="External"/><Relationship Id="rId9105" Type="http://schemas.openxmlformats.org/officeDocument/2006/relationships/hyperlink" Target="https://www.sfexaminer.com/marketplace/electrical-stimulation-a-key-to-pain-relief-strength-recovery/article_204eca54-eeff-4afe-8cfc-3f911698bae3.html" TargetMode="External"/><Relationship Id="rId11035" Type="http://schemas.openxmlformats.org/officeDocument/2006/relationships/hyperlink" Target="https://turner.fi/nopea-nosto-ovi/" TargetMode="External"/><Relationship Id="rId3199" Type="http://schemas.openxmlformats.org/officeDocument/2006/relationships/hyperlink" Target="http://distansinstitutet.se/" TargetMode="External"/><Relationship Id="rId4664" Type="http://schemas.openxmlformats.org/officeDocument/2006/relationships/hyperlink" Target="http://cherry.com/" TargetMode="External"/><Relationship Id="rId5715" Type="http://schemas.openxmlformats.org/officeDocument/2006/relationships/hyperlink" Target="https://passioneffect.se/sa-starker-du-foretagets-identitet-med-every-night-studios/" TargetMode="External"/><Relationship Id="rId7070" Type="http://schemas.openxmlformats.org/officeDocument/2006/relationships/hyperlink" Target="https://himala.com/" TargetMode="External"/><Relationship Id="rId8121" Type="http://schemas.openxmlformats.org/officeDocument/2006/relationships/hyperlink" Target="http://fairinvestments.se/" TargetMode="External"/><Relationship Id="rId10051" Type="http://schemas.openxmlformats.org/officeDocument/2006/relationships/hyperlink" Target="https://igamingindustry.org/sv/blogg-sv/sa-hittar-du-spelupplevelser-som-passar-din-personlighet/" TargetMode="External"/><Relationship Id="rId11102" Type="http://schemas.openxmlformats.org/officeDocument/2006/relationships/hyperlink" Target="https://www.spelklubben.se/sv/live-casino" TargetMode="External"/><Relationship Id="rId12500" Type="http://schemas.openxmlformats.org/officeDocument/2006/relationships/hyperlink" Target="https://rosaspensionat.se/" TargetMode="External"/><Relationship Id="rId3266" Type="http://schemas.openxmlformats.org/officeDocument/2006/relationships/hyperlink" Target="https://www.spelklubben.se/sv/live-casino" TargetMode="External"/><Relationship Id="rId4317" Type="http://schemas.openxmlformats.org/officeDocument/2006/relationships/hyperlink" Target="http://spelklubben.se/" TargetMode="External"/><Relationship Id="rId187" Type="http://schemas.openxmlformats.org/officeDocument/2006/relationships/hyperlink" Target="https://barnh&#246;rnan.se/" TargetMode="External"/><Relationship Id="rId2282" Type="http://schemas.openxmlformats.org/officeDocument/2006/relationships/hyperlink" Target="https://www.mistyann.se/vad-gor-man-inom-hemtjansten" TargetMode="External"/><Relationship Id="rId3680" Type="http://schemas.openxmlformats.org/officeDocument/2006/relationships/hyperlink" Target="http://arctic.se/" TargetMode="External"/><Relationship Id="rId4731" Type="http://schemas.openxmlformats.org/officeDocument/2006/relationships/hyperlink" Target="https://www.spelklubben.se/sv/live-casino/blackjack" TargetMode="External"/><Relationship Id="rId6489" Type="http://schemas.openxmlformats.org/officeDocument/2006/relationships/hyperlink" Target="https://www.executiveeffect.se/halsa-i-ledarskapet-losningar-for-att-leva-en-halsosam-livsstil/" TargetMode="External"/><Relationship Id="rId7887" Type="http://schemas.openxmlformats.org/officeDocument/2006/relationships/hyperlink" Target="https://varmlandsbygden.se/partner/affarsideerna-som-kraver-storst-kapital/" TargetMode="External"/><Relationship Id="rId8938" Type="http://schemas.openxmlformats.org/officeDocument/2006/relationships/hyperlink" Target="http://filippa-k.com/se/sv/" TargetMode="External"/><Relationship Id="rId10868" Type="http://schemas.openxmlformats.org/officeDocument/2006/relationships/hyperlink" Target="https://eventeffect.se/sa-skapar-du-en-halsosam-festivalmiljo/" TargetMode="External"/><Relationship Id="rId11919" Type="http://schemas.openxmlformats.org/officeDocument/2006/relationships/hyperlink" Target="https://www.robomarkets.com/se/" TargetMode="External"/><Relationship Id="rId13274" Type="http://schemas.openxmlformats.org/officeDocument/2006/relationships/hyperlink" Target="https://bolagshistorik.se/sakerhetstjanster-som-skyddar-foretag-och-privatpersoner-i-storstockholm/" TargetMode="External"/><Relationship Id="rId254" Type="http://schemas.openxmlformats.org/officeDocument/2006/relationships/hyperlink" Target="http://bigbenstandup.com/" TargetMode="External"/><Relationship Id="rId3333" Type="http://schemas.openxmlformats.org/officeDocument/2006/relationships/hyperlink" Target="https://e-ciggbolaget.se/e-cigaretter/engangs-vape/frunk-bar" TargetMode="External"/><Relationship Id="rId7954" Type="http://schemas.openxmlformats.org/officeDocument/2006/relationships/hyperlink" Target="https://www.saleseffect.se/stadning-mjukvarusystem-och-mat-salj-mer-med-dolda-knep/" TargetMode="External"/><Relationship Id="rId10935" Type="http://schemas.openxmlformats.org/officeDocument/2006/relationships/hyperlink" Target="https://biolesen.de/oko-gewachshauser-die-das-ganze-jahr-energie-sparen/" TargetMode="External"/><Relationship Id="rId12290" Type="http://schemas.openxmlformats.org/officeDocument/2006/relationships/hyperlink" Target="https://modernalivet.se/ekonomi/isk-en-nyckel-for-svenska-traders-for-prisvarda-investeringar/" TargetMode="External"/><Relationship Id="rId3400" Type="http://schemas.openxmlformats.org/officeDocument/2006/relationships/hyperlink" Target="http://mrnicco.com/" TargetMode="External"/><Relationship Id="rId6556" Type="http://schemas.openxmlformats.org/officeDocument/2006/relationships/hyperlink" Target="http://arctic.se/" TargetMode="External"/><Relationship Id="rId6970" Type="http://schemas.openxmlformats.org/officeDocument/2006/relationships/hyperlink" Target="http://mockfjards.se/" TargetMode="External"/><Relationship Id="rId7607" Type="http://schemas.openxmlformats.org/officeDocument/2006/relationships/hyperlink" Target="http://upplevelse.com/" TargetMode="External"/><Relationship Id="rId321" Type="http://schemas.openxmlformats.org/officeDocument/2006/relationships/hyperlink" Target="https://bigbenstandup.com/" TargetMode="External"/><Relationship Id="rId2002" Type="http://schemas.openxmlformats.org/officeDocument/2006/relationships/hyperlink" Target="https://fairinvestments.se/" TargetMode="External"/><Relationship Id="rId5158" Type="http://schemas.openxmlformats.org/officeDocument/2006/relationships/hyperlink" Target="https://e-ciggbolaget.se/e-cigaretter/engangs-vape/" TargetMode="External"/><Relationship Id="rId5572" Type="http://schemas.openxmlformats.org/officeDocument/2006/relationships/hyperlink" Target="http://mariatand.se/" TargetMode="External"/><Relationship Id="rId6209" Type="http://schemas.openxmlformats.org/officeDocument/2006/relationships/hyperlink" Target="https://www.oslo.com/blog/2024/11/14/looking-home-oslo-heres-why-your-credit-score-matters/" TargetMode="External"/><Relationship Id="rId6623" Type="http://schemas.openxmlformats.org/officeDocument/2006/relationships/hyperlink" Target="http://fairinvestments.se/" TargetMode="External"/><Relationship Id="rId9779" Type="http://schemas.openxmlformats.org/officeDocument/2006/relationships/hyperlink" Target="http://purakliniken.se/" TargetMode="External"/><Relationship Id="rId12010" Type="http://schemas.openxmlformats.org/officeDocument/2006/relationships/hyperlink" Target="http://tiotak.se/" TargetMode="External"/><Relationship Id="rId1768" Type="http://schemas.openxmlformats.org/officeDocument/2006/relationships/hyperlink" Target="http://haxan.se/" TargetMode="External"/><Relationship Id="rId2819" Type="http://schemas.openxmlformats.org/officeDocument/2006/relationships/hyperlink" Target="http://e-ciggbolaget.se/" TargetMode="External"/><Relationship Id="rId4174" Type="http://schemas.openxmlformats.org/officeDocument/2006/relationships/hyperlink" Target="http://snusnetto.se/" TargetMode="External"/><Relationship Id="rId5225" Type="http://schemas.openxmlformats.org/officeDocument/2006/relationships/hyperlink" Target="https://subsidiescanner.nu/kvalitetsfaktorer-att-titta-efter-vid-kop-av-kopieringspapper/" TargetMode="External"/><Relationship Id="rId8795" Type="http://schemas.openxmlformats.org/officeDocument/2006/relationships/hyperlink" Target="http://ekstromgaray.se/" TargetMode="External"/><Relationship Id="rId9846" Type="http://schemas.openxmlformats.org/officeDocument/2006/relationships/hyperlink" Target="https://veganbeauty.se/forbattra-din-hudhalsa-med-professionella-behandlingar-inom-skonhet/" TargetMode="External"/><Relationship Id="rId3190" Type="http://schemas.openxmlformats.org/officeDocument/2006/relationships/hyperlink" Target="https://www.konstframjandet.org/" TargetMode="External"/><Relationship Id="rId4241" Type="http://schemas.openxmlformats.org/officeDocument/2006/relationships/hyperlink" Target="https://gardets.nu/betydelsen-av-hogkvalitativa-vvs-och-rormokartjanster-tillgangliga-24-7/" TargetMode="External"/><Relationship Id="rId7397" Type="http://schemas.openxmlformats.org/officeDocument/2006/relationships/hyperlink" Target="http://tandea.se/" TargetMode="External"/><Relationship Id="rId8448" Type="http://schemas.openxmlformats.org/officeDocument/2006/relationships/hyperlink" Target="https://www.filippa-k.com/de/de/damen/bekleidung/hemden" TargetMode="External"/><Relationship Id="rId11776" Type="http://schemas.openxmlformats.org/officeDocument/2006/relationships/hyperlink" Target="https://nighthelper.com/how-to-add-some-flair-to-a-basic-look/" TargetMode="External"/><Relationship Id="rId12827" Type="http://schemas.openxmlformats.org/officeDocument/2006/relationships/hyperlink" Target="https://turner.fi/" TargetMode="External"/><Relationship Id="rId1835" Type="http://schemas.openxmlformats.org/officeDocument/2006/relationships/hyperlink" Target="https://www.alfa.no/collections/tursko-til-herre" TargetMode="External"/><Relationship Id="rId7464" Type="http://schemas.openxmlformats.org/officeDocument/2006/relationships/hyperlink" Target="https://svenskiptv.com/" TargetMode="External"/><Relationship Id="rId8862" Type="http://schemas.openxmlformats.org/officeDocument/2006/relationships/hyperlink" Target="http://mynicco.com/" TargetMode="External"/><Relationship Id="rId9913" Type="http://schemas.openxmlformats.org/officeDocument/2006/relationships/hyperlink" Target="http://www.spelklubben.se/sv/casino" TargetMode="External"/><Relationship Id="rId10378" Type="http://schemas.openxmlformats.org/officeDocument/2006/relationships/hyperlink" Target="http://dbet.com/" TargetMode="External"/><Relationship Id="rId10792" Type="http://schemas.openxmlformats.org/officeDocument/2006/relationships/hyperlink" Target="https://www.indoorprofessional.se/" TargetMode="External"/><Relationship Id="rId11429" Type="http://schemas.openxmlformats.org/officeDocument/2006/relationships/hyperlink" Target="https://www.lansfast.se/maklare/sodermanland/nykoping/" TargetMode="External"/><Relationship Id="rId11843" Type="http://schemas.openxmlformats.org/officeDocument/2006/relationships/hyperlink" Target="https://www.askskinfo.com/varumarke/all-i-am-beauty" TargetMode="External"/><Relationship Id="rId1902" Type="http://schemas.openxmlformats.org/officeDocument/2006/relationships/hyperlink" Target="http://villarelining.se/" TargetMode="External"/><Relationship Id="rId6066" Type="http://schemas.openxmlformats.org/officeDocument/2006/relationships/hyperlink" Target="https://www.spelklubben.se/sv/" TargetMode="External"/><Relationship Id="rId7117" Type="http://schemas.openxmlformats.org/officeDocument/2006/relationships/hyperlink" Target="https://adventureexperten.se/standup-upplevelser-i-sverige-en-guide-till-kvallar-fyllda-med-skratt/" TargetMode="External"/><Relationship Id="rId8515" Type="http://schemas.openxmlformats.org/officeDocument/2006/relationships/hyperlink" Target="https://www.dagensinfrastruktur.se/2025/03/31/kreativ-arkitektur-fran-vision-till-verklighet/" TargetMode="External"/><Relationship Id="rId10445" Type="http://schemas.openxmlformats.org/officeDocument/2006/relationships/hyperlink" Target="https://www.dagenshandel.se/lb-article/181802/ratt-belysning-for-ratt-plats-en-guide-till-marknadens-olika-alternativ" TargetMode="External"/><Relationship Id="rId11910" Type="http://schemas.openxmlformats.org/officeDocument/2006/relationships/hyperlink" Target="https://www.lansfast.se/maklare/sodermanland/nykoping/" TargetMode="External"/><Relationship Id="rId6480" Type="http://schemas.openxmlformats.org/officeDocument/2006/relationships/hyperlink" Target="https://www.executiveeffect.se/genomskinliga-tandskenor-en-diskret-och-effektiv-losning-for-rakare-tander/" TargetMode="External"/><Relationship Id="rId7531" Type="http://schemas.openxmlformats.org/officeDocument/2006/relationships/hyperlink" Target="https://havstomt.se/artiklar/segelbat-eller-motorbat-vad-passar-dig-bast/" TargetMode="External"/><Relationship Id="rId10512" Type="http://schemas.openxmlformats.org/officeDocument/2006/relationships/hyperlink" Target="http://upplevelse.com/" TargetMode="External"/><Relationship Id="rId995" Type="http://schemas.openxmlformats.org/officeDocument/2006/relationships/hyperlink" Target="https://blugiallo.se/tagg/brollop/" TargetMode="External"/><Relationship Id="rId2676" Type="http://schemas.openxmlformats.org/officeDocument/2006/relationships/hyperlink" Target="http://e-ciggbolaget.se/" TargetMode="External"/><Relationship Id="rId3727" Type="http://schemas.openxmlformats.org/officeDocument/2006/relationships/hyperlink" Target="https://www.roulettecenter.se/strategier-i-blackjack/" TargetMode="External"/><Relationship Id="rId5082" Type="http://schemas.openxmlformats.org/officeDocument/2006/relationships/hyperlink" Target="https://aretrotale.com/en/" TargetMode="External"/><Relationship Id="rId6133" Type="http://schemas.openxmlformats.org/officeDocument/2006/relationships/hyperlink" Target="http://mynicco.com/" TargetMode="External"/><Relationship Id="rId9289" Type="http://schemas.openxmlformats.org/officeDocument/2006/relationships/hyperlink" Target="http://michaelofrisorerna.se/" TargetMode="External"/><Relationship Id="rId12684" Type="http://schemas.openxmlformats.org/officeDocument/2006/relationships/hyperlink" Target="http://kleer.se/" TargetMode="External"/><Relationship Id="rId648" Type="http://schemas.openxmlformats.org/officeDocument/2006/relationships/hyperlink" Target="https://www.fashiongonerogue.com/outfit-accessories/" TargetMode="External"/><Relationship Id="rId1278" Type="http://schemas.openxmlformats.org/officeDocument/2006/relationships/hyperlink" Target="https://distansinstitutet.se/distansutbildningar/pedagogik/" TargetMode="External"/><Relationship Id="rId1692" Type="http://schemas.openxmlformats.org/officeDocument/2006/relationships/hyperlink" Target="https://b&#228;stf&#246;rs&#228;kringar.se/bilforsakringar/" TargetMode="External"/><Relationship Id="rId2329" Type="http://schemas.openxmlformats.org/officeDocument/2006/relationships/hyperlink" Target="https://www.tandea.se/" TargetMode="External"/><Relationship Id="rId2743" Type="http://schemas.openxmlformats.org/officeDocument/2006/relationships/hyperlink" Target="https://www.foodiebag.se/" TargetMode="External"/><Relationship Id="rId5899" Type="http://schemas.openxmlformats.org/officeDocument/2006/relationships/hyperlink" Target="http://restate.se/" TargetMode="External"/><Relationship Id="rId6200" Type="http://schemas.openxmlformats.org/officeDocument/2006/relationships/hyperlink" Target="http://spelklubben.se/" TargetMode="External"/><Relationship Id="rId9356" Type="http://schemas.openxmlformats.org/officeDocument/2006/relationships/hyperlink" Target="https://www.damfotboll.com/nyheter/bloggar/14-helknappa-saker-som-gar-att-tippa-pa" TargetMode="External"/><Relationship Id="rId9770" Type="http://schemas.openxmlformats.org/officeDocument/2006/relationships/hyperlink" Target="https://villahagen.se/tjanster-for-fastighetsaffarer-i-trosa-och-viktiga-verktyg-att-kanna-till/" TargetMode="External"/><Relationship Id="rId11286" Type="http://schemas.openxmlformats.org/officeDocument/2006/relationships/hyperlink" Target="https://isla.se/optimera-din-bil-for-langsiktig-prestanda/" TargetMode="External"/><Relationship Id="rId12337" Type="http://schemas.openxmlformats.org/officeDocument/2006/relationships/hyperlink" Target="https://fairinvestments.se/" TargetMode="External"/><Relationship Id="rId715" Type="http://schemas.openxmlformats.org/officeDocument/2006/relationships/hyperlink" Target="https://allesdaheim.de/das-mussen-sie-uber-warmepumpen-fur-ihr-eigenheim-wissen/" TargetMode="External"/><Relationship Id="rId1345" Type="http://schemas.openxmlformats.org/officeDocument/2006/relationships/hyperlink" Target="http://miamipool.se/" TargetMode="External"/><Relationship Id="rId8372" Type="http://schemas.openxmlformats.org/officeDocument/2006/relationships/hyperlink" Target="https://wellio.se/produktkategori/vassleprotein/" TargetMode="External"/><Relationship Id="rId9009" Type="http://schemas.openxmlformats.org/officeDocument/2006/relationships/hyperlink" Target="https://www.expressen.se/brandstudio/hajper-casino/hajper-casino-sa-far-du-chansen-att-bli-nasta-vinnare/" TargetMode="External"/><Relationship Id="rId9423" Type="http://schemas.openxmlformats.org/officeDocument/2006/relationships/hyperlink" Target="http://lsb.se/" TargetMode="External"/><Relationship Id="rId12751" Type="http://schemas.openxmlformats.org/officeDocument/2006/relationships/hyperlink" Target="https://industribanken.se/effektiv-kontorsstadning-som-forbattrar-arbetsmiljon-i-goteborg/" TargetMode="External"/><Relationship Id="rId2810" Type="http://schemas.openxmlformats.org/officeDocument/2006/relationships/hyperlink" Target="http://spelklubben.se/" TargetMode="External"/><Relationship Id="rId4568" Type="http://schemas.openxmlformats.org/officeDocument/2006/relationships/hyperlink" Target="https://aaatak.se/" TargetMode="External"/><Relationship Id="rId5966" Type="http://schemas.openxmlformats.org/officeDocument/2006/relationships/hyperlink" Target="http://soartzy.com/" TargetMode="External"/><Relationship Id="rId8025" Type="http://schemas.openxmlformats.org/officeDocument/2006/relationships/hyperlink" Target="http://godies.fi/" TargetMode="External"/><Relationship Id="rId11353" Type="http://schemas.openxmlformats.org/officeDocument/2006/relationships/hyperlink" Target="http://fairinvestments.se/" TargetMode="External"/><Relationship Id="rId12404" Type="http://schemas.openxmlformats.org/officeDocument/2006/relationships/hyperlink" Target="https://www.villarelining.se/" TargetMode="External"/><Relationship Id="rId51" Type="http://schemas.openxmlformats.org/officeDocument/2006/relationships/hyperlink" Target="https://chronos.se/" TargetMode="External"/><Relationship Id="rId1412" Type="http://schemas.openxmlformats.org/officeDocument/2006/relationships/hyperlink" Target="http://ledkungen.se/" TargetMode="External"/><Relationship Id="rId4982" Type="http://schemas.openxmlformats.org/officeDocument/2006/relationships/hyperlink" Target="https://www.oddssidan.se/sporter-live-betting/" TargetMode="External"/><Relationship Id="rId5619" Type="http://schemas.openxmlformats.org/officeDocument/2006/relationships/hyperlink" Target="https://3dbostad.com/nar-behover-du-en-jour-elektriker/" TargetMode="External"/><Relationship Id="rId7041" Type="http://schemas.openxmlformats.org/officeDocument/2006/relationships/hyperlink" Target="https://www.cdg.io/services/virtual-ciso/" TargetMode="External"/><Relationship Id="rId11006" Type="http://schemas.openxmlformats.org/officeDocument/2006/relationships/hyperlink" Target="https://www.bethard.com/sv/sports" TargetMode="External"/><Relationship Id="rId11420" Type="http://schemas.openxmlformats.org/officeDocument/2006/relationships/hyperlink" Target="http://lansfast.se/" TargetMode="External"/><Relationship Id="rId3584" Type="http://schemas.openxmlformats.org/officeDocument/2006/relationships/hyperlink" Target="https://discountsover60s.co.uk/" TargetMode="External"/><Relationship Id="rId4635" Type="http://schemas.openxmlformats.org/officeDocument/2006/relationships/hyperlink" Target="https://eventeffect.se/flytande-evenemang/" TargetMode="External"/><Relationship Id="rId10022" Type="http://schemas.openxmlformats.org/officeDocument/2006/relationships/hyperlink" Target="https://www.saleseffect.se/hur-du-som-saljare-kan-sticka-ut-ur-mangden/" TargetMode="External"/><Relationship Id="rId13178" Type="http://schemas.openxmlformats.org/officeDocument/2006/relationships/hyperlink" Target="https://sportligan.se/artikel/ett-svenskt-fotbollshaveri-vad-ar-oddsen-att-sverige-gar-till-vm/" TargetMode="External"/><Relationship Id="rId158" Type="http://schemas.openxmlformats.org/officeDocument/2006/relationships/hyperlink" Target="https://stilero.se/b/valj-lekfull-inredning-till-barnrum/" TargetMode="External"/><Relationship Id="rId2186" Type="http://schemas.openxmlformats.org/officeDocument/2006/relationships/hyperlink" Target="http://svenskaeljouren.se/" TargetMode="External"/><Relationship Id="rId3237" Type="http://schemas.openxmlformats.org/officeDocument/2006/relationships/hyperlink" Target="https://www.vont.co/de/e-zigarette" TargetMode="External"/><Relationship Id="rId3651" Type="http://schemas.openxmlformats.org/officeDocument/2006/relationships/hyperlink" Target="https://finansplassen.no/lan/forbrukslan/refinansiering" TargetMode="External"/><Relationship Id="rId4702" Type="http://schemas.openxmlformats.org/officeDocument/2006/relationships/hyperlink" Target="https://www.mariatand.se/" TargetMode="External"/><Relationship Id="rId7858" Type="http://schemas.openxmlformats.org/officeDocument/2006/relationships/hyperlink" Target="http://mockfjards.se/" TargetMode="External"/><Relationship Id="rId8909" Type="http://schemas.openxmlformats.org/officeDocument/2006/relationships/hyperlink" Target="https://gonorthshop.com/products/dog-water-bottle-with-bowl-12oz" TargetMode="External"/><Relationship Id="rId12194" Type="http://schemas.openxmlformats.org/officeDocument/2006/relationships/hyperlink" Target="https://www.oconnors.se/" TargetMode="External"/><Relationship Id="rId13245" Type="http://schemas.openxmlformats.org/officeDocument/2006/relationships/hyperlink" Target="http://swedenlongstay.se/" TargetMode="External"/><Relationship Id="rId572" Type="http://schemas.openxmlformats.org/officeDocument/2006/relationships/hyperlink" Target="https://emmabodagranit.se/b/tips-till-dig-som-ska-bygga-trall/" TargetMode="External"/><Relationship Id="rId2253" Type="http://schemas.openxmlformats.org/officeDocument/2006/relationships/hyperlink" Target="http://arctic.se/" TargetMode="External"/><Relationship Id="rId3304" Type="http://schemas.openxmlformats.org/officeDocument/2006/relationships/hyperlink" Target="https://distansinstitutet.se/distansutbildningar/kommunikation/miljostrateg/" TargetMode="External"/><Relationship Id="rId6874" Type="http://schemas.openxmlformats.org/officeDocument/2006/relationships/hyperlink" Target="https://hudsonweekly.com/interior-design-5-trends-you-cant-miss-in-2025/" TargetMode="External"/><Relationship Id="rId7925" Type="http://schemas.openxmlformats.org/officeDocument/2006/relationships/hyperlink" Target="https://www.spelklubben.se/sv/casino" TargetMode="External"/><Relationship Id="rId9280" Type="http://schemas.openxmlformats.org/officeDocument/2006/relationships/hyperlink" Target="https://familjfakta.se/familjens-vag-till-ratt-tandlakare-i-stockholm/" TargetMode="External"/><Relationship Id="rId10839" Type="http://schemas.openxmlformats.org/officeDocument/2006/relationships/hyperlink" Target="https://www.cherry.com/sv" TargetMode="External"/><Relationship Id="rId12261" Type="http://schemas.openxmlformats.org/officeDocument/2006/relationships/hyperlink" Target="https://www.triwa.com/" TargetMode="External"/><Relationship Id="rId13312" Type="http://schemas.openxmlformats.org/officeDocument/2006/relationships/hyperlink" Target="http://www.spelklubben.se/" TargetMode="External"/><Relationship Id="rId225" Type="http://schemas.openxmlformats.org/officeDocument/2006/relationships/hyperlink" Target="https://www.elmarknad.se/elpriser/jamfor-elpriser" TargetMode="External"/><Relationship Id="rId2320" Type="http://schemas.openxmlformats.org/officeDocument/2006/relationships/hyperlink" Target="http://distansinstitutet.se/" TargetMode="External"/><Relationship Id="rId5476" Type="http://schemas.openxmlformats.org/officeDocument/2006/relationships/hyperlink" Target="https://elleblonde.com/2024/09/19/5-top-places-to-visit-this-winter/" TargetMode="External"/><Relationship Id="rId6527" Type="http://schemas.openxmlformats.org/officeDocument/2006/relationships/hyperlink" Target="https://www.nodepositbonus.cc/" TargetMode="External"/><Relationship Id="rId10906" Type="http://schemas.openxmlformats.org/officeDocument/2006/relationships/hyperlink" Target="https://kelleher-international.com/professional-matchmaking-for-men/" TargetMode="External"/><Relationship Id="rId4078" Type="http://schemas.openxmlformats.org/officeDocument/2006/relationships/hyperlink" Target="https://gordetmedrw.se/sv/page/bilvardskurs" TargetMode="External"/><Relationship Id="rId4492" Type="http://schemas.openxmlformats.org/officeDocument/2006/relationships/hyperlink" Target="http://rehabgrossisten.com/" TargetMode="External"/><Relationship Id="rId5129" Type="http://schemas.openxmlformats.org/officeDocument/2006/relationships/hyperlink" Target="https://www.odelberg.se/darfor-ska-du-besoka-tandlakaren-regelbundet" TargetMode="External"/><Relationship Id="rId5543" Type="http://schemas.openxmlformats.org/officeDocument/2006/relationships/hyperlink" Target="http://spelklubben.se/" TargetMode="External"/><Relationship Id="rId5890" Type="http://schemas.openxmlformats.org/officeDocument/2006/relationships/hyperlink" Target="http://e-ciggbolaget.se/" TargetMode="External"/><Relationship Id="rId6941" Type="http://schemas.openxmlformats.org/officeDocument/2006/relationships/hyperlink" Target="https://www.svenskbyggtidning.se/2024/12/21/sa-valjer-du-ratt-motorolja-for-entreprenadmaskiner-byggfordon/" TargetMode="External"/><Relationship Id="rId8699" Type="http://schemas.openxmlformats.org/officeDocument/2006/relationships/hyperlink" Target="https://www.tandlakare.se/stad/stockholm/" TargetMode="External"/><Relationship Id="rId9000" Type="http://schemas.openxmlformats.org/officeDocument/2006/relationships/hyperlink" Target="http://www.godies.fi/" TargetMode="External"/><Relationship Id="rId3094" Type="http://schemas.openxmlformats.org/officeDocument/2006/relationships/hyperlink" Target="http://heteknik.se/" TargetMode="External"/><Relationship Id="rId4145" Type="http://schemas.openxmlformats.org/officeDocument/2006/relationships/hyperlink" Target="https://www.kvarnx.com/sv" TargetMode="External"/><Relationship Id="rId1739" Type="http://schemas.openxmlformats.org/officeDocument/2006/relationships/hyperlink" Target="https://pontechmarina.com/se/flytbrygga/vagbrytare/" TargetMode="External"/><Relationship Id="rId5610" Type="http://schemas.openxmlformats.org/officeDocument/2006/relationships/hyperlink" Target="https://www.summsystems.se/vad-ar-adblue-off-hur-fungerar-det/" TargetMode="External"/><Relationship Id="rId8766" Type="http://schemas.openxmlformats.org/officeDocument/2006/relationships/hyperlink" Target="http://cherry.com/" TargetMode="External"/><Relationship Id="rId9817" Type="http://schemas.openxmlformats.org/officeDocument/2006/relationships/hyperlink" Target="https://tiotak.se/" TargetMode="External"/><Relationship Id="rId10696" Type="http://schemas.openxmlformats.org/officeDocument/2006/relationships/hyperlink" Target="https://standupsverige.se/bakom-skrattet-det-andra-stockholm/" TargetMode="External"/><Relationship Id="rId11747" Type="http://schemas.openxmlformats.org/officeDocument/2006/relationships/hyperlink" Target="https://www.voguefreaks.com/classy-athletic-wear-and-preppy-staples/" TargetMode="External"/><Relationship Id="rId1806" Type="http://schemas.openxmlformats.org/officeDocument/2006/relationships/hyperlink" Target="https://bloggfamiljen.se/big-ben-standup-hjartat-av-stockholms-standup-scen/" TargetMode="External"/><Relationship Id="rId3161" Type="http://schemas.openxmlformats.org/officeDocument/2006/relationships/hyperlink" Target="https://www.lansfast.se/maklare/stockholm/taby-danderyd/" TargetMode="External"/><Relationship Id="rId4212" Type="http://schemas.openxmlformats.org/officeDocument/2006/relationships/hyperlink" Target="https://www.lansfast.se/maklare/stockholm/taby-danderyd/" TargetMode="External"/><Relationship Id="rId7368" Type="http://schemas.openxmlformats.org/officeDocument/2006/relationships/hyperlink" Target="https://aretrotale.com/" TargetMode="External"/><Relationship Id="rId7782" Type="http://schemas.openxmlformats.org/officeDocument/2006/relationships/hyperlink" Target="http://hajper.com/" TargetMode="External"/><Relationship Id="rId8419" Type="http://schemas.openxmlformats.org/officeDocument/2006/relationships/hyperlink" Target="https://quizy.se/quiz-fast-for-smaklokarna/" TargetMode="External"/><Relationship Id="rId8833" Type="http://schemas.openxmlformats.org/officeDocument/2006/relationships/hyperlink" Target="https://lindenytt.com/extra/har-ar-det-billigast-och-dyrast-att-bo-i-lindesberg/" TargetMode="External"/><Relationship Id="rId10349" Type="http://schemas.openxmlformats.org/officeDocument/2006/relationships/hyperlink" Target="https://tipsmedoss.com/2025/ovrigt/nar-siffrorna-blir-din-basta-van-sa-analyseras-dagens-matcher/" TargetMode="External"/><Relationship Id="rId10763" Type="http://schemas.openxmlformats.org/officeDocument/2006/relationships/hyperlink" Target="http://tryggbil.se/" TargetMode="External"/><Relationship Id="rId3978" Type="http://schemas.openxmlformats.org/officeDocument/2006/relationships/hyperlink" Target="https://luddep.se/hitta-ratt-it-losningar-for-ditt-foretag" TargetMode="External"/><Relationship Id="rId6384" Type="http://schemas.openxmlformats.org/officeDocument/2006/relationships/hyperlink" Target="https://kelleher-international.com/professional-matchmaking-for-men/" TargetMode="External"/><Relationship Id="rId7435" Type="http://schemas.openxmlformats.org/officeDocument/2006/relationships/hyperlink" Target="http://cateringfabriken.se/" TargetMode="External"/><Relationship Id="rId8900" Type="http://schemas.openxmlformats.org/officeDocument/2006/relationships/hyperlink" Target="https://www.stltoday.com/exclusive/article_91cf99b9-0ca7-57c2-a6c3-a68a889fc5b7.html" TargetMode="External"/><Relationship Id="rId10416" Type="http://schemas.openxmlformats.org/officeDocument/2006/relationships/hyperlink" Target="https://alxmedia.se/aktuellt/inflation/" TargetMode="External"/><Relationship Id="rId11814" Type="http://schemas.openxmlformats.org/officeDocument/2006/relationships/hyperlink" Target="https://aip.nu/elever-kanner-sig-lurade-av-utbildningsforetag-som-anlitas-av-kommuner/" TargetMode="External"/><Relationship Id="rId899" Type="http://schemas.openxmlformats.org/officeDocument/2006/relationships/hyperlink" Target="https://www.happysocks.com/us/collection/socks-for-men" TargetMode="External"/><Relationship Id="rId6037" Type="http://schemas.openxmlformats.org/officeDocument/2006/relationships/hyperlink" Target="https://www.fri-kopenskap.se/lb-article/180929/every-night-studios-kreativa-losningar-for-profilklader-och-varumarkesprofilering" TargetMode="External"/><Relationship Id="rId6451" Type="http://schemas.openxmlformats.org/officeDocument/2006/relationships/hyperlink" Target="https://nya-spelbolag.se/spel-som-ar-ett-maste-hos-nya-svenska-spelbolag/" TargetMode="External"/><Relationship Id="rId7502" Type="http://schemas.openxmlformats.org/officeDocument/2006/relationships/hyperlink" Target="https://www.ykkoslohja.fi/talvirenkaiden-valinta-nastat-vai-kitkat-uudenmaan-teille/" TargetMode="External"/><Relationship Id="rId10830" Type="http://schemas.openxmlformats.org/officeDocument/2006/relationships/hyperlink" Target="https://turner.fi/autotallin-ovet-ja-oviremontti/" TargetMode="External"/><Relationship Id="rId966" Type="http://schemas.openxmlformats.org/officeDocument/2006/relationships/hyperlink" Target="https://socialsummit17.se/studera-pa-distans-var-du-vill-nar-du-vill/" TargetMode="External"/><Relationship Id="rId1596" Type="http://schemas.openxmlformats.org/officeDocument/2006/relationships/hyperlink" Target="http://fairinvestments.se/" TargetMode="External"/><Relationship Id="rId2647" Type="http://schemas.openxmlformats.org/officeDocument/2006/relationships/hyperlink" Target="https://www.vont.se/to-go/0-mg-ml" TargetMode="External"/><Relationship Id="rId2994" Type="http://schemas.openxmlformats.org/officeDocument/2006/relationships/hyperlink" Target="http://spelklubben.se/" TargetMode="External"/><Relationship Id="rId5053" Type="http://schemas.openxmlformats.org/officeDocument/2006/relationships/hyperlink" Target="https://www.dagensnaringsliv.se/20240829/271839/snusets-roll-i-svensk-kultur-fran-tradition-till-moderna-trender" TargetMode="External"/><Relationship Id="rId6104" Type="http://schemas.openxmlformats.org/officeDocument/2006/relationships/hyperlink" Target="https://redandwhitemagz.com/overcoming-barriers-understanding-the-challenges-in-adopting-electrical-stimulation-technology-in-healthcare/" TargetMode="External"/><Relationship Id="rId9674" Type="http://schemas.openxmlformats.org/officeDocument/2006/relationships/hyperlink" Target="https://flyttgaranti.se/flytt" TargetMode="External"/><Relationship Id="rId12588" Type="http://schemas.openxmlformats.org/officeDocument/2006/relationships/hyperlink" Target="https://bbml.se/totalrenovering/" TargetMode="External"/><Relationship Id="rId619" Type="http://schemas.openxmlformats.org/officeDocument/2006/relationships/hyperlink" Target="http://blugiallo.com/" TargetMode="External"/><Relationship Id="rId1249" Type="http://schemas.openxmlformats.org/officeDocument/2006/relationships/hyperlink" Target="http://happysocks.com/" TargetMode="External"/><Relationship Id="rId5120" Type="http://schemas.openxmlformats.org/officeDocument/2006/relationships/hyperlink" Target="https://www.rita.nu/myter-och-sanningar-om-tandblekning" TargetMode="External"/><Relationship Id="rId8276" Type="http://schemas.openxmlformats.org/officeDocument/2006/relationships/hyperlink" Target="https://www.tandlakare.se/stad/stockholm/" TargetMode="External"/><Relationship Id="rId9327" Type="http://schemas.openxmlformats.org/officeDocument/2006/relationships/hyperlink" Target="http://lsb.se/" TargetMode="External"/><Relationship Id="rId12655" Type="http://schemas.openxmlformats.org/officeDocument/2006/relationships/hyperlink" Target="https://psiquiatria.com/psicologia-general/como-influye-la-musica-en-la-toma-de-decisiones-de-la-mente-al-marketing/" TargetMode="External"/><Relationship Id="rId1663" Type="http://schemas.openxmlformats.org/officeDocument/2006/relationships/hyperlink" Target="http://alfa.no/" TargetMode="External"/><Relationship Id="rId2714" Type="http://schemas.openxmlformats.org/officeDocument/2006/relationships/hyperlink" Target="http://glitnor.com/" TargetMode="External"/><Relationship Id="rId8690" Type="http://schemas.openxmlformats.org/officeDocument/2006/relationships/hyperlink" Target="https://nybyggdahus.se/forbattra-ljudmiljon-i-ditt-hem-med-akustikprodukter/" TargetMode="External"/><Relationship Id="rId9741" Type="http://schemas.openxmlformats.org/officeDocument/2006/relationships/hyperlink" Target="https://www.startmotor.se/batmotordelar" TargetMode="External"/><Relationship Id="rId11257" Type="http://schemas.openxmlformats.org/officeDocument/2006/relationships/hyperlink" Target="http://diselkraft.se/" TargetMode="External"/><Relationship Id="rId11671" Type="http://schemas.openxmlformats.org/officeDocument/2006/relationships/hyperlink" Target="http://vontabel.com/" TargetMode="External"/><Relationship Id="rId12308" Type="http://schemas.openxmlformats.org/officeDocument/2006/relationships/hyperlink" Target="https://conclean.se/produkter/minireningsverk/" TargetMode="External"/><Relationship Id="rId12722" Type="http://schemas.openxmlformats.org/officeDocument/2006/relationships/hyperlink" Target="https://tiotak.se/byta-tak-maskinhall/" TargetMode="External"/><Relationship Id="rId1316" Type="http://schemas.openxmlformats.org/officeDocument/2006/relationships/hyperlink" Target="https://14karat.se/?p=278" TargetMode="External"/><Relationship Id="rId1730" Type="http://schemas.openxmlformats.org/officeDocument/2006/relationships/hyperlink" Target="http://e-ciggbolaget.se/" TargetMode="External"/><Relationship Id="rId4886" Type="http://schemas.openxmlformats.org/officeDocument/2006/relationships/hyperlink" Target="https://www.sportochfritidsnyheter.se/20240820/3937/svensk-bordtennis-hemligheten-bakom-framgang-trots-liten-befolkning" TargetMode="External"/><Relationship Id="rId5937" Type="http://schemas.openxmlformats.org/officeDocument/2006/relationships/hyperlink" Target="https://www.dagenshandel.se/lb-article/180898/kapitalforvaltning-for-framtidens-ehandel" TargetMode="External"/><Relationship Id="rId7292" Type="http://schemas.openxmlformats.org/officeDocument/2006/relationships/hyperlink" Target="http://fairinvestments.se/" TargetMode="External"/><Relationship Id="rId8343" Type="http://schemas.openxmlformats.org/officeDocument/2006/relationships/hyperlink" Target="https://www.infrastrukturnyheter.se/20250327/31412/renoveringsvagen-som-hojer-fastighetsvardena-efter-rantesankningen" TargetMode="External"/><Relationship Id="rId10273" Type="http://schemas.openxmlformats.org/officeDocument/2006/relationships/hyperlink" Target="https://arctic.se/se/forsakringslosningar/svensksolenergi/" TargetMode="External"/><Relationship Id="rId11324" Type="http://schemas.openxmlformats.org/officeDocument/2006/relationships/hyperlink" Target="http://fairinvestments.se/" TargetMode="External"/><Relationship Id="rId22" Type="http://schemas.openxmlformats.org/officeDocument/2006/relationships/hyperlink" Target="http://haxan.se/" TargetMode="External"/><Relationship Id="rId3488" Type="http://schemas.openxmlformats.org/officeDocument/2006/relationships/hyperlink" Target="http://spelklubben.se/" TargetMode="External"/><Relationship Id="rId4539" Type="http://schemas.openxmlformats.org/officeDocument/2006/relationships/hyperlink" Target="http://nordenhydralic.se/" TargetMode="External"/><Relationship Id="rId4953" Type="http://schemas.openxmlformats.org/officeDocument/2006/relationships/hyperlink" Target="https://www.vaken.se/hur-digitaliseringen-driver-den-svenska-detaljhandeln-framat/" TargetMode="External"/><Relationship Id="rId8410" Type="http://schemas.openxmlformats.org/officeDocument/2006/relationships/hyperlink" Target="https://www.vargveumfilm.no/varg-veum-norsk-krim-pa-film" TargetMode="External"/><Relationship Id="rId10340" Type="http://schemas.openxmlformats.org/officeDocument/2006/relationships/hyperlink" Target="http://www.klingsbergsforlag.se/" TargetMode="External"/><Relationship Id="rId3555" Type="http://schemas.openxmlformats.org/officeDocument/2006/relationships/hyperlink" Target="https://happycasino.se/" TargetMode="External"/><Relationship Id="rId4606" Type="http://schemas.openxmlformats.org/officeDocument/2006/relationships/hyperlink" Target="https://casinoviking.io/sv/blogg/cherry-casino-recension/" TargetMode="External"/><Relationship Id="rId7012" Type="http://schemas.openxmlformats.org/officeDocument/2006/relationships/hyperlink" Target="https://www.myownwater.com/" TargetMode="External"/><Relationship Id="rId12098" Type="http://schemas.openxmlformats.org/officeDocument/2006/relationships/hyperlink" Target="http://foyen.se/" TargetMode="External"/><Relationship Id="rId13149" Type="http://schemas.openxmlformats.org/officeDocument/2006/relationships/hyperlink" Target="https://sakraror.se/vara-tjanster/allman-service-vvs/vvs-i-sollentuna/" TargetMode="External"/><Relationship Id="rId476" Type="http://schemas.openxmlformats.org/officeDocument/2006/relationships/hyperlink" Target="https://sufracofinebrands.com/kategori/aleppotval" TargetMode="External"/><Relationship Id="rId890" Type="http://schemas.openxmlformats.org/officeDocument/2006/relationships/hyperlink" Target="https://www.vont.se/" TargetMode="External"/><Relationship Id="rId2157" Type="http://schemas.openxmlformats.org/officeDocument/2006/relationships/hyperlink" Target="https://www.lansfast.se/maklare/stockholm/taby-danderyd/" TargetMode="External"/><Relationship Id="rId2571" Type="http://schemas.openxmlformats.org/officeDocument/2006/relationships/hyperlink" Target="https://distansinstitutet.se/distansutbildningar/pedagogik/vardbitrade/" TargetMode="External"/><Relationship Id="rId3208" Type="http://schemas.openxmlformats.org/officeDocument/2006/relationships/hyperlink" Target="http://fairinvestments.se/" TargetMode="External"/><Relationship Id="rId6778" Type="http://schemas.openxmlformats.org/officeDocument/2006/relationships/hyperlink" Target="http://fairinvestments.se/" TargetMode="External"/><Relationship Id="rId9184" Type="http://schemas.openxmlformats.org/officeDocument/2006/relationships/hyperlink" Target="https://skaparum.se/ftx-ventilation-och-dess-fordelar-i-nordiska-byggprojekt/" TargetMode="External"/><Relationship Id="rId12165" Type="http://schemas.openxmlformats.org/officeDocument/2006/relationships/hyperlink" Target="https://www.vont.se/" TargetMode="External"/><Relationship Id="rId129" Type="http://schemas.openxmlformats.org/officeDocument/2006/relationships/hyperlink" Target="https://ljusgrossisten.se/produkter/ljuskallor/lysror/" TargetMode="External"/><Relationship Id="rId543" Type="http://schemas.openxmlformats.org/officeDocument/2006/relationships/hyperlink" Target="https://www.askskinfo.com/varumarke/all-i-am-beauty" TargetMode="External"/><Relationship Id="rId1173" Type="http://schemas.openxmlformats.org/officeDocument/2006/relationships/hyperlink" Target="https://www.saleseffect.se/flytbryggor-en-djupdykning-i-konstruktion-anvandning-och-framtid/" TargetMode="External"/><Relationship Id="rId2224" Type="http://schemas.openxmlformats.org/officeDocument/2006/relationships/hyperlink" Target="http://veterinarklinikenbirsta.se/" TargetMode="External"/><Relationship Id="rId3622" Type="http://schemas.openxmlformats.org/officeDocument/2006/relationships/hyperlink" Target="http://rehabgrossisten.com/" TargetMode="External"/><Relationship Id="rId7829" Type="http://schemas.openxmlformats.org/officeDocument/2006/relationships/hyperlink" Target="https://www.zmarta.se/lana-pengar/samla-lan" TargetMode="External"/><Relationship Id="rId9251" Type="http://schemas.openxmlformats.org/officeDocument/2006/relationships/hyperlink" Target="https://swedenlongstay.se/sv/foretagsbostader/stockholm/" TargetMode="External"/><Relationship Id="rId13216" Type="http://schemas.openxmlformats.org/officeDocument/2006/relationships/hyperlink" Target="http://megariches.com/" TargetMode="External"/><Relationship Id="rId5794" Type="http://schemas.openxmlformats.org/officeDocument/2006/relationships/hyperlink" Target="https://www.swedoffice.se/kategori/49902-kopieringspapper" TargetMode="External"/><Relationship Id="rId6845" Type="http://schemas.openxmlformats.org/officeDocument/2006/relationships/hyperlink" Target="https://www.cleannet.se/lb-article/181081/hallbar-stadning-och-arbetsgladje-nyckeln-till-en-modern-stadbransch" TargetMode="External"/><Relationship Id="rId11181" Type="http://schemas.openxmlformats.org/officeDocument/2006/relationships/hyperlink" Target="http://veterinarklinikenbirsta.se/" TargetMode="External"/><Relationship Id="rId12232" Type="http://schemas.openxmlformats.org/officeDocument/2006/relationships/hyperlink" Target="https://www.merinfo.se/foretag/Fair-Investments-Sweden-AB-5568169626/2k3576i-kqah" TargetMode="External"/><Relationship Id="rId610" Type="http://schemas.openxmlformats.org/officeDocument/2006/relationships/hyperlink" Target="https://www.thearcadiaonline.com/3-accessories-that-will-elevate-any-outfit/" TargetMode="External"/><Relationship Id="rId1240" Type="http://schemas.openxmlformats.org/officeDocument/2006/relationships/hyperlink" Target="http://advancepointcap.com/" TargetMode="External"/><Relationship Id="rId4049" Type="http://schemas.openxmlformats.org/officeDocument/2006/relationships/hyperlink" Target="https://www.dmce.at/versicherung-fur-smarte-technologien" TargetMode="External"/><Relationship Id="rId4396" Type="http://schemas.openxmlformats.org/officeDocument/2006/relationships/hyperlink" Target="http://fairinvestments.se/" TargetMode="External"/><Relationship Id="rId5447" Type="http://schemas.openxmlformats.org/officeDocument/2006/relationships/hyperlink" Target="http://purakliniken.se/" TargetMode="External"/><Relationship Id="rId5861" Type="http://schemas.openxmlformats.org/officeDocument/2006/relationships/hyperlink" Target="http://tiotak.se/" TargetMode="External"/><Relationship Id="rId6912" Type="http://schemas.openxmlformats.org/officeDocument/2006/relationships/hyperlink" Target="https://www.djungeltrumman.se/din-guide-till-en-perfekt-festfrisyr/" TargetMode="External"/><Relationship Id="rId11998" Type="http://schemas.openxmlformats.org/officeDocument/2006/relationships/hyperlink" Target="http://foyen.se/" TargetMode="External"/><Relationship Id="rId4463" Type="http://schemas.openxmlformats.org/officeDocument/2006/relationships/hyperlink" Target="https://lemontree.se/tjanster/devops/site-reliability-engineering/" TargetMode="External"/><Relationship Id="rId5514" Type="http://schemas.openxmlformats.org/officeDocument/2006/relationships/hyperlink" Target="http://arctic.se/" TargetMode="External"/><Relationship Id="rId3065" Type="http://schemas.openxmlformats.org/officeDocument/2006/relationships/hyperlink" Target="http://distansinstitutet.se/" TargetMode="External"/><Relationship Id="rId4116" Type="http://schemas.openxmlformats.org/officeDocument/2006/relationships/hyperlink" Target="https://www.purakliniken.se/" TargetMode="External"/><Relationship Id="rId4530" Type="http://schemas.openxmlformats.org/officeDocument/2006/relationships/hyperlink" Target="http://tryggbil.se/" TargetMode="External"/><Relationship Id="rId7686" Type="http://schemas.openxmlformats.org/officeDocument/2006/relationships/hyperlink" Target="http://tiotak.se/" TargetMode="External"/><Relationship Id="rId8737" Type="http://schemas.openxmlformats.org/officeDocument/2006/relationships/hyperlink" Target="https://www.kingmagazine.se/partner/sveriges-sista-kasino-stanger-ner/" TargetMode="External"/><Relationship Id="rId13073" Type="http://schemas.openxmlformats.org/officeDocument/2006/relationships/hyperlink" Target="https://tryggbil.se/tjanster/dackbyte-och-dackhotell/" TargetMode="External"/><Relationship Id="rId2081" Type="http://schemas.openxmlformats.org/officeDocument/2006/relationships/hyperlink" Target="https://luddep.se/dags-att-borja-investera" TargetMode="External"/><Relationship Id="rId3132" Type="http://schemas.openxmlformats.org/officeDocument/2006/relationships/hyperlink" Target="http://alvtorpet.se/" TargetMode="External"/><Relationship Id="rId6288" Type="http://schemas.openxmlformats.org/officeDocument/2006/relationships/hyperlink" Target="https://www.startmotor.se/kategori/solenoider" TargetMode="External"/><Relationship Id="rId7339" Type="http://schemas.openxmlformats.org/officeDocument/2006/relationships/hyperlink" Target="http://hajper.com/" TargetMode="External"/><Relationship Id="rId7753" Type="http://schemas.openxmlformats.org/officeDocument/2006/relationships/hyperlink" Target="http://www.godies.fi/" TargetMode="External"/><Relationship Id="rId10667" Type="http://schemas.openxmlformats.org/officeDocument/2006/relationships/hyperlink" Target="https://comfydence.se/collections/badtrosor" TargetMode="External"/><Relationship Id="rId11718" Type="http://schemas.openxmlformats.org/officeDocument/2006/relationships/hyperlink" Target="http://www.adligo.io/" TargetMode="External"/><Relationship Id="rId13140" Type="http://schemas.openxmlformats.org/officeDocument/2006/relationships/hyperlink" Target="https://sandudden.se/" TargetMode="External"/><Relationship Id="rId6355" Type="http://schemas.openxmlformats.org/officeDocument/2006/relationships/hyperlink" Target="https://pontechmarina.com/se/" TargetMode="External"/><Relationship Id="rId7406" Type="http://schemas.openxmlformats.org/officeDocument/2006/relationships/hyperlink" Target="http://joureliten.se/" TargetMode="External"/><Relationship Id="rId8804" Type="http://schemas.openxmlformats.org/officeDocument/2006/relationships/hyperlink" Target="https://www.inredningsnyheter.se/20250425/20060/dyra-uttryck-billiga-losningar-inredningsdetaljerna-som-ser-ut-att-kosta-1-miljon" TargetMode="External"/><Relationship Id="rId10734" Type="http://schemas.openxmlformats.org/officeDocument/2006/relationships/hyperlink" Target="https://hustillalla.se/mattor-som-forvandlar-ditt-hem-till-en-personlig-oas/" TargetMode="External"/><Relationship Id="rId120" Type="http://schemas.openxmlformats.org/officeDocument/2006/relationships/hyperlink" Target="http://bigbenstandup.com/" TargetMode="External"/><Relationship Id="rId2898" Type="http://schemas.openxmlformats.org/officeDocument/2006/relationships/hyperlink" Target="https://kelleher-international.com/" TargetMode="External"/><Relationship Id="rId3949" Type="http://schemas.openxmlformats.org/officeDocument/2006/relationships/hyperlink" Target="https://conclean.se/produkter/minireningsverk/" TargetMode="External"/><Relationship Id="rId6008" Type="http://schemas.openxmlformats.org/officeDocument/2006/relationships/hyperlink" Target="https://www.cdg.io/services/virtual-ciso/" TargetMode="External"/><Relationship Id="rId7820" Type="http://schemas.openxmlformats.org/officeDocument/2006/relationships/hyperlink" Target="https://www.nyaprojekt.se/2025/02/24/5-ovantade-inredningstips-som-far-ditt-nya-hem-att-kannas-dubbelt-sa-stort/" TargetMode="External"/><Relationship Id="rId10801" Type="http://schemas.openxmlformats.org/officeDocument/2006/relationships/hyperlink" Target="http://fairinvestments.se/" TargetMode="External"/><Relationship Id="rId2965" Type="http://schemas.openxmlformats.org/officeDocument/2006/relationships/hyperlink" Target="http://e-ciggbolaget.se/" TargetMode="External"/><Relationship Id="rId5024" Type="http://schemas.openxmlformats.org/officeDocument/2006/relationships/hyperlink" Target="https://www.lidingonyheter.se/ekonomiska-orosmoln-och-solglimtar-senaste-arets-utmaningar/" TargetMode="External"/><Relationship Id="rId5371" Type="http://schemas.openxmlformats.org/officeDocument/2006/relationships/hyperlink" Target="https://komponenthus.com/2024/09/14/sa-forbereder-du-ditt-hem-for-vintern-skydda-ditt-vvs-system/" TargetMode="External"/><Relationship Id="rId6422" Type="http://schemas.openxmlformats.org/officeDocument/2006/relationships/hyperlink" Target="https://parkleken.se/det-perfekta-hundkopplet/" TargetMode="External"/><Relationship Id="rId9578" Type="http://schemas.openxmlformats.org/officeDocument/2006/relationships/hyperlink" Target="https://www.djungeltrumman.se/varldens-popularaste-mobilspel-och-antalet-nedladdningar/" TargetMode="External"/><Relationship Id="rId9992" Type="http://schemas.openxmlformats.org/officeDocument/2006/relationships/hyperlink" Target="https://www.filippa-k.com/de/de/damen/bekleidung/hemden" TargetMode="External"/><Relationship Id="rId12559" Type="http://schemas.openxmlformats.org/officeDocument/2006/relationships/hyperlink" Target="http://finansplassen.no/" TargetMode="External"/><Relationship Id="rId12973" Type="http://schemas.openxmlformats.org/officeDocument/2006/relationships/hyperlink" Target="http://spelklubben.se/" TargetMode="External"/><Relationship Id="rId937" Type="http://schemas.openxmlformats.org/officeDocument/2006/relationships/hyperlink" Target="https://arctic.se/nibewp/" TargetMode="External"/><Relationship Id="rId1567" Type="http://schemas.openxmlformats.org/officeDocument/2006/relationships/hyperlink" Target="https://serviceteknikerkarlstad.se/inredningsutbildning-pa-distans-nyckeln-till-att-forverkliga-dina-drommar-om-att-bli-inredare/" TargetMode="External"/><Relationship Id="rId1981" Type="http://schemas.openxmlformats.org/officeDocument/2006/relationships/hyperlink" Target="http://hemplybalance.com/" TargetMode="External"/><Relationship Id="rId2618" Type="http://schemas.openxmlformats.org/officeDocument/2006/relationships/hyperlink" Target="https://www.omkull.se/vardyrket-behover-fler" TargetMode="External"/><Relationship Id="rId8594" Type="http://schemas.openxmlformats.org/officeDocument/2006/relationships/hyperlink" Target="http://fairinvestments.se/" TargetMode="External"/><Relationship Id="rId9645" Type="http://schemas.openxmlformats.org/officeDocument/2006/relationships/hyperlink" Target="http://sakraror.se/" TargetMode="External"/><Relationship Id="rId11575" Type="http://schemas.openxmlformats.org/officeDocument/2006/relationships/hyperlink" Target="https://guldkorn.nu/fordelarna-med-att-anvanda-en-harborste-med-svinborst/" TargetMode="External"/><Relationship Id="rId12626" Type="http://schemas.openxmlformats.org/officeDocument/2006/relationships/hyperlink" Target="https://www.l&#229;neguiden.se/privatlan" TargetMode="External"/><Relationship Id="rId1634" Type="http://schemas.openxmlformats.org/officeDocument/2006/relationships/hyperlink" Target="https://gafashion.net/essential-tips-to-find-the-best-second-hand-clothing/" TargetMode="External"/><Relationship Id="rId4040" Type="http://schemas.openxmlformats.org/officeDocument/2006/relationships/hyperlink" Target="https://x.com/i/flow/login?redirect_after_login=%2FFairInvSwe" TargetMode="External"/><Relationship Id="rId7196" Type="http://schemas.openxmlformats.org/officeDocument/2006/relationships/hyperlink" Target="https://nutidshuset.se/forsakringslosningar-for-solcellsanlaggningar-skydda-din-investering/" TargetMode="External"/><Relationship Id="rId8247" Type="http://schemas.openxmlformats.org/officeDocument/2006/relationships/hyperlink" Target="https://www.axofinans.se/privatlan/billiga-lan" TargetMode="External"/><Relationship Id="rId8661" Type="http://schemas.openxmlformats.org/officeDocument/2006/relationships/hyperlink" Target="https://www.startmotor.se/fordon/reservdelar-bat/volvo-penta" TargetMode="External"/><Relationship Id="rId9712" Type="http://schemas.openxmlformats.org/officeDocument/2006/relationships/hyperlink" Target="http://nordicknots.com/" TargetMode="External"/><Relationship Id="rId10177" Type="http://schemas.openxmlformats.org/officeDocument/2006/relationships/hyperlink" Target="https://www.kleer.se/lonesystem/" TargetMode="External"/><Relationship Id="rId10591" Type="http://schemas.openxmlformats.org/officeDocument/2006/relationships/hyperlink" Target="http://technobark.com/" TargetMode="External"/><Relationship Id="rId11228" Type="http://schemas.openxmlformats.org/officeDocument/2006/relationships/hyperlink" Target="https://adamsteen.se/chronos/" TargetMode="External"/><Relationship Id="rId4857" Type="http://schemas.openxmlformats.org/officeDocument/2006/relationships/hyperlink" Target="https://e-ciggbolaget.se/e-cigaretter/engangs-vape/" TargetMode="External"/><Relationship Id="rId7263" Type="http://schemas.openxmlformats.org/officeDocument/2006/relationships/hyperlink" Target="https://metapress.com/prioritizing-better-physical-and-mental-health/" TargetMode="External"/><Relationship Id="rId8314" Type="http://schemas.openxmlformats.org/officeDocument/2006/relationships/hyperlink" Target="http://fairinvestments.se/" TargetMode="External"/><Relationship Id="rId10244" Type="http://schemas.openxmlformats.org/officeDocument/2006/relationships/hyperlink" Target="http://yourgild.com/" TargetMode="External"/><Relationship Id="rId11642" Type="http://schemas.openxmlformats.org/officeDocument/2006/relationships/hyperlink" Target="http://vontabel.com/" TargetMode="External"/><Relationship Id="rId1701" Type="http://schemas.openxmlformats.org/officeDocument/2006/relationships/hyperlink" Target="http://aretrotale.com/" TargetMode="External"/><Relationship Id="rId3459" Type="http://schemas.openxmlformats.org/officeDocument/2006/relationships/hyperlink" Target="https://www.skogkattklubbenbirka.se/alternativa-avloppsreningssystem-for-ditt-hem" TargetMode="External"/><Relationship Id="rId5908" Type="http://schemas.openxmlformats.org/officeDocument/2006/relationships/hyperlink" Target="https://www.kolla.tv/artikel/game-shows-fran-klassiska-favoriter-i-tv-rutan-till-spel-online" TargetMode="External"/><Relationship Id="rId7330" Type="http://schemas.openxmlformats.org/officeDocument/2006/relationships/hyperlink" Target="http://mockfjards.se/" TargetMode="External"/><Relationship Id="rId3873" Type="http://schemas.openxmlformats.org/officeDocument/2006/relationships/hyperlink" Target="https://fairinvestments.se/" TargetMode="External"/><Relationship Id="rId4924" Type="http://schemas.openxmlformats.org/officeDocument/2006/relationships/hyperlink" Target="https://www.bethard.com/sv/sports/live/fotboll" TargetMode="External"/><Relationship Id="rId9088" Type="http://schemas.openxmlformats.org/officeDocument/2006/relationships/hyperlink" Target="https://mockfjards.se/fonster" TargetMode="External"/><Relationship Id="rId10311" Type="http://schemas.openxmlformats.org/officeDocument/2006/relationships/hyperlink" Target="https://manligmagi.se/sakerhetslosningar-for-man-i-en-osaker-varld/" TargetMode="External"/><Relationship Id="rId447" Type="http://schemas.openxmlformats.org/officeDocument/2006/relationships/hyperlink" Target="http://advancepointcap.com/" TargetMode="External"/><Relationship Id="rId794" Type="http://schemas.openxmlformats.org/officeDocument/2006/relationships/hyperlink" Target="https://www.happysocks.com/us/collection/socks-for-men" TargetMode="External"/><Relationship Id="rId1077" Type="http://schemas.openxmlformats.org/officeDocument/2006/relationships/hyperlink" Target="http://lansfast.se/" TargetMode="External"/><Relationship Id="rId2128" Type="http://schemas.openxmlformats.org/officeDocument/2006/relationships/hyperlink" Target="https://distansinstitutet.se/distansutbildningar/pedagogik/vardbitrade/" TargetMode="External"/><Relationship Id="rId2475" Type="http://schemas.openxmlformats.org/officeDocument/2006/relationships/hyperlink" Target="http://alfa.no/" TargetMode="External"/><Relationship Id="rId3526" Type="http://schemas.openxmlformats.org/officeDocument/2006/relationships/hyperlink" Target="https://varmlandsbygden.se/partner/spelklubben-det-senaste-tillskottet-i-sveriges-online-casinovarld/" TargetMode="External"/><Relationship Id="rId3940" Type="http://schemas.openxmlformats.org/officeDocument/2006/relationships/hyperlink" Target="https://www.mrnicco.com/" TargetMode="External"/><Relationship Id="rId9155" Type="http://schemas.openxmlformats.org/officeDocument/2006/relationships/hyperlink" Target="https://mobot.com/" TargetMode="External"/><Relationship Id="rId12069" Type="http://schemas.openxmlformats.org/officeDocument/2006/relationships/hyperlink" Target="http://robomarkets.com/" TargetMode="External"/><Relationship Id="rId12483" Type="http://schemas.openxmlformats.org/officeDocument/2006/relationships/hyperlink" Target="http://fairinvestments.se/" TargetMode="External"/><Relationship Id="rId861" Type="http://schemas.openxmlformats.org/officeDocument/2006/relationships/hyperlink" Target="https://www.frii.se/vi-hitta-foretaget-med-de-finaste-poolerna/" TargetMode="External"/><Relationship Id="rId1491" Type="http://schemas.openxmlformats.org/officeDocument/2006/relationships/hyperlink" Target="http://aretrotale.com/" TargetMode="External"/><Relationship Id="rId2542" Type="http://schemas.openxmlformats.org/officeDocument/2006/relationships/hyperlink" Target="https://conclean.se/produkter/minireningsverk/" TargetMode="External"/><Relationship Id="rId5698" Type="http://schemas.openxmlformats.org/officeDocument/2006/relationships/hyperlink" Target="https://www.zmarta.se/lana-pengar/privatlan" TargetMode="External"/><Relationship Id="rId6749" Type="http://schemas.openxmlformats.org/officeDocument/2006/relationships/hyperlink" Target="https://husresan.se/volkswagen-service-i-tyreso-din-kompletta-guid-till-underhall/" TargetMode="External"/><Relationship Id="rId11085" Type="http://schemas.openxmlformats.org/officeDocument/2006/relationships/hyperlink" Target="https://sportotto.com/sv/artiklar/fem-fallgropar-att-undvika-som-sportbettare/" TargetMode="External"/><Relationship Id="rId12136" Type="http://schemas.openxmlformats.org/officeDocument/2006/relationships/hyperlink" Target="http://blugiallo.com/" TargetMode="External"/><Relationship Id="rId12550" Type="http://schemas.openxmlformats.org/officeDocument/2006/relationships/hyperlink" Target="http://veterinarklinikenbirsta.se/" TargetMode="External"/><Relationship Id="rId514" Type="http://schemas.openxmlformats.org/officeDocument/2006/relationships/hyperlink" Target="http://schjodt.com/" TargetMode="External"/><Relationship Id="rId1144" Type="http://schemas.openxmlformats.org/officeDocument/2006/relationships/hyperlink" Target="https://aip.nu/elever-kanner-sig-lurade-av-utbildningsforetag-som-anlitas-av-kommuner/" TargetMode="External"/><Relationship Id="rId5765" Type="http://schemas.openxmlformats.org/officeDocument/2006/relationships/hyperlink" Target="http://bethard.com/" TargetMode="External"/><Relationship Id="rId6816" Type="http://schemas.openxmlformats.org/officeDocument/2006/relationships/hyperlink" Target="http://spelklubben.se/" TargetMode="External"/><Relationship Id="rId8171" Type="http://schemas.openxmlformats.org/officeDocument/2006/relationships/hyperlink" Target="http://sakraror.se/" TargetMode="External"/><Relationship Id="rId9222" Type="http://schemas.openxmlformats.org/officeDocument/2006/relationships/hyperlink" Target="http://hund.se/" TargetMode="External"/><Relationship Id="rId11152" Type="http://schemas.openxmlformats.org/officeDocument/2006/relationships/hyperlink" Target="https://tiotak.se/" TargetMode="External"/><Relationship Id="rId12203" Type="http://schemas.openxmlformats.org/officeDocument/2006/relationships/hyperlink" Target="https://vainu.io/company/fair-investments-sweden-ab-omsattning-och-nyckeltal/1180004/foretagsinfo" TargetMode="External"/><Relationship Id="rId1211" Type="http://schemas.openxmlformats.org/officeDocument/2006/relationships/hyperlink" Target="https://www.vont.se/to-go/0-mg-ml" TargetMode="External"/><Relationship Id="rId4367" Type="http://schemas.openxmlformats.org/officeDocument/2006/relationships/hyperlink" Target="https://satsamanualen.se/maximera-din-marknadsforing-med-kreativa-merchandise-losningar/" TargetMode="External"/><Relationship Id="rId4781" Type="http://schemas.openxmlformats.org/officeDocument/2006/relationships/hyperlink" Target="https://www.nordiskaprojekt.se/2024/07/25/hallbarhetsprojekt-och-deras-paverkan-pa-den-nordiska-byggsektorn/" TargetMode="External"/><Relationship Id="rId5418" Type="http://schemas.openxmlformats.org/officeDocument/2006/relationships/hyperlink" Target="https://www.julianh.se/" TargetMode="External"/><Relationship Id="rId5832" Type="http://schemas.openxmlformats.org/officeDocument/2006/relationships/hyperlink" Target="https://lemontree.se/tjanster/devops/site-reliability-engineering/" TargetMode="External"/><Relationship Id="rId8988" Type="http://schemas.openxmlformats.org/officeDocument/2006/relationships/hyperlink" Target="https://lindenytt.com/extra/tandvard-i-olika-samhallsmiljoer-en-jamforelse-mellan-stad-forort-landsbygd/" TargetMode="External"/><Relationship Id="rId3383" Type="http://schemas.openxmlformats.org/officeDocument/2006/relationships/hyperlink" Target="http://spelklubben.se/" TargetMode="External"/><Relationship Id="rId4434" Type="http://schemas.openxmlformats.org/officeDocument/2006/relationships/hyperlink" Target="https://conclean.se/produkter/minireningsverk/" TargetMode="External"/><Relationship Id="rId11969" Type="http://schemas.openxmlformats.org/officeDocument/2006/relationships/hyperlink" Target="http://vont.co/de" TargetMode="External"/><Relationship Id="rId3036" Type="http://schemas.openxmlformats.org/officeDocument/2006/relationships/hyperlink" Target="https://husera.nu/spelklubben-det-nya-paradigmet-for-onlinecasinon/" TargetMode="External"/><Relationship Id="rId10985" Type="http://schemas.openxmlformats.org/officeDocument/2006/relationships/hyperlink" Target="https://tvprogram.nu/blogg/9-gameshows-som-aldrig-dor" TargetMode="External"/><Relationship Id="rId371" Type="http://schemas.openxmlformats.org/officeDocument/2006/relationships/hyperlink" Target="https://haxan.se/" TargetMode="External"/><Relationship Id="rId2052" Type="http://schemas.openxmlformats.org/officeDocument/2006/relationships/hyperlink" Target="https://luddep.se/dags-att-borja-investera" TargetMode="External"/><Relationship Id="rId3450" Type="http://schemas.openxmlformats.org/officeDocument/2006/relationships/hyperlink" Target="https://socialsummit17.se/veterinarkliniken-birsta-en-allomfattande-vard-for-dina-djur/" TargetMode="External"/><Relationship Id="rId4501" Type="http://schemas.openxmlformats.org/officeDocument/2006/relationships/hyperlink" Target="http://startmotor.se/" TargetMode="External"/><Relationship Id="rId6259" Type="http://schemas.openxmlformats.org/officeDocument/2006/relationships/hyperlink" Target="http://rusta.se/" TargetMode="External"/><Relationship Id="rId7657" Type="http://schemas.openxmlformats.org/officeDocument/2006/relationships/hyperlink" Target="https://nordisklivsstil.se/inred-ditt-hem-med-unika-mattor-for-en-personlig-livsstil/" TargetMode="External"/><Relationship Id="rId8708" Type="http://schemas.openxmlformats.org/officeDocument/2006/relationships/hyperlink" Target="http://rbentreprenad.se/" TargetMode="External"/><Relationship Id="rId10638" Type="http://schemas.openxmlformats.org/officeDocument/2006/relationships/hyperlink" Target="https://kruunukaluste.fi/kauppa/puutarhakalusteet-ulkokalusteet-ja-terassikalusteet/" TargetMode="External"/><Relationship Id="rId13044" Type="http://schemas.openxmlformats.org/officeDocument/2006/relationships/hyperlink" Target="http://startmotor.se/" TargetMode="External"/><Relationship Id="rId3103" Type="http://schemas.openxmlformats.org/officeDocument/2006/relationships/hyperlink" Target="http://rosapensionat.se/" TargetMode="External"/><Relationship Id="rId6673" Type="http://schemas.openxmlformats.org/officeDocument/2006/relationships/hyperlink" Target="http://sakraror.se/" TargetMode="External"/><Relationship Id="rId7724" Type="http://schemas.openxmlformats.org/officeDocument/2006/relationships/hyperlink" Target="https://allwomenstalk.com/everyday-habits-ruining-skin/" TargetMode="External"/><Relationship Id="rId10705" Type="http://schemas.openxmlformats.org/officeDocument/2006/relationships/hyperlink" Target="https://www.epidemicsound.com/" TargetMode="External"/><Relationship Id="rId12060" Type="http://schemas.openxmlformats.org/officeDocument/2006/relationships/hyperlink" Target="https://affarsstaden.se/esb-aditorial/skinome-ditt-ultimata-mal-for-frasch-naturlig-och-effektiv-hudvard/" TargetMode="External"/><Relationship Id="rId13111" Type="http://schemas.openxmlformats.org/officeDocument/2006/relationships/hyperlink" Target="http://fairinvestments.se/" TargetMode="External"/><Relationship Id="rId2869" Type="http://schemas.openxmlformats.org/officeDocument/2006/relationships/hyperlink" Target="https://e-ciggbolaget.se/e-cigaretter/engangs-vape/aroma-king/?hr-page=%7B%22product_count%22%3A24%7D" TargetMode="External"/><Relationship Id="rId5275" Type="http://schemas.openxmlformats.org/officeDocument/2006/relationships/hyperlink" Target="http://spelklubben.se/" TargetMode="External"/><Relationship Id="rId6326" Type="http://schemas.openxmlformats.org/officeDocument/2006/relationships/hyperlink" Target="http://kanalgratis.se/" TargetMode="External"/><Relationship Id="rId6740" Type="http://schemas.openxmlformats.org/officeDocument/2006/relationships/hyperlink" Target="https://byggbalans.se/ftx-ventilation-en-nyckel-till-battre-inomhusklimat-i-byggnader/" TargetMode="External"/><Relationship Id="rId9896" Type="http://schemas.openxmlformats.org/officeDocument/2006/relationships/hyperlink" Target="https://www.nordicknots.com/us/custom-rugs" TargetMode="External"/><Relationship Id="rId1885" Type="http://schemas.openxmlformats.org/officeDocument/2006/relationships/hyperlink" Target="http://alfa.no/" TargetMode="External"/><Relationship Id="rId2936" Type="http://schemas.openxmlformats.org/officeDocument/2006/relationships/hyperlink" Target="https://nyheteridag.se/utforska-en-varld-av-casinon-medhappycasino-smidighet-ochenkelhet-for-att-upptacka-nya-ochgamla-casinoklassiker/" TargetMode="External"/><Relationship Id="rId4291" Type="http://schemas.openxmlformats.org/officeDocument/2006/relationships/hyperlink" Target="https://tiotak.se/byta-tak-ekonomibyggnad/" TargetMode="External"/><Relationship Id="rId5342" Type="http://schemas.openxmlformats.org/officeDocument/2006/relationships/hyperlink" Target="https://www.maxi77klubben.se/" TargetMode="External"/><Relationship Id="rId8498" Type="http://schemas.openxmlformats.org/officeDocument/2006/relationships/hyperlink" Target="http://tandea.se/tandvard/" TargetMode="External"/><Relationship Id="rId9549" Type="http://schemas.openxmlformats.org/officeDocument/2006/relationships/hyperlink" Target="https://www.saleseffect.se/konsten-att-salja-slumpen/" TargetMode="External"/><Relationship Id="rId9963" Type="http://schemas.openxmlformats.org/officeDocument/2006/relationships/hyperlink" Target="https://kelleher-international.com/" TargetMode="External"/><Relationship Id="rId11479" Type="http://schemas.openxmlformats.org/officeDocument/2006/relationships/hyperlink" Target="https://nem.health/" TargetMode="External"/><Relationship Id="rId12877" Type="http://schemas.openxmlformats.org/officeDocument/2006/relationships/hyperlink" Target="https://www.allaannonser.se/samarb-kungaslottet.html" TargetMode="External"/><Relationship Id="rId908" Type="http://schemas.openxmlformats.org/officeDocument/2006/relationships/hyperlink" Target="https://pengar.in/vilken-ar-den-billigaste-matbutiken/" TargetMode="External"/><Relationship Id="rId1538" Type="http://schemas.openxmlformats.org/officeDocument/2006/relationships/hyperlink" Target="https://ventsmagazine.co.uk/dressing-from-the-ground-up-the-importance-of-dress-socks/" TargetMode="External"/><Relationship Id="rId8565" Type="http://schemas.openxmlformats.org/officeDocument/2006/relationships/hyperlink" Target="http://nordicknots.com/" TargetMode="External"/><Relationship Id="rId9616" Type="http://schemas.openxmlformats.org/officeDocument/2006/relationships/hyperlink" Target="https://mockfjards.se/att-byta-fonster" TargetMode="External"/><Relationship Id="rId11893" Type="http://schemas.openxmlformats.org/officeDocument/2006/relationships/hyperlink" Target="http://villarelining.se/" TargetMode="External"/><Relationship Id="rId12944" Type="http://schemas.openxmlformats.org/officeDocument/2006/relationships/hyperlink" Target="https://www.battrestadsdel.se/samarbete-2/hur-lanar-regeringen-pengar/" TargetMode="External"/><Relationship Id="rId1952" Type="http://schemas.openxmlformats.org/officeDocument/2006/relationships/hyperlink" Target="https://www.grav12.se/bergvarme-bra-for-bade-miljo-och-planbok" TargetMode="External"/><Relationship Id="rId4011" Type="http://schemas.openxmlformats.org/officeDocument/2006/relationships/hyperlink" Target="https://www.spelklubben.se/sv/betting" TargetMode="External"/><Relationship Id="rId7167" Type="http://schemas.openxmlformats.org/officeDocument/2006/relationships/hyperlink" Target="https://bonuskillen.se/bilbatterier-for-man-en-guide-till-ratt-val/" TargetMode="External"/><Relationship Id="rId8218" Type="http://schemas.openxmlformats.org/officeDocument/2006/relationships/hyperlink" Target="https://hedgehog.se/iptv-teknisk-frihet-eller-ett-nytt-digitalt-beroende" TargetMode="External"/><Relationship Id="rId10495" Type="http://schemas.openxmlformats.org/officeDocument/2006/relationships/hyperlink" Target="https://www.chattanoogarehab.com/us/" TargetMode="External"/><Relationship Id="rId11546" Type="http://schemas.openxmlformats.org/officeDocument/2006/relationships/hyperlink" Target="http://sufracofinebrands.com/" TargetMode="External"/><Relationship Id="rId11960" Type="http://schemas.openxmlformats.org/officeDocument/2006/relationships/hyperlink" Target="https://www.post&#228;d.se/2023/09/27/en-nyborjarguide-till-investeringar/" TargetMode="External"/><Relationship Id="rId1605" Type="http://schemas.openxmlformats.org/officeDocument/2006/relationships/hyperlink" Target="http://distansinstitutet.se/" TargetMode="External"/><Relationship Id="rId6183" Type="http://schemas.openxmlformats.org/officeDocument/2006/relationships/hyperlink" Target="https://www.chattanoogarehab.com/us/clinical-electrotherapy/electrical-stimulation" TargetMode="External"/><Relationship Id="rId7234" Type="http://schemas.openxmlformats.org/officeDocument/2006/relationships/hyperlink" Target="http://hajper.com/" TargetMode="External"/><Relationship Id="rId7581" Type="http://schemas.openxmlformats.org/officeDocument/2006/relationships/hyperlink" Target="https://discountsover60s.co.uk/" TargetMode="External"/><Relationship Id="rId8632" Type="http://schemas.openxmlformats.org/officeDocument/2006/relationships/hyperlink" Target="https://retrohus.se/trygga-bostadsaffarer-i-trosa-och-dess-omgivningar/" TargetMode="External"/><Relationship Id="rId10148" Type="http://schemas.openxmlformats.org/officeDocument/2006/relationships/hyperlink" Target="http://lsb.se/" TargetMode="External"/><Relationship Id="rId10562" Type="http://schemas.openxmlformats.org/officeDocument/2006/relationships/hyperlink" Target="http://lilla-varlden.se/" TargetMode="External"/><Relationship Id="rId11613" Type="http://schemas.openxmlformats.org/officeDocument/2006/relationships/hyperlink" Target="https://www.industritorget.se/nyheter/begagnade+truckar/35461/" TargetMode="External"/><Relationship Id="rId3777" Type="http://schemas.openxmlformats.org/officeDocument/2006/relationships/hyperlink" Target="http://massagestockholm.se/" TargetMode="External"/><Relationship Id="rId4828" Type="http://schemas.openxmlformats.org/officeDocument/2006/relationships/hyperlink" Target="http://videoslots.com/" TargetMode="External"/><Relationship Id="rId10215" Type="http://schemas.openxmlformats.org/officeDocument/2006/relationships/hyperlink" Target="http://joinstriveon.com/" TargetMode="External"/><Relationship Id="rId698" Type="http://schemas.openxmlformats.org/officeDocument/2006/relationships/hyperlink" Target="http://schjodt.com/" TargetMode="External"/><Relationship Id="rId2379" Type="http://schemas.openxmlformats.org/officeDocument/2006/relationships/hyperlink" Target="https://distansinstitutet.se/distansutbildningar/pedagogik/vardbitrade/" TargetMode="External"/><Relationship Id="rId2793" Type="http://schemas.openxmlformats.org/officeDocument/2006/relationships/hyperlink" Target="http://finansplassen.no/" TargetMode="External"/><Relationship Id="rId3844" Type="http://schemas.openxmlformats.org/officeDocument/2006/relationships/hyperlink" Target="https://irate-games.com/bloons-td-6-en-tidlos-klassiker-i-tower-defense-genren/" TargetMode="External"/><Relationship Id="rId6250" Type="http://schemas.openxmlformats.org/officeDocument/2006/relationships/hyperlink" Target="http://tryggbil.se/" TargetMode="External"/><Relationship Id="rId7301" Type="http://schemas.openxmlformats.org/officeDocument/2006/relationships/hyperlink" Target="https://www.grontsamhallsbyggande.se/2025/01/22/viktiga-miljocertifieringar-att-kanna-till-vid-val-av-hallbart-kontorsmaterial/" TargetMode="External"/><Relationship Id="rId12387" Type="http://schemas.openxmlformats.org/officeDocument/2006/relationships/hyperlink" Target="https://www.vont.se/to-go" TargetMode="External"/><Relationship Id="rId765" Type="http://schemas.openxmlformats.org/officeDocument/2006/relationships/hyperlink" Target="https://schjodt.com/expertise/rekonstruktion-insolvens" TargetMode="External"/><Relationship Id="rId1395" Type="http://schemas.openxmlformats.org/officeDocument/2006/relationships/hyperlink" Target="https://vivaglammagazine.com/4-essential-considerations-for-the-perfect-simple-outfit/" TargetMode="External"/><Relationship Id="rId2446" Type="http://schemas.openxmlformats.org/officeDocument/2006/relationships/hyperlink" Target="https://e-ciggbolaget.se/e-cigaretter/engangs-vape/frunkbar-frozen-strawberry-engangs-vape/" TargetMode="External"/><Relationship Id="rId2860" Type="http://schemas.openxmlformats.org/officeDocument/2006/relationships/hyperlink" Target="https://lemontree.se/tjanster/devops/site-reliability-engineering/" TargetMode="External"/><Relationship Id="rId9059" Type="http://schemas.openxmlformats.org/officeDocument/2006/relationships/hyperlink" Target="https://www.petster.se/hast/hasttacken/" TargetMode="External"/><Relationship Id="rId9473" Type="http://schemas.openxmlformats.org/officeDocument/2006/relationships/hyperlink" Target="https://www.borskollen.se/tjana-pengar-snabbt" TargetMode="External"/><Relationship Id="rId12454" Type="http://schemas.openxmlformats.org/officeDocument/2006/relationships/hyperlink" Target="http://vont.se/" TargetMode="External"/><Relationship Id="rId418" Type="http://schemas.openxmlformats.org/officeDocument/2006/relationships/hyperlink" Target="http://tiotak.se/" TargetMode="External"/><Relationship Id="rId832" Type="http://schemas.openxmlformats.org/officeDocument/2006/relationships/hyperlink" Target="https://veckodag.nu/vont-se-platsen-att-ga-till-for-pod-system-nikotinpasar-och-engangs-vapes/" TargetMode="External"/><Relationship Id="rId1048" Type="http://schemas.openxmlformats.org/officeDocument/2006/relationships/hyperlink" Target="https://thenewsgod.com/the-health-benefits-of-wearing-quality-socks/" TargetMode="External"/><Relationship Id="rId1462" Type="http://schemas.openxmlformats.org/officeDocument/2006/relationships/hyperlink" Target="https://stabilokonomi.dk/saadan-kan-du-diversificere-din-portefoelje/" TargetMode="External"/><Relationship Id="rId2513" Type="http://schemas.openxmlformats.org/officeDocument/2006/relationships/hyperlink" Target="https://www.dombacksmark.se/sa-ofta-ska-du-putsa-fonster" TargetMode="External"/><Relationship Id="rId3911" Type="http://schemas.openxmlformats.org/officeDocument/2006/relationships/hyperlink" Target="https://www.fastforwardmedia.se/spara-rattvist-vad-innebar-det" TargetMode="External"/><Relationship Id="rId5669" Type="http://schemas.openxmlformats.org/officeDocument/2006/relationships/hyperlink" Target="https://www.bethard.com/sv/sports" TargetMode="External"/><Relationship Id="rId8075" Type="http://schemas.openxmlformats.org/officeDocument/2006/relationships/hyperlink" Target="http://dryft.se/" TargetMode="External"/><Relationship Id="rId9126" Type="http://schemas.openxmlformats.org/officeDocument/2006/relationships/hyperlink" Target="https://greenheal.net/mindful-stress-management-exploring-natural-and-everyday-approaches/" TargetMode="External"/><Relationship Id="rId9540" Type="http://schemas.openxmlformats.org/officeDocument/2006/relationships/hyperlink" Target="https://www.lsb.se/" TargetMode="External"/><Relationship Id="rId11056" Type="http://schemas.openxmlformats.org/officeDocument/2006/relationships/hyperlink" Target="https://ekonomikunskap.se/varfor-saljare-och-foretagare-missar-avdrag-och-hur-du-undviker-fallan/" TargetMode="External"/><Relationship Id="rId12107" Type="http://schemas.openxmlformats.org/officeDocument/2006/relationships/hyperlink" Target="https://www.webbonline.se/2023/10/27/reishi-svampens-halsofordelar-en-djupdykning-i-naturens-mirakel/" TargetMode="External"/><Relationship Id="rId1115" Type="http://schemas.openxmlformats.org/officeDocument/2006/relationships/hyperlink" Target="https://www.happysocks.com/us/adults/trend-edit" TargetMode="External"/><Relationship Id="rId7091" Type="http://schemas.openxmlformats.org/officeDocument/2006/relationships/hyperlink" Target="http://bethard.com/" TargetMode="External"/><Relationship Id="rId8142" Type="http://schemas.openxmlformats.org/officeDocument/2006/relationships/hyperlink" Target="https://www.kleer.se/lonesystem/" TargetMode="External"/><Relationship Id="rId10072" Type="http://schemas.openxmlformats.org/officeDocument/2006/relationships/hyperlink" Target="https://www.vegatus.se/8-life-hacks-for-ett-halsosammare-liv/" TargetMode="External"/><Relationship Id="rId11470" Type="http://schemas.openxmlformats.org/officeDocument/2006/relationships/hyperlink" Target="https://nem.health/" TargetMode="External"/><Relationship Id="rId12521" Type="http://schemas.openxmlformats.org/officeDocument/2006/relationships/hyperlink" Target="https://www.affarsvarlden.se/native/spetsig-fond-hittar-globala-vinnare" TargetMode="External"/><Relationship Id="rId3287" Type="http://schemas.openxmlformats.org/officeDocument/2006/relationships/hyperlink" Target="http://distansinstitutet.se/" TargetMode="External"/><Relationship Id="rId4338" Type="http://schemas.openxmlformats.org/officeDocument/2006/relationships/hyperlink" Target="http://spelklubben.se/" TargetMode="External"/><Relationship Id="rId4685" Type="http://schemas.openxmlformats.org/officeDocument/2006/relationships/hyperlink" Target="http://w3solenergi.se/" TargetMode="External"/><Relationship Id="rId5736" Type="http://schemas.openxmlformats.org/officeDocument/2006/relationships/hyperlink" Target="https://www.spelklubben.se/sv/casino" TargetMode="External"/><Relationship Id="rId11123" Type="http://schemas.openxmlformats.org/officeDocument/2006/relationships/hyperlink" Target="https://www.bergetsro.se/salja/maklare-sundbyberg/" TargetMode="External"/><Relationship Id="rId4752" Type="http://schemas.openxmlformats.org/officeDocument/2006/relationships/hyperlink" Target="https://www.merinfo.se/foretag/Fair-Investments-Sweden-AB-5568169626/2k3576i-kqah" TargetMode="External"/><Relationship Id="rId5803" Type="http://schemas.openxmlformats.org/officeDocument/2006/relationships/hyperlink" Target="https://tryggbil.se/volkswagen/" TargetMode="External"/><Relationship Id="rId8959" Type="http://schemas.openxmlformats.org/officeDocument/2006/relationships/hyperlink" Target="https://www.roligajulklappar.com/12-julklappar-som-far-plats-i-fickan-som-folk-faktiskt-vill-ha-for-under-100-spann" TargetMode="External"/><Relationship Id="rId10889" Type="http://schemas.openxmlformats.org/officeDocument/2006/relationships/hyperlink" Target="http://4him4her.com/" TargetMode="External"/><Relationship Id="rId13295" Type="http://schemas.openxmlformats.org/officeDocument/2006/relationships/hyperlink" Target="http://standupsverige.se/" TargetMode="External"/><Relationship Id="rId3354" Type="http://schemas.openxmlformats.org/officeDocument/2006/relationships/hyperlink" Target="https://m6bygg.se/" TargetMode="External"/><Relationship Id="rId4405" Type="http://schemas.openxmlformats.org/officeDocument/2006/relationships/hyperlink" Target="http://arctic.se/" TargetMode="External"/><Relationship Id="rId7975" Type="http://schemas.openxmlformats.org/officeDocument/2006/relationships/hyperlink" Target="http://petster.se/" TargetMode="External"/><Relationship Id="rId275" Type="http://schemas.openxmlformats.org/officeDocument/2006/relationships/hyperlink" Target="https://brandskor.se/sa-gor-du-dig-redo-for-en-storstadning/" TargetMode="External"/><Relationship Id="rId2370" Type="http://schemas.openxmlformats.org/officeDocument/2006/relationships/hyperlink" Target="https://www.theartofthepossible.net/var-far-man-anvanda-vape" TargetMode="External"/><Relationship Id="rId3007" Type="http://schemas.openxmlformats.org/officeDocument/2006/relationships/hyperlink" Target="https://hervibor.no/finn-den-rette-jaktstovelen-en-guide-for-entusiaster/" TargetMode="External"/><Relationship Id="rId3421" Type="http://schemas.openxmlformats.org/officeDocument/2006/relationships/hyperlink" Target="https://rosaspensionat.se/" TargetMode="External"/><Relationship Id="rId6577" Type="http://schemas.openxmlformats.org/officeDocument/2006/relationships/hyperlink" Target="http://hajper.com/" TargetMode="External"/><Relationship Id="rId6991" Type="http://schemas.openxmlformats.org/officeDocument/2006/relationships/hyperlink" Target="http://svenskiptv.com/" TargetMode="External"/><Relationship Id="rId7628" Type="http://schemas.openxmlformats.org/officeDocument/2006/relationships/hyperlink" Target="http://cdbilvardsprodukter.se/" TargetMode="External"/><Relationship Id="rId10956" Type="http://schemas.openxmlformats.org/officeDocument/2006/relationships/hyperlink" Target="https://www.spelklubben.se/" TargetMode="External"/><Relationship Id="rId13015" Type="http://schemas.openxmlformats.org/officeDocument/2006/relationships/hyperlink" Target="http://lsb.se/" TargetMode="External"/><Relationship Id="rId342" Type="http://schemas.openxmlformats.org/officeDocument/2006/relationships/hyperlink" Target="https://alltombarnfamiljen.se/ska-du-kopa-ny-barnvagn-har-ar-5-tips-for-att-fatta-ett-valgrundat-beslut/" TargetMode="External"/><Relationship Id="rId2023" Type="http://schemas.openxmlformats.org/officeDocument/2006/relationships/hyperlink" Target="https://www.oconnors.se/" TargetMode="External"/><Relationship Id="rId5179" Type="http://schemas.openxmlformats.org/officeDocument/2006/relationships/hyperlink" Target="https://sakraror.se/" TargetMode="External"/><Relationship Id="rId5593" Type="http://schemas.openxmlformats.org/officeDocument/2006/relationships/hyperlink" Target="https://kostgajden.se/allt-du-behover-veta-om-att-valja-ratt-hundfoder/" TargetMode="External"/><Relationship Id="rId6644" Type="http://schemas.openxmlformats.org/officeDocument/2006/relationships/hyperlink" Target="http://snusnetto.se/" TargetMode="External"/><Relationship Id="rId9050" Type="http://schemas.openxmlformats.org/officeDocument/2006/relationships/hyperlink" Target="http://bethard.com/sv/sports" TargetMode="External"/><Relationship Id="rId10609" Type="http://schemas.openxmlformats.org/officeDocument/2006/relationships/hyperlink" Target="http://megariches.com/" TargetMode="External"/><Relationship Id="rId12031" Type="http://schemas.openxmlformats.org/officeDocument/2006/relationships/hyperlink" Target="https://passioneffect.se/rosmarinolja-i-skonhetsindustrin-naturlig-skonhet-med-en-doft-av-rosmarin/" TargetMode="External"/><Relationship Id="rId4195" Type="http://schemas.openxmlformats.org/officeDocument/2006/relationships/hyperlink" Target="https://www.merinfo.se/foretag/Fair-Investments-Sweden-AB-5568169626/2k3576i-kqah" TargetMode="External"/><Relationship Id="rId5246" Type="http://schemas.openxmlformats.org/officeDocument/2006/relationships/hyperlink" Target="http://nodepositbonus.cc/" TargetMode="External"/><Relationship Id="rId1789" Type="http://schemas.openxmlformats.org/officeDocument/2006/relationships/hyperlink" Target="https://www.mariatand.se/" TargetMode="External"/><Relationship Id="rId4262" Type="http://schemas.openxmlformats.org/officeDocument/2006/relationships/hyperlink" Target="https://doortogate.se/upptack-medeltidsstaden-visby-en-resa-genom-historien/" TargetMode="External"/><Relationship Id="rId5660" Type="http://schemas.openxmlformats.org/officeDocument/2006/relationships/hyperlink" Target="https://ekstromgaray.se/skicka-in-manus/" TargetMode="External"/><Relationship Id="rId6711" Type="http://schemas.openxmlformats.org/officeDocument/2006/relationships/hyperlink" Target="https://www.purakliniken.se/estetisk-tandvard/skalfasader/" TargetMode="External"/><Relationship Id="rId8469" Type="http://schemas.openxmlformats.org/officeDocument/2006/relationships/hyperlink" Target="https://mynicco.com/product-category/zyn/" TargetMode="External"/><Relationship Id="rId9867" Type="http://schemas.openxmlformats.org/officeDocument/2006/relationships/hyperlink" Target="https://www.citybeat.com/contributor-news/boosting-roofing-business-performance-through-specialized-crm-solutions-19729184" TargetMode="External"/><Relationship Id="rId11797" Type="http://schemas.openxmlformats.org/officeDocument/2006/relationships/hyperlink" Target="https://tiotak.se/" TargetMode="External"/><Relationship Id="rId12848" Type="http://schemas.openxmlformats.org/officeDocument/2006/relationships/hyperlink" Target="http://aretrotale.com/" TargetMode="External"/><Relationship Id="rId1856" Type="http://schemas.openxmlformats.org/officeDocument/2006/relationships/hyperlink" Target="http://sundsvallbergvarme.se/" TargetMode="External"/><Relationship Id="rId2907" Type="http://schemas.openxmlformats.org/officeDocument/2006/relationships/hyperlink" Target="https://finansplassen.no/" TargetMode="External"/><Relationship Id="rId5313" Type="http://schemas.openxmlformats.org/officeDocument/2006/relationships/hyperlink" Target="http://bethard.com/" TargetMode="External"/><Relationship Id="rId8883" Type="http://schemas.openxmlformats.org/officeDocument/2006/relationships/hyperlink" Target="https://pressofatlanticcity.com/life-entertainment/article_68c0e9fc-8738-5f1f-bcd2-02de978c5b3d.html" TargetMode="External"/><Relationship Id="rId9934" Type="http://schemas.openxmlformats.org/officeDocument/2006/relationships/hyperlink" Target="https://www.indoorprofessional.se/" TargetMode="External"/><Relationship Id="rId10399" Type="http://schemas.openxmlformats.org/officeDocument/2006/relationships/hyperlink" Target="https://www.vegatus.se/sa-kan-en-forbattrad-tandhalsa-paverka-din-allmanna-halsa/" TargetMode="External"/><Relationship Id="rId11864" Type="http://schemas.openxmlformats.org/officeDocument/2006/relationships/hyperlink" Target="https://www.freckeus.se/" TargetMode="External"/><Relationship Id="rId12915" Type="http://schemas.openxmlformats.org/officeDocument/2006/relationships/hyperlink" Target="http://mrvegas.com/" TargetMode="External"/><Relationship Id="rId1509" Type="http://schemas.openxmlformats.org/officeDocument/2006/relationships/hyperlink" Target="https://thejeansblog.com/styling-jeans/styling-socks-with-jeans-in-2023/" TargetMode="External"/><Relationship Id="rId1923" Type="http://schemas.openxmlformats.org/officeDocument/2006/relationships/hyperlink" Target="http://arctic.se/" TargetMode="External"/><Relationship Id="rId7485" Type="http://schemas.openxmlformats.org/officeDocument/2006/relationships/hyperlink" Target="https://fairinvestments.se/kunskapsbank/" TargetMode="External"/><Relationship Id="rId8536" Type="http://schemas.openxmlformats.org/officeDocument/2006/relationships/hyperlink" Target="https://www.chattanoogarehab.com/" TargetMode="External"/><Relationship Id="rId8950" Type="http://schemas.openxmlformats.org/officeDocument/2006/relationships/hyperlink" Target="https://lindenytt.com/extra/tandvard-i-olika-samhallsmiljoer-en-jamforelse-mellan-stad-forort-landsbygd/" TargetMode="External"/><Relationship Id="rId10466" Type="http://schemas.openxmlformats.org/officeDocument/2006/relationships/hyperlink" Target="https://duochjobbet.se/de-viktigaste-investeringarna-ombord-for-dig-som-jobbar-till-sjoss/" TargetMode="External"/><Relationship Id="rId10880" Type="http://schemas.openxmlformats.org/officeDocument/2006/relationships/hyperlink" Target="https://www.kleer.se/ekonomisystem/" TargetMode="External"/><Relationship Id="rId11517" Type="http://schemas.openxmlformats.org/officeDocument/2006/relationships/hyperlink" Target="https://www.robomarkets.com/se/forex-trading/assets/indices/" TargetMode="External"/><Relationship Id="rId6087" Type="http://schemas.openxmlformats.org/officeDocument/2006/relationships/hyperlink" Target="http://spelklubben.se/" TargetMode="External"/><Relationship Id="rId7138" Type="http://schemas.openxmlformats.org/officeDocument/2006/relationships/hyperlink" Target="https://www.rusta.com/se/sv/hem--inredning/mattor/" TargetMode="External"/><Relationship Id="rId7552" Type="http://schemas.openxmlformats.org/officeDocument/2006/relationships/hyperlink" Target="https://www.coface.dk/ordliste-for-kreditforsikring-og-kreditstyring/kreditvurdering" TargetMode="External"/><Relationship Id="rId8603" Type="http://schemas.openxmlformats.org/officeDocument/2006/relationships/hyperlink" Target="https://aerius.se/tjanster/ftx-system/" TargetMode="External"/><Relationship Id="rId10119" Type="http://schemas.openxmlformats.org/officeDocument/2006/relationships/hyperlink" Target="https://bovision.se/inspiration/inredningstrender-2025-hem-med-stil-och-haallbarhet" TargetMode="External"/><Relationship Id="rId10533" Type="http://schemas.openxmlformats.org/officeDocument/2006/relationships/hyperlink" Target="https://www.sporthalsa.se/artiklar/sveriges-damlandslag-i-toppform-vankas-det-guld/" TargetMode="External"/><Relationship Id="rId11931" Type="http://schemas.openxmlformats.org/officeDocument/2006/relationships/hyperlink" Target="https://www.robomarkets.com/se/" TargetMode="External"/><Relationship Id="rId2697" Type="http://schemas.openxmlformats.org/officeDocument/2006/relationships/hyperlink" Target="http://glitnor.com/" TargetMode="External"/><Relationship Id="rId3748" Type="http://schemas.openxmlformats.org/officeDocument/2006/relationships/hyperlink" Target="https://conclean.se/produkter/minireningsverk/" TargetMode="External"/><Relationship Id="rId6154" Type="http://schemas.openxmlformats.org/officeDocument/2006/relationships/hyperlink" Target="https://www.procup.se/Hitta-sponsor-till-din-turnering---tips.htm" TargetMode="External"/><Relationship Id="rId7205" Type="http://schemas.openxmlformats.org/officeDocument/2006/relationships/hyperlink" Target="https://nutidshuset.se/hemstadningstjanster-i-stockholm-och-uppsala-en-guide-till-kvalitetsstadning/" TargetMode="External"/><Relationship Id="rId669" Type="http://schemas.openxmlformats.org/officeDocument/2006/relationships/hyperlink" Target="https://1883magazine.com/smart-casual-the-fundamentals-of-a-casual-attire/" TargetMode="External"/><Relationship Id="rId1299" Type="http://schemas.openxmlformats.org/officeDocument/2006/relationships/hyperlink" Target="https://sufracofinebrands.com/kategori/sopset" TargetMode="External"/><Relationship Id="rId5170" Type="http://schemas.openxmlformats.org/officeDocument/2006/relationships/hyperlink" Target="https://m6bygg.se/" TargetMode="External"/><Relationship Id="rId6221" Type="http://schemas.openxmlformats.org/officeDocument/2006/relationships/hyperlink" Target="https://oljedroppen.se/produkt-kategori/bilprodukter/motorolja/" TargetMode="External"/><Relationship Id="rId9377" Type="http://schemas.openxmlformats.org/officeDocument/2006/relationships/hyperlink" Target="https://www.allsvenskantabell.se/vi-verkar-slippa-annu-ett-malmo-guld/" TargetMode="External"/><Relationship Id="rId10600" Type="http://schemas.openxmlformats.org/officeDocument/2006/relationships/hyperlink" Target="http://willabgarden.de/" TargetMode="External"/><Relationship Id="rId736" Type="http://schemas.openxmlformats.org/officeDocument/2006/relationships/hyperlink" Target="https://kapitalguide.se/att-investera-pengar-regelbundet-och-langsiktigt-ar-det-basta-sattet-att-samla-ihop-ett-storre-kapital-over-tid/" TargetMode="External"/><Relationship Id="rId1366" Type="http://schemas.openxmlformats.org/officeDocument/2006/relationships/hyperlink" Target="http://alfa.no/" TargetMode="External"/><Relationship Id="rId2417" Type="http://schemas.openxmlformats.org/officeDocument/2006/relationships/hyperlink" Target="https://haxan.se/products/propplosare" TargetMode="External"/><Relationship Id="rId2764" Type="http://schemas.openxmlformats.org/officeDocument/2006/relationships/hyperlink" Target="http://luckycasino.com/en/" TargetMode="External"/><Relationship Id="rId3815" Type="http://schemas.openxmlformats.org/officeDocument/2006/relationships/hyperlink" Target="http://ampilo.se/" TargetMode="External"/><Relationship Id="rId8393" Type="http://schemas.openxmlformats.org/officeDocument/2006/relationships/hyperlink" Target="https://www.swedoffice.se/kategori/69602-gaffelparm-trarygg" TargetMode="External"/><Relationship Id="rId9444" Type="http://schemas.openxmlformats.org/officeDocument/2006/relationships/hyperlink" Target="https://leaptodigital.com/roofing-crm" TargetMode="External"/><Relationship Id="rId9791" Type="http://schemas.openxmlformats.org/officeDocument/2006/relationships/hyperlink" Target="http://startmotor.se/" TargetMode="External"/><Relationship Id="rId12358" Type="http://schemas.openxmlformats.org/officeDocument/2006/relationships/hyperlink" Target="https://www.leipziginfo.de/ratgeber/wohnen/leipzig-unter-den-top-10-der-europaeischen-staedte-mit-der-hoechsten-lebensqualitaet/" TargetMode="External"/><Relationship Id="rId12772" Type="http://schemas.openxmlformats.org/officeDocument/2006/relationships/hyperlink" Target="https://www.jakt.se/kikare-och-kikarsikten" TargetMode="External"/><Relationship Id="rId1019" Type="http://schemas.openxmlformats.org/officeDocument/2006/relationships/hyperlink" Target="https://distansinstitutet.se/distansutbildningar/inredning/" TargetMode="External"/><Relationship Id="rId1780" Type="http://schemas.openxmlformats.org/officeDocument/2006/relationships/hyperlink" Target="https://pontechmarina.com/se/flytbrygga/" TargetMode="External"/><Relationship Id="rId2831" Type="http://schemas.openxmlformats.org/officeDocument/2006/relationships/hyperlink" Target="https://www.tomos.ch/motorradfahren-und-nikotin" TargetMode="External"/><Relationship Id="rId5987" Type="http://schemas.openxmlformats.org/officeDocument/2006/relationships/hyperlink" Target="http://mynicco.com/" TargetMode="External"/><Relationship Id="rId8046" Type="http://schemas.openxmlformats.org/officeDocument/2006/relationships/hyperlink" Target="http://nordicknots.com/" TargetMode="External"/><Relationship Id="rId11374" Type="http://schemas.openxmlformats.org/officeDocument/2006/relationships/hyperlink" Target="http://haxan.se/" TargetMode="External"/><Relationship Id="rId12425" Type="http://schemas.openxmlformats.org/officeDocument/2006/relationships/hyperlink" Target="https://www.heteknik.se/" TargetMode="External"/><Relationship Id="rId72" Type="http://schemas.openxmlformats.org/officeDocument/2006/relationships/hyperlink" Target="https://ljusgrossisten.se/" TargetMode="External"/><Relationship Id="rId803" Type="http://schemas.openxmlformats.org/officeDocument/2006/relationships/hyperlink" Target="https://www.happysocks.com/us/collection/dressed" TargetMode="External"/><Relationship Id="rId1433" Type="http://schemas.openxmlformats.org/officeDocument/2006/relationships/hyperlink" Target="http://pontech.se/" TargetMode="External"/><Relationship Id="rId4589" Type="http://schemas.openxmlformats.org/officeDocument/2006/relationships/hyperlink" Target="http://storgruppen.se/" TargetMode="External"/><Relationship Id="rId8460" Type="http://schemas.openxmlformats.org/officeDocument/2006/relationships/hyperlink" Target="http://mobot.com/" TargetMode="External"/><Relationship Id="rId9511" Type="http://schemas.openxmlformats.org/officeDocument/2006/relationships/hyperlink" Target="https://www.newst.se/titta-ut-utan-nagon-ser-in-insynsknepen-som-funkar/" TargetMode="External"/><Relationship Id="rId10390" Type="http://schemas.openxmlformats.org/officeDocument/2006/relationships/hyperlink" Target="http://swedenlongstay.se/" TargetMode="External"/><Relationship Id="rId11027" Type="http://schemas.openxmlformats.org/officeDocument/2006/relationships/hyperlink" Target="http://kruunukaluste.fi/" TargetMode="External"/><Relationship Id="rId11441" Type="http://schemas.openxmlformats.org/officeDocument/2006/relationships/hyperlink" Target="https://www.lansfast.se/maklare/sodermanland/nykoping/" TargetMode="External"/><Relationship Id="rId1500" Type="http://schemas.openxmlformats.org/officeDocument/2006/relationships/hyperlink" Target="https://www.tandea.se/tandvard/akut-tandvard-stockholm/" TargetMode="External"/><Relationship Id="rId4656" Type="http://schemas.openxmlformats.org/officeDocument/2006/relationships/hyperlink" Target="http://kvarnx.com/" TargetMode="External"/><Relationship Id="rId5707" Type="http://schemas.openxmlformats.org/officeDocument/2006/relationships/hyperlink" Target="http://kleer.se/" TargetMode="External"/><Relationship Id="rId7062" Type="http://schemas.openxmlformats.org/officeDocument/2006/relationships/hyperlink" Target="http://aretrotale.com/" TargetMode="External"/><Relationship Id="rId8113" Type="http://schemas.openxmlformats.org/officeDocument/2006/relationships/hyperlink" Target="https://herrprylar.se/sa-hittar-du-de-basta-bilvardsprodukter-for-man/" TargetMode="External"/><Relationship Id="rId10043" Type="http://schemas.openxmlformats.org/officeDocument/2006/relationships/hyperlink" Target="https://www.nettotobak.com/velo/" TargetMode="External"/><Relationship Id="rId13199" Type="http://schemas.openxmlformats.org/officeDocument/2006/relationships/hyperlink" Target="http://ykkoslohja.fi/" TargetMode="External"/><Relationship Id="rId3258" Type="http://schemas.openxmlformats.org/officeDocument/2006/relationships/hyperlink" Target="http://distansinstitutet.se/" TargetMode="External"/><Relationship Id="rId3672" Type="http://schemas.openxmlformats.org/officeDocument/2006/relationships/hyperlink" Target="http://fairinvestments.se/" TargetMode="External"/><Relationship Id="rId4309" Type="http://schemas.openxmlformats.org/officeDocument/2006/relationships/hyperlink" Target="https://grimetonradio.se/vikten-av-tillgang-till-en-trygg-tillforlitlig-bilmekaniker-med-kannedom-om-din-bil/" TargetMode="External"/><Relationship Id="rId4723" Type="http://schemas.openxmlformats.org/officeDocument/2006/relationships/hyperlink" Target="http://spelklubben.se/" TargetMode="External"/><Relationship Id="rId7879" Type="http://schemas.openxmlformats.org/officeDocument/2006/relationships/hyperlink" Target="https://www.amazon.com/Racha-Organics-Sriracha-Sauce-Certified/dp/B0CYLCC464" TargetMode="External"/><Relationship Id="rId10110" Type="http://schemas.openxmlformats.org/officeDocument/2006/relationships/hyperlink" Target="https://www.swesub.nu/filmkunskap/klassiska-fargpaletter-i-film-nar-farg-och-ljus-blir-till-budskap/" TargetMode="External"/><Relationship Id="rId13266" Type="http://schemas.openxmlformats.org/officeDocument/2006/relationships/hyperlink" Target="https://tiotak.se/byta-tak-maskinhall/" TargetMode="External"/><Relationship Id="rId179" Type="http://schemas.openxmlformats.org/officeDocument/2006/relationships/hyperlink" Target="https://www.elmarknad.se/" TargetMode="External"/><Relationship Id="rId593" Type="http://schemas.openxmlformats.org/officeDocument/2006/relationships/hyperlink" Target="https://www.villarelining.se/" TargetMode="External"/><Relationship Id="rId2274" Type="http://schemas.openxmlformats.org/officeDocument/2006/relationships/hyperlink" Target="https://www.lansfast.se/maklare/stockholm/taby-danderyd/" TargetMode="External"/><Relationship Id="rId3325" Type="http://schemas.openxmlformats.org/officeDocument/2006/relationships/hyperlink" Target="http://finansplassen.no/" TargetMode="External"/><Relationship Id="rId12282" Type="http://schemas.openxmlformats.org/officeDocument/2006/relationships/hyperlink" Target="https://www.alexbyggkonsult.se/" TargetMode="External"/><Relationship Id="rId246" Type="http://schemas.openxmlformats.org/officeDocument/2006/relationships/hyperlink" Target="http://haxan.se/" TargetMode="External"/><Relationship Id="rId660" Type="http://schemas.openxmlformats.org/officeDocument/2006/relationships/hyperlink" Target="https://fashionterest.com/adding-color-to-your-wardrobe/" TargetMode="External"/><Relationship Id="rId1290" Type="http://schemas.openxmlformats.org/officeDocument/2006/relationships/hyperlink" Target="https://distansinstitutet.se/distansutbildningar/ekonomi/" TargetMode="External"/><Relationship Id="rId2341" Type="http://schemas.openxmlformats.org/officeDocument/2006/relationships/hyperlink" Target="http://foyen.se/" TargetMode="External"/><Relationship Id="rId5497" Type="http://schemas.openxmlformats.org/officeDocument/2006/relationships/hyperlink" Target="http://kamux.fi/" TargetMode="External"/><Relationship Id="rId6548" Type="http://schemas.openxmlformats.org/officeDocument/2006/relationships/hyperlink" Target="https://www.cwinz.com/" TargetMode="External"/><Relationship Id="rId6895" Type="http://schemas.openxmlformats.org/officeDocument/2006/relationships/hyperlink" Target="http://upplevelse.com/" TargetMode="External"/><Relationship Id="rId7946" Type="http://schemas.openxmlformats.org/officeDocument/2006/relationships/hyperlink" Target="https://www.bergetsro.se/" TargetMode="External"/><Relationship Id="rId10927" Type="http://schemas.openxmlformats.org/officeDocument/2006/relationships/hyperlink" Target="https://technobark.com/best-dog-gps-trackers/" TargetMode="External"/><Relationship Id="rId313" Type="http://schemas.openxmlformats.org/officeDocument/2006/relationships/hyperlink" Target="http://elmarknad.se/" TargetMode="External"/><Relationship Id="rId4099" Type="http://schemas.openxmlformats.org/officeDocument/2006/relationships/hyperlink" Target="https://fairinvestments.se/" TargetMode="External"/><Relationship Id="rId6962" Type="http://schemas.openxmlformats.org/officeDocument/2006/relationships/hyperlink" Target="https://www.nyaprojekt.se/2024/12/21/kulturarv-i-glas-och-tra-fonster-i-historiska-byggnader/" TargetMode="External"/><Relationship Id="rId9021" Type="http://schemas.openxmlformats.org/officeDocument/2006/relationships/hyperlink" Target="http://mockfjards.se/" TargetMode="External"/><Relationship Id="rId5564" Type="http://schemas.openxmlformats.org/officeDocument/2006/relationships/hyperlink" Target="https://www.firstfridayhopping.se/" TargetMode="External"/><Relationship Id="rId6615" Type="http://schemas.openxmlformats.org/officeDocument/2006/relationships/hyperlink" Target="https://slotspojken.se/vad-ar-free-spins-utan-omsattningskrav/" TargetMode="External"/><Relationship Id="rId12002" Type="http://schemas.openxmlformats.org/officeDocument/2006/relationships/hyperlink" Target="https://healthyliving.se/?p=225" TargetMode="External"/><Relationship Id="rId1010" Type="http://schemas.openxmlformats.org/officeDocument/2006/relationships/hyperlink" Target="https://distansinstitutet.se/distansutbildningar/administration/" TargetMode="External"/><Relationship Id="rId4166" Type="http://schemas.openxmlformats.org/officeDocument/2006/relationships/hyperlink" Target="https://aaatak.se/" TargetMode="External"/><Relationship Id="rId4580" Type="http://schemas.openxmlformats.org/officeDocument/2006/relationships/hyperlink" Target="https://www.cdg.io/services/virtual-ciso/" TargetMode="External"/><Relationship Id="rId5217" Type="http://schemas.openxmlformats.org/officeDocument/2006/relationships/hyperlink" Target="http://ledkungen.se/" TargetMode="External"/><Relationship Id="rId5631" Type="http://schemas.openxmlformats.org/officeDocument/2006/relationships/hyperlink" Target="http://bethard.com/" TargetMode="External"/><Relationship Id="rId8787" Type="http://schemas.openxmlformats.org/officeDocument/2006/relationships/hyperlink" Target="http://aerius.se/" TargetMode="External"/><Relationship Id="rId9838" Type="http://schemas.openxmlformats.org/officeDocument/2006/relationships/hyperlink" Target="https://mammatid.se/personlig-harvard-for-kvinnor-pa-sodermalm/" TargetMode="External"/><Relationship Id="rId11768" Type="http://schemas.openxmlformats.org/officeDocument/2006/relationships/hyperlink" Target="https://yagya.com/" TargetMode="External"/><Relationship Id="rId1827" Type="http://schemas.openxmlformats.org/officeDocument/2006/relationships/hyperlink" Target="https://gravnorrkoping.se/saneringslosningar-for-bostadsratter-och-foreningar-modern-teknik-och-proffsforetag-med-erfarenhet-for-effektiva-resultat/" TargetMode="External"/><Relationship Id="rId7389" Type="http://schemas.openxmlformats.org/officeDocument/2006/relationships/hyperlink" Target="https://thechannelrace.org/beyond-the-swim-reducing-carbon-footprint-with-eco-conscious-gear/" TargetMode="External"/><Relationship Id="rId12819" Type="http://schemas.openxmlformats.org/officeDocument/2006/relationships/hyperlink" Target="http://turner.fi/" TargetMode="External"/><Relationship Id="rId13190" Type="http://schemas.openxmlformats.org/officeDocument/2006/relationships/hyperlink" Target="https://timeandleisure.co.uk/promotions/the-psychology-of-surprise-in-london-life/" TargetMode="External"/><Relationship Id="rId3999" Type="http://schemas.openxmlformats.org/officeDocument/2006/relationships/hyperlink" Target="https://www.realtid.se/la-reine-mannen-ar-tillbaka-lockar-investeringar-till-solcellsbranschen/" TargetMode="External"/><Relationship Id="rId4300" Type="http://schemas.openxmlformats.org/officeDocument/2006/relationships/hyperlink" Target="https://galantdesign.se/hus/forbattringar-byggnationer-infor-sommaren-sa-forhojer-du-sommarupplevelsen-i-din-villa/" TargetMode="External"/><Relationship Id="rId170" Type="http://schemas.openxmlformats.org/officeDocument/2006/relationships/hyperlink" Target="https://barnfota.se/2022/12/02/den-viktigaste-utrustningen-att-kopa-om-ni-vantar-barn/" TargetMode="External"/><Relationship Id="rId6472" Type="http://schemas.openxmlformats.org/officeDocument/2006/relationships/hyperlink" Target="https://casinogringos.se/" TargetMode="External"/><Relationship Id="rId7523" Type="http://schemas.openxmlformats.org/officeDocument/2006/relationships/hyperlink" Target="https://www.tandea.se/tandvard/" TargetMode="External"/><Relationship Id="rId7870" Type="http://schemas.openxmlformats.org/officeDocument/2006/relationships/hyperlink" Target="http://mynicco.com/" TargetMode="External"/><Relationship Id="rId8921" Type="http://schemas.openxmlformats.org/officeDocument/2006/relationships/hyperlink" Target="https://www.theolivepress.es/spain-news/2025/04/29/why-we-need-to-talk-about-overconsumption-and-what-you-can-do-about-it/" TargetMode="External"/><Relationship Id="rId10851" Type="http://schemas.openxmlformats.org/officeDocument/2006/relationships/hyperlink" Target="https://joinstriveon.com/solutions/athlete-development-and-management" TargetMode="External"/><Relationship Id="rId11902" Type="http://schemas.openxmlformats.org/officeDocument/2006/relationships/hyperlink" Target="http://schjodt.com/" TargetMode="External"/><Relationship Id="rId5074" Type="http://schemas.openxmlformats.org/officeDocument/2006/relationships/hyperlink" Target="https://www.jorgenlarsson.nu/funkar-solceller-om-strommen-gar" TargetMode="External"/><Relationship Id="rId6125" Type="http://schemas.openxmlformats.org/officeDocument/2006/relationships/hyperlink" Target="https://qrius.com/the-rise-of-telerehabilitation-in-modern-healthcare/" TargetMode="External"/><Relationship Id="rId10504" Type="http://schemas.openxmlformats.org/officeDocument/2006/relationships/hyperlink" Target="https://www.newst.se/vilken-upplevelse-passar-dig-din-pojkvan/" TargetMode="External"/><Relationship Id="rId8297" Type="http://schemas.openxmlformats.org/officeDocument/2006/relationships/hyperlink" Target="https://iptvdansk.com/" TargetMode="External"/><Relationship Id="rId9695" Type="http://schemas.openxmlformats.org/officeDocument/2006/relationships/hyperlink" Target="http://rusta.se/" TargetMode="External"/><Relationship Id="rId12676" Type="http://schemas.openxmlformats.org/officeDocument/2006/relationships/hyperlink" Target="https://familjeekonomin.se/sakerstall-ekonomisk-trygghet-med-ratt-forsakring-for-solcellsanlaggningar/" TargetMode="External"/><Relationship Id="rId1684" Type="http://schemas.openxmlformats.org/officeDocument/2006/relationships/hyperlink" Target="http://triwa.com/" TargetMode="External"/><Relationship Id="rId2735" Type="http://schemas.openxmlformats.org/officeDocument/2006/relationships/hyperlink" Target="https://www.privataaffarer.se/alla-nyheter/nyheter/35-nya-bluffbolag-i-oktober-pa-fis-varningslista/" TargetMode="External"/><Relationship Id="rId9348" Type="http://schemas.openxmlformats.org/officeDocument/2006/relationships/hyperlink" Target="https://www.bethard.com/sv/sports" TargetMode="External"/><Relationship Id="rId11278" Type="http://schemas.openxmlformats.org/officeDocument/2006/relationships/hyperlink" Target="https://www.dieselkraft.se/" TargetMode="External"/><Relationship Id="rId12329" Type="http://schemas.openxmlformats.org/officeDocument/2006/relationships/hyperlink" Target="https://www.vont.se/to-go" TargetMode="External"/><Relationship Id="rId707" Type="http://schemas.openxmlformats.org/officeDocument/2006/relationships/hyperlink" Target="http://schjodt.com/" TargetMode="External"/><Relationship Id="rId1337" Type="http://schemas.openxmlformats.org/officeDocument/2006/relationships/hyperlink" Target="https://andreanorrman.se/big-ben-standup-stockholms-komikscen-som-fostrat-sveriges-storsta-komiker/" TargetMode="External"/><Relationship Id="rId5958" Type="http://schemas.openxmlformats.org/officeDocument/2006/relationships/hyperlink" Target="http://cherry.com/" TargetMode="External"/><Relationship Id="rId43" Type="http://schemas.openxmlformats.org/officeDocument/2006/relationships/hyperlink" Target="http://haxan.se/" TargetMode="External"/><Relationship Id="rId7380" Type="http://schemas.openxmlformats.org/officeDocument/2006/relationships/hyperlink" Target="https://resident.com/resource-guide/2025/01/24/top-7-condiments-that-can-enhance-your-meals" TargetMode="External"/><Relationship Id="rId8431" Type="http://schemas.openxmlformats.org/officeDocument/2006/relationships/hyperlink" Target="http://hund.se/koppel-selar-och-halsband" TargetMode="External"/><Relationship Id="rId10361" Type="http://schemas.openxmlformats.org/officeDocument/2006/relationships/hyperlink" Target="https://www.recyclingnet.se/lb-article/181804/atervinn-dina-lampor-pa-ratt-satt-en-guide-for-hallbar-kallsortering" TargetMode="External"/><Relationship Id="rId12810" Type="http://schemas.openxmlformats.org/officeDocument/2006/relationships/hyperlink" Target="http://turner.fi/" TargetMode="External"/><Relationship Id="rId7033" Type="http://schemas.openxmlformats.org/officeDocument/2006/relationships/hyperlink" Target="https://hudsonweekly.com/empowering-businesses-through-expert-it-consulting/" TargetMode="External"/><Relationship Id="rId10014" Type="http://schemas.openxmlformats.org/officeDocument/2006/relationships/hyperlink" Target="https://eventeffect.se/vilka-forandringar-kan-eventbranschen-forvanta-sig-de-narmaste-aren/" TargetMode="External"/><Relationship Id="rId11412" Type="http://schemas.openxmlformats.org/officeDocument/2006/relationships/hyperlink" Target="https://www.saleseffect.se/hitta-maklare-i-nykoping/" TargetMode="External"/><Relationship Id="rId3990" Type="http://schemas.openxmlformats.org/officeDocument/2006/relationships/hyperlink" Target="http://purakliniken.se/" TargetMode="External"/><Relationship Id="rId1194" Type="http://schemas.openxmlformats.org/officeDocument/2006/relationships/hyperlink" Target="https://dinlokalabokhandel.se/att-byta-tak-pa-en-ekonomibyggnad-en-djupdykning-i-processen-och-dess-fordelar/" TargetMode="External"/><Relationship Id="rId2592" Type="http://schemas.openxmlformats.org/officeDocument/2006/relationships/hyperlink" Target="https://ironmanmagazine.se/du-behovs-inom-varden" TargetMode="External"/><Relationship Id="rId3643" Type="http://schemas.openxmlformats.org/officeDocument/2006/relationships/hyperlink" Target="https://www.madeinsweden.se/" TargetMode="External"/><Relationship Id="rId12186" Type="http://schemas.openxmlformats.org/officeDocument/2006/relationships/hyperlink" Target="http://bigbenstandup.com/" TargetMode="External"/><Relationship Id="rId13237" Type="http://schemas.openxmlformats.org/officeDocument/2006/relationships/hyperlink" Target="http://startmotor.se/" TargetMode="External"/><Relationship Id="rId217" Type="http://schemas.openxmlformats.org/officeDocument/2006/relationships/hyperlink" Target="http://ljusgrossisten.se/" TargetMode="External"/><Relationship Id="rId564" Type="http://schemas.openxmlformats.org/officeDocument/2006/relationships/hyperlink" Target="https://www.kopbarnvagn.se/sv/artiklar/bugaboo-donkey-5-mono-inkl-bugaboo-babyskydd.html" TargetMode="External"/><Relationship Id="rId2245" Type="http://schemas.openxmlformats.org/officeDocument/2006/relationships/hyperlink" Target="http://villarelining.se/" TargetMode="External"/><Relationship Id="rId6866" Type="http://schemas.openxmlformats.org/officeDocument/2006/relationships/hyperlink" Target="https://svenskiptv.com/" TargetMode="External"/><Relationship Id="rId7917" Type="http://schemas.openxmlformats.org/officeDocument/2006/relationships/hyperlink" Target="http://acnespecialisten.se/" TargetMode="External"/><Relationship Id="rId5468" Type="http://schemas.openxmlformats.org/officeDocument/2006/relationships/hyperlink" Target="https://whatstrending.com/can-custom-water-bottles-boost-your-business/" TargetMode="External"/><Relationship Id="rId6519" Type="http://schemas.openxmlformats.org/officeDocument/2006/relationships/hyperlink" Target="http://nodepositbonus.cc/" TargetMode="External"/><Relationship Id="rId12320" Type="http://schemas.openxmlformats.org/officeDocument/2006/relationships/hyperlink" Target="https://eventeffect.se/solcellsakring-en-avgorande-investering-for-langsiktig-hallbarhet-och-ekonomisk-trygghet/" TargetMode="External"/><Relationship Id="rId4551" Type="http://schemas.openxmlformats.org/officeDocument/2006/relationships/hyperlink" Target="http://hampabonden.se/" TargetMode="External"/><Relationship Id="rId13094" Type="http://schemas.openxmlformats.org/officeDocument/2006/relationships/hyperlink" Target="http://spelklubben.se/" TargetMode="External"/><Relationship Id="rId3153" Type="http://schemas.openxmlformats.org/officeDocument/2006/relationships/hyperlink" Target="http://w3solenergi.se/" TargetMode="External"/><Relationship Id="rId4204" Type="http://schemas.openxmlformats.org/officeDocument/2006/relationships/hyperlink" Target="http://cdg.io/" TargetMode="External"/><Relationship Id="rId5602" Type="http://schemas.openxmlformats.org/officeDocument/2006/relationships/hyperlink" Target="https://www.skraphamtarna.se/priser-privat/" TargetMode="External"/><Relationship Id="rId7774" Type="http://schemas.openxmlformats.org/officeDocument/2006/relationships/hyperlink" Target="https://www.grontsamhallsbyggande.se/2025/02/20/spegelinstallationer-i-offentliga-rum/" TargetMode="External"/><Relationship Id="rId8825" Type="http://schemas.openxmlformats.org/officeDocument/2006/relationships/hyperlink" Target="https://www.lsb.se/" TargetMode="External"/><Relationship Id="rId10755" Type="http://schemas.openxmlformats.org/officeDocument/2006/relationships/hyperlink" Target="https://miljonhuset.se/vikten-av-att-valja-ratt-rormokare-i-stockholm-for-ditt-boende/" TargetMode="External"/><Relationship Id="rId11806" Type="http://schemas.openxmlformats.org/officeDocument/2006/relationships/hyperlink" Target="https://havstomt.se/" TargetMode="External"/><Relationship Id="rId6029" Type="http://schemas.openxmlformats.org/officeDocument/2006/relationships/hyperlink" Target="http://acnespecialisten.se/" TargetMode="External"/><Relationship Id="rId6376" Type="http://schemas.openxmlformats.org/officeDocument/2006/relationships/hyperlink" Target="https://usawire.com/micro-breaks-for-macro-results-how-5-minute-breaks-can-boost-your-productivity/" TargetMode="External"/><Relationship Id="rId7427" Type="http://schemas.openxmlformats.org/officeDocument/2006/relationships/hyperlink" Target="http://cherry.com/" TargetMode="External"/><Relationship Id="rId10408" Type="http://schemas.openxmlformats.org/officeDocument/2006/relationships/hyperlink" Target="https://casinonyhet.nu/nyheter/darfor-blir-casinon-mer-och-mer-mobilanpassade/" TargetMode="External"/><Relationship Id="rId2986" Type="http://schemas.openxmlformats.org/officeDocument/2006/relationships/hyperlink" Target="https://traningskort.se/tandea-din-helhetslosning-for-tandvard-i-stockholm/" TargetMode="External"/><Relationship Id="rId9599" Type="http://schemas.openxmlformats.org/officeDocument/2006/relationships/hyperlink" Target="https://uppsalabostad.se/uppsalas-basta-vyer/" TargetMode="External"/><Relationship Id="rId958" Type="http://schemas.openxmlformats.org/officeDocument/2006/relationships/hyperlink" Target="https://www.happysocks.com/eu/collection/socks-for-dogs" TargetMode="External"/><Relationship Id="rId1588" Type="http://schemas.openxmlformats.org/officeDocument/2006/relationships/hyperlink" Target="https://14karat.se/?p=305" TargetMode="External"/><Relationship Id="rId2639" Type="http://schemas.openxmlformats.org/officeDocument/2006/relationships/hyperlink" Target="https://haxan.se/products/haxan-bikarbonat" TargetMode="External"/><Relationship Id="rId6510" Type="http://schemas.openxmlformats.org/officeDocument/2006/relationships/hyperlink" Target="https://www.saleseffect.se/nyckeln-till-battre-kundupplevelse-och-okad-kundnojdhet/" TargetMode="External"/><Relationship Id="rId4061" Type="http://schemas.openxmlformats.org/officeDocument/2006/relationships/hyperlink" Target="http://tandea.se/" TargetMode="External"/><Relationship Id="rId5112" Type="http://schemas.openxmlformats.org/officeDocument/2006/relationships/hyperlink" Target="http://lansfast.se/" TargetMode="External"/><Relationship Id="rId8682" Type="http://schemas.openxmlformats.org/officeDocument/2006/relationships/hyperlink" Target="https://tiotak.se/" TargetMode="External"/><Relationship Id="rId9733" Type="http://schemas.openxmlformats.org/officeDocument/2006/relationships/hyperlink" Target="http://spelklubben.se/" TargetMode="External"/><Relationship Id="rId7284" Type="http://schemas.openxmlformats.org/officeDocument/2006/relationships/hyperlink" Target="https://www.dagensnaringsliv.se/20250122/276370/akustik-och-halsa-tysta-arbetsplatsen" TargetMode="External"/><Relationship Id="rId8335" Type="http://schemas.openxmlformats.org/officeDocument/2006/relationships/hyperlink" Target="http://svenskafonster.se/" TargetMode="External"/><Relationship Id="rId11663" Type="http://schemas.openxmlformats.org/officeDocument/2006/relationships/hyperlink" Target="https://pengar.in/" TargetMode="External"/><Relationship Id="rId12714" Type="http://schemas.openxmlformats.org/officeDocument/2006/relationships/hyperlink" Target="http://sakraror.se/" TargetMode="External"/><Relationship Id="rId1722" Type="http://schemas.openxmlformats.org/officeDocument/2006/relationships/hyperlink" Target="https://m360.no/hvordan-vaske-sko/" TargetMode="External"/><Relationship Id="rId10265" Type="http://schemas.openxmlformats.org/officeDocument/2006/relationships/hyperlink" Target="http://chattanoogarehab.com/" TargetMode="External"/><Relationship Id="rId11316" Type="http://schemas.openxmlformats.org/officeDocument/2006/relationships/hyperlink" Target="https://www.executiveeffect.se/vad-ar-fair-investments/" TargetMode="External"/><Relationship Id="rId3894" Type="http://schemas.openxmlformats.org/officeDocument/2006/relationships/hyperlink" Target="http://storgruppen.se/" TargetMode="External"/><Relationship Id="rId4945" Type="http://schemas.openxmlformats.org/officeDocument/2006/relationships/hyperlink" Target="https://kelleher-international.com/" TargetMode="External"/><Relationship Id="rId2496" Type="http://schemas.openxmlformats.org/officeDocument/2006/relationships/hyperlink" Target="https://fairinvestments.se/" TargetMode="External"/><Relationship Id="rId3547" Type="http://schemas.openxmlformats.org/officeDocument/2006/relationships/hyperlink" Target="https://www.vaken.se/det-nya-storslagna-casinot-i-sverige-spelklubben/" TargetMode="External"/><Relationship Id="rId468" Type="http://schemas.openxmlformats.org/officeDocument/2006/relationships/hyperlink" Target="http://chronos.se/" TargetMode="External"/><Relationship Id="rId1098" Type="http://schemas.openxmlformats.org/officeDocument/2006/relationships/hyperlink" Target="https://www.frii.se/havstangshandel-en-guide-till-att-forsta-och-hantera-risken-i-leveraged-trading/" TargetMode="External"/><Relationship Id="rId2149" Type="http://schemas.openxmlformats.org/officeDocument/2006/relationships/hyperlink" Target="https://www.merinfo.se/foretag/Fair-Investments-Sweden-AB-5568169626/2k3576i-kqah" TargetMode="External"/><Relationship Id="rId6020" Type="http://schemas.openxmlformats.org/officeDocument/2006/relationships/hyperlink" Target="http://printler.com/" TargetMode="External"/><Relationship Id="rId9590" Type="http://schemas.openxmlformats.org/officeDocument/2006/relationships/hyperlink" Target="https://www.dagensinfrastruktur.se/2025/05/27/sa-gor-du-bostadskarriar-2025/" TargetMode="External"/><Relationship Id="rId12571" Type="http://schemas.openxmlformats.org/officeDocument/2006/relationships/hyperlink" Target="http://w3solenergi.se/" TargetMode="External"/><Relationship Id="rId2630" Type="http://schemas.openxmlformats.org/officeDocument/2006/relationships/hyperlink" Target="https://www.vont.se/vitt-snus" TargetMode="External"/><Relationship Id="rId8192" Type="http://schemas.openxmlformats.org/officeDocument/2006/relationships/hyperlink" Target="https://www.tandlakare.se/stad/stockholm/" TargetMode="External"/><Relationship Id="rId9243" Type="http://schemas.openxmlformats.org/officeDocument/2006/relationships/hyperlink" Target="https://www.startmotor.se/fordon/reservdelar-bat/volvo-penta" TargetMode="External"/><Relationship Id="rId11173" Type="http://schemas.openxmlformats.org/officeDocument/2006/relationships/hyperlink" Target="https://www.kavena.se/" TargetMode="External"/><Relationship Id="rId12224" Type="http://schemas.openxmlformats.org/officeDocument/2006/relationships/hyperlink" Target="http://fairinvestments.se/" TargetMode="External"/><Relationship Id="rId602" Type="http://schemas.openxmlformats.org/officeDocument/2006/relationships/hyperlink" Target="https://www.linkedin.com/company/fair-investments-sweden-ab/?originalSubdomain=se" TargetMode="External"/><Relationship Id="rId1232" Type="http://schemas.openxmlformats.org/officeDocument/2006/relationships/hyperlink" Target="https://aretrotale.com/" TargetMode="External"/><Relationship Id="rId5853" Type="http://schemas.openxmlformats.org/officeDocument/2006/relationships/hyperlink" Target="https://businesshelper.se/kontorsmaterial-hur-du-effektiviserar-ditt-arbete-pa-kontoret/" TargetMode="External"/><Relationship Id="rId6904" Type="http://schemas.openxmlformats.org/officeDocument/2006/relationships/hyperlink" Target="https://cateringfabriken.se/" TargetMode="External"/><Relationship Id="rId3057" Type="http://schemas.openxmlformats.org/officeDocument/2006/relationships/hyperlink" Target="https://tryggvi.se/" TargetMode="External"/><Relationship Id="rId4108" Type="http://schemas.openxmlformats.org/officeDocument/2006/relationships/hyperlink" Target="http://fairinvestments.se/" TargetMode="External"/><Relationship Id="rId4455" Type="http://schemas.openxmlformats.org/officeDocument/2006/relationships/hyperlink" Target="https://www.lansfast.se/maklare/stockholm/taby-danderyd/" TargetMode="External"/><Relationship Id="rId5506" Type="http://schemas.openxmlformats.org/officeDocument/2006/relationships/hyperlink" Target="https://fairinvestments.se/investeringsfilosofi" TargetMode="External"/><Relationship Id="rId7678" Type="http://schemas.openxmlformats.org/officeDocument/2006/relationships/hyperlink" Target="https://kapitalguide.se/kontorsmaterial-och-kostnadseffektivitet-for-foretag-och-privatpersoner/" TargetMode="External"/><Relationship Id="rId8729" Type="http://schemas.openxmlformats.org/officeDocument/2006/relationships/hyperlink" Target="https://invozio.com/" TargetMode="External"/><Relationship Id="rId10659" Type="http://schemas.openxmlformats.org/officeDocument/2006/relationships/hyperlink" Target="http://lsb.se/" TargetMode="External"/><Relationship Id="rId12081" Type="http://schemas.openxmlformats.org/officeDocument/2006/relationships/hyperlink" Target="https://www.lagenhet-sverige.se/2023/10/20/taklaggare-din-nyckel-till-ett-sakert-tak-over-huvudet/" TargetMode="External"/><Relationship Id="rId13132" Type="http://schemas.openxmlformats.org/officeDocument/2006/relationships/hyperlink" Target="https://morsdagpresent.se/skam-bort-mamma-pa-mors-dag/" TargetMode="External"/><Relationship Id="rId2140" Type="http://schemas.openxmlformats.org/officeDocument/2006/relationships/hyperlink" Target="https://distansinstitutet.se/distansutbildningar/pedagogik/vardbitrade/" TargetMode="External"/><Relationship Id="rId6761" Type="http://schemas.openxmlformats.org/officeDocument/2006/relationships/hyperlink" Target="https://www.purakliniken.se/estetisk-tandvard/tandimplantat/" TargetMode="External"/><Relationship Id="rId7812" Type="http://schemas.openxmlformats.org/officeDocument/2006/relationships/hyperlink" Target="https://www.affarsvarlden.se/native/spetsig-fond-hittar-globala-vinnare" TargetMode="External"/><Relationship Id="rId112" Type="http://schemas.openxmlformats.org/officeDocument/2006/relationships/hyperlink" Target="http://haxan.se/" TargetMode="External"/><Relationship Id="rId5363" Type="http://schemas.openxmlformats.org/officeDocument/2006/relationships/hyperlink" Target="https://restate.se/ombildning-till-bostadsratt/" TargetMode="External"/><Relationship Id="rId6414" Type="http://schemas.openxmlformats.org/officeDocument/2006/relationships/hyperlink" Target="http://www.coface.se/kreditfoersaekring-och-inkasso-ordlista/kreditbedoemning" TargetMode="External"/><Relationship Id="rId5016" Type="http://schemas.openxmlformats.org/officeDocument/2006/relationships/hyperlink" Target="https://ekstromgaray.se/skicka-in-manus/" TargetMode="External"/><Relationship Id="rId9984" Type="http://schemas.openxmlformats.org/officeDocument/2006/relationships/hyperlink" Target="http://technobark.com/" TargetMode="External"/><Relationship Id="rId12965" Type="http://schemas.openxmlformats.org/officeDocument/2006/relationships/hyperlink" Target="https://www.saleseffect.se/mobil-friktion-som-saljer-ux-paverkar-affarerna/" TargetMode="External"/><Relationship Id="rId1973" Type="http://schemas.openxmlformats.org/officeDocument/2006/relationships/hyperlink" Target="https://www.gadgetgirl.se/skratt-ar-basta-medicinen" TargetMode="External"/><Relationship Id="rId7188" Type="http://schemas.openxmlformats.org/officeDocument/2006/relationships/hyperlink" Target="http://hund.se/" TargetMode="External"/><Relationship Id="rId8239" Type="http://schemas.openxmlformats.org/officeDocument/2006/relationships/hyperlink" Target="http://willabgarden.de/" TargetMode="External"/><Relationship Id="rId8586" Type="http://schemas.openxmlformats.org/officeDocument/2006/relationships/hyperlink" Target="http://kulturbloggen.com/" TargetMode="External"/><Relationship Id="rId9637" Type="http://schemas.openxmlformats.org/officeDocument/2006/relationships/hyperlink" Target="https://www.industrinyheter.se/20250526/43982/framtidens-skargard-formas-nu-aktuella-projekt-som-forandrar-kusten" TargetMode="External"/><Relationship Id="rId11567" Type="http://schemas.openxmlformats.org/officeDocument/2006/relationships/hyperlink" Target="https://sufracofinebrands.com/kategori/marseilletval/" TargetMode="External"/><Relationship Id="rId12618" Type="http://schemas.openxmlformats.org/officeDocument/2006/relationships/hyperlink" Target="https://www.lifesciencesweden.se/lb-article/181930/nya-genombrott-och-vardagrutiner-likheter-mellan-forskning-och-tandvard" TargetMode="External"/><Relationship Id="rId1626" Type="http://schemas.openxmlformats.org/officeDocument/2006/relationships/hyperlink" Target="https://advancepointcap.com/medical-business-loans/" TargetMode="External"/><Relationship Id="rId10169" Type="http://schemas.openxmlformats.org/officeDocument/2006/relationships/hyperlink" Target="http://cateringfabriken.se/" TargetMode="External"/><Relationship Id="rId3798" Type="http://schemas.openxmlformats.org/officeDocument/2006/relationships/hyperlink" Target="https://stockholmextra.se/daglig-tandvard-tips-och-rad/" TargetMode="External"/><Relationship Id="rId4849" Type="http://schemas.openxmlformats.org/officeDocument/2006/relationships/hyperlink" Target="http://spelklubben.se/" TargetMode="External"/><Relationship Id="rId8720" Type="http://schemas.openxmlformats.org/officeDocument/2006/relationships/hyperlink" Target="https://www.nordsverige.se/2025-04-09/dressyr-och-hoppning-hojdpunkter-och-tavlingar-2025-83403" TargetMode="External"/><Relationship Id="rId10650" Type="http://schemas.openxmlformats.org/officeDocument/2006/relationships/hyperlink" Target="http://kvarnx.com/" TargetMode="External"/><Relationship Id="rId6271" Type="http://schemas.openxmlformats.org/officeDocument/2006/relationships/hyperlink" Target="http://foyen.se/" TargetMode="External"/><Relationship Id="rId7322" Type="http://schemas.openxmlformats.org/officeDocument/2006/relationships/hyperlink" Target="https://www.uochd.se/lb-article/181174/rot-rut-hur-fungerar-det-hur-kan-det-gynna-fastighetsunderhall" TargetMode="External"/><Relationship Id="rId10303" Type="http://schemas.openxmlformats.org/officeDocument/2006/relationships/hyperlink" Target="http://tryggbil.se/" TargetMode="External"/><Relationship Id="rId11701" Type="http://schemas.openxmlformats.org/officeDocument/2006/relationships/hyperlink" Target="https://markets.vontobel.com/fi-fi/tuotteet" TargetMode="External"/><Relationship Id="rId9494" Type="http://schemas.openxmlformats.org/officeDocument/2006/relationships/hyperlink" Target="https://www.lady-business.at/loesungen-kleine-arbeitsraeume/" TargetMode="External"/><Relationship Id="rId1483" Type="http://schemas.openxmlformats.org/officeDocument/2006/relationships/hyperlink" Target="https://norskeanmeldelser.no/nettbutikker/ut-pa-tur-sjekk-norges-topp-5-perler-a-besoke" TargetMode="External"/><Relationship Id="rId2881" Type="http://schemas.openxmlformats.org/officeDocument/2006/relationships/hyperlink" Target="https://e-ciggbolaget.se/e-cigaretter/engangs-vape/panther-bar" TargetMode="External"/><Relationship Id="rId3932" Type="http://schemas.openxmlformats.org/officeDocument/2006/relationships/hyperlink" Target="https://www.vont.se/vitt-snus" TargetMode="External"/><Relationship Id="rId8096" Type="http://schemas.openxmlformats.org/officeDocument/2006/relationships/hyperlink" Target="https://www.spelklubben.se/sv" TargetMode="External"/><Relationship Id="rId9147" Type="http://schemas.openxmlformats.org/officeDocument/2006/relationships/hyperlink" Target="http://myownwater.com/" TargetMode="External"/><Relationship Id="rId11077" Type="http://schemas.openxmlformats.org/officeDocument/2006/relationships/hyperlink" Target="https://www.hajper.com/sv" TargetMode="External"/><Relationship Id="rId12475" Type="http://schemas.openxmlformats.org/officeDocument/2006/relationships/hyperlink" Target="https://helaostrasmaland.se/navigera-genom-marknadens-skattkarta-fair-investments-investeringsfilosofi/" TargetMode="External"/><Relationship Id="rId506" Type="http://schemas.openxmlformats.org/officeDocument/2006/relationships/hyperlink" Target="https://rehabgrossisten.com/" TargetMode="External"/><Relationship Id="rId853" Type="http://schemas.openxmlformats.org/officeDocument/2006/relationships/hyperlink" Target="https://www.creditsafe.com/dk/da/kredit-risiko/kreditrapporter/kreditvurdering.html" TargetMode="External"/><Relationship Id="rId1136" Type="http://schemas.openxmlformats.org/officeDocument/2006/relationships/hyperlink" Target="http://conclean.se/" TargetMode="External"/><Relationship Id="rId2534" Type="http://schemas.openxmlformats.org/officeDocument/2006/relationships/hyperlink" Target="http://norteam.se/" TargetMode="External"/><Relationship Id="rId12128" Type="http://schemas.openxmlformats.org/officeDocument/2006/relationships/hyperlink" Target="http://miamipool.se/" TargetMode="External"/><Relationship Id="rId5757" Type="http://schemas.openxmlformats.org/officeDocument/2006/relationships/hyperlink" Target="https://www.jetnation.com/2024/09/23/nfl-2024-week-3-approaches-as-super-bowl-contenders-emerge/" TargetMode="External"/><Relationship Id="rId6808" Type="http://schemas.openxmlformats.org/officeDocument/2006/relationships/hyperlink" Target="https://www.saleseffect.se/belona-din-basta-van-hundgodiset-som-starker-bandet-mellan-dig-och-din-hund/" TargetMode="External"/><Relationship Id="rId4359" Type="http://schemas.openxmlformats.org/officeDocument/2006/relationships/hyperlink" Target="http://cherry.com/" TargetMode="External"/><Relationship Id="rId8230" Type="http://schemas.openxmlformats.org/officeDocument/2006/relationships/hyperlink" Target="https://www.artefacta.fi/historian-havinaa-eri-medialahteista" TargetMode="External"/><Relationship Id="rId10160" Type="http://schemas.openxmlformats.org/officeDocument/2006/relationships/hyperlink" Target="http://rusta.se/" TargetMode="External"/><Relationship Id="rId11211" Type="http://schemas.openxmlformats.org/officeDocument/2006/relationships/hyperlink" Target="http://blugiallo.com/" TargetMode="External"/><Relationship Id="rId4840" Type="http://schemas.openxmlformats.org/officeDocument/2006/relationships/hyperlink" Target="http://cherry.com/" TargetMode="External"/><Relationship Id="rId2391" Type="http://schemas.openxmlformats.org/officeDocument/2006/relationships/hyperlink" Target="https://www.fena.nu/" TargetMode="External"/><Relationship Id="rId3442" Type="http://schemas.openxmlformats.org/officeDocument/2006/relationships/hyperlink" Target="https://www.alvtorpet.se/" TargetMode="External"/><Relationship Id="rId13036" Type="http://schemas.openxmlformats.org/officeDocument/2006/relationships/hyperlink" Target="http://megariches.com/" TargetMode="External"/><Relationship Id="rId363" Type="http://schemas.openxmlformats.org/officeDocument/2006/relationships/hyperlink" Target="https://www.swedoffice.se/" TargetMode="External"/><Relationship Id="rId2044" Type="http://schemas.openxmlformats.org/officeDocument/2006/relationships/hyperlink" Target="https://www.villarelining.se/" TargetMode="External"/><Relationship Id="rId5267" Type="http://schemas.openxmlformats.org/officeDocument/2006/relationships/hyperlink" Target="https://traveltweaks.com/how-to-get-around-on-your-holiday-in-romania-64213/" TargetMode="External"/><Relationship Id="rId6318" Type="http://schemas.openxmlformats.org/officeDocument/2006/relationships/hyperlink" Target="https://bolagshistorik.se/en-guide-for-foretagsboende/" TargetMode="External"/><Relationship Id="rId6665" Type="http://schemas.openxmlformats.org/officeDocument/2006/relationships/hyperlink" Target="https://bolagsekonomen.se/effektiv-pappersforsaljning-for-foretag/" TargetMode="External"/><Relationship Id="rId7716" Type="http://schemas.openxmlformats.org/officeDocument/2006/relationships/hyperlink" Target="http://sesec.se/" TargetMode="External"/><Relationship Id="rId9888" Type="http://schemas.openxmlformats.org/officeDocument/2006/relationships/hyperlink" Target="http://joinstriveon.com/" TargetMode="External"/><Relationship Id="rId12869" Type="http://schemas.openxmlformats.org/officeDocument/2006/relationships/hyperlink" Target="https://technomeow.com/best-self-cleaning-litter-boxes-this-year/" TargetMode="External"/><Relationship Id="rId1877" Type="http://schemas.openxmlformats.org/officeDocument/2006/relationships/hyperlink" Target="https://rehabgrossisten.com/skydd-bandage/kna/knaskydd/" TargetMode="External"/><Relationship Id="rId2928" Type="http://schemas.openxmlformats.org/officeDocument/2006/relationships/hyperlink" Target="https://podradio.nu/den-omistliga-betydelsen-av-online-casinon-med-breda-spelutbud/" TargetMode="External"/><Relationship Id="rId4350" Type="http://schemas.openxmlformats.org/officeDocument/2006/relationships/hyperlink" Target="http://spelklubben.se/" TargetMode="External"/><Relationship Id="rId5401" Type="http://schemas.openxmlformats.org/officeDocument/2006/relationships/hyperlink" Target="https://www.imike.se/" TargetMode="External"/><Relationship Id="rId8971" Type="http://schemas.openxmlformats.org/officeDocument/2006/relationships/hyperlink" Target="http://rusta.se/" TargetMode="External"/><Relationship Id="rId4003" Type="http://schemas.openxmlformats.org/officeDocument/2006/relationships/hyperlink" Target="http://kvarnx.com/" TargetMode="External"/><Relationship Id="rId7573" Type="http://schemas.openxmlformats.org/officeDocument/2006/relationships/hyperlink" Target="https://dryft.se/" TargetMode="External"/><Relationship Id="rId8624" Type="http://schemas.openxmlformats.org/officeDocument/2006/relationships/hyperlink" Target="http://fairinvestments.se/" TargetMode="External"/><Relationship Id="rId11952" Type="http://schemas.openxmlformats.org/officeDocument/2006/relationships/hyperlink" Target="https://conclean.se/produkter/minireningsverk/" TargetMode="External"/><Relationship Id="rId6175" Type="http://schemas.openxmlformats.org/officeDocument/2006/relationships/hyperlink" Target="http://arctic.se/" TargetMode="External"/><Relationship Id="rId7226" Type="http://schemas.openxmlformats.org/officeDocument/2006/relationships/hyperlink" Target="https://www.northgrid.se/ip-tv-en-revolution-for-hur-vi-upplever-underhallning" TargetMode="External"/><Relationship Id="rId10554" Type="http://schemas.openxmlformats.org/officeDocument/2006/relationships/hyperlink" Target="http://videoslots.com/" TargetMode="External"/><Relationship Id="rId11605" Type="http://schemas.openxmlformats.org/officeDocument/2006/relationships/hyperlink" Target="https://tiotak.se/" TargetMode="External"/><Relationship Id="rId9398" Type="http://schemas.openxmlformats.org/officeDocument/2006/relationships/hyperlink" Target="https://www.kaffeverket.se/nar-var-hur-kaffets-10-roller-i-vardagen/" TargetMode="External"/><Relationship Id="rId10207" Type="http://schemas.openxmlformats.org/officeDocument/2006/relationships/hyperlink" Target="https://www.sfweekly.com/marketplace/revolutionizing-coaching-the-power-of-a-great-digital-platform/article_244ded29-babb-4db4-b7fc-7fde9d3e5e6a.html" TargetMode="External"/><Relationship Id="rId2785" Type="http://schemas.openxmlformats.org/officeDocument/2006/relationships/hyperlink" Target="http://spelklubben.se/" TargetMode="External"/><Relationship Id="rId3836" Type="http://schemas.openxmlformats.org/officeDocument/2006/relationships/hyperlink" Target="https://e-ciggbolaget.se/e-cigaretter/engangs-vape/panther-bar" TargetMode="External"/><Relationship Id="rId12379" Type="http://schemas.openxmlformats.org/officeDocument/2006/relationships/hyperlink" Target="http://fairinvestments.se/" TargetMode="External"/><Relationship Id="rId757" Type="http://schemas.openxmlformats.org/officeDocument/2006/relationships/hyperlink" Target="http://villarelining.se/" TargetMode="External"/><Relationship Id="rId1387" Type="http://schemas.openxmlformats.org/officeDocument/2006/relationships/hyperlink" Target="http://aretrotale.com/" TargetMode="External"/><Relationship Id="rId2438" Type="http://schemas.openxmlformats.org/officeDocument/2006/relationships/hyperlink" Target="http://e-ciggbolaget.se/" TargetMode="External"/><Relationship Id="rId12860" Type="http://schemas.openxmlformats.org/officeDocument/2006/relationships/hyperlink" Target="https://technobark.com/best-gps-dog-fences/" TargetMode="External"/><Relationship Id="rId93" Type="http://schemas.openxmlformats.org/officeDocument/2006/relationships/hyperlink" Target="http://signalnoi.se/" TargetMode="External"/><Relationship Id="rId8481" Type="http://schemas.openxmlformats.org/officeDocument/2006/relationships/hyperlink" Target="http://lilla-varlden.se/" TargetMode="External"/><Relationship Id="rId9532" Type="http://schemas.openxmlformats.org/officeDocument/2006/relationships/hyperlink" Target="http://kungaslottet.se/" TargetMode="External"/><Relationship Id="rId11462" Type="http://schemas.openxmlformats.org/officeDocument/2006/relationships/hyperlink" Target="https://ljusgrossisten.se/" TargetMode="External"/><Relationship Id="rId12513" Type="http://schemas.openxmlformats.org/officeDocument/2006/relationships/hyperlink" Target="http://fairinvestments.se/" TargetMode="External"/><Relationship Id="rId1521" Type="http://schemas.openxmlformats.org/officeDocument/2006/relationships/hyperlink" Target="https://labradortime.com/essential-considerations-when-choosing-dog-socks-for-your-labrador/" TargetMode="External"/><Relationship Id="rId7083" Type="http://schemas.openxmlformats.org/officeDocument/2006/relationships/hyperlink" Target="https://svenskiptv.com/" TargetMode="External"/><Relationship Id="rId8134" Type="http://schemas.openxmlformats.org/officeDocument/2006/relationships/hyperlink" Target="https://byggavilla.se/sa-valjer-du-ratt-fastighetsmaklare-for-ditt-bygge-i-trosa/" TargetMode="External"/><Relationship Id="rId10064" Type="http://schemas.openxmlformats.org/officeDocument/2006/relationships/hyperlink" Target="https://svenskafonster.se/fonster" TargetMode="External"/><Relationship Id="rId11115" Type="http://schemas.openxmlformats.org/officeDocument/2006/relationships/hyperlink" Target="http://mrvegas.com/" TargetMode="External"/><Relationship Id="rId3693" Type="http://schemas.openxmlformats.org/officeDocument/2006/relationships/hyperlink" Target="https://kelleher-international.com/" TargetMode="External"/><Relationship Id="rId13287" Type="http://schemas.openxmlformats.org/officeDocument/2006/relationships/hyperlink" Target="http://indoorprofessional.se/" TargetMode="External"/><Relationship Id="rId2295" Type="http://schemas.openxmlformats.org/officeDocument/2006/relationships/hyperlink" Target="https://www.merinfo.se/foretag/Fair-Investments-Sweden-AB-5568169626/2k3576i-kqah" TargetMode="External"/><Relationship Id="rId3346" Type="http://schemas.openxmlformats.org/officeDocument/2006/relationships/hyperlink" Target="http://lansfast.se/" TargetMode="External"/><Relationship Id="rId4744" Type="http://schemas.openxmlformats.org/officeDocument/2006/relationships/hyperlink" Target="http://fairinvestments.se/" TargetMode="External"/><Relationship Id="rId267" Type="http://schemas.openxmlformats.org/officeDocument/2006/relationships/hyperlink" Target="https://chronos.se/" TargetMode="External"/><Relationship Id="rId7967" Type="http://schemas.openxmlformats.org/officeDocument/2006/relationships/hyperlink" Target="https://dryft.se/" TargetMode="External"/><Relationship Id="rId10948" Type="http://schemas.openxmlformats.org/officeDocument/2006/relationships/hyperlink" Target="https://www.satsdelar.se/sa-paverkar-privatlivet-larandet-en-guide-till-battre-studieresultat/" TargetMode="External"/><Relationship Id="rId6569" Type="http://schemas.openxmlformats.org/officeDocument/2006/relationships/hyperlink" Target="http://bethard.com/" TargetMode="External"/><Relationship Id="rId12370" Type="http://schemas.openxmlformats.org/officeDocument/2006/relationships/hyperlink" Target="http://miamipool.se/" TargetMode="External"/><Relationship Id="rId9042" Type="http://schemas.openxmlformats.org/officeDocument/2006/relationships/hyperlink" Target="http://clearfuze.com/" TargetMode="External"/><Relationship Id="rId12023" Type="http://schemas.openxmlformats.org/officeDocument/2006/relationships/hyperlink" Target="https://foraldraguiden.se/miljovanliga-och-effektiva-stadprodukter-for-en-ren-och-hallbar-framtid/" TargetMode="External"/><Relationship Id="rId401" Type="http://schemas.openxmlformats.org/officeDocument/2006/relationships/hyperlink" Target="https://dagenshus.se/sa-forbereder-du-huset-infor-forsaljning/" TargetMode="External"/><Relationship Id="rId1031" Type="http://schemas.openxmlformats.org/officeDocument/2006/relationships/hyperlink" Target="https://www.happysocks.com/us/collection/socks-for-men" TargetMode="External"/><Relationship Id="rId5652" Type="http://schemas.openxmlformats.org/officeDocument/2006/relationships/hyperlink" Target="http://rusta.se/" TargetMode="External"/><Relationship Id="rId6703" Type="http://schemas.openxmlformats.org/officeDocument/2006/relationships/hyperlink" Target="https://www.vont.se/vape" TargetMode="External"/><Relationship Id="rId4254" Type="http://schemas.openxmlformats.org/officeDocument/2006/relationships/hyperlink" Target="http://jovialsundsvall.se/" TargetMode="External"/><Relationship Id="rId5305" Type="http://schemas.openxmlformats.org/officeDocument/2006/relationships/hyperlink" Target="http://mariatand.se/" TargetMode="External"/><Relationship Id="rId7477" Type="http://schemas.openxmlformats.org/officeDocument/2006/relationships/hyperlink" Target="http://chattanoogarehab.com/" TargetMode="External"/><Relationship Id="rId8528" Type="http://schemas.openxmlformats.org/officeDocument/2006/relationships/hyperlink" Target="http://flygbussarna.se/" TargetMode="External"/><Relationship Id="rId8875" Type="http://schemas.openxmlformats.org/officeDocument/2006/relationships/hyperlink" Target="https://www.inredningsnyheter.se/20250428/20061/grand-millennial-inred-med-overdrif" TargetMode="External"/><Relationship Id="rId9926" Type="http://schemas.openxmlformats.org/officeDocument/2006/relationships/hyperlink" Target="http://purakliniken.se/" TargetMode="External"/><Relationship Id="rId11856" Type="http://schemas.openxmlformats.org/officeDocument/2006/relationships/hyperlink" Target="http://arctic.se/" TargetMode="External"/><Relationship Id="rId12907" Type="http://schemas.openxmlformats.org/officeDocument/2006/relationships/hyperlink" Target="https://www.nojesnytthelsingborg.se/2025/09/29/resor-jetlag-och-rutiner-hur-du-inte-later-tidszoner-sabotera-din-somn/" TargetMode="External"/><Relationship Id="rId1915" Type="http://schemas.openxmlformats.org/officeDocument/2006/relationships/hyperlink" Target="http://notyfile.se/sv" TargetMode="External"/><Relationship Id="rId6079" Type="http://schemas.openxmlformats.org/officeDocument/2006/relationships/hyperlink" Target="https://www.sportochfritidsnyheter.se/20241029/4034/sportfiske-utrustningen-som-gor-skillnaden" TargetMode="External"/><Relationship Id="rId10458" Type="http://schemas.openxmlformats.org/officeDocument/2006/relationships/hyperlink" Target="https://glassfactory.fi/sv/collections/extra-stora-speglar" TargetMode="External"/><Relationship Id="rId11509" Type="http://schemas.openxmlformats.org/officeDocument/2006/relationships/hyperlink" Target="https://bonuskillen.se/att-forsorja-sig-som-trader/" TargetMode="External"/><Relationship Id="rId2689" Type="http://schemas.openxmlformats.org/officeDocument/2006/relationships/hyperlink" Target="https://www.pelikaista.fi/artikkeli/hauskoja-peleja-tien-paalla/" TargetMode="External"/><Relationship Id="rId6560" Type="http://schemas.openxmlformats.org/officeDocument/2006/relationships/hyperlink" Target="https://www.tefcar.se/" TargetMode="External"/><Relationship Id="rId7611" Type="http://schemas.openxmlformats.org/officeDocument/2006/relationships/hyperlink" Target="http://svenskiptv.com/" TargetMode="External"/><Relationship Id="rId5162" Type="http://schemas.openxmlformats.org/officeDocument/2006/relationships/hyperlink" Target="http://everynightstudios.com/" TargetMode="External"/><Relationship Id="rId6213" Type="http://schemas.openxmlformats.org/officeDocument/2006/relationships/hyperlink" Target="https://dinkorskola.se/intensivkurs-korkort/" TargetMode="External"/><Relationship Id="rId9783" Type="http://schemas.openxmlformats.org/officeDocument/2006/relationships/hyperlink" Target="https://direktbygg.se/mattor-som-forvandlar-ditt-hem-vid-byggnation-och-renovering/" TargetMode="External"/><Relationship Id="rId1772" Type="http://schemas.openxmlformats.org/officeDocument/2006/relationships/hyperlink" Target="https://pontonhamnar.se/produkter/flytbrygga/" TargetMode="External"/><Relationship Id="rId8385" Type="http://schemas.openxmlformats.org/officeDocument/2006/relationships/hyperlink" Target="http://rusta.se/" TargetMode="External"/><Relationship Id="rId9436" Type="http://schemas.openxmlformats.org/officeDocument/2006/relationships/hyperlink" Target="https://www.tandlakare.se/stad/stockholm/" TargetMode="External"/><Relationship Id="rId11366" Type="http://schemas.openxmlformats.org/officeDocument/2006/relationships/hyperlink" Target="https://ekonomiskbalans.se/detta-ska-man-tanka-pa-nar-man-ska-borja-investera-i-aktier-och-fonder/" TargetMode="External"/><Relationship Id="rId12764" Type="http://schemas.openxmlformats.org/officeDocument/2006/relationships/hyperlink" Target="https://tkw.se/" TargetMode="External"/><Relationship Id="rId1425" Type="http://schemas.openxmlformats.org/officeDocument/2006/relationships/hyperlink" Target="http://conclean.se/" TargetMode="External"/><Relationship Id="rId2823" Type="http://schemas.openxmlformats.org/officeDocument/2006/relationships/hyperlink" Target="https://www.missseychelles.info/why-you-need-a-retro-belt-for-a-beauty-competition" TargetMode="External"/><Relationship Id="rId8038" Type="http://schemas.openxmlformats.org/officeDocument/2006/relationships/hyperlink" Target="http://hajper.com/" TargetMode="External"/><Relationship Id="rId11019" Type="http://schemas.openxmlformats.org/officeDocument/2006/relationships/hyperlink" Target="https://www.megariches.com/the-wheel-of-riches-info/" TargetMode="External"/><Relationship Id="rId12417" Type="http://schemas.openxmlformats.org/officeDocument/2006/relationships/hyperlink" Target="http://notyfile.se/sv" TargetMode="External"/><Relationship Id="rId4995" Type="http://schemas.openxmlformats.org/officeDocument/2006/relationships/hyperlink" Target="https://www.facebook.com/fairinvestmentsswedenAB/" TargetMode="External"/><Relationship Id="rId2199" Type="http://schemas.openxmlformats.org/officeDocument/2006/relationships/hyperlink" Target="https://www.lula.se/darfor-ar-led-battre" TargetMode="External"/><Relationship Id="rId3597" Type="http://schemas.openxmlformats.org/officeDocument/2006/relationships/hyperlink" Target="http://fairinvestments.se/" TargetMode="External"/><Relationship Id="rId4648" Type="http://schemas.openxmlformats.org/officeDocument/2006/relationships/hyperlink" Target="http://fairinvestments.se/" TargetMode="External"/><Relationship Id="rId6070" Type="http://schemas.openxmlformats.org/officeDocument/2006/relationships/hyperlink" Target="https://www.dagensnaringsliv.se/20241029/273913/vitt-snus-en-snabbvaxande-kategori-inom-tobaksindustrin" TargetMode="External"/><Relationship Id="rId11500" Type="http://schemas.openxmlformats.org/officeDocument/2006/relationships/hyperlink" Target="https://coinmixer.se/robomarkets-frigor-potentialen-med-havstangshandel/" TargetMode="External"/><Relationship Id="rId7121" Type="http://schemas.openxmlformats.org/officeDocument/2006/relationships/hyperlink" Target="https://www.lansfast.se/maklare/sodermanland/trosa/" TargetMode="External"/><Relationship Id="rId10102" Type="http://schemas.openxmlformats.org/officeDocument/2006/relationships/hyperlink" Target="https://www.lsb.se/" TargetMode="External"/><Relationship Id="rId2680" Type="http://schemas.openxmlformats.org/officeDocument/2006/relationships/hyperlink" Target="https://grimetonradio.se/voom-bar-den-innovativa-engangsvapen-med-cotton-coil/" TargetMode="External"/><Relationship Id="rId3731" Type="http://schemas.openxmlformats.org/officeDocument/2006/relationships/hyperlink" Target="https://www.bergsmk.nu/" TargetMode="External"/><Relationship Id="rId9293" Type="http://schemas.openxmlformats.org/officeDocument/2006/relationships/hyperlink" Target="http://lilla-varlden.se/" TargetMode="External"/><Relationship Id="rId12274" Type="http://schemas.openxmlformats.org/officeDocument/2006/relationships/hyperlink" Target="http://arctic.se/" TargetMode="External"/><Relationship Id="rId652" Type="http://schemas.openxmlformats.org/officeDocument/2006/relationships/hyperlink" Target="https://www.happysocks.com/us/collection/socks-for-dogs?utm_source=AffiliateWindow&amp;utm_medium=Affiliate&amp;utm_content=yieldkit&amp;utm_campaign=Sweden&amp;zanpid=8619_1682331074_e28101dbd95b5011830b2cbccb9319fd" TargetMode="External"/><Relationship Id="rId1282" Type="http://schemas.openxmlformats.org/officeDocument/2006/relationships/hyperlink" Target="http://distansinstitutet.se/" TargetMode="External"/><Relationship Id="rId2333" Type="http://schemas.openxmlformats.org/officeDocument/2006/relationships/hyperlink" Target="https://eciggshoppen.se/utforskning-av-vaping-en-djupdykning-i-varlden-av-e-cigaretter/" TargetMode="External"/><Relationship Id="rId305" Type="http://schemas.openxmlformats.org/officeDocument/2006/relationships/hyperlink" Target="https://www.askskinfo.com/browse/?brand=DR+CEURACLE" TargetMode="External"/><Relationship Id="rId5556" Type="http://schemas.openxmlformats.org/officeDocument/2006/relationships/hyperlink" Target="https://www.vont.se/vitt-snus" TargetMode="External"/><Relationship Id="rId6607" Type="http://schemas.openxmlformats.org/officeDocument/2006/relationships/hyperlink" Target="http://hajper.com/" TargetMode="External"/><Relationship Id="rId6954" Type="http://schemas.openxmlformats.org/officeDocument/2006/relationships/hyperlink" Target="https://swedenlongstay.se/" TargetMode="External"/><Relationship Id="rId4158" Type="http://schemas.openxmlformats.org/officeDocument/2006/relationships/hyperlink" Target="http://finansplassen.no/" TargetMode="External"/><Relationship Id="rId5209" Type="http://schemas.openxmlformats.org/officeDocument/2006/relationships/hyperlink" Target="https://traveltweaks.com/how-to-get-around-on-your-holiday-in-romania-64213/" TargetMode="External"/><Relationship Id="rId8779" Type="http://schemas.openxmlformats.org/officeDocument/2006/relationships/hyperlink" Target="https://pt-media.org/2025/04/24/miten-kestavat-puutarhakalusteet-lisaavat-hyvinvointia/" TargetMode="External"/><Relationship Id="rId11010" Type="http://schemas.openxmlformats.org/officeDocument/2006/relationships/hyperlink" Target="https://www.zmarta.se/lana-pengar" TargetMode="External"/><Relationship Id="rId1819" Type="http://schemas.openxmlformats.org/officeDocument/2006/relationships/hyperlink" Target="https://saneringscompaniet.se/" TargetMode="External"/><Relationship Id="rId13182" Type="http://schemas.openxmlformats.org/officeDocument/2006/relationships/hyperlink" Target="https://merchoteket.se/collections/hoodies" TargetMode="External"/><Relationship Id="rId2190" Type="http://schemas.openxmlformats.org/officeDocument/2006/relationships/hyperlink" Target="https://www.executiveeffect.se/framgangsrikt-fastighetskop-konsten-att-valja-ratt-fastighetsmaklare/" TargetMode="External"/><Relationship Id="rId3241" Type="http://schemas.openxmlformats.org/officeDocument/2006/relationships/hyperlink" Target="http://tandea.se/" TargetMode="External"/><Relationship Id="rId7862" Type="http://schemas.openxmlformats.org/officeDocument/2006/relationships/hyperlink" Target="https://hazard.se/blogg/livecasinospelen-du-inte-visste-fanns-7-overraskande-favoriter/" TargetMode="External"/><Relationship Id="rId8913" Type="http://schemas.openxmlformats.org/officeDocument/2006/relationships/hyperlink" Target="http://mynicco.com/" TargetMode="External"/><Relationship Id="rId162" Type="http://schemas.openxmlformats.org/officeDocument/2006/relationships/hyperlink" Target="https://www.kopbarnvagn.se/sv/artiklar/emmaljunga-nxt90/index.html" TargetMode="External"/><Relationship Id="rId6464" Type="http://schemas.openxmlformats.org/officeDocument/2006/relationships/hyperlink" Target="http://rusta.se/" TargetMode="External"/><Relationship Id="rId7515" Type="http://schemas.openxmlformats.org/officeDocument/2006/relationships/hyperlink" Target="https://vardagsfrid.se/stadning/kontorsstadning" TargetMode="External"/><Relationship Id="rId10843" Type="http://schemas.openxmlformats.org/officeDocument/2006/relationships/hyperlink" Target="http://himala.ai/" TargetMode="External"/><Relationship Id="rId5066" Type="http://schemas.openxmlformats.org/officeDocument/2006/relationships/hyperlink" Target="https://www.bethard.com/sv" TargetMode="External"/><Relationship Id="rId6117" Type="http://schemas.openxmlformats.org/officeDocument/2006/relationships/hyperlink" Target="http://kvarnx.com/" TargetMode="External"/><Relationship Id="rId9687" Type="http://schemas.openxmlformats.org/officeDocument/2006/relationships/hyperlink" Target="http://minifinder.se/" TargetMode="External"/><Relationship Id="rId8289" Type="http://schemas.openxmlformats.org/officeDocument/2006/relationships/hyperlink" Target="http://rusta.se/" TargetMode="External"/><Relationship Id="rId12668" Type="http://schemas.openxmlformats.org/officeDocument/2006/relationships/hyperlink" Target="https://comfydence.se/collections/menstrosor" TargetMode="External"/><Relationship Id="rId1676" Type="http://schemas.openxmlformats.org/officeDocument/2006/relationships/hyperlink" Target="https://realwealthbusiness.com/secure-the-funds/" TargetMode="External"/><Relationship Id="rId2727" Type="http://schemas.openxmlformats.org/officeDocument/2006/relationships/hyperlink" Target="https://finansplassen.no/lan/forbrukslan/refinansiering" TargetMode="External"/><Relationship Id="rId1329" Type="http://schemas.openxmlformats.org/officeDocument/2006/relationships/hyperlink" Target="https://www.robomarkets.com/se/" TargetMode="External"/><Relationship Id="rId4899" Type="http://schemas.openxmlformats.org/officeDocument/2006/relationships/hyperlink" Target="https://www.vaken.se/underhallningsbranschens-paverkan-pa-ekonomin/" TargetMode="External"/><Relationship Id="rId5200" Type="http://schemas.openxmlformats.org/officeDocument/2006/relationships/hyperlink" Target="https://www.hvordan.org/kategorier/16-tur-og-friluftsliv/175-hvordan-velger-du-riktige-fritidssko" TargetMode="External"/><Relationship Id="rId8770" Type="http://schemas.openxmlformats.org/officeDocument/2006/relationships/hyperlink" Target="https://100krcasino.se/spela-med-stil-designen-som-raknas/" TargetMode="External"/><Relationship Id="rId9821" Type="http://schemas.openxmlformats.org/officeDocument/2006/relationships/hyperlink" Target="http://tryggbil.se/" TargetMode="External"/><Relationship Id="rId11751" Type="http://schemas.openxmlformats.org/officeDocument/2006/relationships/hyperlink" Target="https://yagya.com/" TargetMode="External"/><Relationship Id="rId12802" Type="http://schemas.openxmlformats.org/officeDocument/2006/relationships/hyperlink" Target="http://fairinvestments.se/" TargetMode="External"/><Relationship Id="rId35" Type="http://schemas.openxmlformats.org/officeDocument/2006/relationships/hyperlink" Target="https://svenskpress.se/articles/view/sa-ser-du-till-att-halla-din-dator-saker" TargetMode="External"/><Relationship Id="rId1810" Type="http://schemas.openxmlformats.org/officeDocument/2006/relationships/hyperlink" Target="https://miamipool.se/" TargetMode="External"/><Relationship Id="rId7372" Type="http://schemas.openxmlformats.org/officeDocument/2006/relationships/hyperlink" Target="https://nestebank.no/artikkel/hvordan-ta-kontroll-over-okonomien/" TargetMode="External"/><Relationship Id="rId8423" Type="http://schemas.openxmlformats.org/officeDocument/2006/relationships/hyperlink" Target="http://chattanoogarehab.com/" TargetMode="External"/><Relationship Id="rId10353" Type="http://schemas.openxmlformats.org/officeDocument/2006/relationships/hyperlink" Target="https://www.dbet.com/" TargetMode="External"/><Relationship Id="rId11404" Type="http://schemas.openxmlformats.org/officeDocument/2006/relationships/hyperlink" Target="https://www.kopbarnvagn.se/sv/artiklar/bugaboo-donkey-5-mono-inkl-bugaboo-babyskydd.html" TargetMode="External"/><Relationship Id="rId3982" Type="http://schemas.openxmlformats.org/officeDocument/2006/relationships/hyperlink" Target="https://www.tandea.se/" TargetMode="External"/><Relationship Id="rId7025" Type="http://schemas.openxmlformats.org/officeDocument/2006/relationships/hyperlink" Target="https://www.chattanoogarehab.com/shock-wave-rpw" TargetMode="External"/><Relationship Id="rId10006" Type="http://schemas.openxmlformats.org/officeDocument/2006/relationships/hyperlink" Target="https://londynek.net/czytelnia/Online%20Gambling%20in%20the%20UK%3A%20A%20Quick%20Guide%2Cczytelnia,/czytelnia/article?jdnews_id=4953382" TargetMode="External"/><Relationship Id="rId2584" Type="http://schemas.openxmlformats.org/officeDocument/2006/relationships/hyperlink" Target="https://www.ljusarkitektur.se/" TargetMode="External"/><Relationship Id="rId3635" Type="http://schemas.openxmlformats.org/officeDocument/2006/relationships/hyperlink" Target="https://www.hsm2016.se/" TargetMode="External"/><Relationship Id="rId9197" Type="http://schemas.openxmlformats.org/officeDocument/2006/relationships/hyperlink" Target="https://cdbilvardsprodukter.se/" TargetMode="External"/><Relationship Id="rId12178" Type="http://schemas.openxmlformats.org/officeDocument/2006/relationships/hyperlink" Target="https://livsfakta.se/rekonstruktion-och-insolvens/" TargetMode="External"/><Relationship Id="rId13229" Type="http://schemas.openxmlformats.org/officeDocument/2006/relationships/hyperlink" Target="https://industribanken.se/effektivisera-lonehanteringen-med-ett-modernt-molnbaserat-system/" TargetMode="External"/><Relationship Id="rId556" Type="http://schemas.openxmlformats.org/officeDocument/2006/relationships/hyperlink" Target="http://happysocks.com/" TargetMode="External"/><Relationship Id="rId1186" Type="http://schemas.openxmlformats.org/officeDocument/2006/relationships/hyperlink" Target="https://haxan.se/" TargetMode="External"/><Relationship Id="rId2237" Type="http://schemas.openxmlformats.org/officeDocument/2006/relationships/hyperlink" Target="https://www.mirrorcube.se/sakra-roren-i-din-villa" TargetMode="External"/><Relationship Id="rId209" Type="http://schemas.openxmlformats.org/officeDocument/2006/relationships/hyperlink" Target="https://blugiallo.com/" TargetMode="External"/><Relationship Id="rId6858" Type="http://schemas.openxmlformats.org/officeDocument/2006/relationships/hyperlink" Target="http://hajper.com/" TargetMode="External"/><Relationship Id="rId7909" Type="http://schemas.openxmlformats.org/officeDocument/2006/relationships/hyperlink" Target="http://nettotobak.com/velo/" TargetMode="External"/><Relationship Id="rId8280" Type="http://schemas.openxmlformats.org/officeDocument/2006/relationships/hyperlink" Target="http://axofinans.se/" TargetMode="External"/><Relationship Id="rId9331" Type="http://schemas.openxmlformats.org/officeDocument/2006/relationships/hyperlink" Target="https://www.inredningsnyheter.se/20250623/20105/den-svenska-renoveringsviljan-stark-var-tredje-planerar-att-renovera" TargetMode="External"/><Relationship Id="rId11261" Type="http://schemas.openxmlformats.org/officeDocument/2006/relationships/hyperlink" Target="http://dieselkraft.se/" TargetMode="External"/><Relationship Id="rId12312" Type="http://schemas.openxmlformats.org/officeDocument/2006/relationships/hyperlink" Target="https://handlaomhem.se/den-vasentliga-rollen-av-husbesiktning-for-sakra-bostadskop/" TargetMode="External"/><Relationship Id="rId1320" Type="http://schemas.openxmlformats.org/officeDocument/2006/relationships/hyperlink" Target="https://www.robomarkets.com/se/" TargetMode="External"/><Relationship Id="rId4890" Type="http://schemas.openxmlformats.org/officeDocument/2006/relationships/hyperlink" Target="https://www.bethard.com/sv/sports" TargetMode="External"/><Relationship Id="rId5941" Type="http://schemas.openxmlformats.org/officeDocument/2006/relationships/hyperlink" Target="https://www.avanza.se/fonder/om-fonden.html/1205492/spets-a" TargetMode="External"/><Relationship Id="rId3492" Type="http://schemas.openxmlformats.org/officeDocument/2006/relationships/hyperlink" Target="http://alfa.se/" TargetMode="External"/><Relationship Id="rId4543" Type="http://schemas.openxmlformats.org/officeDocument/2006/relationships/hyperlink" Target="https://brak.se/vitt-snus-en-ny-favorit-i-sverige/" TargetMode="External"/><Relationship Id="rId13086" Type="http://schemas.openxmlformats.org/officeDocument/2006/relationships/hyperlink" Target="http://himala.ai/" TargetMode="External"/><Relationship Id="rId2094" Type="http://schemas.openxmlformats.org/officeDocument/2006/relationships/hyperlink" Target="https://www.inmygarden.se/planera-forst-bygg-sen" TargetMode="External"/><Relationship Id="rId3145" Type="http://schemas.openxmlformats.org/officeDocument/2006/relationships/hyperlink" Target="https://www.polteknik.se/hur-lange-haller-solceller" TargetMode="External"/><Relationship Id="rId7766" Type="http://schemas.openxmlformats.org/officeDocument/2006/relationships/hyperlink" Target="http://startmotor.se/kategori/batmotordelar" TargetMode="External"/><Relationship Id="rId8817" Type="http://schemas.openxmlformats.org/officeDocument/2006/relationships/hyperlink" Target="https://www.lilla-varlden.se/collections/barnvagnar" TargetMode="External"/><Relationship Id="rId6368" Type="http://schemas.openxmlformats.org/officeDocument/2006/relationships/hyperlink" Target="http://myownwater.com/" TargetMode="External"/><Relationship Id="rId7419" Type="http://schemas.openxmlformats.org/officeDocument/2006/relationships/hyperlink" Target="https://www.washingtontimes.com/sponsored/pet-safety-gps-technology-changing-dog-parenting/" TargetMode="External"/><Relationship Id="rId10747" Type="http://schemas.openxmlformats.org/officeDocument/2006/relationships/hyperlink" Target="http://swedenlongstay.se/" TargetMode="External"/><Relationship Id="rId13220" Type="http://schemas.openxmlformats.org/officeDocument/2006/relationships/hyperlink" Target="https://www.sportingnews.com/us/culture/entertainment/news/nike-rolls-out-youth-basketball-camps-tech-cut-coaches-busywork%C2%A0/297b9593546570323a9a6c74" TargetMode="External"/><Relationship Id="rId200" Type="http://schemas.openxmlformats.org/officeDocument/2006/relationships/hyperlink" Target="https://haxan.se/" TargetMode="External"/><Relationship Id="rId2978" Type="http://schemas.openxmlformats.org/officeDocument/2006/relationships/hyperlink" Target="https://e-ciggbolaget.se/e-cigaretter/engangs-vape/frunk-bar/" TargetMode="External"/><Relationship Id="rId7900" Type="http://schemas.openxmlformats.org/officeDocument/2006/relationships/hyperlink" Target="https://www.chattanoogarehab.com/" TargetMode="External"/><Relationship Id="rId5451" Type="http://schemas.openxmlformats.org/officeDocument/2006/relationships/hyperlink" Target="https://alltomnorrtalje.se/gar-du-och-drommer-om-att-ge-ut-en-bok/" TargetMode="External"/><Relationship Id="rId6502" Type="http://schemas.openxmlformats.org/officeDocument/2006/relationships/hyperlink" Target="https://everynightstudios.com/" TargetMode="External"/><Relationship Id="rId4053" Type="http://schemas.openxmlformats.org/officeDocument/2006/relationships/hyperlink" Target="https://www.sekventiellt.se/spara-smart" TargetMode="External"/><Relationship Id="rId5104" Type="http://schemas.openxmlformats.org/officeDocument/2006/relationships/hyperlink" Target="https://www.traslottet.se/dags-att-lagga-nytt-tak" TargetMode="External"/><Relationship Id="rId8674" Type="http://schemas.openxmlformats.org/officeDocument/2006/relationships/hyperlink" Target="http://sakraror.se/" TargetMode="External"/><Relationship Id="rId9725" Type="http://schemas.openxmlformats.org/officeDocument/2006/relationships/hyperlink" Target="https://www.hauteresidence.com/understanding-the-role-of-rugs-in-modern-scandinavian-design-principles/" TargetMode="External"/><Relationship Id="rId11655" Type="http://schemas.openxmlformats.org/officeDocument/2006/relationships/hyperlink" Target="https://markets.vontobel.com/sv-se/produkter" TargetMode="External"/><Relationship Id="rId1714" Type="http://schemas.openxmlformats.org/officeDocument/2006/relationships/hyperlink" Target="https://lemontree.se/tjanster/testautomatisering/" TargetMode="External"/><Relationship Id="rId7276" Type="http://schemas.openxmlformats.org/officeDocument/2006/relationships/hyperlink" Target="https://www.hund.se/hundgodis" TargetMode="External"/><Relationship Id="rId8327" Type="http://schemas.openxmlformats.org/officeDocument/2006/relationships/hyperlink" Target="https://iptv-suomi.com/" TargetMode="External"/><Relationship Id="rId10257" Type="http://schemas.openxmlformats.org/officeDocument/2006/relationships/hyperlink" Target="https://bettingsyndikatet.se/speltips/uncategorized/upptack-unika-satt-att-betta-pa-ditt-favoritfotbollslag/" TargetMode="External"/><Relationship Id="rId11308" Type="http://schemas.openxmlformats.org/officeDocument/2006/relationships/hyperlink" Target="https://www.linkedin.com/company/fair-investments-sweden-ab?originalSubdomain=se&amp;original_referer=" TargetMode="External"/><Relationship Id="rId12706" Type="http://schemas.openxmlformats.org/officeDocument/2006/relationships/hyperlink" Target="https://swedenlongstay.se/sv/foretagsbostader/stockholm/" TargetMode="External"/><Relationship Id="rId2488" Type="http://schemas.openxmlformats.org/officeDocument/2006/relationships/hyperlink" Target="https://www.northgrid.se/att-bo-och-studera-i-norr" TargetMode="External"/><Relationship Id="rId3886" Type="http://schemas.openxmlformats.org/officeDocument/2006/relationships/hyperlink" Target="http://aaatak.se/" TargetMode="External"/><Relationship Id="rId4937" Type="http://schemas.openxmlformats.org/officeDocument/2006/relationships/hyperlink" Target="http://bethard.com/" TargetMode="External"/><Relationship Id="rId3539" Type="http://schemas.openxmlformats.org/officeDocument/2006/relationships/hyperlink" Target="https://happycasino.se/casino" TargetMode="External"/><Relationship Id="rId6012" Type="http://schemas.openxmlformats.org/officeDocument/2006/relationships/hyperlink" Target="http://kanalgratis.se/" TargetMode="External"/><Relationship Id="rId7410" Type="http://schemas.openxmlformats.org/officeDocument/2006/relationships/hyperlink" Target="https://influencereffect.se/wp-admin/post.php?post=11941&amp;action=edit" TargetMode="External"/><Relationship Id="rId9582" Type="http://schemas.openxmlformats.org/officeDocument/2006/relationships/hyperlink" Target="https://www.avanza.se/fonder/om-fonden.html/1205492/spets-a" TargetMode="External"/><Relationship Id="rId12563" Type="http://schemas.openxmlformats.org/officeDocument/2006/relationships/hyperlink" Target="https://hemplybalance.se/cbd-hampaoljor/" TargetMode="External"/><Relationship Id="rId941" Type="http://schemas.openxmlformats.org/officeDocument/2006/relationships/hyperlink" Target="http://rehabgrossisten.com/" TargetMode="External"/><Relationship Id="rId1571" Type="http://schemas.openxmlformats.org/officeDocument/2006/relationships/hyperlink" Target="https://www.alfa.no/collections/tursko-til-herre" TargetMode="External"/><Relationship Id="rId2622" Type="http://schemas.openxmlformats.org/officeDocument/2006/relationships/hyperlink" Target="https://www.di.se/brandstudio/fair-investments/fair-investments-vi-tar-bara-betalt-for-verkliga-resultat-det-tjanar-alla-pa/" TargetMode="External"/><Relationship Id="rId8184" Type="http://schemas.openxmlformats.org/officeDocument/2006/relationships/hyperlink" Target="https://direktbygg.se/forbattra-akustiken-i-byggnader-med-ratt-akustikprodukter/" TargetMode="External"/><Relationship Id="rId9235" Type="http://schemas.openxmlformats.org/officeDocument/2006/relationships/hyperlink" Target="http://rusta.se/" TargetMode="External"/><Relationship Id="rId11165" Type="http://schemas.openxmlformats.org/officeDocument/2006/relationships/hyperlink" Target="http://conclean.se/" TargetMode="External"/><Relationship Id="rId12216" Type="http://schemas.openxmlformats.org/officeDocument/2006/relationships/hyperlink" Target="https://smartfinansiering.se/effektivisera-din-affar/" TargetMode="External"/><Relationship Id="rId1224" Type="http://schemas.openxmlformats.org/officeDocument/2006/relationships/hyperlink" Target="https://mobilpengar.se/insolvens-orsaker-konsekvenser-och-hantering/" TargetMode="External"/><Relationship Id="rId4794" Type="http://schemas.openxmlformats.org/officeDocument/2006/relationships/hyperlink" Target="http://rusta.se/" TargetMode="External"/><Relationship Id="rId5845" Type="http://schemas.openxmlformats.org/officeDocument/2006/relationships/hyperlink" Target="https://medfamiljen.se/rabatterade-resor-for-pensionarer-familjens-formaner/" TargetMode="External"/><Relationship Id="rId3396" Type="http://schemas.openxmlformats.org/officeDocument/2006/relationships/hyperlink" Target="https://pontonhamnar.se/" TargetMode="External"/><Relationship Id="rId4447" Type="http://schemas.openxmlformats.org/officeDocument/2006/relationships/hyperlink" Target="http://lansfast.se/" TargetMode="External"/><Relationship Id="rId3049" Type="http://schemas.openxmlformats.org/officeDocument/2006/relationships/hyperlink" Target="http://spelklubben.se/" TargetMode="External"/><Relationship Id="rId10998" Type="http://schemas.openxmlformats.org/officeDocument/2006/relationships/hyperlink" Target="http://swedenlongstay.se/" TargetMode="External"/><Relationship Id="rId9092" Type="http://schemas.openxmlformats.org/officeDocument/2006/relationships/hyperlink" Target="http://himala.ai/" TargetMode="External"/><Relationship Id="rId1081" Type="http://schemas.openxmlformats.org/officeDocument/2006/relationships/hyperlink" Target="https://www.radionordkapp.no/nyheter/23842/dette-ma-du-huske-til-sommerens-fjellturer/" TargetMode="External"/><Relationship Id="rId3530" Type="http://schemas.openxmlformats.org/officeDocument/2006/relationships/hyperlink" Target="https://cannabislight.se/" TargetMode="External"/><Relationship Id="rId12073" Type="http://schemas.openxmlformats.org/officeDocument/2006/relationships/hyperlink" Target="https://www.nilsgrundberg.se/2023/10/20/mini-future-en-kortguide-till-borshandel/" TargetMode="External"/><Relationship Id="rId13124" Type="http://schemas.openxmlformats.org/officeDocument/2006/relationships/hyperlink" Target="https://www.mrvegas.com/mobile/casino/" TargetMode="External"/><Relationship Id="rId451" Type="http://schemas.openxmlformats.org/officeDocument/2006/relationships/hyperlink" Target="https://poolstart.se/" TargetMode="External"/><Relationship Id="rId2132" Type="http://schemas.openxmlformats.org/officeDocument/2006/relationships/hyperlink" Target="http://fairinvestments.se/" TargetMode="External"/><Relationship Id="rId6753" Type="http://schemas.openxmlformats.org/officeDocument/2006/relationships/hyperlink" Target="https://vardagsfrid.se/hemstadning/stockholm" TargetMode="External"/><Relationship Id="rId7804" Type="http://schemas.openxmlformats.org/officeDocument/2006/relationships/hyperlink" Target="http://tandea.se/" TargetMode="External"/><Relationship Id="rId104" Type="http://schemas.openxmlformats.org/officeDocument/2006/relationships/hyperlink" Target="https://malmflod.se/2022/11/07/darfor-brinner-fler-och-fler-for-sin-halsa/" TargetMode="External"/><Relationship Id="rId5355" Type="http://schemas.openxmlformats.org/officeDocument/2006/relationships/hyperlink" Target="http://e-ciggbolaget.se/" TargetMode="External"/><Relationship Id="rId6406" Type="http://schemas.openxmlformats.org/officeDocument/2006/relationships/hyperlink" Target="https://www.chattanoogarehab.com/us/clinical-electrotherapy/electrical-stimulation" TargetMode="External"/><Relationship Id="rId9976" Type="http://schemas.openxmlformats.org/officeDocument/2006/relationships/hyperlink" Target="https://vitamagazine.com/?p=83959&amp;preview=1&amp;_ppp=0c9c017b06" TargetMode="External"/><Relationship Id="rId5008" Type="http://schemas.openxmlformats.org/officeDocument/2006/relationships/hyperlink" Target="http://everynightstudios.com/" TargetMode="External"/><Relationship Id="rId8578" Type="http://schemas.openxmlformats.org/officeDocument/2006/relationships/hyperlink" Target="https://www.kingsizemag.se/okategoriserat/har-ar-platserna-du-inte-ska-bo-pa-om-du-vill-undvika-kandisar/" TargetMode="External"/><Relationship Id="rId9629" Type="http://schemas.openxmlformats.org/officeDocument/2006/relationships/hyperlink" Target="http://aerius.se/" TargetMode="External"/><Relationship Id="rId12957" Type="http://schemas.openxmlformats.org/officeDocument/2006/relationships/hyperlink" Target="https://www.merinfo.se/foretag/Fair-Investments-Sweden-AB-5568169626/2k3576i-kqah" TargetMode="External"/><Relationship Id="rId1965" Type="http://schemas.openxmlformats.org/officeDocument/2006/relationships/hyperlink" Target="https://app.ahrefs.com/keywords-explorer/google/se/overview?keyword=cbd%20olja" TargetMode="External"/><Relationship Id="rId11559" Type="http://schemas.openxmlformats.org/officeDocument/2006/relationships/hyperlink" Target="http://sufracofinebrands.com/" TargetMode="External"/><Relationship Id="rId1618" Type="http://schemas.openxmlformats.org/officeDocument/2006/relationships/hyperlink" Target="https://www.beckleyboutique.com/looking-for-a-new-watch-here-are-3-essentials-to-finding-the-perfect-mens-watch/" TargetMode="External"/><Relationship Id="rId3040" Type="http://schemas.openxmlformats.org/officeDocument/2006/relationships/hyperlink" Target="https://www.spelklubben.se/sv/casino" TargetMode="External"/><Relationship Id="rId7661" Type="http://schemas.openxmlformats.org/officeDocument/2006/relationships/hyperlink" Target="https://www.rusta.com/se/sv/fritid/husdjur/hund/hundfoder/" TargetMode="External"/><Relationship Id="rId8712" Type="http://schemas.openxmlformats.org/officeDocument/2006/relationships/hyperlink" Target="https://babytalk.se/saker-och-enkel-shopping-for-barnprodukter-online/" TargetMode="External"/><Relationship Id="rId10642" Type="http://schemas.openxmlformats.org/officeDocument/2006/relationships/hyperlink" Target="https://diginyt.fi/digitalisaatio-asettaa-uusia-vaatimuksia-fyysisiin-ymparistoihin/" TargetMode="External"/><Relationship Id="rId6263" Type="http://schemas.openxmlformats.org/officeDocument/2006/relationships/hyperlink" Target="https://hemmabygge.se/vvs-tjanster-for-effektivt-byggeri-i-sollentuna/" TargetMode="External"/><Relationship Id="rId7314" Type="http://schemas.openxmlformats.org/officeDocument/2006/relationships/hyperlink" Target="https://www.entreprenad.com/lb-article/181171/varfor-ska-foretag-automatisera-sin-produkt" TargetMode="External"/><Relationship Id="rId2873" Type="http://schemas.openxmlformats.org/officeDocument/2006/relationships/hyperlink" Target="http://e-ciggbolaget.se/" TargetMode="External"/><Relationship Id="rId3924" Type="http://schemas.openxmlformats.org/officeDocument/2006/relationships/hyperlink" Target="http://aretrotale.com/" TargetMode="External"/><Relationship Id="rId9486" Type="http://schemas.openxmlformats.org/officeDocument/2006/relationships/hyperlink" Target="https://www.spelklubben.se/sv/betting/fotboll" TargetMode="External"/><Relationship Id="rId12467" Type="http://schemas.openxmlformats.org/officeDocument/2006/relationships/hyperlink" Target="https://www.merinfo.se/foretag/Fair-Investments-Sweden-AB-5568169626/2k3576i-kqah" TargetMode="External"/><Relationship Id="rId845" Type="http://schemas.openxmlformats.org/officeDocument/2006/relationships/hyperlink" Target="http://toyota-forklifts.se/" TargetMode="External"/><Relationship Id="rId1475" Type="http://schemas.openxmlformats.org/officeDocument/2006/relationships/hyperlink" Target="https://advancepointcap.com/alternative-business-financing/" TargetMode="External"/><Relationship Id="rId2526" Type="http://schemas.openxmlformats.org/officeDocument/2006/relationships/hyperlink" Target="https://www.mabattre.nu/" TargetMode="External"/><Relationship Id="rId8088" Type="http://schemas.openxmlformats.org/officeDocument/2006/relationships/hyperlink" Target="https://www.spelklubben.se/sv/casino" TargetMode="External"/><Relationship Id="rId9139" Type="http://schemas.openxmlformats.org/officeDocument/2006/relationships/hyperlink" Target="https://katescreativespace.com/the-surprising-ways-technology-shapes-modern-relationships/" TargetMode="External"/><Relationship Id="rId11069" Type="http://schemas.openxmlformats.org/officeDocument/2006/relationships/hyperlink" Target="http://dbet.com/" TargetMode="External"/><Relationship Id="rId1128" Type="http://schemas.openxmlformats.org/officeDocument/2006/relationships/hyperlink" Target="http://happysocks.com/" TargetMode="External"/><Relationship Id="rId4698" Type="http://schemas.openxmlformats.org/officeDocument/2006/relationships/hyperlink" Target="https://nouveaumodels.se/led-teknikens-overlagsenhet-en-jamforelse-med-tidigare-belysningsformer/" TargetMode="External"/><Relationship Id="rId5749" Type="http://schemas.openxmlformats.org/officeDocument/2006/relationships/hyperlink" Target="http://cherry.com/" TargetMode="External"/><Relationship Id="rId7171" Type="http://schemas.openxmlformats.org/officeDocument/2006/relationships/hyperlink" Target="http://ekstromgaray.se/" TargetMode="External"/><Relationship Id="rId8222" Type="http://schemas.openxmlformats.org/officeDocument/2006/relationships/hyperlink" Target="https://iptvdansk.com/" TargetMode="External"/><Relationship Id="rId9620" Type="http://schemas.openxmlformats.org/officeDocument/2006/relationships/hyperlink" Target="http://mrvegas.com/" TargetMode="External"/><Relationship Id="rId11550" Type="http://schemas.openxmlformats.org/officeDocument/2006/relationships/hyperlink" Target="https://poolstart.se/historia-och-kvalitet-pa-compagnie-de-provence-tval/" TargetMode="External"/><Relationship Id="rId12601" Type="http://schemas.openxmlformats.org/officeDocument/2006/relationships/hyperlink" Target="http://megariches.com/" TargetMode="External"/><Relationship Id="rId10152" Type="http://schemas.openxmlformats.org/officeDocument/2006/relationships/hyperlink" Target="https://www.utemagasinet.se/partner/inget-planerat-i-sommar-har-ar-tips-pa-friluftsaktiviteter-med-en-twist/" TargetMode="External"/><Relationship Id="rId11203" Type="http://schemas.openxmlformats.org/officeDocument/2006/relationships/hyperlink" Target="https://blugiallo.com/tailoring-guides/flannel-clothing-guide/" TargetMode="External"/><Relationship Id="rId3781" Type="http://schemas.openxmlformats.org/officeDocument/2006/relationships/hyperlink" Target="https://uppsalamagicandcomedy.se/5-roliga-aktiviteter-i-stockholm/" TargetMode="External"/><Relationship Id="rId4832" Type="http://schemas.openxmlformats.org/officeDocument/2006/relationships/hyperlink" Target="https://www.idobusiness.co.uk/why-business-should-like-online-game/" TargetMode="External"/><Relationship Id="rId2383" Type="http://schemas.openxmlformats.org/officeDocument/2006/relationships/hyperlink" Target="https://www.spoors.health/" TargetMode="External"/><Relationship Id="rId3434" Type="http://schemas.openxmlformats.org/officeDocument/2006/relationships/hyperlink" Target="http://ttsab.nu/" TargetMode="External"/><Relationship Id="rId13028" Type="http://schemas.openxmlformats.org/officeDocument/2006/relationships/hyperlink" Target="http://comfydence.se/" TargetMode="External"/><Relationship Id="rId355" Type="http://schemas.openxmlformats.org/officeDocument/2006/relationships/hyperlink" Target="https://www.creditsafe.com/dk/da.html" TargetMode="External"/><Relationship Id="rId2036" Type="http://schemas.openxmlformats.org/officeDocument/2006/relationships/hyperlink" Target="http://triwa.com/" TargetMode="External"/><Relationship Id="rId6657" Type="http://schemas.openxmlformats.org/officeDocument/2006/relationships/hyperlink" Target="https://husmedia.se/lansforsakringar-fastighetsformedling-din-guide-till-bostadsaffarer-i-trosa/" TargetMode="External"/><Relationship Id="rId7708" Type="http://schemas.openxmlformats.org/officeDocument/2006/relationships/hyperlink" Target="http://ataraxiavardcentral.se/" TargetMode="External"/><Relationship Id="rId5259" Type="http://schemas.openxmlformats.org/officeDocument/2006/relationships/hyperlink" Target="http://www.kelleher-international.com/" TargetMode="External"/><Relationship Id="rId9130" Type="http://schemas.openxmlformats.org/officeDocument/2006/relationships/hyperlink" Target="https://mynicco.com/" TargetMode="External"/><Relationship Id="rId11060" Type="http://schemas.openxmlformats.org/officeDocument/2006/relationships/hyperlink" Target="https://minifinder.se/" TargetMode="External"/><Relationship Id="rId12111" Type="http://schemas.openxmlformats.org/officeDocument/2006/relationships/hyperlink" Target="https://www.robomarkets.com/se/forex-trading/trading/isk/" TargetMode="External"/><Relationship Id="rId1869" Type="http://schemas.openxmlformats.org/officeDocument/2006/relationships/hyperlink" Target="https://nordictimes.com/partner/a-retro-tale-where-timeless-elegance-meets-sustainability/" TargetMode="External"/><Relationship Id="rId3291" Type="http://schemas.openxmlformats.org/officeDocument/2006/relationships/hyperlink" Target="https://www.mabattre.nu/" TargetMode="External"/><Relationship Id="rId5740" Type="http://schemas.openxmlformats.org/officeDocument/2006/relationships/hyperlink" Target="http://spelklubben.se/" TargetMode="External"/><Relationship Id="rId4342" Type="http://schemas.openxmlformats.org/officeDocument/2006/relationships/hyperlink" Target="https://svenskacasinosidorna.se/nytt/moderna-live-casino-online-en-revolution-inom-digital-spelunderhallning/" TargetMode="External"/><Relationship Id="rId8963" Type="http://schemas.openxmlformats.org/officeDocument/2006/relationships/hyperlink" Target="https://www.nyaprojekt.se/2025/04/29/bostadsbristen-driver-nya-projekt-skapar-langsiktiga-investeringsmojligheter/" TargetMode="External"/><Relationship Id="rId10893" Type="http://schemas.openxmlformats.org/officeDocument/2006/relationships/hyperlink" Target="https://bettingsyndikatet.se/" TargetMode="External"/><Relationship Id="rId11944" Type="http://schemas.openxmlformats.org/officeDocument/2006/relationships/hyperlink" Target="http://lemontree.se/" TargetMode="External"/><Relationship Id="rId7565" Type="http://schemas.openxmlformats.org/officeDocument/2006/relationships/hyperlink" Target="http://cherry.com/" TargetMode="External"/><Relationship Id="rId8616" Type="http://schemas.openxmlformats.org/officeDocument/2006/relationships/hyperlink" Target="http://ekstromgaray.se/" TargetMode="External"/><Relationship Id="rId10546" Type="http://schemas.openxmlformats.org/officeDocument/2006/relationships/hyperlink" Target="https://www.saleseffect.se/varumarkesbyggande-merch-oka-kundlojaliteten-med-anpassade-muggar/" TargetMode="External"/><Relationship Id="rId6167" Type="http://schemas.openxmlformats.org/officeDocument/2006/relationships/hyperlink" Target="https://arctic.se/se/forsakringslosningar/svensksolenergi/" TargetMode="External"/><Relationship Id="rId7218" Type="http://schemas.openxmlformats.org/officeDocument/2006/relationships/hyperlink" Target="https://www.acnespecialisten.se/perioral-dermatit.php" TargetMode="External"/><Relationship Id="rId2777" Type="http://schemas.openxmlformats.org/officeDocument/2006/relationships/hyperlink" Target="https://luckycasino.com/sv/games-lobby/mostPopular" TargetMode="External"/><Relationship Id="rId749" Type="http://schemas.openxmlformats.org/officeDocument/2006/relationships/hyperlink" Target="https://tiotak.se/" TargetMode="External"/><Relationship Id="rId1379" Type="http://schemas.openxmlformats.org/officeDocument/2006/relationships/hyperlink" Target="https://webb-kurser.se/fair-investments-att-investera-med-hjartat/" TargetMode="External"/><Relationship Id="rId3828" Type="http://schemas.openxmlformats.org/officeDocument/2006/relationships/hyperlink" Target="http://w3solenergi.se/" TargetMode="External"/><Relationship Id="rId5250" Type="http://schemas.openxmlformats.org/officeDocument/2006/relationships/hyperlink" Target="https://thefrisky.com/customized-bottled-water-shaping-lifestyle-trends/" TargetMode="External"/><Relationship Id="rId6301" Type="http://schemas.openxmlformats.org/officeDocument/2006/relationships/hyperlink" Target="http://vontabel.com/" TargetMode="External"/><Relationship Id="rId9871" Type="http://schemas.openxmlformats.org/officeDocument/2006/relationships/hyperlink" Target="https://yourgild.com/" TargetMode="External"/><Relationship Id="rId12852" Type="http://schemas.openxmlformats.org/officeDocument/2006/relationships/hyperlink" Target="http://myownwater.com/" TargetMode="External"/><Relationship Id="rId85" Type="http://schemas.openxmlformats.org/officeDocument/2006/relationships/hyperlink" Target="https://blugiallo.com/custom-tailored/clothes/jeans/" TargetMode="External"/><Relationship Id="rId1860" Type="http://schemas.openxmlformats.org/officeDocument/2006/relationships/hyperlink" Target="https://savethefuture.se/solenergi-investeringen-som-lyser-upp-framtiden/" TargetMode="External"/><Relationship Id="rId2911" Type="http://schemas.openxmlformats.org/officeDocument/2006/relationships/hyperlink" Target="http://luckycasino.com/sv/" TargetMode="External"/><Relationship Id="rId7075" Type="http://schemas.openxmlformats.org/officeDocument/2006/relationships/hyperlink" Target="http://chattanoogarehab.com/" TargetMode="External"/><Relationship Id="rId8473" Type="http://schemas.openxmlformats.org/officeDocument/2006/relationships/hyperlink" Target="https://www.topcup-east.dk/slap-af-med-tv-efter-en-lang-dag-med-hestene" TargetMode="External"/><Relationship Id="rId9524" Type="http://schemas.openxmlformats.org/officeDocument/2006/relationships/hyperlink" Target="https://www.newst.se/de-5-dyraste-sporterna/" TargetMode="External"/><Relationship Id="rId11454" Type="http://schemas.openxmlformats.org/officeDocument/2006/relationships/hyperlink" Target="http://ljusgrossisten.se/" TargetMode="External"/><Relationship Id="rId12505" Type="http://schemas.openxmlformats.org/officeDocument/2006/relationships/hyperlink" Target="https://ekonomiboken.se/allt-du-behover-veta-om-fonder/" TargetMode="External"/><Relationship Id="rId1513" Type="http://schemas.openxmlformats.org/officeDocument/2006/relationships/hyperlink" Target="https://www.happysocks.com/us/adults/trend-edit" TargetMode="External"/><Relationship Id="rId8126" Type="http://schemas.openxmlformats.org/officeDocument/2006/relationships/hyperlink" Target="http://fairinvestments.se/" TargetMode="External"/><Relationship Id="rId10056" Type="http://schemas.openxmlformats.org/officeDocument/2006/relationships/hyperlink" Target="http://spelklubben.se/" TargetMode="External"/><Relationship Id="rId11107" Type="http://schemas.openxmlformats.org/officeDocument/2006/relationships/hyperlink" Target="https://villalivet.se/allmant/optimera-din-helg/" TargetMode="External"/><Relationship Id="rId3685" Type="http://schemas.openxmlformats.org/officeDocument/2006/relationships/hyperlink" Target="https://www.lansfast.se/maklare/stockholm/taby-danderyd/" TargetMode="External"/><Relationship Id="rId4736" Type="http://schemas.openxmlformats.org/officeDocument/2006/relationships/hyperlink" Target="https://www.svenskbyggtidning.se/2024/07/25/strategisk-planering-och-beslutsfattande-i-byggbranschen/" TargetMode="External"/><Relationship Id="rId13279" Type="http://schemas.openxmlformats.org/officeDocument/2006/relationships/hyperlink" Target="http://tandea.se/" TargetMode="External"/><Relationship Id="rId2287" Type="http://schemas.openxmlformats.org/officeDocument/2006/relationships/hyperlink" Target="http://tiotak.se/" TargetMode="External"/><Relationship Id="rId3338" Type="http://schemas.openxmlformats.org/officeDocument/2006/relationships/hyperlink" Target="https://andreanorrman.se/stockholms-basta-standup-big-ben-standup/" TargetMode="External"/><Relationship Id="rId7959" Type="http://schemas.openxmlformats.org/officeDocument/2006/relationships/hyperlink" Target="http://bus4you.se/" TargetMode="External"/><Relationship Id="rId259" Type="http://schemas.openxmlformats.org/officeDocument/2006/relationships/hyperlink" Target="http://chronos.se/" TargetMode="External"/><Relationship Id="rId9381" Type="http://schemas.openxmlformats.org/officeDocument/2006/relationships/hyperlink" Target="http://www.acnespecialisten.se/perioral-dermatit.php" TargetMode="External"/><Relationship Id="rId1370" Type="http://schemas.openxmlformats.org/officeDocument/2006/relationships/hyperlink" Target="https://dinlokalabokhandel.se/fair-investments-en-tillforlitlig-partner-for-kapitalforvaltning/" TargetMode="External"/><Relationship Id="rId9034" Type="http://schemas.openxmlformats.org/officeDocument/2006/relationships/hyperlink" Target="https://dailyemerald.com/165291/promotedposts/the-environmental-and-practical-benefits-of-choosing-aluminum-bottled-water/" TargetMode="External"/><Relationship Id="rId12362" Type="http://schemas.openxmlformats.org/officeDocument/2006/relationships/hyperlink" Target="https://eventeffect.se/utforska-vont-se-vapes-innovationer-i-varlden-av-e-cigaretter/" TargetMode="External"/><Relationship Id="rId740" Type="http://schemas.openxmlformats.org/officeDocument/2006/relationships/hyperlink" Target="http://haxa.se/" TargetMode="External"/><Relationship Id="rId1023" Type="http://schemas.openxmlformats.org/officeDocument/2006/relationships/hyperlink" Target="http://happysocks.com/" TargetMode="External"/><Relationship Id="rId2421" Type="http://schemas.openxmlformats.org/officeDocument/2006/relationships/hyperlink" Target="https://www.unvelo.se/" TargetMode="External"/><Relationship Id="rId5991" Type="http://schemas.openxmlformats.org/officeDocument/2006/relationships/hyperlink" Target="https://gaming-fans.com/2024/10/the-availability-gap-between-marvel-and-star-wars-slot-games/" TargetMode="External"/><Relationship Id="rId12015" Type="http://schemas.openxmlformats.org/officeDocument/2006/relationships/hyperlink" Target="https://www.tryggbil.se/" TargetMode="External"/><Relationship Id="rId4593" Type="http://schemas.openxmlformats.org/officeDocument/2006/relationships/hyperlink" Target="https://modernalivet.se/livsstil/hitta-balansen-i-vardagen-moderna-livsstilsval/" TargetMode="External"/><Relationship Id="rId5644" Type="http://schemas.openxmlformats.org/officeDocument/2006/relationships/hyperlink" Target="https://www.investera-pengar.com/blogg/fair-investments-spetsfond-en-chans-for-erfarna-investerare/" TargetMode="External"/><Relationship Id="rId3195" Type="http://schemas.openxmlformats.org/officeDocument/2006/relationships/hyperlink" Target="https://www.filippa-k.com/se/sv/dam/ready-to-wear/toppar" TargetMode="External"/><Relationship Id="rId4246" Type="http://schemas.openxmlformats.org/officeDocument/2006/relationships/hyperlink" Target="http://mrnicco.com/" TargetMode="External"/><Relationship Id="rId8867" Type="http://schemas.openxmlformats.org/officeDocument/2006/relationships/hyperlink" Target="https://mynicco.com/product-category/zyn/" TargetMode="External"/><Relationship Id="rId9918" Type="http://schemas.openxmlformats.org/officeDocument/2006/relationships/hyperlink" Target="https://www.ihus.nu/quick-fixes-sa-undviker-du-snusflackar-och-listdamm/" TargetMode="External"/><Relationship Id="rId10797" Type="http://schemas.openxmlformats.org/officeDocument/2006/relationships/hyperlink" Target="https://www.zmarta.se/lana-pengar/privatlan" TargetMode="External"/><Relationship Id="rId7469" Type="http://schemas.openxmlformats.org/officeDocument/2006/relationships/hyperlink" Target="https://www.nykommun.se/2025/01/27/har-bygger-stockholmarna-sina-landstallen-2025/" TargetMode="External"/><Relationship Id="rId11848" Type="http://schemas.openxmlformats.org/officeDocument/2006/relationships/hyperlink" Target="https://reviewsbird.se/natbutiker/elegansen-bakom-en-valpassande-kostym-en-djupdykning-i-herrmodets-varld" TargetMode="External"/><Relationship Id="rId13270" Type="http://schemas.openxmlformats.org/officeDocument/2006/relationships/hyperlink" Target="http://tryggbil.se/" TargetMode="External"/><Relationship Id="rId1907" Type="http://schemas.openxmlformats.org/officeDocument/2006/relationships/hyperlink" Target="https://www.triwa.com/watches-for-men" TargetMode="External"/><Relationship Id="rId250" Type="http://schemas.openxmlformats.org/officeDocument/2006/relationships/hyperlink" Target="https://nem.health/" TargetMode="External"/><Relationship Id="rId7950" Type="http://schemas.openxmlformats.org/officeDocument/2006/relationships/hyperlink" Target="http://vardagsfrid.se/" TargetMode="External"/><Relationship Id="rId10931" Type="http://schemas.openxmlformats.org/officeDocument/2006/relationships/hyperlink" Target="http://willabgarden.de/" TargetMode="External"/><Relationship Id="rId5154" Type="http://schemas.openxmlformats.org/officeDocument/2006/relationships/hyperlink" Target="https://nordicshowcase.se/" TargetMode="External"/><Relationship Id="rId6552" Type="http://schemas.openxmlformats.org/officeDocument/2006/relationships/hyperlink" Target="https://arctic.se/nibe-warmepumpe-versicherung/" TargetMode="External"/><Relationship Id="rId7603" Type="http://schemas.openxmlformats.org/officeDocument/2006/relationships/hyperlink" Target="https://www.nettotobak.com/" TargetMode="External"/><Relationship Id="rId6205" Type="http://schemas.openxmlformats.org/officeDocument/2006/relationships/hyperlink" Target="https://www.spelklubben.se/sv/casino" TargetMode="External"/><Relationship Id="rId9775" Type="http://schemas.openxmlformats.org/officeDocument/2006/relationships/hyperlink" Target="http://hund.se/" TargetMode="External"/><Relationship Id="rId12756" Type="http://schemas.openxmlformats.org/officeDocument/2006/relationships/hyperlink" Target="http://indoorprofessional.se/" TargetMode="External"/><Relationship Id="rId1764" Type="http://schemas.openxmlformats.org/officeDocument/2006/relationships/hyperlink" Target="https://savethefuture.se/advokatbyra-i-stockholm-expertis-och-juridisk-mangfald/" TargetMode="External"/><Relationship Id="rId2815" Type="http://schemas.openxmlformats.org/officeDocument/2006/relationships/hyperlink" Target="https://www.spelklubben.se/sv" TargetMode="External"/><Relationship Id="rId8377" Type="http://schemas.openxmlformats.org/officeDocument/2006/relationships/hyperlink" Target="https://hustillsalu.se/manipulera-solen-och-fa-en-langre-sommar/" TargetMode="External"/><Relationship Id="rId9428" Type="http://schemas.openxmlformats.org/officeDocument/2006/relationships/hyperlink" Target="https://www.nettotobak.com/zyn/" TargetMode="External"/><Relationship Id="rId11358" Type="http://schemas.openxmlformats.org/officeDocument/2006/relationships/hyperlink" Target="https://www.linkedin.com/company/fair-investments-sweden-ab/?originalSubdomain=se" TargetMode="External"/><Relationship Id="rId12409" Type="http://schemas.openxmlformats.org/officeDocument/2006/relationships/hyperlink" Target="https://14karat.se/stand-up-komedin-i-stockholm-en-oas-for-humor-och-samhorighe/" TargetMode="External"/><Relationship Id="rId1417" Type="http://schemas.openxmlformats.org/officeDocument/2006/relationships/hyperlink" Target="https://poolstart.se/" TargetMode="External"/><Relationship Id="rId4987" Type="http://schemas.openxmlformats.org/officeDocument/2006/relationships/hyperlink" Target="http://fairinvestments.se/" TargetMode="External"/><Relationship Id="rId3589" Type="http://schemas.openxmlformats.org/officeDocument/2006/relationships/hyperlink" Target="https://kingsizemag.se/okategoriserat/maximera-dina-avkastningar-med-fair-investments-erbjuder-langsiktig-kapitalforvaltning-for-dina-stora-drommar/" TargetMode="External"/><Relationship Id="rId7460" Type="http://schemas.openxmlformats.org/officeDocument/2006/relationships/hyperlink" Target="https://ng.se/artiklar/klubbkvallar-akne-hur-nattliv-och-smink-kan-paverka-din-hud" TargetMode="External"/><Relationship Id="rId8511" Type="http://schemas.openxmlformats.org/officeDocument/2006/relationships/hyperlink" Target="http://glassfactory.fi/" TargetMode="External"/><Relationship Id="rId6062" Type="http://schemas.openxmlformats.org/officeDocument/2006/relationships/hyperlink" Target="https://www.dagensnaringsliv.se/20241029/273908/spelbolag-lanserades-med-framgang" TargetMode="External"/><Relationship Id="rId7113" Type="http://schemas.openxmlformats.org/officeDocument/2006/relationships/hyperlink" Target="http://tryggbil.se/" TargetMode="External"/><Relationship Id="rId10441" Type="http://schemas.openxmlformats.org/officeDocument/2006/relationships/hyperlink" Target="http://hund.se/" TargetMode="External"/><Relationship Id="rId9285" Type="http://schemas.openxmlformats.org/officeDocument/2006/relationships/hyperlink" Target="https://businesshelper.se/sakerhetslosningar-for-en-tryggare-affarsmiljo/" TargetMode="External"/><Relationship Id="rId991" Type="http://schemas.openxmlformats.org/officeDocument/2006/relationships/hyperlink" Target="https://aretrotale.com/" TargetMode="External"/><Relationship Id="rId2672" Type="http://schemas.openxmlformats.org/officeDocument/2006/relationships/hyperlink" Target="https://www.merinfo.se/foretag/Fair-Investments-Sweden-AB-5568169626/2k3576i-kqah" TargetMode="External"/><Relationship Id="rId3723" Type="http://schemas.openxmlformats.org/officeDocument/2006/relationships/hyperlink" Target="https://www.vinstraden.se/vad-ar-casino-game-shows/" TargetMode="External"/><Relationship Id="rId12266" Type="http://schemas.openxmlformats.org/officeDocument/2006/relationships/hyperlink" Target="https://lomelina.se/blogg/hur-du-valjer-vilket-material-dina-kostymbyxor-ska-ha/" TargetMode="External"/><Relationship Id="rId13317" Type="http://schemas.openxmlformats.org/officeDocument/2006/relationships/hyperlink" Target="https://www.pastemagazine.com/tech/epidemic-sound/royalty-free-music-for-creators" TargetMode="External"/><Relationship Id="rId644" Type="http://schemas.openxmlformats.org/officeDocument/2006/relationships/hyperlink" Target="http://happysocks.com/" TargetMode="External"/><Relationship Id="rId1274" Type="http://schemas.openxmlformats.org/officeDocument/2006/relationships/hyperlink" Target="https://14karat.se/studera-till-lonekonsult-pa-distans-en-framtidsinriktad-utbildningsvag/" TargetMode="External"/><Relationship Id="rId2325" Type="http://schemas.openxmlformats.org/officeDocument/2006/relationships/hyperlink" Target="https://www.rambollnatura.se/ar-mina-pengar-sakra-pa-banken" TargetMode="External"/><Relationship Id="rId5895" Type="http://schemas.openxmlformats.org/officeDocument/2006/relationships/hyperlink" Target="https://ekstromgaray.se/skicka-in-manus/" TargetMode="External"/><Relationship Id="rId6946" Type="http://schemas.openxmlformats.org/officeDocument/2006/relationships/hyperlink" Target="https://pontechmarina.com/se/flytbrygga/" TargetMode="External"/><Relationship Id="rId4497" Type="http://schemas.openxmlformats.org/officeDocument/2006/relationships/hyperlink" Target="http://seniorrabatt.se/" TargetMode="External"/><Relationship Id="rId5548" Type="http://schemas.openxmlformats.org/officeDocument/2006/relationships/hyperlink" Target="https://www.spelklubben.se/sv/betting" TargetMode="External"/><Relationship Id="rId12400" Type="http://schemas.openxmlformats.org/officeDocument/2006/relationships/hyperlink" Target="https://firmify.se/nara-tillganglighet-till-en-allomfattande-bilverkstad-i-stockholm-en-vag-till-trygghet-och-bekvamlighet/" TargetMode="External"/><Relationship Id="rId3099" Type="http://schemas.openxmlformats.org/officeDocument/2006/relationships/hyperlink" Target="https://reveljens.se/" TargetMode="External"/><Relationship Id="rId8021" Type="http://schemas.openxmlformats.org/officeDocument/2006/relationships/hyperlink" Target="https://www.coface.fi/luottovakuutus" TargetMode="External"/><Relationship Id="rId11002" Type="http://schemas.openxmlformats.org/officeDocument/2006/relationships/hyperlink" Target="https://www.battrestadsdel.se/i-samarbete-med-2/den-ultimata-hemmakvallen-sa-ser-den-ut/" TargetMode="External"/><Relationship Id="rId3580" Type="http://schemas.openxmlformats.org/officeDocument/2006/relationships/hyperlink" Target="https://thestripesblog.com/from-airports-to-living-rooms-the-new-wave-of-personalized-fitness-for-travelers/" TargetMode="External"/><Relationship Id="rId13174" Type="http://schemas.openxmlformats.org/officeDocument/2006/relationships/hyperlink" Target="http://mrvegas.com/" TargetMode="External"/><Relationship Id="rId2182" Type="http://schemas.openxmlformats.org/officeDocument/2006/relationships/hyperlink" Target="https://www.norteam.se/" TargetMode="External"/><Relationship Id="rId3233" Type="http://schemas.openxmlformats.org/officeDocument/2006/relationships/hyperlink" Target="http://fairinvestments.se/" TargetMode="External"/><Relationship Id="rId4631" Type="http://schemas.openxmlformats.org/officeDocument/2006/relationships/hyperlink" Target="http://hampabonden.se/" TargetMode="External"/><Relationship Id="rId154" Type="http://schemas.openxmlformats.org/officeDocument/2006/relationships/hyperlink" Target="http://elmarknad.se/" TargetMode="External"/><Relationship Id="rId7854" Type="http://schemas.openxmlformats.org/officeDocument/2006/relationships/hyperlink" Target="http://hund.se/koppel-selar-och-halsband" TargetMode="External"/><Relationship Id="rId8905" Type="http://schemas.openxmlformats.org/officeDocument/2006/relationships/hyperlink" Target="https://modulhus.se/prefabricerade-modulhus-i-sverige-och-varlden/" TargetMode="External"/><Relationship Id="rId10835" Type="http://schemas.openxmlformats.org/officeDocument/2006/relationships/hyperlink" Target="https://bulletin.nu/hur-man-tranar-upp-formaga-att-lasa-kroppssprak" TargetMode="External"/><Relationship Id="rId6456" Type="http://schemas.openxmlformats.org/officeDocument/2006/relationships/hyperlink" Target="http://everynightstudios.com/" TargetMode="External"/><Relationship Id="rId7507" Type="http://schemas.openxmlformats.org/officeDocument/2006/relationships/hyperlink" Target="http://nordicknots.com/" TargetMode="External"/><Relationship Id="rId5058" Type="http://schemas.openxmlformats.org/officeDocument/2006/relationships/hyperlink" Target="http://cherry.com/" TargetMode="External"/><Relationship Id="rId6109" Type="http://schemas.openxmlformats.org/officeDocument/2006/relationships/hyperlink" Target="https://eventeffect.se/kanalgratis-fran-passion-for-fiske-till-framgangsrik-e-handel/" TargetMode="External"/><Relationship Id="rId9679" Type="http://schemas.openxmlformats.org/officeDocument/2006/relationships/hyperlink" Target="https://celebhub.co.uk/why-video-slots-are-a-growing-trend-at-online-casinos-in-the-uk/" TargetMode="External"/><Relationship Id="rId1668" Type="http://schemas.openxmlformats.org/officeDocument/2006/relationships/hyperlink" Target="https://www.tandea.se/" TargetMode="External"/><Relationship Id="rId2719" Type="http://schemas.openxmlformats.org/officeDocument/2006/relationships/hyperlink" Target="https://www.skogshojdspa.se/" TargetMode="External"/><Relationship Id="rId3090" Type="http://schemas.openxmlformats.org/officeDocument/2006/relationships/hyperlink" Target="https://www.foyen.se/om-oss/vara-kontor/foyen-i-stockholm/" TargetMode="External"/><Relationship Id="rId4141" Type="http://schemas.openxmlformats.org/officeDocument/2006/relationships/hyperlink" Target="http://snusnetto.se/" TargetMode="External"/><Relationship Id="rId7364" Type="http://schemas.openxmlformats.org/officeDocument/2006/relationships/hyperlink" Target="https://ourculturemag.com/2025/01/21/passionate-pairings-how-creative-couples-shaped-art-literature-and-culture/" TargetMode="External"/><Relationship Id="rId8762" Type="http://schemas.openxmlformats.org/officeDocument/2006/relationships/hyperlink" Target="http://nettotobak.com/zyn/" TargetMode="External"/><Relationship Id="rId9813" Type="http://schemas.openxmlformats.org/officeDocument/2006/relationships/hyperlink" Target="https://nutidshuset.se/viktigheten-av-professionell-rormokartjanst-for-ditt-hem-i-stockholm/" TargetMode="External"/><Relationship Id="rId10692" Type="http://schemas.openxmlformats.org/officeDocument/2006/relationships/hyperlink" Target="https://www.kleer.se/ekonomisystem/" TargetMode="External"/><Relationship Id="rId11743" Type="http://schemas.openxmlformats.org/officeDocument/2006/relationships/hyperlink" Target="http://yagya.com/" TargetMode="External"/><Relationship Id="rId27" Type="http://schemas.openxmlformats.org/officeDocument/2006/relationships/hyperlink" Target="https://chronos.se/" TargetMode="External"/><Relationship Id="rId1802" Type="http://schemas.openxmlformats.org/officeDocument/2006/relationships/hyperlink" Target="http://carpcon.se/" TargetMode="External"/><Relationship Id="rId7017" Type="http://schemas.openxmlformats.org/officeDocument/2006/relationships/hyperlink" Target="https://www.salkunrakentaja.fi/2024/12/miksi-yritysten-kannattaisi-ulkoistaa-perintapalvelunsa/" TargetMode="External"/><Relationship Id="rId8415" Type="http://schemas.openxmlformats.org/officeDocument/2006/relationships/hyperlink" Target="http://nettotobak.com/" TargetMode="External"/><Relationship Id="rId10345" Type="http://schemas.openxmlformats.org/officeDocument/2006/relationships/hyperlink" Target="http://stockholms-rorvvs.se/" TargetMode="External"/><Relationship Id="rId3974" Type="http://schemas.openxmlformats.org/officeDocument/2006/relationships/hyperlink" Target="http://purakliniken.se/" TargetMode="External"/><Relationship Id="rId895" Type="http://schemas.openxmlformats.org/officeDocument/2006/relationships/hyperlink" Target="https://www.stylemotivation.com/here-are-5-ways-to-match-your-outfit-with-your-partner/" TargetMode="External"/><Relationship Id="rId2576" Type="http://schemas.openxmlformats.org/officeDocument/2006/relationships/hyperlink" Target="https://www.realtid.se/investeringsnatverk-hjalper-la-reine-mannens-solcellsbolag/" TargetMode="External"/><Relationship Id="rId3627" Type="http://schemas.openxmlformats.org/officeDocument/2006/relationships/hyperlink" Target="https://www.affarsvarlden.se/native/spetsig-fond-hittar-globala-vinnare" TargetMode="External"/><Relationship Id="rId9189" Type="http://schemas.openxmlformats.org/officeDocument/2006/relationships/hyperlink" Target="http://arctic.se/" TargetMode="External"/><Relationship Id="rId548" Type="http://schemas.openxmlformats.org/officeDocument/2006/relationships/hyperlink" Target="https://industrilinjen.se/sa-kan-man-spara-in-pa-sin-elanvandning-for-att-dra-ner-sina-manadskostnader/" TargetMode="External"/><Relationship Id="rId1178" Type="http://schemas.openxmlformats.org/officeDocument/2006/relationships/hyperlink" Target="https://aretrotale.com/" TargetMode="External"/><Relationship Id="rId2229" Type="http://schemas.openxmlformats.org/officeDocument/2006/relationships/hyperlink" Target="https://www.cdg.io/services/virtual-ciso/" TargetMode="External"/><Relationship Id="rId5799" Type="http://schemas.openxmlformats.org/officeDocument/2006/relationships/hyperlink" Target="https://dinbyggnad.se/byta-tak-i-maskinhall-en-guide-for-smidig-renovering/" TargetMode="External"/><Relationship Id="rId6100" Type="http://schemas.openxmlformats.org/officeDocument/2006/relationships/hyperlink" Target="http://chattanoogarehab.com/" TargetMode="External"/><Relationship Id="rId9670" Type="http://schemas.openxmlformats.org/officeDocument/2006/relationships/hyperlink" Target="https://www.transportochlogistik.se/20250623/21408/effektiv-flyttlogistik-sa-sparar-foretag-tid-och-pengar" TargetMode="External"/><Relationship Id="rId8272" Type="http://schemas.openxmlformats.org/officeDocument/2006/relationships/hyperlink" Target="http://rusta.se/" TargetMode="External"/><Relationship Id="rId9323" Type="http://schemas.openxmlformats.org/officeDocument/2006/relationships/hyperlink" Target="https://www.hajper.com/sv/sportsbook" TargetMode="External"/><Relationship Id="rId12651" Type="http://schemas.openxmlformats.org/officeDocument/2006/relationships/hyperlink" Target="http://megariches.com/" TargetMode="External"/><Relationship Id="rId1312" Type="http://schemas.openxmlformats.org/officeDocument/2006/relationships/hyperlink" Target="http://robomarkets.com/" TargetMode="External"/><Relationship Id="rId2710" Type="http://schemas.openxmlformats.org/officeDocument/2006/relationships/hyperlink" Target="http://glitnor.com/" TargetMode="External"/><Relationship Id="rId11253" Type="http://schemas.openxmlformats.org/officeDocument/2006/relationships/hyperlink" Target="https://www.dieselkraft.se/Visa-produkter" TargetMode="External"/><Relationship Id="rId12304" Type="http://schemas.openxmlformats.org/officeDocument/2006/relationships/hyperlink" Target="https://egenvilla.se/skapa-en-varm-julstamning-med-led-lister-under-vinterns-morka-dagar/" TargetMode="External"/><Relationship Id="rId4882" Type="http://schemas.openxmlformats.org/officeDocument/2006/relationships/hyperlink" Target="https://www.kvarnx.com/sv/kryptovalutor" TargetMode="External"/><Relationship Id="rId5933" Type="http://schemas.openxmlformats.org/officeDocument/2006/relationships/hyperlink" Target="http://fairinvestments.se/" TargetMode="External"/><Relationship Id="rId2086" Type="http://schemas.openxmlformats.org/officeDocument/2006/relationships/hyperlink" Target="http://triwa.com/" TargetMode="External"/><Relationship Id="rId3484" Type="http://schemas.openxmlformats.org/officeDocument/2006/relationships/hyperlink" Target="https://cpp-luxury.com/maintaining-privacy-in-high-profile-lives/" TargetMode="External"/><Relationship Id="rId4535" Type="http://schemas.openxmlformats.org/officeDocument/2006/relationships/hyperlink" Target="https://zelium.se/halsa/trender-inom-halsa-och-valmaende-en-djupdykning-i-moderna-livsstilsval/" TargetMode="External"/><Relationship Id="rId13078" Type="http://schemas.openxmlformats.org/officeDocument/2006/relationships/hyperlink" Target="https://www.omkrets.se/tragolvsguiden-hitta-ratt-stil-och-kansla/" TargetMode="External"/><Relationship Id="rId3137" Type="http://schemas.openxmlformats.org/officeDocument/2006/relationships/hyperlink" Target="https://www.alvtorpet.se/" TargetMode="External"/><Relationship Id="rId7758" Type="http://schemas.openxmlformats.org/officeDocument/2006/relationships/hyperlink" Target="https://www.avanza.se/fonder/om-fonden.html/1205492/spets-a" TargetMode="External"/><Relationship Id="rId8809" Type="http://schemas.openxmlformats.org/officeDocument/2006/relationships/hyperlink" Target="https://eventeffect.se/event-dar-du-faktiskt-far-ta-med-din-hund/" TargetMode="External"/><Relationship Id="rId10739" Type="http://schemas.openxmlformats.org/officeDocument/2006/relationships/hyperlink" Target="http://startmotor.se/" TargetMode="External"/><Relationship Id="rId9180" Type="http://schemas.openxmlformats.org/officeDocument/2006/relationships/hyperlink" Target="http://acnespecialisten.se/" TargetMode="External"/><Relationship Id="rId12161" Type="http://schemas.openxmlformats.org/officeDocument/2006/relationships/hyperlink" Target="http://tryggbil.se/" TargetMode="External"/><Relationship Id="rId13212" Type="http://schemas.openxmlformats.org/officeDocument/2006/relationships/hyperlink" Target="https://www.videoslots.com/" TargetMode="External"/><Relationship Id="rId2220" Type="http://schemas.openxmlformats.org/officeDocument/2006/relationships/hyperlink" Target="https://www.pingpongbarnklader.se/nya-horisonter" TargetMode="External"/><Relationship Id="rId5790" Type="http://schemas.openxmlformats.org/officeDocument/2006/relationships/hyperlink" Target="https://www.mariatand.se/" TargetMode="External"/><Relationship Id="rId4392" Type="http://schemas.openxmlformats.org/officeDocument/2006/relationships/hyperlink" Target="https://www.allabolag.se/5568169626/bokslut" TargetMode="External"/><Relationship Id="rId5443" Type="http://schemas.openxmlformats.org/officeDocument/2006/relationships/hyperlink" Target="https://kelleher-international.com/professional-matchmaking-for-men/" TargetMode="External"/><Relationship Id="rId6841" Type="http://schemas.openxmlformats.org/officeDocument/2006/relationships/hyperlink" Target="http://startmotor.se/" TargetMode="External"/><Relationship Id="rId4045" Type="http://schemas.openxmlformats.org/officeDocument/2006/relationships/hyperlink" Target="https://www.racestuff.se/hur-funkar-en-solenoid" TargetMode="External"/><Relationship Id="rId11994" Type="http://schemas.openxmlformats.org/officeDocument/2006/relationships/hyperlink" Target="https://livsbanken.se/reishi-svamp-ganoderma-lucidum/" TargetMode="External"/><Relationship Id="rId8666" Type="http://schemas.openxmlformats.org/officeDocument/2006/relationships/hyperlink" Target="https://swedenlongstay.se/sv/foretagsbostader" TargetMode="External"/><Relationship Id="rId9717" Type="http://schemas.openxmlformats.org/officeDocument/2006/relationships/hyperlink" Target="https://www.spelklubben.se/sv/casino" TargetMode="External"/><Relationship Id="rId10596" Type="http://schemas.openxmlformats.org/officeDocument/2006/relationships/hyperlink" Target="https://technomeow.com/best-self-cleaning-litter-boxes-this-year/" TargetMode="External"/><Relationship Id="rId11647" Type="http://schemas.openxmlformats.org/officeDocument/2006/relationships/hyperlink" Target="http://vontabel.com/" TargetMode="External"/><Relationship Id="rId1706" Type="http://schemas.openxmlformats.org/officeDocument/2006/relationships/hyperlink" Target="https://www.swedoffice.se/" TargetMode="External"/><Relationship Id="rId7268" Type="http://schemas.openxmlformats.org/officeDocument/2006/relationships/hyperlink" Target="http://bethard.com/" TargetMode="External"/><Relationship Id="rId8319" Type="http://schemas.openxmlformats.org/officeDocument/2006/relationships/hyperlink" Target="http://di.se/brandstudio/fair-investments/fair-investments-vi-tar-bara-betalt-for-verkliga-resultat-det-tjanar-alla-pa/" TargetMode="External"/><Relationship Id="rId10249" Type="http://schemas.openxmlformats.org/officeDocument/2006/relationships/hyperlink" Target="https://www.nordicknots.com/us/rugs" TargetMode="External"/><Relationship Id="rId3878" Type="http://schemas.openxmlformats.org/officeDocument/2006/relationships/hyperlink" Target="https://www.nojesnytthelsingborg.se/2024/05/30/nycklarna-till-framgang-hur-du-kan-skala-upp-ditt-foretag/" TargetMode="External"/><Relationship Id="rId4929" Type="http://schemas.openxmlformats.org/officeDocument/2006/relationships/hyperlink" Target="http://kvarnx.com/" TargetMode="External"/><Relationship Id="rId8800" Type="http://schemas.openxmlformats.org/officeDocument/2006/relationships/hyperlink" Target="http://rusta.se/" TargetMode="External"/><Relationship Id="rId799" Type="http://schemas.openxmlformats.org/officeDocument/2006/relationships/hyperlink" Target="https://aspiringgentleman.com/fashion/this-is-how-you-make-your-formal-outfits-more-casual/" TargetMode="External"/><Relationship Id="rId6351" Type="http://schemas.openxmlformats.org/officeDocument/2006/relationships/hyperlink" Target="http://chattanoogarehab.com/" TargetMode="External"/><Relationship Id="rId7402" Type="http://schemas.openxmlformats.org/officeDocument/2006/relationships/hyperlink" Target="http://svenskafonster.se/skjutdorr" TargetMode="External"/><Relationship Id="rId10730" Type="http://schemas.openxmlformats.org/officeDocument/2006/relationships/hyperlink" Target="http://kleer.se/" TargetMode="External"/><Relationship Id="rId6004" Type="http://schemas.openxmlformats.org/officeDocument/2006/relationships/hyperlink" Target="https://helsinkipost.com/kuinka-loytaa-sopiva-autolaina/" TargetMode="External"/><Relationship Id="rId9574" Type="http://schemas.openxmlformats.org/officeDocument/2006/relationships/hyperlink" Target="https://www.sesec.se/" TargetMode="External"/><Relationship Id="rId2961" Type="http://schemas.openxmlformats.org/officeDocument/2006/relationships/hyperlink" Target="http://spelklubben.se/" TargetMode="External"/><Relationship Id="rId8176" Type="http://schemas.openxmlformats.org/officeDocument/2006/relationships/hyperlink" Target="https://tiotak.se/" TargetMode="External"/><Relationship Id="rId9227" Type="http://schemas.openxmlformats.org/officeDocument/2006/relationships/hyperlink" Target="https://likealady.se/skalfasader-kan-ge-kvinnor-ett-vackrare-leende/" TargetMode="External"/><Relationship Id="rId12555" Type="http://schemas.openxmlformats.org/officeDocument/2006/relationships/hyperlink" Target="https://notyfile.se/sv/" TargetMode="External"/><Relationship Id="rId933" Type="http://schemas.openxmlformats.org/officeDocument/2006/relationships/hyperlink" Target="https://www.happysocks.com/eu/collection/socks-for-dogs" TargetMode="External"/><Relationship Id="rId1563" Type="http://schemas.openxmlformats.org/officeDocument/2006/relationships/hyperlink" Target="http://distansinstitutet.se/" TargetMode="External"/><Relationship Id="rId2614" Type="http://schemas.openxmlformats.org/officeDocument/2006/relationships/hyperlink" Target="https://www.triwa.com/time-for-solar" TargetMode="External"/><Relationship Id="rId11157" Type="http://schemas.openxmlformats.org/officeDocument/2006/relationships/hyperlink" Target="https://www.gadgetgirl.se/bygg-din-trygghet" TargetMode="External"/><Relationship Id="rId12208" Type="http://schemas.openxmlformats.org/officeDocument/2006/relationships/hyperlink" Target="https://mammagruppen.se/5-satt-att-gora-ditt-hem-extra-mysigt/" TargetMode="External"/><Relationship Id="rId1216" Type="http://schemas.openxmlformats.org/officeDocument/2006/relationships/hyperlink" Target="https://www.villarelining.se/" TargetMode="External"/><Relationship Id="rId4786" Type="http://schemas.openxmlformats.org/officeDocument/2006/relationships/hyperlink" Target="http://aretrotale.com/" TargetMode="External"/><Relationship Id="rId5837" Type="http://schemas.openxmlformats.org/officeDocument/2006/relationships/hyperlink" Target="https://beautyagenten.se/tandlakare-sodermalm-skonhetsvard-for-din-mun/" TargetMode="External"/><Relationship Id="rId3388" Type="http://schemas.openxmlformats.org/officeDocument/2006/relationships/hyperlink" Target="https://www.spelklubben.se/sv/casino" TargetMode="External"/><Relationship Id="rId4439" Type="http://schemas.openxmlformats.org/officeDocument/2006/relationships/hyperlink" Target="https://lillavik.se/fastighetsratt-dess-inverkan-pa-bostadsratts-och-hyresrattsagare/" TargetMode="External"/><Relationship Id="rId8310" Type="http://schemas.openxmlformats.org/officeDocument/2006/relationships/hyperlink" Target="http://hund.se/" TargetMode="External"/><Relationship Id="rId10240" Type="http://schemas.openxmlformats.org/officeDocument/2006/relationships/hyperlink" Target="https://www.megariches.com/sv/" TargetMode="External"/><Relationship Id="rId790" Type="http://schemas.openxmlformats.org/officeDocument/2006/relationships/hyperlink" Target="https://elektronikkungen.se/vilken-typ-av-kontorsmaterial-ar-viktigt-att-ha-tillgangligt-pa-ett-hemmakontor/" TargetMode="External"/><Relationship Id="rId2471" Type="http://schemas.openxmlformats.org/officeDocument/2006/relationships/hyperlink" Target="https://distansinstitutet.se/distansutbildningar/pedagogik/vardbitrade/" TargetMode="External"/><Relationship Id="rId3522" Type="http://schemas.openxmlformats.org/officeDocument/2006/relationships/hyperlink" Target="http://e-ciggbolaget.se/" TargetMode="External"/><Relationship Id="rId4920" Type="http://schemas.openxmlformats.org/officeDocument/2006/relationships/hyperlink" Target="https://www.djungeltrumman.se/bettingguide-en-introduktion-till-varlden-av-sportsbetting/" TargetMode="External"/><Relationship Id="rId9084" Type="http://schemas.openxmlformats.org/officeDocument/2006/relationships/hyperlink" Target="https://www.finehomesandliving.com/home_design/how-crm-systems-are-easing-the-workload-on-roofing-contractors-and-companies/article_02e7b811-cb88-443d-b02c-ae0e2727277f.html" TargetMode="External"/><Relationship Id="rId12065" Type="http://schemas.openxmlformats.org/officeDocument/2006/relationships/hyperlink" Target="http://arctic.se/" TargetMode="External"/><Relationship Id="rId13116" Type="http://schemas.openxmlformats.org/officeDocument/2006/relationships/hyperlink" Target="https://www.hajper.com/sv/sportsbook" TargetMode="External"/><Relationship Id="rId443" Type="http://schemas.openxmlformats.org/officeDocument/2006/relationships/hyperlink" Target="https://www.happysocks.com/us/collection/socks-for-men" TargetMode="External"/><Relationship Id="rId1073" Type="http://schemas.openxmlformats.org/officeDocument/2006/relationships/hyperlink" Target="http://lansfast.se/" TargetMode="External"/><Relationship Id="rId2124" Type="http://schemas.openxmlformats.org/officeDocument/2006/relationships/hyperlink" Target="https://movingimagesmalmo.se/graffiti-klotter-eller-konst" TargetMode="External"/><Relationship Id="rId4296" Type="http://schemas.openxmlformats.org/officeDocument/2006/relationships/hyperlink" Target="https://sportpaket.se/utforska-korsningen-mellan-sport-och-onlinecasinon/" TargetMode="External"/><Relationship Id="rId5694" Type="http://schemas.openxmlformats.org/officeDocument/2006/relationships/hyperlink" Target="https://www.saleseffect.se/hur-transparens-hjalper-foretag-att-vinna-kundernas-fortroende/" TargetMode="External"/><Relationship Id="rId6745" Type="http://schemas.openxmlformats.org/officeDocument/2006/relationships/hyperlink" Target="http://arctic.se/" TargetMode="External"/><Relationship Id="rId5347" Type="http://schemas.openxmlformats.org/officeDocument/2006/relationships/hyperlink" Target="http://bethard.com/" TargetMode="External"/><Relationship Id="rId9968" Type="http://schemas.openxmlformats.org/officeDocument/2006/relationships/hyperlink" Target="https://aretrotale.com/" TargetMode="External"/><Relationship Id="rId11898" Type="http://schemas.openxmlformats.org/officeDocument/2006/relationships/hyperlink" Target="https://www.villarelining.se/" TargetMode="External"/><Relationship Id="rId12949" Type="http://schemas.openxmlformats.org/officeDocument/2006/relationships/hyperlink" Target="http://fairinvestments.se/" TargetMode="External"/><Relationship Id="rId1957" Type="http://schemas.openxmlformats.org/officeDocument/2006/relationships/hyperlink" Target="http://carpcon.se/" TargetMode="External"/><Relationship Id="rId4430" Type="http://schemas.openxmlformats.org/officeDocument/2006/relationships/hyperlink" Target="https://tommytappar.se/fonsterbyten-en-omfattande-guide-till-basta-resultat/" TargetMode="External"/><Relationship Id="rId3032" Type="http://schemas.openxmlformats.org/officeDocument/2006/relationships/hyperlink" Target="http://spelklubben.se/" TargetMode="External"/><Relationship Id="rId7653" Type="http://schemas.openxmlformats.org/officeDocument/2006/relationships/hyperlink" Target="http://purakliniken.se/" TargetMode="External"/><Relationship Id="rId10981" Type="http://schemas.openxmlformats.org/officeDocument/2006/relationships/hyperlink" Target="http://mrvegas.com/" TargetMode="External"/><Relationship Id="rId6255" Type="http://schemas.openxmlformats.org/officeDocument/2006/relationships/hyperlink" Target="https://www.tryggbil.se/" TargetMode="External"/><Relationship Id="rId7306" Type="http://schemas.openxmlformats.org/officeDocument/2006/relationships/hyperlink" Target="https://www.dagenshandel.se/lb-article/181166/kapital-som-forandrar-handeln-varfor-smarta-investeringar-ar-nyckeln-till-detaljhandelns-framtid" TargetMode="External"/><Relationship Id="rId8704" Type="http://schemas.openxmlformats.org/officeDocument/2006/relationships/hyperlink" Target="http://sesec.se/" TargetMode="External"/><Relationship Id="rId10634" Type="http://schemas.openxmlformats.org/officeDocument/2006/relationships/hyperlink" Target="https://diginyt.fi/digitaalinen-autokauppa-kaytannossa/" TargetMode="External"/><Relationship Id="rId2865" Type="http://schemas.openxmlformats.org/officeDocument/2006/relationships/hyperlink" Target="https://www.webwill.se/antligen-rokfri" TargetMode="External"/><Relationship Id="rId3916" Type="http://schemas.openxmlformats.org/officeDocument/2006/relationships/hyperlink" Target="https://www.jaktsidan.se/2024/06/03/5-tips-for-tjejer-som-vill-borja-jaga/" TargetMode="External"/><Relationship Id="rId9478" Type="http://schemas.openxmlformats.org/officeDocument/2006/relationships/hyperlink" Target="http://nordicknots.com/" TargetMode="External"/><Relationship Id="rId12459" Type="http://schemas.openxmlformats.org/officeDocument/2006/relationships/hyperlink" Target="http://fairinvestments.se/" TargetMode="External"/><Relationship Id="rId837" Type="http://schemas.openxmlformats.org/officeDocument/2006/relationships/hyperlink" Target="https://blogg.vett-och-etikett.com/nagra-viktiga-saker-att-tanka-pa-under-ett-brollop/" TargetMode="External"/><Relationship Id="rId1467" Type="http://schemas.openxmlformats.org/officeDocument/2006/relationships/hyperlink" Target="http://advancepointcap.com/" TargetMode="External"/><Relationship Id="rId2518" Type="http://schemas.openxmlformats.org/officeDocument/2006/relationships/hyperlink" Target="https://www.forweb.se/maste-reklamen-vara-sann" TargetMode="External"/><Relationship Id="rId8561" Type="http://schemas.openxmlformats.org/officeDocument/2006/relationships/hyperlink" Target="https://www.amazon.com/stores/page/A25C2F67-D612-4EBD-9B59-6A7A7830240F" TargetMode="External"/><Relationship Id="rId9612" Type="http://schemas.openxmlformats.org/officeDocument/2006/relationships/hyperlink" Target="https://eventeffect.se/trots-brons-hockey-vm-i-stockholm-blev-en-succe/" TargetMode="External"/><Relationship Id="rId10491" Type="http://schemas.openxmlformats.org/officeDocument/2006/relationships/hyperlink" Target="https://monc.se/fakta/tillvaxt/" TargetMode="External"/><Relationship Id="rId12940" Type="http://schemas.openxmlformats.org/officeDocument/2006/relationships/hyperlink" Target="http://wellio.se/" TargetMode="External"/><Relationship Id="rId1601" Type="http://schemas.openxmlformats.org/officeDocument/2006/relationships/hyperlink" Target="https://arctic.se/se/forsakringslosningar/svensksolenergi/" TargetMode="External"/><Relationship Id="rId7163" Type="http://schemas.openxmlformats.org/officeDocument/2006/relationships/hyperlink" Target="http://startmotor.se/" TargetMode="External"/><Relationship Id="rId8214" Type="http://schemas.openxmlformats.org/officeDocument/2006/relationships/hyperlink" Target="https://www.sarasotamagazine.com/advantagepoint/2025/03/how-ai-is-reshaping-online-gaming-smarter-play-safer-spaces" TargetMode="External"/><Relationship Id="rId10144" Type="http://schemas.openxmlformats.org/officeDocument/2006/relationships/hyperlink" Target="https://bokahandyman.se/handyman/" TargetMode="External"/><Relationship Id="rId11542" Type="http://schemas.openxmlformats.org/officeDocument/2006/relationships/hyperlink" Target="https://sufracofinebrands.com/kategori/Varumarken-Compagnie-de-Provence" TargetMode="External"/><Relationship Id="rId694" Type="http://schemas.openxmlformats.org/officeDocument/2006/relationships/hyperlink" Target="https://www.vont.se/" TargetMode="External"/><Relationship Id="rId2375" Type="http://schemas.openxmlformats.org/officeDocument/2006/relationships/hyperlink" Target="https://www.mynewsdesk.com/se/visibility-punktum-group/blog_posts/engaangs-vapes-det-praktiska-alternativet-foer-enkel-aanga-117178" TargetMode="External"/><Relationship Id="rId3773" Type="http://schemas.openxmlformats.org/officeDocument/2006/relationships/hyperlink" Target="https://sundsvallbergvarme.se/" TargetMode="External"/><Relationship Id="rId4824" Type="http://schemas.openxmlformats.org/officeDocument/2006/relationships/hyperlink" Target="http://kvarnx.com/" TargetMode="External"/><Relationship Id="rId347" Type="http://schemas.openxmlformats.org/officeDocument/2006/relationships/hyperlink" Target="https://livsstilsforandringar.se/sa-kan-man-se-till-att-fa-positiva-forandringar-att-halla-i-sig/" TargetMode="External"/><Relationship Id="rId2028" Type="http://schemas.openxmlformats.org/officeDocument/2006/relationships/hyperlink" Target="https://www.naringslivetfb.se/" TargetMode="External"/><Relationship Id="rId3426" Type="http://schemas.openxmlformats.org/officeDocument/2006/relationships/hyperlink" Target="https://gravnorrkoping.se/pontonhamnar-en-omfattande-analys-av-sakra-och-effektiva-flytbryggor-for-hamnar-och-marinor/" TargetMode="External"/><Relationship Id="rId6996" Type="http://schemas.openxmlformats.org/officeDocument/2006/relationships/hyperlink" Target="https://svenskafonster.se/skjutdorr" TargetMode="External"/><Relationship Id="rId5598" Type="http://schemas.openxmlformats.org/officeDocument/2006/relationships/hyperlink" Target="http://sakraror.se/" TargetMode="External"/><Relationship Id="rId6649" Type="http://schemas.openxmlformats.org/officeDocument/2006/relationships/hyperlink" Target="https://www.cherry.com/sv/live-casino/blackjack" TargetMode="External"/><Relationship Id="rId12450" Type="http://schemas.openxmlformats.org/officeDocument/2006/relationships/hyperlink" Target="http://alvtorpet.se/" TargetMode="External"/><Relationship Id="rId8071" Type="http://schemas.openxmlformats.org/officeDocument/2006/relationships/hyperlink" Target="https://www.totallystockholm.se/medarbetare-ska-inte-behova-stada-toaletter-panta/" TargetMode="External"/><Relationship Id="rId9122" Type="http://schemas.openxmlformats.org/officeDocument/2006/relationships/hyperlink" Target="https://www.ciobulletin.com/compliance-and-governance/insuring-the-uninsurable-the-crisis-facing-americas-independent-workforce" TargetMode="External"/><Relationship Id="rId11052" Type="http://schemas.openxmlformats.org/officeDocument/2006/relationships/hyperlink" Target="https://muuttohaukat.com/" TargetMode="External"/><Relationship Id="rId12103" Type="http://schemas.openxmlformats.org/officeDocument/2006/relationships/hyperlink" Target="https://conclean.se/produkter/minireningsverk/" TargetMode="External"/><Relationship Id="rId1111" Type="http://schemas.openxmlformats.org/officeDocument/2006/relationships/hyperlink" Target="http://haxan.se/" TargetMode="External"/><Relationship Id="rId4681" Type="http://schemas.openxmlformats.org/officeDocument/2006/relationships/hyperlink" Target="http://kvarnx.com/" TargetMode="External"/><Relationship Id="rId5732" Type="http://schemas.openxmlformats.org/officeDocument/2006/relationships/hyperlink" Target="https://casinostars.se/5-filmstjarnor-som-alskar-casinospel" TargetMode="External"/><Relationship Id="rId3283" Type="http://schemas.openxmlformats.org/officeDocument/2006/relationships/hyperlink" Target="https://www.spelklubben.se/sv/casino" TargetMode="External"/><Relationship Id="rId4334" Type="http://schemas.openxmlformats.org/officeDocument/2006/relationships/hyperlink" Target="https://e-ciggbolaget.se/e-cigaretter/engangs-vape/frunk-bar/" TargetMode="External"/><Relationship Id="rId8955" Type="http://schemas.openxmlformats.org/officeDocument/2006/relationships/hyperlink" Target="http://nettotobak.com/" TargetMode="External"/><Relationship Id="rId10885" Type="http://schemas.openxmlformats.org/officeDocument/2006/relationships/hyperlink" Target="https://www.tandlakare.se/stad/goteborg/" TargetMode="External"/><Relationship Id="rId11936" Type="http://schemas.openxmlformats.org/officeDocument/2006/relationships/hyperlink" Target="https://www.advokatboras.se/2023/09/27/juridiska-tjanster-en-guide-till-fastighetsjuridik-och-mer/" TargetMode="External"/><Relationship Id="rId6159" Type="http://schemas.openxmlformats.org/officeDocument/2006/relationships/hyperlink" Target="http://e-ciggbolaget.se/" TargetMode="External"/><Relationship Id="rId7557" Type="http://schemas.openxmlformats.org/officeDocument/2006/relationships/hyperlink" Target="https://www.totallyorebro.se/uncategorized/6-satt-att-trotsa-vintermorkret-i-orebro/" TargetMode="External"/><Relationship Id="rId8608" Type="http://schemas.openxmlformats.org/officeDocument/2006/relationships/hyperlink" Target="https://mittvitahus.se/trygghetsforsakring-for-solceller-en-viktig-del-av-ditt-boende/" TargetMode="External"/><Relationship Id="rId10538" Type="http://schemas.openxmlformats.org/officeDocument/2006/relationships/hyperlink" Target="http://wellio.se/" TargetMode="External"/><Relationship Id="rId13011" Type="http://schemas.openxmlformats.org/officeDocument/2006/relationships/hyperlink" Target="https://www.kungaslottet.se/welcome-bonus/" TargetMode="External"/><Relationship Id="rId2769" Type="http://schemas.openxmlformats.org/officeDocument/2006/relationships/hyperlink" Target="http://glitnor.com/" TargetMode="External"/><Relationship Id="rId6640" Type="http://schemas.openxmlformats.org/officeDocument/2006/relationships/hyperlink" Target="https://casinogringos.se/guider/vad-innebar-den-svenska-licensen" TargetMode="External"/><Relationship Id="rId4191" Type="http://schemas.openxmlformats.org/officeDocument/2006/relationships/hyperlink" Target="https://finansplassen.no/" TargetMode="External"/><Relationship Id="rId5242" Type="http://schemas.openxmlformats.org/officeDocument/2006/relationships/hyperlink" Target="http://cherry.com/" TargetMode="External"/><Relationship Id="rId9863" Type="http://schemas.openxmlformats.org/officeDocument/2006/relationships/hyperlink" Target="https://www.digitaljournal.com/business/making-the-digital-leap-how-crms-are-improving-roofing-operations/article" TargetMode="External"/><Relationship Id="rId77" Type="http://schemas.openxmlformats.org/officeDocument/2006/relationships/hyperlink" Target="https://chronos.se/" TargetMode="External"/><Relationship Id="rId8465" Type="http://schemas.openxmlformats.org/officeDocument/2006/relationships/hyperlink" Target="https://www.sarasotamagazine.com/advantagepoint/2025/03/how-to-keep-sarasota-beaches-clean-this-upcoming-summer" TargetMode="External"/><Relationship Id="rId9516" Type="http://schemas.openxmlformats.org/officeDocument/2006/relationships/hyperlink" Target="http://hajper.com/" TargetMode="External"/><Relationship Id="rId11793" Type="http://schemas.openxmlformats.org/officeDocument/2006/relationships/hyperlink" Target="https://eventeffect.se/kapitalforvaltning-en-djupgaende-utforskning-av-framgangsrika-investeringar/" TargetMode="External"/><Relationship Id="rId12844" Type="http://schemas.openxmlformats.org/officeDocument/2006/relationships/hyperlink" Target="https://kelleher-international.com/" TargetMode="External"/><Relationship Id="rId1852" Type="http://schemas.openxmlformats.org/officeDocument/2006/relationships/hyperlink" Target="https://www.hvvs.se/" TargetMode="External"/><Relationship Id="rId2903" Type="http://schemas.openxmlformats.org/officeDocument/2006/relationships/hyperlink" Target="https://www.djungeltrumman.se/luckycasino-dar-klassiker-moter-innovation-i-online-casinospelvarlden/" TargetMode="External"/><Relationship Id="rId7067" Type="http://schemas.openxmlformats.org/officeDocument/2006/relationships/hyperlink" Target="https://himala.com/" TargetMode="External"/><Relationship Id="rId8118" Type="http://schemas.openxmlformats.org/officeDocument/2006/relationships/hyperlink" Target="http://fairinvestments.se/" TargetMode="External"/><Relationship Id="rId10048" Type="http://schemas.openxmlformats.org/officeDocument/2006/relationships/hyperlink" Target="https://igamingindustry.org/sv/blogg-sv/casinospelens-evolution-fran-enarmade-banditer-till-storytelling/" TargetMode="External"/><Relationship Id="rId10395" Type="http://schemas.openxmlformats.org/officeDocument/2006/relationships/hyperlink" Target="https://minifinder.se/tjanster/kategori/jakt" TargetMode="External"/><Relationship Id="rId11446" Type="http://schemas.openxmlformats.org/officeDocument/2006/relationships/hyperlink" Target="https://direktbygg.se/intresserad-av-ett-fritidshus-tank-pa-detta-medans-du-letar-efter-din-dromstuga/" TargetMode="External"/><Relationship Id="rId1505" Type="http://schemas.openxmlformats.org/officeDocument/2006/relationships/hyperlink" Target="http://happysocks.com/" TargetMode="External"/><Relationship Id="rId3677" Type="http://schemas.openxmlformats.org/officeDocument/2006/relationships/hyperlink" Target="https://www.swelarm.se/" TargetMode="External"/><Relationship Id="rId4728" Type="http://schemas.openxmlformats.org/officeDocument/2006/relationships/hyperlink" Target="https://www.spelklubben.se/sv/live-casino" TargetMode="External"/><Relationship Id="rId598" Type="http://schemas.openxmlformats.org/officeDocument/2006/relationships/hyperlink" Target="https://herrtidningar.se/tips-om-hur-du-kan-bryta-din-daliga-vana/" TargetMode="External"/><Relationship Id="rId2279" Type="http://schemas.openxmlformats.org/officeDocument/2006/relationships/hyperlink" Target="https://www.tarelugnt.se/ratt-maklare-gor-forsaljningen-till-en-barnlek" TargetMode="External"/><Relationship Id="rId6150" Type="http://schemas.openxmlformats.org/officeDocument/2006/relationships/hyperlink" Target="http://cherry.com/" TargetMode="External"/><Relationship Id="rId7201" Type="http://schemas.openxmlformats.org/officeDocument/2006/relationships/hyperlink" Target="http://tryggbil.se/" TargetMode="External"/><Relationship Id="rId2760" Type="http://schemas.openxmlformats.org/officeDocument/2006/relationships/hyperlink" Target="https://www.cattisb.se/bygg-din-morgondag" TargetMode="External"/><Relationship Id="rId3811" Type="http://schemas.openxmlformats.org/officeDocument/2006/relationships/hyperlink" Target="https://tiotak.se/plattak/plattak-med-solceller/" TargetMode="External"/><Relationship Id="rId9373" Type="http://schemas.openxmlformats.org/officeDocument/2006/relationships/hyperlink" Target="http://megariches.com/" TargetMode="External"/><Relationship Id="rId12354" Type="http://schemas.openxmlformats.org/officeDocument/2006/relationships/hyperlink" Target="http://vont.co/de" TargetMode="External"/><Relationship Id="rId732" Type="http://schemas.openxmlformats.org/officeDocument/2006/relationships/hyperlink" Target="http://fairinvestments.se/" TargetMode="External"/><Relationship Id="rId1362" Type="http://schemas.openxmlformats.org/officeDocument/2006/relationships/hyperlink" Target="https://advancepointcap.com/medical-business-loans/" TargetMode="External"/><Relationship Id="rId2413" Type="http://schemas.openxmlformats.org/officeDocument/2006/relationships/hyperlink" Target="https://www.antigympa.nu/" TargetMode="External"/><Relationship Id="rId9026" Type="http://schemas.openxmlformats.org/officeDocument/2006/relationships/hyperlink" Target="https://www.cherry.com/sv/about-us/history" TargetMode="External"/><Relationship Id="rId12007" Type="http://schemas.openxmlformats.org/officeDocument/2006/relationships/hyperlink" Target="http://creditsafe.se/" TargetMode="External"/><Relationship Id="rId1015" Type="http://schemas.openxmlformats.org/officeDocument/2006/relationships/hyperlink" Target="https://sek-converter.se/att-studera-ekonomi-utbildning-pa-distans-byggande-av-finansiell-expertis-for-framtidens-ekonomer/" TargetMode="External"/><Relationship Id="rId4585" Type="http://schemas.openxmlformats.org/officeDocument/2006/relationships/hyperlink" Target="http://purakliniken.se/" TargetMode="External"/><Relationship Id="rId5983" Type="http://schemas.openxmlformats.org/officeDocument/2006/relationships/hyperlink" Target="https://navx.store/fi/" TargetMode="External"/><Relationship Id="rId3187" Type="http://schemas.openxmlformats.org/officeDocument/2006/relationships/hyperlink" Target="https://pontechmarina.com/se/flytbrygga/vagbrytare/" TargetMode="External"/><Relationship Id="rId4238" Type="http://schemas.openxmlformats.org/officeDocument/2006/relationships/hyperlink" Target="https://rolandagius.se/hubinette-vvs-en-ledande-komplett-vvs-partner-for-alla-behov/" TargetMode="External"/><Relationship Id="rId5636" Type="http://schemas.openxmlformats.org/officeDocument/2006/relationships/hyperlink" Target="https://www.bethard.com/sv/sports" TargetMode="External"/><Relationship Id="rId8859" Type="http://schemas.openxmlformats.org/officeDocument/2006/relationships/hyperlink" Target="http://mynicco.com/" TargetMode="External"/><Relationship Id="rId10789" Type="http://schemas.openxmlformats.org/officeDocument/2006/relationships/hyperlink" Target="https://www.indoorprofessional.se/" TargetMode="External"/><Relationship Id="rId13262" Type="http://schemas.openxmlformats.org/officeDocument/2006/relationships/hyperlink" Target="https://hemmabyggt.se/professionell-taklaggning-for-lantbruk-och-ladugardar-i-sodra-sverige/" TargetMode="External"/><Relationship Id="rId2270" Type="http://schemas.openxmlformats.org/officeDocument/2006/relationships/hyperlink" Target="https://www.rightonblog.net/vape-istallet-for-en-cigarett" TargetMode="External"/><Relationship Id="rId3321" Type="http://schemas.openxmlformats.org/officeDocument/2006/relationships/hyperlink" Target="https://legendbygg.com/" TargetMode="External"/><Relationship Id="rId6891" Type="http://schemas.openxmlformats.org/officeDocument/2006/relationships/hyperlink" Target="https://hemplybalance.se/cbd-hampaoljor/" TargetMode="External"/><Relationship Id="rId7942" Type="http://schemas.openxmlformats.org/officeDocument/2006/relationships/hyperlink" Target="https://eventeffect.se/fyndiga-tips-och-trix-for-hur-du-drar-folk-till-ditt-evenemang/" TargetMode="External"/><Relationship Id="rId242" Type="http://schemas.openxmlformats.org/officeDocument/2006/relationships/hyperlink" Target="https://arctic.se/se/produktsidor/hjartstartare/" TargetMode="External"/><Relationship Id="rId5493" Type="http://schemas.openxmlformats.org/officeDocument/2006/relationships/hyperlink" Target="https://preferensaktier.com/en-nyborjarguide-till-investeringar-sa-placerar-du-dina-pengar-pa-ett-smart-satt/" TargetMode="External"/><Relationship Id="rId6544" Type="http://schemas.openxmlformats.org/officeDocument/2006/relationships/hyperlink" Target="https://funkeelife.com/luck-vs-skill-finding-the-right-balance-games-life/" TargetMode="External"/><Relationship Id="rId10923" Type="http://schemas.openxmlformats.org/officeDocument/2006/relationships/hyperlink" Target="https://www.laprogressive.com/sponsored/animal-laws" TargetMode="External"/><Relationship Id="rId4095" Type="http://schemas.openxmlformats.org/officeDocument/2006/relationships/hyperlink" Target="https://pengar.in/hur-raknar-jag-ut-manadslon-till-timlon/" TargetMode="External"/><Relationship Id="rId5146" Type="http://schemas.openxmlformats.org/officeDocument/2006/relationships/hyperlink" Target="https://www.nodepositbonus.cc/" TargetMode="External"/><Relationship Id="rId8369" Type="http://schemas.openxmlformats.org/officeDocument/2006/relationships/hyperlink" Target="https://dryft.se/" TargetMode="External"/><Relationship Id="rId9767" Type="http://schemas.openxmlformats.org/officeDocument/2006/relationships/hyperlink" Target="https://hobbybyggare.se/att-skriva-sin-forsta-bok-som-en-hobby-och-fa-hjalp-med-publicering/" TargetMode="External"/><Relationship Id="rId11697" Type="http://schemas.openxmlformats.org/officeDocument/2006/relationships/hyperlink" Target="https://markets.vontobel.com/nb-no" TargetMode="External"/><Relationship Id="rId12748" Type="http://schemas.openxmlformats.org/officeDocument/2006/relationships/hyperlink" Target="https://powerkvinna.se/vikten-av-professionell-hudvard-for-kvinnor-i-stockholm/" TargetMode="External"/><Relationship Id="rId1756" Type="http://schemas.openxmlformats.org/officeDocument/2006/relationships/hyperlink" Target="https://www.mariatand.se/" TargetMode="External"/><Relationship Id="rId2807" Type="http://schemas.openxmlformats.org/officeDocument/2006/relationships/hyperlink" Target="https://www.djungeltrumman.se/spelklubben-ett-djarvt-steg-in-i-framtiden-for-svenska-onlinecasinon/" TargetMode="External"/><Relationship Id="rId10299" Type="http://schemas.openxmlformats.org/officeDocument/2006/relationships/hyperlink" Target="https://sakraror.se/" TargetMode="External"/><Relationship Id="rId1409" Type="http://schemas.openxmlformats.org/officeDocument/2006/relationships/hyperlink" Target="http://foyen.se/" TargetMode="External"/><Relationship Id="rId4979" Type="http://schemas.openxmlformats.org/officeDocument/2006/relationships/hyperlink" Target="http://bethard.com/" TargetMode="External"/><Relationship Id="rId8850" Type="http://schemas.openxmlformats.org/officeDocument/2006/relationships/hyperlink" Target="http://arctic.se/" TargetMode="External"/><Relationship Id="rId9901" Type="http://schemas.openxmlformats.org/officeDocument/2006/relationships/hyperlink" Target="https://www.etlehti.fi/blogit/vinkkeja/kayta-autokauppiasta-hyodyksesi-ja-saasta-aikaa-muuhun-auton-myynnin-yhteydessa" TargetMode="External"/><Relationship Id="rId10780" Type="http://schemas.openxmlformats.org/officeDocument/2006/relationships/hyperlink" Target="https://kvinnan.se/akut-tandvard-for-kvinnor-i-stockholm-allt-du-behover-veta/" TargetMode="External"/><Relationship Id="rId7452" Type="http://schemas.openxmlformats.org/officeDocument/2006/relationships/hyperlink" Target="https://svenskafonster.se/" TargetMode="External"/><Relationship Id="rId8503" Type="http://schemas.openxmlformats.org/officeDocument/2006/relationships/hyperlink" Target="https://www.nyaprojekt.se/2025/03/31/hur-kan-vi-skapa-renare-och-mer-hallbara-stader/" TargetMode="External"/><Relationship Id="rId10433" Type="http://schemas.openxmlformats.org/officeDocument/2006/relationships/hyperlink" Target="https://www.smallarupproret.se/ny-hundagare-detta-behover-du-veta/" TargetMode="External"/><Relationship Id="rId11831" Type="http://schemas.openxmlformats.org/officeDocument/2006/relationships/hyperlink" Target="https://markets.vontobel.com/da-dk" TargetMode="External"/><Relationship Id="rId6054" Type="http://schemas.openxmlformats.org/officeDocument/2006/relationships/hyperlink" Target="https://fairinvestments.se/investeringsfilosofi" TargetMode="External"/><Relationship Id="rId7105" Type="http://schemas.openxmlformats.org/officeDocument/2006/relationships/hyperlink" Target="https://www.dagensnaringsliv.se/20250108/275866/5-vanliga-fonsterproblem-och-hur-du-loser-dem" TargetMode="External"/><Relationship Id="rId983" Type="http://schemas.openxmlformats.org/officeDocument/2006/relationships/hyperlink" Target="https://www.pengenytt.no/er-du-klar-for-norgesferie-3-rad-for-en-vellykket-ferie/" TargetMode="External"/><Relationship Id="rId2664" Type="http://schemas.openxmlformats.org/officeDocument/2006/relationships/hyperlink" Target="https://fairinvestments.se/" TargetMode="External"/><Relationship Id="rId9277" Type="http://schemas.openxmlformats.org/officeDocument/2006/relationships/hyperlink" Target="http://skidvalla.se/" TargetMode="External"/><Relationship Id="rId12258" Type="http://schemas.openxmlformats.org/officeDocument/2006/relationships/hyperlink" Target="https://blugiallo.se/tagg/brollop/" TargetMode="External"/><Relationship Id="rId636" Type="http://schemas.openxmlformats.org/officeDocument/2006/relationships/hyperlink" Target="https://www.fla.de/annoncer/annoncorbetalt-indhold/56905/hausbesitzer-sollten-warmepumpen-versichern-lassen" TargetMode="External"/><Relationship Id="rId1266" Type="http://schemas.openxmlformats.org/officeDocument/2006/relationships/hyperlink" Target="http://distansinstitutet.se/" TargetMode="External"/><Relationship Id="rId2317" Type="http://schemas.openxmlformats.org/officeDocument/2006/relationships/hyperlink" Target="http://arctic.se/" TargetMode="External"/><Relationship Id="rId3715" Type="http://schemas.openxmlformats.org/officeDocument/2006/relationships/hyperlink" Target="http://spelklubben.se/" TargetMode="External"/><Relationship Id="rId13309" Type="http://schemas.openxmlformats.org/officeDocument/2006/relationships/hyperlink" Target="https://sveaf&#246;rs&#228;kring.se/" TargetMode="External"/><Relationship Id="rId5887" Type="http://schemas.openxmlformats.org/officeDocument/2006/relationships/hyperlink" Target="http://e-ciggbolaget.se/" TargetMode="External"/><Relationship Id="rId6938" Type="http://schemas.openxmlformats.org/officeDocument/2006/relationships/hyperlink" Target="http://rusta.se/" TargetMode="External"/><Relationship Id="rId4489" Type="http://schemas.openxmlformats.org/officeDocument/2006/relationships/hyperlink" Target="http://restate.se/" TargetMode="External"/><Relationship Id="rId8360" Type="http://schemas.openxmlformats.org/officeDocument/2006/relationships/hyperlink" Target="http://seniorrabatt.se/" TargetMode="External"/><Relationship Id="rId9411" Type="http://schemas.openxmlformats.org/officeDocument/2006/relationships/hyperlink" Target="http://videoslots.com/" TargetMode="External"/><Relationship Id="rId10290" Type="http://schemas.openxmlformats.org/officeDocument/2006/relationships/hyperlink" Target="http://startmotor.se/" TargetMode="External"/><Relationship Id="rId11341" Type="http://schemas.openxmlformats.org/officeDocument/2006/relationships/hyperlink" Target="https://financefinder.se/kapitalforvaltning-overlamna-forvaltningen-av-ditt-kapital-till-proffsen/" TargetMode="External"/><Relationship Id="rId1400" Type="http://schemas.openxmlformats.org/officeDocument/2006/relationships/hyperlink" Target="http://askskinfo.com/" TargetMode="External"/><Relationship Id="rId4970" Type="http://schemas.openxmlformats.org/officeDocument/2006/relationships/hyperlink" Target="http://myownwater.com/" TargetMode="External"/><Relationship Id="rId8013" Type="http://schemas.openxmlformats.org/officeDocument/2006/relationships/hyperlink" Target="http://kamux.fi/" TargetMode="External"/><Relationship Id="rId3572" Type="http://schemas.openxmlformats.org/officeDocument/2006/relationships/hyperlink" Target="https://aretrotale.com/en/" TargetMode="External"/><Relationship Id="rId4623" Type="http://schemas.openxmlformats.org/officeDocument/2006/relationships/hyperlink" Target="https://www.spelklubben.se/" TargetMode="External"/><Relationship Id="rId13166" Type="http://schemas.openxmlformats.org/officeDocument/2006/relationships/hyperlink" Target="http://tandea.se/" TargetMode="External"/><Relationship Id="rId493" Type="http://schemas.openxmlformats.org/officeDocument/2006/relationships/hyperlink" Target="https://www.fibre2fashion.com/industry-article/9598/tips-to-find-a-tuxedo-tailored-to-your-needs-and-style" TargetMode="External"/><Relationship Id="rId2174" Type="http://schemas.openxmlformats.org/officeDocument/2006/relationships/hyperlink" Target="http://foyen.se/" TargetMode="External"/><Relationship Id="rId3225" Type="http://schemas.openxmlformats.org/officeDocument/2006/relationships/hyperlink" Target="https://aretrotale.com/en/" TargetMode="External"/><Relationship Id="rId6795" Type="http://schemas.openxmlformats.org/officeDocument/2006/relationships/hyperlink" Target="https://www.snuset.se/tobaksfritt-snus/" TargetMode="External"/><Relationship Id="rId146" Type="http://schemas.openxmlformats.org/officeDocument/2006/relationships/hyperlink" Target="http://haxan.se/" TargetMode="External"/><Relationship Id="rId5397" Type="http://schemas.openxmlformats.org/officeDocument/2006/relationships/hyperlink" Target="http://startmotor.se/" TargetMode="External"/><Relationship Id="rId6448" Type="http://schemas.openxmlformats.org/officeDocument/2006/relationships/hyperlink" Target="https://www.tandea.se/tandvard/akut-tandvard-stockholm/" TargetMode="External"/><Relationship Id="rId7846" Type="http://schemas.openxmlformats.org/officeDocument/2006/relationships/hyperlink" Target="http://spelklubben.se/" TargetMode="External"/><Relationship Id="rId10827" Type="http://schemas.openxmlformats.org/officeDocument/2006/relationships/hyperlink" Target="https://bettingsyndikatet.se/" TargetMode="External"/><Relationship Id="rId12999" Type="http://schemas.openxmlformats.org/officeDocument/2006/relationships/hyperlink" Target="https://thecastle.nu/ramvillkoren-for-ett-lyckat-foretagande-sverige-bland-de-basta-i-varlden/" TargetMode="External"/><Relationship Id="rId13300" Type="http://schemas.openxmlformats.org/officeDocument/2006/relationships/hyperlink" Target="https://nutidshuset.se/forbattra-ljudmiljon-i-ditt-hem-med-akustikprodukter/" TargetMode="External"/><Relationship Id="rId4480" Type="http://schemas.openxmlformats.org/officeDocument/2006/relationships/hyperlink" Target="https://www.norteam.se/tjanster" TargetMode="External"/><Relationship Id="rId5531" Type="http://schemas.openxmlformats.org/officeDocument/2006/relationships/hyperlink" Target="https://www.myownwater.com/" TargetMode="External"/><Relationship Id="rId3082" Type="http://schemas.openxmlformats.org/officeDocument/2006/relationships/hyperlink" Target="https://malm&#246;cloud.se/awaio-revolutionerande-arbetsplatslosningar-for-det-hybrida-arbetssattet/" TargetMode="External"/><Relationship Id="rId4133" Type="http://schemas.openxmlformats.org/officeDocument/2006/relationships/hyperlink" Target="https://www.kingsizemag.se/okategoriserat/den-vaxande-trenden-av-hallbart-mode-i-sverige/" TargetMode="External"/><Relationship Id="rId8754" Type="http://schemas.openxmlformats.org/officeDocument/2006/relationships/hyperlink" Target="http://spelklubben.se/" TargetMode="External"/><Relationship Id="rId9805" Type="http://schemas.openxmlformats.org/officeDocument/2006/relationships/hyperlink" Target="https://hemforalla.se/papper-som-kompletterar-ditt-hem-och-kontor/" TargetMode="External"/><Relationship Id="rId19" Type="http://schemas.openxmlformats.org/officeDocument/2006/relationships/hyperlink" Target="http://blugiallo.com/" TargetMode="External"/><Relationship Id="rId7356" Type="http://schemas.openxmlformats.org/officeDocument/2006/relationships/hyperlink" Target="http://mynicco.com/" TargetMode="External"/><Relationship Id="rId8407" Type="http://schemas.openxmlformats.org/officeDocument/2006/relationships/hyperlink" Target="https://www.klarkclassiccars.se/nar-nagot-skaver-under-huven-vikten-av-en-verkstad-man-kan-lita-pa" TargetMode="External"/><Relationship Id="rId10337" Type="http://schemas.openxmlformats.org/officeDocument/2006/relationships/hyperlink" Target="http://www.svenskhistoria.se/" TargetMode="External"/><Relationship Id="rId10684" Type="http://schemas.openxmlformats.org/officeDocument/2006/relationships/hyperlink" Target="https://www.indoorprofessional.se/lokalvard" TargetMode="External"/><Relationship Id="rId11735" Type="http://schemas.openxmlformats.org/officeDocument/2006/relationships/hyperlink" Target="https://worldnewscontent.com/how-to-transport-your-horse-abroad/" TargetMode="External"/><Relationship Id="rId7009" Type="http://schemas.openxmlformats.org/officeDocument/2006/relationships/hyperlink" Target="https://www.chattanoogarehab.com/shock-wave-rpw" TargetMode="External"/><Relationship Id="rId3966" Type="http://schemas.openxmlformats.org/officeDocument/2006/relationships/hyperlink" Target="https://www.shopon.se/ett-langsiktigt-sparande-ar-viktigt" TargetMode="External"/><Relationship Id="rId3" Type="http://schemas.openxmlformats.org/officeDocument/2006/relationships/hyperlink" Target="https://haxan.se/" TargetMode="External"/><Relationship Id="rId887" Type="http://schemas.openxmlformats.org/officeDocument/2006/relationships/hyperlink" Target="https://tidskriftenskeppet.se/eldrivna-fordon-blir-allt-vanligare-men-ar-det-fordelaktigt-eller-inte/" TargetMode="External"/><Relationship Id="rId2568" Type="http://schemas.openxmlformats.org/officeDocument/2006/relationships/hyperlink" Target="https://www.tandea.se/" TargetMode="External"/><Relationship Id="rId3619" Type="http://schemas.openxmlformats.org/officeDocument/2006/relationships/hyperlink" Target="http://conclean.se/" TargetMode="External"/><Relationship Id="rId5041" Type="http://schemas.openxmlformats.org/officeDocument/2006/relationships/hyperlink" Target="http://mrnicco.com/" TargetMode="External"/><Relationship Id="rId12990" Type="http://schemas.openxmlformats.org/officeDocument/2006/relationships/hyperlink" Target="https://www.diabit.se/publikens-talamod-hur-lange-orkar-vi-egentligen-lyssna/" TargetMode="External"/><Relationship Id="rId9662" Type="http://schemas.openxmlformats.org/officeDocument/2006/relationships/hyperlink" Target="https://glassfactory.fi/sv/collections/speglar-med-belysning" TargetMode="External"/><Relationship Id="rId11592" Type="http://schemas.openxmlformats.org/officeDocument/2006/relationships/hyperlink" Target="http://sufracofinebrands.com/" TargetMode="External"/><Relationship Id="rId12643" Type="http://schemas.openxmlformats.org/officeDocument/2006/relationships/hyperlink" Target="https://www.saleseffect.se/fran-magkansla-till-matbara-mil-datadrivna-insikter-for-modern-saljledning/" TargetMode="External"/><Relationship Id="rId1651" Type="http://schemas.openxmlformats.org/officeDocument/2006/relationships/hyperlink" Target="https://rehabgrossisten.com/" TargetMode="External"/><Relationship Id="rId2702" Type="http://schemas.openxmlformats.org/officeDocument/2006/relationships/hyperlink" Target="http://luckycasino.com/sv/" TargetMode="External"/><Relationship Id="rId8264" Type="http://schemas.openxmlformats.org/officeDocument/2006/relationships/hyperlink" Target="https://www.poikola.fi/koripallon-suosio-nousussa" TargetMode="External"/><Relationship Id="rId9315" Type="http://schemas.openxmlformats.org/officeDocument/2006/relationships/hyperlink" Target="http://lsb.se/" TargetMode="External"/><Relationship Id="rId10194" Type="http://schemas.openxmlformats.org/officeDocument/2006/relationships/hyperlink" Target="https://www.ibtimes.co.uk/who-has-better-leadership-style-introverts-extroverts-1737492" TargetMode="External"/><Relationship Id="rId11245" Type="http://schemas.openxmlformats.org/officeDocument/2006/relationships/hyperlink" Target="http://conclean.se/" TargetMode="External"/><Relationship Id="rId1304" Type="http://schemas.openxmlformats.org/officeDocument/2006/relationships/hyperlink" Target="https://activeman.com/guide-choosing-the-perfect-pair-of-socks/" TargetMode="External"/><Relationship Id="rId4874" Type="http://schemas.openxmlformats.org/officeDocument/2006/relationships/hyperlink" Target="http://cherry.com/" TargetMode="External"/><Relationship Id="rId3476" Type="http://schemas.openxmlformats.org/officeDocument/2006/relationships/hyperlink" Target="https://annikas.nu/index.php/2024/04/29/kvinnors-mode-elegans-och-anpassning-over-tid/" TargetMode="External"/><Relationship Id="rId4527" Type="http://schemas.openxmlformats.org/officeDocument/2006/relationships/hyperlink" Target="http://tryggbil.se/" TargetMode="External"/><Relationship Id="rId5925" Type="http://schemas.openxmlformats.org/officeDocument/2006/relationships/hyperlink" Target="https://brofastet.se/planera-och-genomfora-en-lyckad-renovering-tips-for-alla-projekt/" TargetMode="External"/><Relationship Id="rId10" Type="http://schemas.openxmlformats.org/officeDocument/2006/relationships/hyperlink" Target="http://ljusgrossisten.se/" TargetMode="External"/><Relationship Id="rId397" Type="http://schemas.openxmlformats.org/officeDocument/2006/relationships/hyperlink" Target="http://chronos.se/" TargetMode="External"/><Relationship Id="rId2078" Type="http://schemas.openxmlformats.org/officeDocument/2006/relationships/hyperlink" Target="https://www.panorastic.de/kredite-und-kreditbeurteilungen-in-der-digitalen-welt" TargetMode="External"/><Relationship Id="rId3129" Type="http://schemas.openxmlformats.org/officeDocument/2006/relationships/hyperlink" Target="http://sundsvallbergvarme.se/" TargetMode="External"/><Relationship Id="rId7000" Type="http://schemas.openxmlformats.org/officeDocument/2006/relationships/hyperlink" Target="http://chattanoogarehab.com/" TargetMode="External"/><Relationship Id="rId6699" Type="http://schemas.openxmlformats.org/officeDocument/2006/relationships/hyperlink" Target="https://www.startmotor.se/kategori/generatorer" TargetMode="External"/><Relationship Id="rId9172" Type="http://schemas.openxmlformats.org/officeDocument/2006/relationships/hyperlink" Target="https://greenheal.net/making-healthy-meals-with-less-waste/" TargetMode="External"/><Relationship Id="rId3610" Type="http://schemas.openxmlformats.org/officeDocument/2006/relationships/hyperlink" Target="http://mariatand.se/" TargetMode="External"/><Relationship Id="rId12153" Type="http://schemas.openxmlformats.org/officeDocument/2006/relationships/hyperlink" Target="https://powerkvinna.se/bikarbonat-stadprodukternas-hemliga-vapen-for-effektiv-rengoring/" TargetMode="External"/><Relationship Id="rId13204" Type="http://schemas.openxmlformats.org/officeDocument/2006/relationships/hyperlink" Target="http://mrvegas.com/" TargetMode="External"/><Relationship Id="rId531" Type="http://schemas.openxmlformats.org/officeDocument/2006/relationships/hyperlink" Target="https://toyota-forklifts.se/vara-truckar/motviktstruck-el/" TargetMode="External"/><Relationship Id="rId1161" Type="http://schemas.openxmlformats.org/officeDocument/2006/relationships/hyperlink" Target="https://www.tandea.se/" TargetMode="External"/><Relationship Id="rId2212" Type="http://schemas.openxmlformats.org/officeDocument/2006/relationships/hyperlink" Target="https://ledkungen.se/" TargetMode="External"/><Relationship Id="rId5782" Type="http://schemas.openxmlformats.org/officeDocument/2006/relationships/hyperlink" Target="http://bigbenstandup.com/" TargetMode="External"/><Relationship Id="rId6833" Type="http://schemas.openxmlformats.org/officeDocument/2006/relationships/hyperlink" Target="http://upplevelse.com/" TargetMode="External"/><Relationship Id="rId4384" Type="http://schemas.openxmlformats.org/officeDocument/2006/relationships/hyperlink" Target="http://fairinvestments.se/" TargetMode="External"/><Relationship Id="rId5435" Type="http://schemas.openxmlformats.org/officeDocument/2006/relationships/hyperlink" Target="https://goodthingsmagazine.com/technology-in-business-for-innovation-and-growth/" TargetMode="External"/><Relationship Id="rId4037" Type="http://schemas.openxmlformats.org/officeDocument/2006/relationships/hyperlink" Target="https://www.lansfast.se/maklare/stockholm/taby-danderyd/" TargetMode="External"/><Relationship Id="rId8658" Type="http://schemas.openxmlformats.org/officeDocument/2006/relationships/hyperlink" Target="https://www.startmotor.se/kategori/b%C3%A5tbatteri" TargetMode="External"/><Relationship Id="rId9709" Type="http://schemas.openxmlformats.org/officeDocument/2006/relationships/hyperlink" Target="http://upplevelse.com/presenttips/present-till-pojkvan" TargetMode="External"/><Relationship Id="rId11986" Type="http://schemas.openxmlformats.org/officeDocument/2006/relationships/hyperlink" Target="https://hemplybalance.se/cbd-hampaoljor/" TargetMode="External"/><Relationship Id="rId10588" Type="http://schemas.openxmlformats.org/officeDocument/2006/relationships/hyperlink" Target="http://technobark.com/" TargetMode="External"/><Relationship Id="rId11639" Type="http://schemas.openxmlformats.org/officeDocument/2006/relationships/hyperlink" Target="http://vontabel.com/" TargetMode="External"/><Relationship Id="rId3120" Type="http://schemas.openxmlformats.org/officeDocument/2006/relationships/hyperlink" Target="http://tiotak.se/" TargetMode="External"/><Relationship Id="rId13061" Type="http://schemas.openxmlformats.org/officeDocument/2006/relationships/hyperlink" Target="https://www.epidemicsound.com/es/music" TargetMode="External"/><Relationship Id="rId6690" Type="http://schemas.openxmlformats.org/officeDocument/2006/relationships/hyperlink" Target="https://lyckligaidioter.se/skraddarsydd-halsoplan-optimera-din-livsstil-for-battre-halsa/" TargetMode="External"/><Relationship Id="rId7741" Type="http://schemas.openxmlformats.org/officeDocument/2006/relationships/hyperlink" Target="https://www.energy-supply.se/lb-article/181237/ljusets-intelligens-sa-omvandlar-framtidens-belysning-var-energiforbrukning" TargetMode="External"/><Relationship Id="rId10722" Type="http://schemas.openxmlformats.org/officeDocument/2006/relationships/hyperlink" Target="https://www.mrvegas.com/sv/" TargetMode="External"/><Relationship Id="rId5292" Type="http://schemas.openxmlformats.org/officeDocument/2006/relationships/hyperlink" Target="https://www.spelklubben.se/sv/casino/slots" TargetMode="External"/><Relationship Id="rId6343" Type="http://schemas.openxmlformats.org/officeDocument/2006/relationships/hyperlink" Target="http://skidvalla.se/" TargetMode="External"/><Relationship Id="rId2953" Type="http://schemas.openxmlformats.org/officeDocument/2006/relationships/hyperlink" Target="http://spelklubben.se/" TargetMode="External"/><Relationship Id="rId9566" Type="http://schemas.openxmlformats.org/officeDocument/2006/relationships/hyperlink" Target="http://rusta.se/" TargetMode="External"/><Relationship Id="rId11496" Type="http://schemas.openxmlformats.org/officeDocument/2006/relationships/hyperlink" Target="http://robomarkets.com/" TargetMode="External"/><Relationship Id="rId12547" Type="http://schemas.openxmlformats.org/officeDocument/2006/relationships/hyperlink" Target="http://robomarkets.com/" TargetMode="External"/><Relationship Id="rId12894" Type="http://schemas.openxmlformats.org/officeDocument/2006/relationships/hyperlink" Target="https://www.nordicknots.com/us/custom-rugs" TargetMode="External"/><Relationship Id="rId925" Type="http://schemas.openxmlformats.org/officeDocument/2006/relationships/hyperlink" Target="http://blugiallo.com/" TargetMode="External"/><Relationship Id="rId1555" Type="http://schemas.openxmlformats.org/officeDocument/2006/relationships/hyperlink" Target="http://tandea.se/" TargetMode="External"/><Relationship Id="rId2606" Type="http://schemas.openxmlformats.org/officeDocument/2006/relationships/hyperlink" Target="http://rehabgrossisten.com/" TargetMode="External"/><Relationship Id="rId8168" Type="http://schemas.openxmlformats.org/officeDocument/2006/relationships/hyperlink" Target="https://swedenlongstay.se/sv/foretagsbostader/stockholm/" TargetMode="External"/><Relationship Id="rId9219" Type="http://schemas.openxmlformats.org/officeDocument/2006/relationships/hyperlink" Target="http://hund.se/" TargetMode="External"/><Relationship Id="rId10098" Type="http://schemas.openxmlformats.org/officeDocument/2006/relationships/hyperlink" Target="https://www.tidningen.se/annons/de-svaraste-sporterna-att-betta-pa/" TargetMode="External"/><Relationship Id="rId11149" Type="http://schemas.openxmlformats.org/officeDocument/2006/relationships/hyperlink" Target="https://www.norteam.se/" TargetMode="External"/><Relationship Id="rId1208" Type="http://schemas.openxmlformats.org/officeDocument/2006/relationships/hyperlink" Target="https://s-automation.se/bilmekanikerns-vardefulla-roll-i-skadeverkstaden-jobbet-och-dess-ansvarigheter/" TargetMode="External"/><Relationship Id="rId4778" Type="http://schemas.openxmlformats.org/officeDocument/2006/relationships/hyperlink" Target="https://www.dagensinfrastruktur.se/2024/07/25/hallbara-infrastrukturprojekt-en-nyckel-till-framtidens-stader/" TargetMode="External"/><Relationship Id="rId5829" Type="http://schemas.openxmlformats.org/officeDocument/2006/relationships/hyperlink" Target="https://www.lansfast.se/maklare/sodermanland/trosa/" TargetMode="External"/><Relationship Id="rId7251" Type="http://schemas.openxmlformats.org/officeDocument/2006/relationships/hyperlink" Target="https://www.starleaf.com/blog/key-tech-trends-for-small-and-medium-businesses/" TargetMode="External"/><Relationship Id="rId9700" Type="http://schemas.openxmlformats.org/officeDocument/2006/relationships/hyperlink" Target="https://sakraror.se/vara-tjanster/allman-service-vvs/vvs-i-sollentuna/" TargetMode="External"/><Relationship Id="rId11630" Type="http://schemas.openxmlformats.org/officeDocument/2006/relationships/hyperlink" Target="https://markets.vontobel.com/sv-se/produkter/leverage/mini-future" TargetMode="External"/><Relationship Id="rId8302" Type="http://schemas.openxmlformats.org/officeDocument/2006/relationships/hyperlink" Target="http://hajper.com/" TargetMode="External"/><Relationship Id="rId10232" Type="http://schemas.openxmlformats.org/officeDocument/2006/relationships/hyperlink" Target="http://hund.se/" TargetMode="External"/><Relationship Id="rId3861" Type="http://schemas.openxmlformats.org/officeDocument/2006/relationships/hyperlink" Target="https://www.spelklubben.se/sv/casino" TargetMode="External"/><Relationship Id="rId4912" Type="http://schemas.openxmlformats.org/officeDocument/2006/relationships/hyperlink" Target="http://cherry.com/" TargetMode="External"/><Relationship Id="rId782" Type="http://schemas.openxmlformats.org/officeDocument/2006/relationships/hyperlink" Target="https://www.bgfashion.net/article/18709/80/Go-bold-when-choosing-socks" TargetMode="External"/><Relationship Id="rId2463" Type="http://schemas.openxmlformats.org/officeDocument/2006/relationships/hyperlink" Target="http://e-ciggbolaget.se/" TargetMode="External"/><Relationship Id="rId3514" Type="http://schemas.openxmlformats.org/officeDocument/2006/relationships/hyperlink" Target="https://varmlandsbygden.se/partner/utforska-en-varld-av-smidig-lattillganglig-casinounderhallning-med-happycasino/" TargetMode="External"/><Relationship Id="rId9076" Type="http://schemas.openxmlformats.org/officeDocument/2006/relationships/hyperlink" Target="https://filmeye.se/optimera-hemmabion-ratt-belysning-skapar-den-ultimata-filmstamningen/" TargetMode="External"/><Relationship Id="rId12057" Type="http://schemas.openxmlformats.org/officeDocument/2006/relationships/hyperlink" Target="https://www.vont.se/" TargetMode="External"/><Relationship Id="rId13108" Type="http://schemas.openxmlformats.org/officeDocument/2006/relationships/hyperlink" Target="http://chattanoogarehab.com/" TargetMode="External"/><Relationship Id="rId435" Type="http://schemas.openxmlformats.org/officeDocument/2006/relationships/hyperlink" Target="http://happysocks.com/" TargetMode="External"/><Relationship Id="rId1065" Type="http://schemas.openxmlformats.org/officeDocument/2006/relationships/hyperlink" Target="http://happysocks.com/" TargetMode="External"/><Relationship Id="rId2116" Type="http://schemas.openxmlformats.org/officeDocument/2006/relationships/hyperlink" Target="https://vainu.io/company/fair-investments-sweden-ab-omsattning-och-nyckeltal/1180004/foretagsinfo" TargetMode="External"/><Relationship Id="rId5686" Type="http://schemas.openxmlformats.org/officeDocument/2006/relationships/hyperlink" Target="https://ekstromgaray.se/skicka-in-manus/" TargetMode="External"/><Relationship Id="rId6737" Type="http://schemas.openxmlformats.org/officeDocument/2006/relationships/hyperlink" Target="https://livsguide.se/hundens-basta-van-tips-for-att-valja-ratt-hundkoppel-och-sparlina/" TargetMode="External"/><Relationship Id="rId4288" Type="http://schemas.openxmlformats.org/officeDocument/2006/relationships/hyperlink" Target="https://www.swedoffice.se/kategori/49902-kopieringspapper" TargetMode="External"/><Relationship Id="rId5339" Type="http://schemas.openxmlformats.org/officeDocument/2006/relationships/hyperlink" Target="https://hampabonden.se/33-hampaprodukter/hampaprotein" TargetMode="External"/><Relationship Id="rId9210" Type="http://schemas.openxmlformats.org/officeDocument/2006/relationships/hyperlink" Target="http://fairinvestments.se/" TargetMode="External"/><Relationship Id="rId11140" Type="http://schemas.openxmlformats.org/officeDocument/2006/relationships/hyperlink" Target="https://distansinstitutet.se/distansutbildningar/pedagogik/vardbitrade/" TargetMode="External"/><Relationship Id="rId1949" Type="http://schemas.openxmlformats.org/officeDocument/2006/relationships/hyperlink" Target="https://www.sitartmag.com/finansiell-aterhamtning" TargetMode="External"/><Relationship Id="rId5820" Type="http://schemas.openxmlformats.org/officeDocument/2006/relationships/hyperlink" Target="https://www.joureliten.se/jour-elektriker/" TargetMode="External"/><Relationship Id="rId292" Type="http://schemas.openxmlformats.org/officeDocument/2006/relationships/hyperlink" Target="https://brandskor.se/detta-kan-du-gora-for-att-sanka-din-biologiska-alder/" TargetMode="External"/><Relationship Id="rId3371" Type="http://schemas.openxmlformats.org/officeDocument/2006/relationships/hyperlink" Target="https://www.mirrorcube.se/bli-inredare-las-pa-distans" TargetMode="External"/><Relationship Id="rId4422" Type="http://schemas.openxmlformats.org/officeDocument/2006/relationships/hyperlink" Target="https://marry-marry.com/how-to-navigate-the-modern-dating-landscape/" TargetMode="External"/><Relationship Id="rId7992" Type="http://schemas.openxmlformats.org/officeDocument/2006/relationships/hyperlink" Target="http://aretrotale.com/" TargetMode="External"/><Relationship Id="rId3024" Type="http://schemas.openxmlformats.org/officeDocument/2006/relationships/hyperlink" Target="https://www.filippa-k.com/se/sv/dam/ready-to-wear/byxor" TargetMode="External"/><Relationship Id="rId6594" Type="http://schemas.openxmlformats.org/officeDocument/2006/relationships/hyperlink" Target="https://www.spelklubben.se/sv/betting/fotboll/england/premier-league-epl?" TargetMode="External"/><Relationship Id="rId7645" Type="http://schemas.openxmlformats.org/officeDocument/2006/relationships/hyperlink" Target="https://www.lansfast.se/maklare/sodermanland/trosa/" TargetMode="External"/><Relationship Id="rId10973" Type="http://schemas.openxmlformats.org/officeDocument/2006/relationships/hyperlink" Target="https://www.videoslots.com/sv/" TargetMode="External"/><Relationship Id="rId5196" Type="http://schemas.openxmlformats.org/officeDocument/2006/relationships/hyperlink" Target="http://bethard.com/" TargetMode="External"/><Relationship Id="rId6247" Type="http://schemas.openxmlformats.org/officeDocument/2006/relationships/hyperlink" Target="http://tiotak.se/" TargetMode="External"/><Relationship Id="rId10626" Type="http://schemas.openxmlformats.org/officeDocument/2006/relationships/hyperlink" Target="https://www.mrvegas.com/" TargetMode="External"/><Relationship Id="rId12798" Type="http://schemas.openxmlformats.org/officeDocument/2006/relationships/hyperlink" Target="https://www.zmarta.se/lana-pengar" TargetMode="External"/><Relationship Id="rId1459" Type="http://schemas.openxmlformats.org/officeDocument/2006/relationships/hyperlink" Target="https://svenskhistoria.se/" TargetMode="External"/><Relationship Id="rId2857" Type="http://schemas.openxmlformats.org/officeDocument/2006/relationships/hyperlink" Target="https://distansinstitutet.se/distansutbildningar/pedagogik/vardbitrade/" TargetMode="External"/><Relationship Id="rId3908" Type="http://schemas.openxmlformats.org/officeDocument/2006/relationships/hyperlink" Target="http://fairinvestments.se/" TargetMode="External"/><Relationship Id="rId5330" Type="http://schemas.openxmlformats.org/officeDocument/2006/relationships/hyperlink" Target="https://www.zmarta.se/forsakring/bilforsakring" TargetMode="External"/><Relationship Id="rId829" Type="http://schemas.openxmlformats.org/officeDocument/2006/relationships/hyperlink" Target="https://businessmanualen.se/en-snabbguide-till-hemmakontor/" TargetMode="External"/><Relationship Id="rId9951" Type="http://schemas.openxmlformats.org/officeDocument/2006/relationships/hyperlink" Target="https://kruunukaluste.fi/kauppa/puutarhakalusteet-ulkokalusteet-ja-terassikalusteet/" TargetMode="External"/><Relationship Id="rId11881" Type="http://schemas.openxmlformats.org/officeDocument/2006/relationships/hyperlink" Target="https://www.byggsmaland.se/2023/09/25/byta-tak-pa-maskinhallen-en-viktig-uppgradering-for-jordbruksverksamheten/" TargetMode="External"/><Relationship Id="rId12932" Type="http://schemas.openxmlformats.org/officeDocument/2006/relationships/hyperlink" Target="https://villalivet.se/allmant/smarta-och-mysiga-hemmakvallar/" TargetMode="External"/><Relationship Id="rId1940" Type="http://schemas.openxmlformats.org/officeDocument/2006/relationships/hyperlink" Target="http://miamipool.se/" TargetMode="External"/><Relationship Id="rId8553" Type="http://schemas.openxmlformats.org/officeDocument/2006/relationships/hyperlink" Target="https://www.ykkoslohja.fi/miksi-seuraamme-sosiaalisen-median-trendeja/" TargetMode="External"/><Relationship Id="rId9604" Type="http://schemas.openxmlformats.org/officeDocument/2006/relationships/hyperlink" Target="http://mockfjards.se/" TargetMode="External"/><Relationship Id="rId10483" Type="http://schemas.openxmlformats.org/officeDocument/2006/relationships/hyperlink" Target="https://supernormal.health/pages/viktnedgang" TargetMode="External"/><Relationship Id="rId11534" Type="http://schemas.openxmlformats.org/officeDocument/2006/relationships/hyperlink" Target="https://sufracofinebrands.com/" TargetMode="External"/><Relationship Id="rId7155" Type="http://schemas.openxmlformats.org/officeDocument/2006/relationships/hyperlink" Target="https://stilrenahem.se/fastighetsformedling-i-trosa-en-guide-till-bostadsmarknaden/" TargetMode="External"/><Relationship Id="rId8206" Type="http://schemas.openxmlformats.org/officeDocument/2006/relationships/hyperlink" Target="http://www.swefleet.se/" TargetMode="External"/><Relationship Id="rId10136" Type="http://schemas.openxmlformats.org/officeDocument/2006/relationships/hyperlink" Target="http://rusta.se/" TargetMode="External"/><Relationship Id="rId3765" Type="http://schemas.openxmlformats.org/officeDocument/2006/relationships/hyperlink" Target="http://qsundsvall.se/" TargetMode="External"/><Relationship Id="rId4816" Type="http://schemas.openxmlformats.org/officeDocument/2006/relationships/hyperlink" Target="https://pontonhamnar.se/produkter/flytbrygga/" TargetMode="External"/><Relationship Id="rId686" Type="http://schemas.openxmlformats.org/officeDocument/2006/relationships/hyperlink" Target="http://tryggbil.se/" TargetMode="External"/><Relationship Id="rId2367" Type="http://schemas.openxmlformats.org/officeDocument/2006/relationships/hyperlink" Target="https://fairinvestments.se/" TargetMode="External"/><Relationship Id="rId3418" Type="http://schemas.openxmlformats.org/officeDocument/2006/relationships/hyperlink" Target="https://www.qsundsvall.se/restaurang/" TargetMode="External"/><Relationship Id="rId339" Type="http://schemas.openxmlformats.org/officeDocument/2006/relationships/hyperlink" Target="https://alltombeauty.se/tips-for-att-kanna-sig-och-se-yngre-ut/" TargetMode="External"/><Relationship Id="rId6988" Type="http://schemas.openxmlformats.org/officeDocument/2006/relationships/hyperlink" Target="http://tiotak.se/" TargetMode="External"/><Relationship Id="rId9461" Type="http://schemas.openxmlformats.org/officeDocument/2006/relationships/hyperlink" Target="http://tandea.se/" TargetMode="External"/><Relationship Id="rId8063" Type="http://schemas.openxmlformats.org/officeDocument/2006/relationships/hyperlink" Target="https://ng.se/artiklar/att-landa-i-en-storvinst-eufori-eller-forvirring" TargetMode="External"/><Relationship Id="rId9114" Type="http://schemas.openxmlformats.org/officeDocument/2006/relationships/hyperlink" Target="https://mynicco.com/product-category/zyn/" TargetMode="External"/><Relationship Id="rId11391" Type="http://schemas.openxmlformats.org/officeDocument/2006/relationships/hyperlink" Target="https://haxan.se/" TargetMode="External"/><Relationship Id="rId12442" Type="http://schemas.openxmlformats.org/officeDocument/2006/relationships/hyperlink" Target="https://www.executiveeffect.se/fair-investments-en-resa-mot-langsiktigt-vardeskapande/" TargetMode="External"/><Relationship Id="rId820" Type="http://schemas.openxmlformats.org/officeDocument/2006/relationships/hyperlink" Target="http://blugiallo.com/" TargetMode="External"/><Relationship Id="rId1450" Type="http://schemas.openxmlformats.org/officeDocument/2006/relationships/hyperlink" Target="https://advancepointcap.com/medical-business-loans/" TargetMode="External"/><Relationship Id="rId2501" Type="http://schemas.openxmlformats.org/officeDocument/2006/relationships/hyperlink" Target="https://www.racestuff.se/sa-byter-du-hydraulslang-sakert" TargetMode="External"/><Relationship Id="rId11044" Type="http://schemas.openxmlformats.org/officeDocument/2006/relationships/hyperlink" Target="https://www.kvarnx.com/kryptovaluutta" TargetMode="External"/><Relationship Id="rId1103" Type="http://schemas.openxmlformats.org/officeDocument/2006/relationships/hyperlink" Target="http://tryggbil.se/" TargetMode="External"/><Relationship Id="rId4673" Type="http://schemas.openxmlformats.org/officeDocument/2006/relationships/hyperlink" Target="https://www.djungeltrumman.se/nyheter-inom-online-casino-branschen-cherry-casino-och-spelinspektionen/" TargetMode="External"/><Relationship Id="rId5724" Type="http://schemas.openxmlformats.org/officeDocument/2006/relationships/hyperlink" Target="https://www.vaken.se/rusta-ett-starkt-alternativ-till-ikea-for-kvalitetsmedvetna-konsumenter/" TargetMode="External"/><Relationship Id="rId3275" Type="http://schemas.openxmlformats.org/officeDocument/2006/relationships/hyperlink" Target="http://spelklubben.se/" TargetMode="External"/><Relationship Id="rId4326" Type="http://schemas.openxmlformats.org/officeDocument/2006/relationships/hyperlink" Target="http://e-ciggbolaget.se/" TargetMode="External"/><Relationship Id="rId7896" Type="http://schemas.openxmlformats.org/officeDocument/2006/relationships/hyperlink" Target="https://www.interbasket.net/news/the-nbas-10-biggest-complainers-complaining-psychology/33989/" TargetMode="External"/><Relationship Id="rId8947" Type="http://schemas.openxmlformats.org/officeDocument/2006/relationships/hyperlink" Target="http://clearfuze.com/" TargetMode="External"/><Relationship Id="rId196" Type="http://schemas.openxmlformats.org/officeDocument/2006/relationships/hyperlink" Target="http://blueturtle.se/" TargetMode="External"/><Relationship Id="rId6498" Type="http://schemas.openxmlformats.org/officeDocument/2006/relationships/hyperlink" Target="https://passioneffect.se/hur-kladsel-paverkar-sjalvfortroende-prestation-och-valmaende-pa-arbetsplatsen/" TargetMode="External"/><Relationship Id="rId7549" Type="http://schemas.openxmlformats.org/officeDocument/2006/relationships/hyperlink" Target="https://www.starleaf.com/blog/how-small-tech-habits-can-keep-your-hands-and-wrists-pain-free/" TargetMode="External"/><Relationship Id="rId10877" Type="http://schemas.openxmlformats.org/officeDocument/2006/relationships/hyperlink" Target="https://michaelofrisorerna.se/" TargetMode="External"/><Relationship Id="rId11928" Type="http://schemas.openxmlformats.org/officeDocument/2006/relationships/hyperlink" Target="https://www.robomarkets.com/se/" TargetMode="External"/><Relationship Id="rId330" Type="http://schemas.openxmlformats.org/officeDocument/2006/relationships/hyperlink" Target="http://elmarknad.se/" TargetMode="External"/><Relationship Id="rId2011" Type="http://schemas.openxmlformats.org/officeDocument/2006/relationships/hyperlink" Target="https://conclean.se/produkter/minireningsverk/" TargetMode="External"/><Relationship Id="rId13003" Type="http://schemas.openxmlformats.org/officeDocument/2006/relationships/hyperlink" Target="https://www.lsb.se/" TargetMode="External"/><Relationship Id="rId4183" Type="http://schemas.openxmlformats.org/officeDocument/2006/relationships/hyperlink" Target="http://fairinvestments.se/" TargetMode="External"/><Relationship Id="rId5581" Type="http://schemas.openxmlformats.org/officeDocument/2006/relationships/hyperlink" Target="https://3dbostad.com/hur-maskinhallstak-kan-anpassas-for-solceller-ett-effektivt-satt-att-nyttja-outnyttjad-yta/" TargetMode="External"/><Relationship Id="rId6632" Type="http://schemas.openxmlformats.org/officeDocument/2006/relationships/hyperlink" Target="http://hund.se/" TargetMode="External"/><Relationship Id="rId5234" Type="http://schemas.openxmlformats.org/officeDocument/2006/relationships/hyperlink" Target="https://laptimer.se/framtidens-bilservice-trender-teknologi/" TargetMode="External"/><Relationship Id="rId9855" Type="http://schemas.openxmlformats.org/officeDocument/2006/relationships/hyperlink" Target="https://businessinsight.com/choosing-the-right-business-insurance-a-strategic-advantage-for-entrepreneurs/" TargetMode="External"/><Relationship Id="rId11785" Type="http://schemas.openxmlformats.org/officeDocument/2006/relationships/hyperlink" Target="https://www.saleseffect.se/index-handel-drivkrafter-bakom-affarsframgangar/" TargetMode="External"/><Relationship Id="rId12836" Type="http://schemas.openxmlformats.org/officeDocument/2006/relationships/hyperlink" Target="https://kruunukaluste.fi/kauppa/sohvat/" TargetMode="External"/><Relationship Id="rId69" Type="http://schemas.openxmlformats.org/officeDocument/2006/relationships/hyperlink" Target="https://haxan.se/" TargetMode="External"/><Relationship Id="rId1844" Type="http://schemas.openxmlformats.org/officeDocument/2006/relationships/hyperlink" Target="https://techbladet.se/norteam-stockholms-banbrytande-it-tjansteforetag-revolutionerar-molnbaserade-losningar/" TargetMode="External"/><Relationship Id="rId8457" Type="http://schemas.openxmlformats.org/officeDocument/2006/relationships/hyperlink" Target="https://www.myownwater.com/aluminum-water-bottles" TargetMode="External"/><Relationship Id="rId9508" Type="http://schemas.openxmlformats.org/officeDocument/2006/relationships/hyperlink" Target="https://lindenytt.com/extra/stockholmstrenderna-hade-vuxit-sig-anda-in-till-lindesberg/" TargetMode="External"/><Relationship Id="rId10387" Type="http://schemas.openxmlformats.org/officeDocument/2006/relationships/hyperlink" Target="http://upplevelse.com/" TargetMode="External"/><Relationship Id="rId11438" Type="http://schemas.openxmlformats.org/officeDocument/2006/relationships/hyperlink" Target="https://www.lansfast.se/maklare/sodermanland/nykoping/" TargetMode="External"/><Relationship Id="rId7059" Type="http://schemas.openxmlformats.org/officeDocument/2006/relationships/hyperlink" Target="https://www.kelleher-international.com/" TargetMode="External"/><Relationship Id="rId3669" Type="http://schemas.openxmlformats.org/officeDocument/2006/relationships/hyperlink" Target="http://tandea.se/" TargetMode="External"/><Relationship Id="rId7540" Type="http://schemas.openxmlformats.org/officeDocument/2006/relationships/hyperlink" Target="http://kvarnx.com/" TargetMode="External"/><Relationship Id="rId5091" Type="http://schemas.openxmlformats.org/officeDocument/2006/relationships/hyperlink" Target="https://ledkungen.se/collections/led-lister" TargetMode="External"/><Relationship Id="rId6142" Type="http://schemas.openxmlformats.org/officeDocument/2006/relationships/hyperlink" Target="https://www.nodepositbonus.cc/canada-no-deposit-casino-bonuses/" TargetMode="External"/><Relationship Id="rId10521" Type="http://schemas.openxmlformats.org/officeDocument/2006/relationships/hyperlink" Target="https://thesource.com/2025/07/31/epidemic-sound-royalty-free-music-for-creators/" TargetMode="External"/><Relationship Id="rId12693" Type="http://schemas.openxmlformats.org/officeDocument/2006/relationships/hyperlink" Target="http://startmotor.se/" TargetMode="External"/><Relationship Id="rId2752" Type="http://schemas.openxmlformats.org/officeDocument/2006/relationships/hyperlink" Target="https://conclean.se/produkter/minireningsverk/" TargetMode="External"/><Relationship Id="rId3803" Type="http://schemas.openxmlformats.org/officeDocument/2006/relationships/hyperlink" Target="http://notyfile.se/sv" TargetMode="External"/><Relationship Id="rId9365" Type="http://schemas.openxmlformats.org/officeDocument/2006/relationships/hyperlink" Target="https://accademos.se/blogg/sa-vet-du-vilka-hemsidor-som-ar-sakra/" TargetMode="External"/><Relationship Id="rId11295" Type="http://schemas.openxmlformats.org/officeDocument/2006/relationships/hyperlink" Target="https://iptvking.se/" TargetMode="External"/><Relationship Id="rId12346" Type="http://schemas.openxmlformats.org/officeDocument/2006/relationships/hyperlink" Target="https://lemontree.se/" TargetMode="External"/><Relationship Id="rId724" Type="http://schemas.openxmlformats.org/officeDocument/2006/relationships/hyperlink" Target="https://borsbolag.se/hur-prestationsbaserad-avkastning-och-fair-investment-ar-korrelerat/" TargetMode="External"/><Relationship Id="rId1354" Type="http://schemas.openxmlformats.org/officeDocument/2006/relationships/hyperlink" Target="http://tandea.se/" TargetMode="External"/><Relationship Id="rId2405" Type="http://schemas.openxmlformats.org/officeDocument/2006/relationships/hyperlink" Target="http://hemplybalance.com/" TargetMode="External"/><Relationship Id="rId5975" Type="http://schemas.openxmlformats.org/officeDocument/2006/relationships/hyperlink" Target="https://www.myownwater.com/" TargetMode="External"/><Relationship Id="rId9018" Type="http://schemas.openxmlformats.org/officeDocument/2006/relationships/hyperlink" Target="http://spelklubben.se/" TargetMode="External"/><Relationship Id="rId60" Type="http://schemas.openxmlformats.org/officeDocument/2006/relationships/hyperlink" Target="https://b&#228;stf&#246;rs&#228;kringar.se/byta-forsakringsbolag/" TargetMode="External"/><Relationship Id="rId1007" Type="http://schemas.openxmlformats.org/officeDocument/2006/relationships/hyperlink" Target="https://distansinstitutet.se/distansutbildningar/hr/" TargetMode="External"/><Relationship Id="rId4577" Type="http://schemas.openxmlformats.org/officeDocument/2006/relationships/hyperlink" Target="https://www.cdg.io/services/virtual-ciso/" TargetMode="External"/><Relationship Id="rId5628" Type="http://schemas.openxmlformats.org/officeDocument/2006/relationships/hyperlink" Target="http://tiotak.se/" TargetMode="External"/><Relationship Id="rId3179" Type="http://schemas.openxmlformats.org/officeDocument/2006/relationships/hyperlink" Target="https://happycasino.se/casino" TargetMode="External"/><Relationship Id="rId7050" Type="http://schemas.openxmlformats.org/officeDocument/2006/relationships/hyperlink" Target="https://mynicco.com/" TargetMode="External"/><Relationship Id="rId8101" Type="http://schemas.openxmlformats.org/officeDocument/2006/relationships/hyperlink" Target="https://byggavilla.se/fordelarna-med-ftx-ventilation-vid-nybyggnationer/" TargetMode="External"/><Relationship Id="rId10031" Type="http://schemas.openxmlformats.org/officeDocument/2006/relationships/hyperlink" Target="https://www.damfotboll.com/nyheter/bloggar/darfor-ar-betting-extra-spannande-i-damfotboll" TargetMode="External"/><Relationship Id="rId581" Type="http://schemas.openxmlformats.org/officeDocument/2006/relationships/hyperlink" Target="https://www.swedoffice.se/kategori/49902-kopieringspapper" TargetMode="External"/><Relationship Id="rId2262" Type="http://schemas.openxmlformats.org/officeDocument/2006/relationships/hyperlink" Target="https://www.beautyboulevard.se/ett-vackert-leende-ar-allt" TargetMode="External"/><Relationship Id="rId3660" Type="http://schemas.openxmlformats.org/officeDocument/2006/relationships/hyperlink" Target="https://aretrotale.com/en/" TargetMode="External"/><Relationship Id="rId4711" Type="http://schemas.openxmlformats.org/officeDocument/2006/relationships/hyperlink" Target="http://tryggbil.se/" TargetMode="External"/><Relationship Id="rId13254" Type="http://schemas.openxmlformats.org/officeDocument/2006/relationships/hyperlink" Target="https://www.swedoffice.se/" TargetMode="External"/><Relationship Id="rId234" Type="http://schemas.openxmlformats.org/officeDocument/2006/relationships/hyperlink" Target="https://chronos.se/diabetes/blodsocker/hba1c" TargetMode="External"/><Relationship Id="rId3313" Type="http://schemas.openxmlformats.org/officeDocument/2006/relationships/hyperlink" Target="http://finansplassen.no/" TargetMode="External"/><Relationship Id="rId6883" Type="http://schemas.openxmlformats.org/officeDocument/2006/relationships/hyperlink" Target="https://slotspojken.se/basta-spel-med-bar-pa-hjulen/" TargetMode="External"/><Relationship Id="rId7934" Type="http://schemas.openxmlformats.org/officeDocument/2006/relationships/hyperlink" Target="https://www.kleer.se/" TargetMode="External"/><Relationship Id="rId5485" Type="http://schemas.openxmlformats.org/officeDocument/2006/relationships/hyperlink" Target="https://e-ciggbolaget.se/e-cigaretter/startpaket" TargetMode="External"/><Relationship Id="rId6536" Type="http://schemas.openxmlformats.org/officeDocument/2006/relationships/hyperlink" Target="https://clearfuze.com/" TargetMode="External"/><Relationship Id="rId10915" Type="http://schemas.openxmlformats.org/officeDocument/2006/relationships/hyperlink" Target="https://www.myownwater.com/" TargetMode="External"/><Relationship Id="rId4087" Type="http://schemas.openxmlformats.org/officeDocument/2006/relationships/hyperlink" Target="https://fairinvestments.se/" TargetMode="External"/><Relationship Id="rId5138" Type="http://schemas.openxmlformats.org/officeDocument/2006/relationships/hyperlink" Target="http://mariatand.se/" TargetMode="External"/><Relationship Id="rId9759" Type="http://schemas.openxmlformats.org/officeDocument/2006/relationships/hyperlink" Target="https://himala.ai/" TargetMode="External"/><Relationship Id="rId1748" Type="http://schemas.openxmlformats.org/officeDocument/2006/relationships/hyperlink" Target="https://www.triwa.com/watches-for-men" TargetMode="External"/><Relationship Id="rId11689" Type="http://schemas.openxmlformats.org/officeDocument/2006/relationships/hyperlink" Target="http://vontabel.com/" TargetMode="External"/><Relationship Id="rId3170" Type="http://schemas.openxmlformats.org/officeDocument/2006/relationships/hyperlink" Target="https://m6bygg.se/totalentreprenad-stockholm/" TargetMode="External"/><Relationship Id="rId4221" Type="http://schemas.openxmlformats.org/officeDocument/2006/relationships/hyperlink" Target="https://aretrotale.com/en/" TargetMode="External"/><Relationship Id="rId6393" Type="http://schemas.openxmlformats.org/officeDocument/2006/relationships/hyperlink" Target="https://www.coface.fi/perintaepalvelut" TargetMode="External"/><Relationship Id="rId7791" Type="http://schemas.openxmlformats.org/officeDocument/2006/relationships/hyperlink" Target="http://svenskiptv.com/" TargetMode="External"/><Relationship Id="rId8842" Type="http://schemas.openxmlformats.org/officeDocument/2006/relationships/hyperlink" Target="https://lindenytt.com/extra/sport-och-fritidsutbudet-i-lindesberg-plus-adresser-och-oppettider/" TargetMode="External"/><Relationship Id="rId10772" Type="http://schemas.openxmlformats.org/officeDocument/2006/relationships/hyperlink" Target="http://sesec.se/" TargetMode="External"/><Relationship Id="rId11823" Type="http://schemas.openxmlformats.org/officeDocument/2006/relationships/hyperlink" Target="http://creditsafe.se/" TargetMode="External"/><Relationship Id="rId6046" Type="http://schemas.openxmlformats.org/officeDocument/2006/relationships/hyperlink" Target="http://sakraror.se/" TargetMode="External"/><Relationship Id="rId7444" Type="http://schemas.openxmlformats.org/officeDocument/2006/relationships/hyperlink" Target="http://purakliniken.se/" TargetMode="External"/><Relationship Id="rId10425" Type="http://schemas.openxmlformats.org/officeDocument/2006/relationships/hyperlink" Target="https://www.ihus.nu/spegelns-roll-i-svenska-bostader/" TargetMode="External"/><Relationship Id="rId12597" Type="http://schemas.openxmlformats.org/officeDocument/2006/relationships/hyperlink" Target="https://www.videoslots.com/mobile/casino/slots/" TargetMode="External"/><Relationship Id="rId975" Type="http://schemas.openxmlformats.org/officeDocument/2006/relationships/hyperlink" Target="https://bygghuddinge.se/relining-en-banbrytande-metod-for-avloppsrenovering/" TargetMode="External"/><Relationship Id="rId2656" Type="http://schemas.openxmlformats.org/officeDocument/2006/relationships/hyperlink" Target="https://canadanewsmedia.ca/the-booming-business-of-online-casinos-a-look-at-current-trends/" TargetMode="External"/><Relationship Id="rId3707" Type="http://schemas.openxmlformats.org/officeDocument/2006/relationships/hyperlink" Target="https://ginamaria.se/stilguide-kostymbyxor-for-damer/" TargetMode="External"/><Relationship Id="rId9269" Type="http://schemas.openxmlformats.org/officeDocument/2006/relationships/hyperlink" Target="https://businesshelper.se/effektivare-ljudmiljoer-med-skraddarsydda-akustiklosningar-for-foretag/" TargetMode="External"/><Relationship Id="rId11199" Type="http://schemas.openxmlformats.org/officeDocument/2006/relationships/hyperlink" Target="https://masstamilans.com/what-are-the-benefits-of-custom-made-clothing.html" TargetMode="External"/><Relationship Id="rId628" Type="http://schemas.openxmlformats.org/officeDocument/2006/relationships/hyperlink" Target="http://tiotak.se/" TargetMode="External"/><Relationship Id="rId1258" Type="http://schemas.openxmlformats.org/officeDocument/2006/relationships/hyperlink" Target="https://gravnorrkoping.se/kopieringspapper-den-ofta-overskuggade-hjalten-i-arbetsvarlden/" TargetMode="External"/><Relationship Id="rId2309" Type="http://schemas.openxmlformats.org/officeDocument/2006/relationships/hyperlink" Target="https://www.tandea.se/" TargetMode="External"/><Relationship Id="rId5879" Type="http://schemas.openxmlformats.org/officeDocument/2006/relationships/hyperlink" Target="https://livetsskola.se/vitt-snus-en-trendig-livsstilsprodukt/" TargetMode="External"/><Relationship Id="rId9750" Type="http://schemas.openxmlformats.org/officeDocument/2006/relationships/hyperlink" Target="https://www.maklarringen.se/" TargetMode="External"/><Relationship Id="rId8352" Type="http://schemas.openxmlformats.org/officeDocument/2006/relationships/hyperlink" Target="https://www.sportochfritidsnyheter.se/20250327/4214/flytta-till-sundbyberg-och-ta-del-av-nojes-friluftslivet-anlita-en-maklare-som-ser" TargetMode="External"/><Relationship Id="rId9403" Type="http://schemas.openxmlformats.org/officeDocument/2006/relationships/hyperlink" Target="http://glassfactory.fi/" TargetMode="External"/><Relationship Id="rId11680" Type="http://schemas.openxmlformats.org/officeDocument/2006/relationships/hyperlink" Target="http://vontabel.com/" TargetMode="External"/><Relationship Id="rId12731" Type="http://schemas.openxmlformats.org/officeDocument/2006/relationships/hyperlink" Target="https://evigliv.se/att-hitta-ratt-tandlakare-i-goteborg-for-en-battre-livsstil/" TargetMode="External"/><Relationship Id="rId8005" Type="http://schemas.openxmlformats.org/officeDocument/2006/relationships/hyperlink" Target="https://pedrovazpaulo.com/sustainability-practices/" TargetMode="External"/><Relationship Id="rId10282" Type="http://schemas.openxmlformats.org/officeDocument/2006/relationships/hyperlink" Target="https://boendekatalogen.se/mattor-som-forvandlar-ditt-hem-till-en-oas-av-stil-och-komfort/" TargetMode="External"/><Relationship Id="rId11333" Type="http://schemas.openxmlformats.org/officeDocument/2006/relationships/hyperlink" Target="http://fairinvestments.se/" TargetMode="External"/><Relationship Id="rId4962" Type="http://schemas.openxmlformats.org/officeDocument/2006/relationships/hyperlink" Target="https://alltomnorrtalje.se/ta-hand-om-dina-fotter-sa-valjer-du-ratt-fritidsskor-for-dina-aventyr/" TargetMode="External"/><Relationship Id="rId3564" Type="http://schemas.openxmlformats.org/officeDocument/2006/relationships/hyperlink" Target="https://elavtaldirekt.se/" TargetMode="External"/><Relationship Id="rId4615" Type="http://schemas.openxmlformats.org/officeDocument/2006/relationships/hyperlink" Target="https://spelnytt.nu/casinon/nya-casinospel-innovation-och-underhallning/" TargetMode="External"/><Relationship Id="rId13158" Type="http://schemas.openxmlformats.org/officeDocument/2006/relationships/hyperlink" Target="http://videoslots.com/" TargetMode="External"/><Relationship Id="rId485" Type="http://schemas.openxmlformats.org/officeDocument/2006/relationships/hyperlink" Target="https://www.executiveeffect.se/vont-stallet-for-hogkvalitativa-podsystem-nikotinpasar-och-engangsvapes/" TargetMode="External"/><Relationship Id="rId2166" Type="http://schemas.openxmlformats.org/officeDocument/2006/relationships/hyperlink" Target="https://www.norteam.se/" TargetMode="External"/><Relationship Id="rId3217" Type="http://schemas.openxmlformats.org/officeDocument/2006/relationships/hyperlink" Target="http://glitnor.com/" TargetMode="External"/><Relationship Id="rId6787" Type="http://schemas.openxmlformats.org/officeDocument/2006/relationships/hyperlink" Target="http://tigerofsweden.com/" TargetMode="External"/><Relationship Id="rId7838" Type="http://schemas.openxmlformats.org/officeDocument/2006/relationships/hyperlink" Target="http://svenskafonster.se/trafonster" TargetMode="External"/><Relationship Id="rId138" Type="http://schemas.openxmlformats.org/officeDocument/2006/relationships/hyperlink" Target="https://blugiallo.com/tailoring-guides/tailored-jeans-guide/" TargetMode="External"/><Relationship Id="rId5389" Type="http://schemas.openxmlformats.org/officeDocument/2006/relationships/hyperlink" Target="https://www.skraphamtarna.se/" TargetMode="External"/><Relationship Id="rId9260" Type="http://schemas.openxmlformats.org/officeDocument/2006/relationships/hyperlink" Target="https://retrohus.se/vvs-tjanster-som-forbattrar-ditt-hem-i-stockholm/" TargetMode="External"/><Relationship Id="rId10819" Type="http://schemas.openxmlformats.org/officeDocument/2006/relationships/hyperlink" Target="https://diginyt.fi/digitaalinen-muutto-tarkeita-asioita-mita-kannattaa-ottaa-huomioon-ennen-ja-jalkeen-muuton/" TargetMode="External"/><Relationship Id="rId11190" Type="http://schemas.openxmlformats.org/officeDocument/2006/relationships/hyperlink" Target="http://arctic.se/" TargetMode="External"/><Relationship Id="rId12241" Type="http://schemas.openxmlformats.org/officeDocument/2006/relationships/hyperlink" Target="http://robomarkets.com/" TargetMode="External"/><Relationship Id="rId2300" Type="http://schemas.openxmlformats.org/officeDocument/2006/relationships/hyperlink" Target="http://distansinstitutet.se/" TargetMode="External"/><Relationship Id="rId1999" Type="http://schemas.openxmlformats.org/officeDocument/2006/relationships/hyperlink" Target="https://www.vont.se/to-go" TargetMode="External"/><Relationship Id="rId4472" Type="http://schemas.openxmlformats.org/officeDocument/2006/relationships/hyperlink" Target="https://m6bygg.se/totalentreprenad-stockholm/" TargetMode="External"/><Relationship Id="rId5870" Type="http://schemas.openxmlformats.org/officeDocument/2006/relationships/hyperlink" Target="http://tryggbil.se/" TargetMode="External"/><Relationship Id="rId6921" Type="http://schemas.openxmlformats.org/officeDocument/2006/relationships/hyperlink" Target="https://www.totallystockholm.se/hitta-den-basta-tandlakaren-i-stockholm-for-halsomassiga-estetiska-behandlingar/" TargetMode="External"/><Relationship Id="rId3074" Type="http://schemas.openxmlformats.org/officeDocument/2006/relationships/hyperlink" Target="https://www.hvvs.se/" TargetMode="External"/><Relationship Id="rId4125" Type="http://schemas.openxmlformats.org/officeDocument/2006/relationships/hyperlink" Target="https://aaatak.se/" TargetMode="External"/><Relationship Id="rId5523" Type="http://schemas.openxmlformats.org/officeDocument/2006/relationships/hyperlink" Target="http://startmotor.se/" TargetMode="External"/><Relationship Id="rId7695" Type="http://schemas.openxmlformats.org/officeDocument/2006/relationships/hyperlink" Target="http://tryggbil.se/" TargetMode="External"/><Relationship Id="rId8746" Type="http://schemas.openxmlformats.org/officeDocument/2006/relationships/hyperlink" Target="https://www.pokerbutiken.se/roulette/" TargetMode="External"/><Relationship Id="rId10676" Type="http://schemas.openxmlformats.org/officeDocument/2006/relationships/hyperlink" Target="https://snickare.online/snickare" TargetMode="External"/><Relationship Id="rId11727" Type="http://schemas.openxmlformats.org/officeDocument/2006/relationships/hyperlink" Target="http://yagya.com/" TargetMode="External"/><Relationship Id="rId6297" Type="http://schemas.openxmlformats.org/officeDocument/2006/relationships/hyperlink" Target="https://tiotak.se/" TargetMode="External"/><Relationship Id="rId7348" Type="http://schemas.openxmlformats.org/officeDocument/2006/relationships/hyperlink" Target="https://vitamagazine.com/?p=74725&amp;preview=1&amp;_ppp=534b253c9e" TargetMode="External"/><Relationship Id="rId10329" Type="http://schemas.openxmlformats.org/officeDocument/2006/relationships/hyperlink" Target="https://www.indoorprofessional.se/" TargetMode="External"/><Relationship Id="rId3958" Type="http://schemas.openxmlformats.org/officeDocument/2006/relationships/hyperlink" Target="https://www.foyen.se/affarsomraden/tvistlosning/" TargetMode="External"/><Relationship Id="rId879" Type="http://schemas.openxmlformats.org/officeDocument/2006/relationships/hyperlink" Target="https://www.executiveeffect.se/rehabgrossisten-din-palitliga-kalla-for-skydd-bandage-och-rehabprodukter/" TargetMode="External"/><Relationship Id="rId5380" Type="http://schemas.openxmlformats.org/officeDocument/2006/relationships/hyperlink" Target="http://snusnetto.se/" TargetMode="External"/><Relationship Id="rId6431" Type="http://schemas.openxmlformats.org/officeDocument/2006/relationships/hyperlink" Target="https://www.nordiskaprojekt.se/2024/11/27/ventilationssystemens-betydelse-for-industrin/" TargetMode="External"/><Relationship Id="rId10810" Type="http://schemas.openxmlformats.org/officeDocument/2006/relationships/hyperlink" Target="http://fairinvestments.se/" TargetMode="External"/><Relationship Id="rId5033" Type="http://schemas.openxmlformats.org/officeDocument/2006/relationships/hyperlink" Target="https://casinostars.se/progressiva-jackpotspel-och-deras-attraktion" TargetMode="External"/><Relationship Id="rId12982" Type="http://schemas.openxmlformats.org/officeDocument/2006/relationships/hyperlink" Target="https://minifinder.se/tjanster/kategori/trygghetslarm" TargetMode="External"/><Relationship Id="rId1990" Type="http://schemas.openxmlformats.org/officeDocument/2006/relationships/hyperlink" Target="https://www.pingpongbarnklader.se/antligen-en-tandlakare-jag-vagar-lita-pa" TargetMode="External"/><Relationship Id="rId8256" Type="http://schemas.openxmlformats.org/officeDocument/2006/relationships/hyperlink" Target="https://iptv-suomi.com/" TargetMode="External"/><Relationship Id="rId9654" Type="http://schemas.openxmlformats.org/officeDocument/2006/relationships/hyperlink" Target="http://mockfjards.se/" TargetMode="External"/><Relationship Id="rId11584" Type="http://schemas.openxmlformats.org/officeDocument/2006/relationships/hyperlink" Target="https://nutidshuset.se/gor-dig-redo-for-varens-storstadning/" TargetMode="External"/><Relationship Id="rId12635" Type="http://schemas.openxmlformats.org/officeDocument/2006/relationships/hyperlink" Target="https://www.linkedin.com/company/fair-investments-sweden-ab" TargetMode="External"/><Relationship Id="rId1643" Type="http://schemas.openxmlformats.org/officeDocument/2006/relationships/hyperlink" Target="http://advancepointcap.com/" TargetMode="External"/><Relationship Id="rId9307" Type="http://schemas.openxmlformats.org/officeDocument/2006/relationships/hyperlink" Target="https://www.maklarringen.se/upptack-maklarringen/byggtips-fakta-inspiration/underhallstipsen-for-sommarhuset-sa-klarar-det-sig-aret-runt" TargetMode="External"/><Relationship Id="rId10186" Type="http://schemas.openxmlformats.org/officeDocument/2006/relationships/hyperlink" Target="https://yourgild.com/" TargetMode="External"/><Relationship Id="rId11237" Type="http://schemas.openxmlformats.org/officeDocument/2006/relationships/hyperlink" Target="http://chronos.se/" TargetMode="External"/><Relationship Id="rId4866" Type="http://schemas.openxmlformats.org/officeDocument/2006/relationships/hyperlink" Target="https://www.spelklubben.se/sv/" TargetMode="External"/><Relationship Id="rId5917" Type="http://schemas.openxmlformats.org/officeDocument/2006/relationships/hyperlink" Target="https://filmparadiset.se/2024/10/17/fran-cigg-till-vaping-en-ny-era-av-rok-i-filmens-varld/" TargetMode="External"/><Relationship Id="rId3468" Type="http://schemas.openxmlformats.org/officeDocument/2006/relationships/hyperlink" Target="https://www.kingsizemag.se/okategoriserat/den-nya-exklusiva-tandvarden-5-satt-tandvarden-har-moderniserats-till-en-trevligare-upplevelse/" TargetMode="External"/><Relationship Id="rId4519" Type="http://schemas.openxmlformats.org/officeDocument/2006/relationships/hyperlink" Target="https://forlivochrorelse.se/allt-du-behover-veta-om-tandimplantat-fran-kirurgi-till-eftervard/" TargetMode="External"/><Relationship Id="rId10320" Type="http://schemas.openxmlformats.org/officeDocument/2006/relationships/hyperlink" Target="https://familjealbum.se/viktiga-produkter-for-familjelivet-med-bebisar-och-smabarn/" TargetMode="External"/><Relationship Id="rId389" Type="http://schemas.openxmlformats.org/officeDocument/2006/relationships/hyperlink" Target="http://vontabel.com/" TargetMode="External"/><Relationship Id="rId870" Type="http://schemas.openxmlformats.org/officeDocument/2006/relationships/hyperlink" Target="http://blugiallo.com/" TargetMode="External"/><Relationship Id="rId2551" Type="http://schemas.openxmlformats.org/officeDocument/2006/relationships/hyperlink" Target="https://www.mariatand.se/" TargetMode="External"/><Relationship Id="rId9164" Type="http://schemas.openxmlformats.org/officeDocument/2006/relationships/hyperlink" Target="https://technobark.com/best-dog-gps-trackers/" TargetMode="External"/><Relationship Id="rId11094" Type="http://schemas.openxmlformats.org/officeDocument/2006/relationships/hyperlink" Target="http://megariches.com/" TargetMode="External"/><Relationship Id="rId12492" Type="http://schemas.openxmlformats.org/officeDocument/2006/relationships/hyperlink" Target="http://fairinvestments.se/" TargetMode="External"/><Relationship Id="rId523" Type="http://schemas.openxmlformats.org/officeDocument/2006/relationships/hyperlink" Target="http://toyota-forklifts.se/" TargetMode="External"/><Relationship Id="rId1153" Type="http://schemas.openxmlformats.org/officeDocument/2006/relationships/hyperlink" Target="http://lemontree.se/" TargetMode="External"/><Relationship Id="rId2204" Type="http://schemas.openxmlformats.org/officeDocument/2006/relationships/hyperlink" Target="http://distansinstitutet.se/" TargetMode="External"/><Relationship Id="rId3602" Type="http://schemas.openxmlformats.org/officeDocument/2006/relationships/hyperlink" Target="https://www.foyen.se/om-oss/vara-kontor/foyen-i-stockholm/" TargetMode="External"/><Relationship Id="rId12145" Type="http://schemas.openxmlformats.org/officeDocument/2006/relationships/hyperlink" Target="https://www.foyen.se/" TargetMode="External"/><Relationship Id="rId5774" Type="http://schemas.openxmlformats.org/officeDocument/2006/relationships/hyperlink" Target="http://snusnetto.se/" TargetMode="External"/><Relationship Id="rId6825" Type="http://schemas.openxmlformats.org/officeDocument/2006/relationships/hyperlink" Target="https://svenskiptv.com/" TargetMode="External"/><Relationship Id="rId4376" Type="http://schemas.openxmlformats.org/officeDocument/2006/relationships/hyperlink" Target="https://smartareekonomi.se/effektiva-strategier-for-rattvisa-investeringar/" TargetMode="External"/><Relationship Id="rId5427" Type="http://schemas.openxmlformats.org/officeDocument/2006/relationships/hyperlink" Target="https://studiointeract.se/" TargetMode="External"/><Relationship Id="rId8997" Type="http://schemas.openxmlformats.org/officeDocument/2006/relationships/hyperlink" Target="https://www.zmarta.fi/lainaa-rahaa" TargetMode="External"/><Relationship Id="rId4029" Type="http://schemas.openxmlformats.org/officeDocument/2006/relationships/hyperlink" Target="https://www.reseledaren.nu/upplev-las-vegas/" TargetMode="External"/><Relationship Id="rId7599" Type="http://schemas.openxmlformats.org/officeDocument/2006/relationships/hyperlink" Target="https://tvprogram.nu/blogg/snuset-som-en-del-av-svensk-kultur" TargetMode="External"/><Relationship Id="rId11978" Type="http://schemas.openxmlformats.org/officeDocument/2006/relationships/hyperlink" Target="https://www.facebook.com/fairinvestmentsswedenAB/" TargetMode="External"/><Relationship Id="rId4510" Type="http://schemas.openxmlformats.org/officeDocument/2006/relationships/hyperlink" Target="http://startmotor.se/" TargetMode="External"/><Relationship Id="rId13053" Type="http://schemas.openxmlformats.org/officeDocument/2006/relationships/hyperlink" Target="https://comfydence.se/" TargetMode="External"/><Relationship Id="rId380" Type="http://schemas.openxmlformats.org/officeDocument/2006/relationships/hyperlink" Target="https://schjodt.com/expertise/rekonstruktion-insolvens" TargetMode="External"/><Relationship Id="rId2061" Type="http://schemas.openxmlformats.org/officeDocument/2006/relationships/hyperlink" Target="https://www.panorastic.de/kredite-und-kreditbeurteilungen-in-der-digitalen-welt" TargetMode="External"/><Relationship Id="rId3112" Type="http://schemas.openxmlformats.org/officeDocument/2006/relationships/hyperlink" Target="http://notyfile.se/sv" TargetMode="External"/><Relationship Id="rId6682" Type="http://schemas.openxmlformats.org/officeDocument/2006/relationships/hyperlink" Target="http://foyen.se/" TargetMode="External"/><Relationship Id="rId5284" Type="http://schemas.openxmlformats.org/officeDocument/2006/relationships/hyperlink" Target="http://myownwater.com/" TargetMode="External"/><Relationship Id="rId6335" Type="http://schemas.openxmlformats.org/officeDocument/2006/relationships/hyperlink" Target="http://hund.se/" TargetMode="External"/><Relationship Id="rId7733" Type="http://schemas.openxmlformats.org/officeDocument/2006/relationships/hyperlink" Target="https://www.amazon.com/stores/page/A25C2F67-D612-4EBD-9B59-6A7A7830240F" TargetMode="External"/><Relationship Id="rId10714" Type="http://schemas.openxmlformats.org/officeDocument/2006/relationships/hyperlink" Target="http://kungaslottet.se/" TargetMode="External"/><Relationship Id="rId12886" Type="http://schemas.openxmlformats.org/officeDocument/2006/relationships/hyperlink" Target="https://www.spelklubben.se/sv/betting" TargetMode="External"/><Relationship Id="rId1894" Type="http://schemas.openxmlformats.org/officeDocument/2006/relationships/hyperlink" Target="https://www.party-zeiger.de/dampf-ablassen-mit-dampf" TargetMode="External"/><Relationship Id="rId2945" Type="http://schemas.openxmlformats.org/officeDocument/2006/relationships/hyperlink" Target="https://www.casino-play.nu/olika-insattningsmetoder-pa-svenska-online-casinon/" TargetMode="External"/><Relationship Id="rId9558" Type="http://schemas.openxmlformats.org/officeDocument/2006/relationships/hyperlink" Target="https://ng.se/artiklar/de-mest-populara-prenumerationerna-2025-vad-sager-vara-val-om-oss" TargetMode="External"/><Relationship Id="rId11488" Type="http://schemas.openxmlformats.org/officeDocument/2006/relationships/hyperlink" Target="https://ekonomistart.se/sveriges-mest-blankade-aktier/" TargetMode="External"/><Relationship Id="rId12539" Type="http://schemas.openxmlformats.org/officeDocument/2006/relationships/hyperlink" Target="http://alexbyggkonsult.se/" TargetMode="External"/><Relationship Id="rId917" Type="http://schemas.openxmlformats.org/officeDocument/2006/relationships/hyperlink" Target="https://www.fashionado.net/blog/2023/6/21/how-to-spice-up-your-minimalistic-wardrobe" TargetMode="External"/><Relationship Id="rId1547" Type="http://schemas.openxmlformats.org/officeDocument/2006/relationships/hyperlink" Target="https://www.businesstomark.com/mens-sock-trends-stay-fashion-forward-with-the-latest-must-have-styles/" TargetMode="External"/><Relationship Id="rId4020" Type="http://schemas.openxmlformats.org/officeDocument/2006/relationships/hyperlink" Target="https://m6bygg.se/totalentreprenad-stockholm/" TargetMode="External"/><Relationship Id="rId7590" Type="http://schemas.openxmlformats.org/officeDocument/2006/relationships/hyperlink" Target="https://mimshacks.com/blog/what-are-no-deposit-bonuses/" TargetMode="External"/><Relationship Id="rId8641" Type="http://schemas.openxmlformats.org/officeDocument/2006/relationships/hyperlink" Target="http://kleer.se/" TargetMode="External"/><Relationship Id="rId6192" Type="http://schemas.openxmlformats.org/officeDocument/2006/relationships/hyperlink" Target="https://www.chattanoogarehab.com/" TargetMode="External"/><Relationship Id="rId7243" Type="http://schemas.openxmlformats.org/officeDocument/2006/relationships/hyperlink" Target="https://www.tigerofsweden.com/se/sv/herr/kostymer/" TargetMode="External"/><Relationship Id="rId10571" Type="http://schemas.openxmlformats.org/officeDocument/2006/relationships/hyperlink" Target="https://www.musiclipse.com/2025/07/18/what-happened-to-robert-plant-after-led-zeppelin/" TargetMode="External"/><Relationship Id="rId11622" Type="http://schemas.openxmlformats.org/officeDocument/2006/relationships/hyperlink" Target="https://www.vont.se/" TargetMode="External"/><Relationship Id="rId10224" Type="http://schemas.openxmlformats.org/officeDocument/2006/relationships/hyperlink" Target="http://chattanoogarehab.com/" TargetMode="External"/><Relationship Id="rId3853" Type="http://schemas.openxmlformats.org/officeDocument/2006/relationships/hyperlink" Target="http://e-ciggbolaget.se/" TargetMode="External"/><Relationship Id="rId4904" Type="http://schemas.openxmlformats.org/officeDocument/2006/relationships/hyperlink" Target="https://alltomnorrtalje.se/kryptovalutor-mojligheter-och-risker-i-en-digital-ekonomi/" TargetMode="External"/><Relationship Id="rId9068" Type="http://schemas.openxmlformats.org/officeDocument/2006/relationships/hyperlink" Target="https://www.sesec.se/" TargetMode="External"/><Relationship Id="rId12396" Type="http://schemas.openxmlformats.org/officeDocument/2006/relationships/hyperlink" Target="http://tryggbil.se/" TargetMode="External"/><Relationship Id="rId774" Type="http://schemas.openxmlformats.org/officeDocument/2006/relationships/hyperlink" Target="https://www.happysocks.com/us/collection/socks-for-men" TargetMode="External"/><Relationship Id="rId1057" Type="http://schemas.openxmlformats.org/officeDocument/2006/relationships/hyperlink" Target="http://schjodt.com/" TargetMode="External"/><Relationship Id="rId2455" Type="http://schemas.openxmlformats.org/officeDocument/2006/relationships/hyperlink" Target="http://kamux.fi/" TargetMode="External"/><Relationship Id="rId3506" Type="http://schemas.openxmlformats.org/officeDocument/2006/relationships/hyperlink" Target="https://luckycasino.com/sv/" TargetMode="External"/><Relationship Id="rId12049" Type="http://schemas.openxmlformats.org/officeDocument/2006/relationships/hyperlink" Target="https://www.robomarkets.com/se/forex-trading/trading/isk/" TargetMode="External"/><Relationship Id="rId427" Type="http://schemas.openxmlformats.org/officeDocument/2006/relationships/hyperlink" Target="https://www.swedoffice.se/kategori/69602-gaffelparm-trarygg" TargetMode="External"/><Relationship Id="rId2108" Type="http://schemas.openxmlformats.org/officeDocument/2006/relationships/hyperlink" Target="http://ritty.se/" TargetMode="External"/><Relationship Id="rId5678" Type="http://schemas.openxmlformats.org/officeDocument/2006/relationships/hyperlink" Target="http://spelklubben.se/" TargetMode="External"/><Relationship Id="rId6729" Type="http://schemas.openxmlformats.org/officeDocument/2006/relationships/hyperlink" Target="http://skidvalla.se/" TargetMode="External"/><Relationship Id="rId12530" Type="http://schemas.openxmlformats.org/officeDocument/2006/relationships/hyperlink" Target="https://ttsab.nu/bygg/" TargetMode="External"/><Relationship Id="rId8151" Type="http://schemas.openxmlformats.org/officeDocument/2006/relationships/hyperlink" Target="https://www.rusta.com/se/sv/fritid/husdjur/hund/hundfoder/" TargetMode="External"/><Relationship Id="rId9202" Type="http://schemas.openxmlformats.org/officeDocument/2006/relationships/hyperlink" Target="https://finansfeber.se/investeringar-med-fokus-pa-trygghet-och-langsiktig-avkastning/" TargetMode="External"/><Relationship Id="rId10081" Type="http://schemas.openxmlformats.org/officeDocument/2006/relationships/hyperlink" Target="https://www.rolighetsteorin.se/hur-overlever-man-trista-jobbmoten-anvand-humor-pa-arbetsplatsen/" TargetMode="External"/><Relationship Id="rId11132" Type="http://schemas.openxmlformats.org/officeDocument/2006/relationships/hyperlink" Target="http://indoorprofessional.se/" TargetMode="External"/><Relationship Id="rId4761" Type="http://schemas.openxmlformats.org/officeDocument/2006/relationships/hyperlink" Target="https://www.joureliten.se/jour-elektriker/" TargetMode="External"/><Relationship Id="rId3363" Type="http://schemas.openxmlformats.org/officeDocument/2006/relationships/hyperlink" Target="http://filippa-k.com/se/sv/" TargetMode="External"/><Relationship Id="rId4414" Type="http://schemas.openxmlformats.org/officeDocument/2006/relationships/hyperlink" Target="http://tandea.se/" TargetMode="External"/><Relationship Id="rId5812" Type="http://schemas.openxmlformats.org/officeDocument/2006/relationships/hyperlink" Target="https://sakraror.se/vara-tjanster/allman-service-vvs/vvs-i-sollentuna/" TargetMode="External"/><Relationship Id="rId284" Type="http://schemas.openxmlformats.org/officeDocument/2006/relationships/hyperlink" Target="https://www.fashiondioxide.com/guide-for-always-looking-the-best-you-can/" TargetMode="External"/><Relationship Id="rId3016" Type="http://schemas.openxmlformats.org/officeDocument/2006/relationships/hyperlink" Target="http://alfa.se/" TargetMode="External"/><Relationship Id="rId7984" Type="http://schemas.openxmlformats.org/officeDocument/2006/relationships/hyperlink" Target="http://svenskiptv.com/" TargetMode="External"/><Relationship Id="rId10965" Type="http://schemas.openxmlformats.org/officeDocument/2006/relationships/hyperlink" Target="https://www.dbet.com/sports/" TargetMode="External"/><Relationship Id="rId5188" Type="http://schemas.openxmlformats.org/officeDocument/2006/relationships/hyperlink" Target="https://tryggbil.se/volkswagen/" TargetMode="External"/><Relationship Id="rId6586" Type="http://schemas.openxmlformats.org/officeDocument/2006/relationships/hyperlink" Target="https://ng.se/artiklar/kandisfiske-nar-stjarnorna-tar-till-spoet" TargetMode="External"/><Relationship Id="rId7637" Type="http://schemas.openxmlformats.org/officeDocument/2006/relationships/hyperlink" Target="http://ekstromgaray.se/" TargetMode="External"/><Relationship Id="rId10618" Type="http://schemas.openxmlformats.org/officeDocument/2006/relationships/hyperlink" Target="http://mrvegas.com/" TargetMode="External"/><Relationship Id="rId6239" Type="http://schemas.openxmlformats.org/officeDocument/2006/relationships/hyperlink" Target="https://www.mariatand.se/" TargetMode="External"/><Relationship Id="rId12040" Type="http://schemas.openxmlformats.org/officeDocument/2006/relationships/hyperlink" Target="https://miamipool.se/" TargetMode="External"/><Relationship Id="rId1798" Type="http://schemas.openxmlformats.org/officeDocument/2006/relationships/hyperlink" Target="https://tiotak.se/byta-tak-ekonomibyggnad/" TargetMode="External"/><Relationship Id="rId2849" Type="http://schemas.openxmlformats.org/officeDocument/2006/relationships/hyperlink" Target="http://glitnor.com/" TargetMode="External"/><Relationship Id="rId6720" Type="http://schemas.openxmlformats.org/officeDocument/2006/relationships/hyperlink" Target="http://everynightstudios.com/" TargetMode="External"/><Relationship Id="rId4271" Type="http://schemas.openxmlformats.org/officeDocument/2006/relationships/hyperlink" Target="https://tommytappar.se/att-skaffa-sig-en-tillforlitlig-maklare-en-guide-for-bostadskopare-saljare/" TargetMode="External"/><Relationship Id="rId5322" Type="http://schemas.openxmlformats.org/officeDocument/2006/relationships/hyperlink" Target="http://zmarta.se/" TargetMode="External"/><Relationship Id="rId8892" Type="http://schemas.openxmlformats.org/officeDocument/2006/relationships/hyperlink" Target="https://www.kingsizemag.se/okategoriserat/lyxlivet-bakom-kulisserna-tjansterna-som-kandisarna-inte-kan-leva-utan/" TargetMode="External"/><Relationship Id="rId7494" Type="http://schemas.openxmlformats.org/officeDocument/2006/relationships/hyperlink" Target="https://www.bethard.com/sv/sports" TargetMode="External"/><Relationship Id="rId8545" Type="http://schemas.openxmlformats.org/officeDocument/2006/relationships/hyperlink" Target="https://technobark.com/best-gps-dog-fences/" TargetMode="External"/><Relationship Id="rId9943" Type="http://schemas.openxmlformats.org/officeDocument/2006/relationships/hyperlink" Target="http://mrvegas.com/" TargetMode="External"/><Relationship Id="rId11873" Type="http://schemas.openxmlformats.org/officeDocument/2006/relationships/hyperlink" Target="https://haxan.se/products/haxan-attika" TargetMode="External"/><Relationship Id="rId12924" Type="http://schemas.openxmlformats.org/officeDocument/2006/relationships/hyperlink" Target="https://villalivet.se/ekonomi/rotavdraget-2025-2026/" TargetMode="External"/><Relationship Id="rId1932" Type="http://schemas.openxmlformats.org/officeDocument/2006/relationships/hyperlink" Target="https://www.simmasverige.se/lyxsommar-hemma-med-egen-pool" TargetMode="External"/><Relationship Id="rId6096" Type="http://schemas.openxmlformats.org/officeDocument/2006/relationships/hyperlink" Target="http://bbml.se/" TargetMode="External"/><Relationship Id="rId7147" Type="http://schemas.openxmlformats.org/officeDocument/2006/relationships/hyperlink" Target="http://kleer.se/" TargetMode="External"/><Relationship Id="rId10475" Type="http://schemas.openxmlformats.org/officeDocument/2006/relationships/hyperlink" Target="https://www.newst.se/nya-trender-inom-digital-underhallning-2025/" TargetMode="External"/><Relationship Id="rId11526" Type="http://schemas.openxmlformats.org/officeDocument/2006/relationships/hyperlink" Target="http://sufracofinebrands.com/" TargetMode="External"/><Relationship Id="rId10128" Type="http://schemas.openxmlformats.org/officeDocument/2006/relationships/hyperlink" Target="https://thesource.com/2025/06/30/ai-assisstant-platforms/" TargetMode="External"/><Relationship Id="rId3757" Type="http://schemas.openxmlformats.org/officeDocument/2006/relationships/hyperlink" Target="https://www.rambollnatura.se/molntjanster-kan-man-lita-pa-dem" TargetMode="External"/><Relationship Id="rId4808" Type="http://schemas.openxmlformats.org/officeDocument/2006/relationships/hyperlink" Target="http://nordenhydralic.se/" TargetMode="External"/><Relationship Id="rId678" Type="http://schemas.openxmlformats.org/officeDocument/2006/relationships/hyperlink" Target="https://hairmagazine.se/ska-du-gifta-dig-eller-besoka-ett-brollop-sa-ser-du-till-att-du-lyckas-med-din-frisyr/" TargetMode="External"/><Relationship Id="rId2359" Type="http://schemas.openxmlformats.org/officeDocument/2006/relationships/hyperlink" Target="http://conclean.se/" TargetMode="External"/><Relationship Id="rId6230" Type="http://schemas.openxmlformats.org/officeDocument/2006/relationships/hyperlink" Target="http://standupsverige.se/" TargetMode="External"/><Relationship Id="rId9453" Type="http://schemas.openxmlformats.org/officeDocument/2006/relationships/hyperlink" Target="http://nettotobak.com/velo/" TargetMode="External"/><Relationship Id="rId11383" Type="http://schemas.openxmlformats.org/officeDocument/2006/relationships/hyperlink" Target="https://haxan.se/products/teakolja" TargetMode="External"/><Relationship Id="rId12781" Type="http://schemas.openxmlformats.org/officeDocument/2006/relationships/hyperlink" Target="http://lsb.se/" TargetMode="External"/><Relationship Id="rId812" Type="http://schemas.openxmlformats.org/officeDocument/2006/relationships/hyperlink" Target="https://bolagsekonomen.se/detta-ska-man-tanka-pa-nar-man-har-anstallt-en-ny-medarbetare/" TargetMode="External"/><Relationship Id="rId1442" Type="http://schemas.openxmlformats.org/officeDocument/2006/relationships/hyperlink" Target="http://advancepointcap.com/" TargetMode="External"/><Relationship Id="rId2840" Type="http://schemas.openxmlformats.org/officeDocument/2006/relationships/hyperlink" Target="http://fairinvestments.se/" TargetMode="External"/><Relationship Id="rId8055" Type="http://schemas.openxmlformats.org/officeDocument/2006/relationships/hyperlink" Target="https://www.tandea.se/kliniker/haninge/" TargetMode="External"/><Relationship Id="rId9106" Type="http://schemas.openxmlformats.org/officeDocument/2006/relationships/hyperlink" Target="https://www.chattanoogarehab.com/blog/meet-the-next-generation-of-electrotherapy-chattanooga-intelect-transport-2/" TargetMode="External"/><Relationship Id="rId11036" Type="http://schemas.openxmlformats.org/officeDocument/2006/relationships/hyperlink" Target="http://turner.fi/" TargetMode="External"/><Relationship Id="rId12434" Type="http://schemas.openxmlformats.org/officeDocument/2006/relationships/hyperlink" Target="https://www.alvtorpet.se/" TargetMode="External"/><Relationship Id="rId3267" Type="http://schemas.openxmlformats.org/officeDocument/2006/relationships/hyperlink" Target="http://fairinvestments.se/" TargetMode="External"/><Relationship Id="rId4665" Type="http://schemas.openxmlformats.org/officeDocument/2006/relationships/hyperlink" Target="http://cherry.com/" TargetMode="External"/><Relationship Id="rId5716" Type="http://schemas.openxmlformats.org/officeDocument/2006/relationships/hyperlink" Target="https://everynightstudios.com/pages/foretag" TargetMode="External"/><Relationship Id="rId188" Type="http://schemas.openxmlformats.org/officeDocument/2006/relationships/hyperlink" Target="https://www.kopbarnvagn.se/sv/artiklar/bugaboo/index.html" TargetMode="External"/><Relationship Id="rId4318" Type="http://schemas.openxmlformats.org/officeDocument/2006/relationships/hyperlink" Target="https://www.skargarden.se/forbattra-ditt-aventyr-med-sportsbetting-online/" TargetMode="External"/><Relationship Id="rId7888" Type="http://schemas.openxmlformats.org/officeDocument/2006/relationships/hyperlink" Target="http://bethard.com/sv/sports" TargetMode="External"/><Relationship Id="rId8939" Type="http://schemas.openxmlformats.org/officeDocument/2006/relationships/hyperlink" Target="https://www.leipziginfo.de/ratgeber/mode/eco-chic-nachhaltige-stoffe-und-styles-fuer-frauen-diesen-sommer/" TargetMode="External"/><Relationship Id="rId10869" Type="http://schemas.openxmlformats.org/officeDocument/2006/relationships/hyperlink" Target="https://www.4him4her.com/sv-se" TargetMode="External"/><Relationship Id="rId12291" Type="http://schemas.openxmlformats.org/officeDocument/2006/relationships/hyperlink" Target="https://www.robomarkets.com/se/forex-trading/trading/isk/" TargetMode="External"/><Relationship Id="rId2350" Type="http://schemas.openxmlformats.org/officeDocument/2006/relationships/hyperlink" Target="http://finansplassen.no/" TargetMode="External"/><Relationship Id="rId3401" Type="http://schemas.openxmlformats.org/officeDocument/2006/relationships/hyperlink" Target="http://restate.se/" TargetMode="External"/><Relationship Id="rId6971" Type="http://schemas.openxmlformats.org/officeDocument/2006/relationships/hyperlink" Target="https://www.grontsamhallsbyggande.se/2024/12/21/glasstaden-som-alltid-tittar-uppat-new-yorks-arkitektur-och-infrastruktur-som-miljoforedome/" TargetMode="External"/><Relationship Id="rId322" Type="http://schemas.openxmlformats.org/officeDocument/2006/relationships/hyperlink" Target="https://smartkonstruktion.se/tips-for-att-valja-ratt-hemforsakring/" TargetMode="External"/><Relationship Id="rId2003" Type="http://schemas.openxmlformats.org/officeDocument/2006/relationships/hyperlink" Target="http://lemontree.se/" TargetMode="External"/><Relationship Id="rId5573" Type="http://schemas.openxmlformats.org/officeDocument/2006/relationships/hyperlink" Target="https://www.abcdirekt.se/vad-ar-skillnaden-mellan-tandblekning-pa-klinik-hemma/" TargetMode="External"/><Relationship Id="rId6624" Type="http://schemas.openxmlformats.org/officeDocument/2006/relationships/hyperlink" Target="https://annasvahn.se/olika-satt-att-investera-pengar-pa/" TargetMode="External"/><Relationship Id="rId4175" Type="http://schemas.openxmlformats.org/officeDocument/2006/relationships/hyperlink" Target="http://kvarnx.com/" TargetMode="External"/><Relationship Id="rId5226" Type="http://schemas.openxmlformats.org/officeDocument/2006/relationships/hyperlink" Target="https://www.swedoffice.se/kategori/49902-kopieringspapper" TargetMode="External"/><Relationship Id="rId7398" Type="http://schemas.openxmlformats.org/officeDocument/2006/relationships/hyperlink" Target="https://www.executiveeffect.se/ett-professionellt-leende-tandblekning-som-en-vag-till-okat-sjalvfortroende-och-valmaende/" TargetMode="External"/><Relationship Id="rId8796" Type="http://schemas.openxmlformats.org/officeDocument/2006/relationships/hyperlink" Target="https://www.transportochlogistik.se/20250425/21117/transporter-du-inte-visste-fanns-en-resa-genom-det-ovantade" TargetMode="External"/><Relationship Id="rId9847" Type="http://schemas.openxmlformats.org/officeDocument/2006/relationships/hyperlink" Target="http://sahlstenskincare.se/" TargetMode="External"/><Relationship Id="rId11777" Type="http://schemas.openxmlformats.org/officeDocument/2006/relationships/hyperlink" Target="https://yagya.com/products/monogram-long-sleeve-shirt-tan" TargetMode="External"/><Relationship Id="rId12828" Type="http://schemas.openxmlformats.org/officeDocument/2006/relationships/hyperlink" Target="http://kruunukaluste.fi/" TargetMode="External"/><Relationship Id="rId1836" Type="http://schemas.openxmlformats.org/officeDocument/2006/relationships/hyperlink" Target="https://alltomnorrtalje.se/parmar-en-tidlos-hjalpreda-for-foretag-organisation/" TargetMode="External"/><Relationship Id="rId8449" Type="http://schemas.openxmlformats.org/officeDocument/2006/relationships/hyperlink" Target="http://aretrotale.com/" TargetMode="External"/><Relationship Id="rId10379" Type="http://schemas.openxmlformats.org/officeDocument/2006/relationships/hyperlink" Target="https://skanesport.se/2025/07/27/sa-gar-det-for-skanelagen-i-allsvenskan/" TargetMode="External"/><Relationship Id="rId8930" Type="http://schemas.openxmlformats.org/officeDocument/2006/relationships/hyperlink" Target="https://betterthisworld.com/latest-news/aluminum-water-bottles-a-sustainable-and-practical-alternative/" TargetMode="External"/><Relationship Id="rId6481" Type="http://schemas.openxmlformats.org/officeDocument/2006/relationships/hyperlink" Target="https://www.purakliniken.se/estetisk-tandvard/tandreglering-invisalign/" TargetMode="External"/><Relationship Id="rId7532" Type="http://schemas.openxmlformats.org/officeDocument/2006/relationships/hyperlink" Target="https://www.startmotor.se/kategori/batmotordelar" TargetMode="External"/><Relationship Id="rId10860" Type="http://schemas.openxmlformats.org/officeDocument/2006/relationships/hyperlink" Target="https://merchoteket.se/" TargetMode="External"/><Relationship Id="rId11911" Type="http://schemas.openxmlformats.org/officeDocument/2006/relationships/hyperlink" Target="http://robomarkets.com/" TargetMode="External"/><Relationship Id="rId5083" Type="http://schemas.openxmlformats.org/officeDocument/2006/relationships/hyperlink" Target="http://e-ciggbolaget.se/" TargetMode="External"/><Relationship Id="rId6134" Type="http://schemas.openxmlformats.org/officeDocument/2006/relationships/hyperlink" Target="https://euroweeklynews.com/2024/10/27/from-meditation-to-superstition-common-pre-match-rituals-for-football-players/" TargetMode="External"/><Relationship Id="rId10513" Type="http://schemas.openxmlformats.org/officeDocument/2006/relationships/hyperlink" Target="https://www.swesub.nu/ekonomi/ge-den-basta-30-ars-presenten-en-upplevelse-men-vilken/" TargetMode="External"/><Relationship Id="rId9357" Type="http://schemas.openxmlformats.org/officeDocument/2006/relationships/hyperlink" Target="https://www.dbet.com/" TargetMode="External"/><Relationship Id="rId12685" Type="http://schemas.openxmlformats.org/officeDocument/2006/relationships/hyperlink" Target="https://businessmanualen.se/effektiv-lonehantering-med-molnbaserade-system-for-moderna-foretag/" TargetMode="External"/><Relationship Id="rId1346" Type="http://schemas.openxmlformats.org/officeDocument/2006/relationships/hyperlink" Target="https://dinlokalabokhandel.se/skapa-den-perfekta-sommarsemestern-hemma-med-en-egen-swimming-pool/" TargetMode="External"/><Relationship Id="rId1693" Type="http://schemas.openxmlformats.org/officeDocument/2006/relationships/hyperlink" Target="https://uppsalabostad.se/sa-jamfor-du-forsakringar-hitta-ratt-forsakring-till-ratt-pris/" TargetMode="External"/><Relationship Id="rId2744" Type="http://schemas.openxmlformats.org/officeDocument/2006/relationships/hyperlink" Target="https://www.mariatand.se/" TargetMode="External"/><Relationship Id="rId11287" Type="http://schemas.openxmlformats.org/officeDocument/2006/relationships/hyperlink" Target="https://www.dieselkraft.se/" TargetMode="External"/><Relationship Id="rId12338" Type="http://schemas.openxmlformats.org/officeDocument/2006/relationships/hyperlink" Target="http://arctic.se/" TargetMode="External"/><Relationship Id="rId716" Type="http://schemas.openxmlformats.org/officeDocument/2006/relationships/hyperlink" Target="https://arctic.se/nibewp/" TargetMode="External"/><Relationship Id="rId5967" Type="http://schemas.openxmlformats.org/officeDocument/2006/relationships/hyperlink" Target="https://www.saleseffect.se/soartzy-skraddarsydda-produkter-for-unika-inredningslosningar/" TargetMode="External"/><Relationship Id="rId52" Type="http://schemas.openxmlformats.org/officeDocument/2006/relationships/hyperlink" Target="http://elenkelt.se/" TargetMode="External"/><Relationship Id="rId4569" Type="http://schemas.openxmlformats.org/officeDocument/2006/relationships/hyperlink" Target="http://aaatak.se/" TargetMode="External"/><Relationship Id="rId8440" Type="http://schemas.openxmlformats.org/officeDocument/2006/relationships/hyperlink" Target="https://clearfuze.com/solutions/it-consulting/" TargetMode="External"/><Relationship Id="rId10370" Type="http://schemas.openxmlformats.org/officeDocument/2006/relationships/hyperlink" Target="https://igamingindustry.org/sv/blogg-sv/vaxande-trender-pa-spelplattformarna-tekniken-bakom-framgangarna/" TargetMode="External"/><Relationship Id="rId11421" Type="http://schemas.openxmlformats.org/officeDocument/2006/relationships/hyperlink" Target="https://havstomt.se/artiklar/hur-man-hittar-den-perfekta-tomten-i-nykoping/" TargetMode="External"/><Relationship Id="rId7042" Type="http://schemas.openxmlformats.org/officeDocument/2006/relationships/hyperlink" Target="http://cdg.io/" TargetMode="External"/><Relationship Id="rId10023" Type="http://schemas.openxmlformats.org/officeDocument/2006/relationships/hyperlink" Target="https://www.tandlakare.se/stad/goteborg/" TargetMode="External"/><Relationship Id="rId3652" Type="http://schemas.openxmlformats.org/officeDocument/2006/relationships/hyperlink" Target="http://finansplassen.no/" TargetMode="External"/><Relationship Id="rId4703" Type="http://schemas.openxmlformats.org/officeDocument/2006/relationships/hyperlink" Target="https://secworks.se/ekonomiska-fordelar-med-bulkinkop-av-kopieringspapper-for-foretag/" TargetMode="External"/><Relationship Id="rId12195" Type="http://schemas.openxmlformats.org/officeDocument/2006/relationships/hyperlink" Target="http://conclean.se/" TargetMode="External"/><Relationship Id="rId13246" Type="http://schemas.openxmlformats.org/officeDocument/2006/relationships/hyperlink" Target="https://businessagent.se/flexibla-losningar-for-foretagsbostader-i-sverige/" TargetMode="External"/><Relationship Id="rId573" Type="http://schemas.openxmlformats.org/officeDocument/2006/relationships/hyperlink" Target="https://pontechmarina.com/se/flytbrygga/" TargetMode="External"/><Relationship Id="rId2254" Type="http://schemas.openxmlformats.org/officeDocument/2006/relationships/hyperlink" Target="https://www.innovate4climate.ch/" TargetMode="External"/><Relationship Id="rId3305" Type="http://schemas.openxmlformats.org/officeDocument/2006/relationships/hyperlink" Target="http://tandea.se/" TargetMode="External"/><Relationship Id="rId226" Type="http://schemas.openxmlformats.org/officeDocument/2006/relationships/hyperlink" Target="http://ljusgrossisten.se/" TargetMode="External"/><Relationship Id="rId5477" Type="http://schemas.openxmlformats.org/officeDocument/2006/relationships/hyperlink" Target="https://www.kelleher-international.com/" TargetMode="External"/><Relationship Id="rId6875" Type="http://schemas.openxmlformats.org/officeDocument/2006/relationships/hyperlink" Target="http://nordicknots.com/us" TargetMode="External"/><Relationship Id="rId7926" Type="http://schemas.openxmlformats.org/officeDocument/2006/relationships/hyperlink" Target="http://rusta.se/" TargetMode="External"/><Relationship Id="rId10907" Type="http://schemas.openxmlformats.org/officeDocument/2006/relationships/hyperlink" Target="http://aretrotale.com/" TargetMode="External"/><Relationship Id="rId4079" Type="http://schemas.openxmlformats.org/officeDocument/2006/relationships/hyperlink" Target="http://fairinvestments.se/" TargetMode="External"/><Relationship Id="rId6528" Type="http://schemas.openxmlformats.org/officeDocument/2006/relationships/hyperlink" Target="http://nodepositbonus.cc/" TargetMode="External"/><Relationship Id="rId9001" Type="http://schemas.openxmlformats.org/officeDocument/2006/relationships/hyperlink" Target="http://godies.fi/" TargetMode="External"/><Relationship Id="rId4560" Type="http://schemas.openxmlformats.org/officeDocument/2006/relationships/hyperlink" Target="http://ampilo.se/" TargetMode="External"/><Relationship Id="rId5611" Type="http://schemas.openxmlformats.org/officeDocument/2006/relationships/hyperlink" Target="http://optione.se/adblue-off/" TargetMode="External"/><Relationship Id="rId3162" Type="http://schemas.openxmlformats.org/officeDocument/2006/relationships/hyperlink" Target="http://hemplybalance.com/" TargetMode="External"/><Relationship Id="rId4213" Type="http://schemas.openxmlformats.org/officeDocument/2006/relationships/hyperlink" Target="http://startmotor.se/" TargetMode="External"/><Relationship Id="rId7783" Type="http://schemas.openxmlformats.org/officeDocument/2006/relationships/hyperlink" Target="https://alltomnorrtalje.se/utrusta-ditt-landstalle-i-norrtalje-med-en-flytbrygga/" TargetMode="External"/><Relationship Id="rId8834" Type="http://schemas.openxmlformats.org/officeDocument/2006/relationships/hyperlink" Target="https://www.lsb.se/" TargetMode="External"/><Relationship Id="rId6385" Type="http://schemas.openxmlformats.org/officeDocument/2006/relationships/hyperlink" Target="http://chattanoogarehab.com/" TargetMode="External"/><Relationship Id="rId7436" Type="http://schemas.openxmlformats.org/officeDocument/2006/relationships/hyperlink" Target="http://fairinvestments.se/" TargetMode="External"/><Relationship Id="rId10764" Type="http://schemas.openxmlformats.org/officeDocument/2006/relationships/hyperlink" Target="https://infobloggen.se/att-valja-ratt-tandlakare-kan-forbattra-din-livskvalitet-i-stockholm/" TargetMode="External"/><Relationship Id="rId11815" Type="http://schemas.openxmlformats.org/officeDocument/2006/relationships/hyperlink" Target="https://aip.nu/elever-kanner-sig-lurade-av-utbildningsforetag-som-anlitas-av-kommuner/" TargetMode="External"/><Relationship Id="rId6038" Type="http://schemas.openxmlformats.org/officeDocument/2006/relationships/hyperlink" Target="https://everynightstudios.com/" TargetMode="External"/><Relationship Id="rId10417" Type="http://schemas.openxmlformats.org/officeDocument/2006/relationships/hyperlink" Target="https://www.zmarta.se/lana-pengar" TargetMode="External"/><Relationship Id="rId2995" Type="http://schemas.openxmlformats.org/officeDocument/2006/relationships/hyperlink" Target="https://fashionablefit.net/det-nya-ansiktet-av-online-casinospel/" TargetMode="External"/><Relationship Id="rId12589" Type="http://schemas.openxmlformats.org/officeDocument/2006/relationships/hyperlink" Target="http://mockfjards.se/" TargetMode="External"/><Relationship Id="rId967" Type="http://schemas.openxmlformats.org/officeDocument/2006/relationships/hyperlink" Target="http://distansinstitutet.se/" TargetMode="External"/><Relationship Id="rId1597" Type="http://schemas.openxmlformats.org/officeDocument/2006/relationships/hyperlink" Target="https://mobilpengar.se/fair-investments-en-djupdykning-i-prestanda-och-avkastning/" TargetMode="External"/><Relationship Id="rId2648" Type="http://schemas.openxmlformats.org/officeDocument/2006/relationships/hyperlink" Target="http://cannabislight.se/" TargetMode="External"/><Relationship Id="rId4070" Type="http://schemas.openxmlformats.org/officeDocument/2006/relationships/hyperlink" Target="http://fairinvestments.se/" TargetMode="External"/><Relationship Id="rId5121" Type="http://schemas.openxmlformats.org/officeDocument/2006/relationships/hyperlink" Target="https://www.purakliniken.se/estetisk-tandvard/tandblekning-i-stockholm/" TargetMode="External"/><Relationship Id="rId8691" Type="http://schemas.openxmlformats.org/officeDocument/2006/relationships/hyperlink" Target="http://tkw.se/" TargetMode="External"/><Relationship Id="rId9742" Type="http://schemas.openxmlformats.org/officeDocument/2006/relationships/hyperlink" Target="http://turner.fi/" TargetMode="External"/><Relationship Id="rId11672" Type="http://schemas.openxmlformats.org/officeDocument/2006/relationships/hyperlink" Target="https://osakekoulu.com/sijoittamisen-ala-muuttuu-koko-ajan/" TargetMode="External"/><Relationship Id="rId1731" Type="http://schemas.openxmlformats.org/officeDocument/2006/relationships/hyperlink" Target="https://affarsstaden.se/esb-aditorial/forandringar-och-innovationer-inom-e-cigarettindustrin/" TargetMode="External"/><Relationship Id="rId7293" Type="http://schemas.openxmlformats.org/officeDocument/2006/relationships/hyperlink" Target="https://www.nyaprojekt.se/2025/01/22/de-stora-fastighetsprojekten-2025-plus-borssiffror/" TargetMode="External"/><Relationship Id="rId8344" Type="http://schemas.openxmlformats.org/officeDocument/2006/relationships/hyperlink" Target="https://dryft.se/badrum-stockholm/" TargetMode="External"/><Relationship Id="rId10274" Type="http://schemas.openxmlformats.org/officeDocument/2006/relationships/hyperlink" Target="http://hund.se/" TargetMode="External"/><Relationship Id="rId11325" Type="http://schemas.openxmlformats.org/officeDocument/2006/relationships/hyperlink" Target="https://havstomt.se/" TargetMode="External"/><Relationship Id="rId12723" Type="http://schemas.openxmlformats.org/officeDocument/2006/relationships/hyperlink" Target="http://tryggbil.se/" TargetMode="External"/><Relationship Id="rId3556" Type="http://schemas.openxmlformats.org/officeDocument/2006/relationships/hyperlink" Target="http://e-ciggbolaget.se/" TargetMode="External"/><Relationship Id="rId4954" Type="http://schemas.openxmlformats.org/officeDocument/2006/relationships/hyperlink" Target="https://ekstromgaray.se/skicka-in-manus/" TargetMode="External"/><Relationship Id="rId12099" Type="http://schemas.openxmlformats.org/officeDocument/2006/relationships/hyperlink" Target="https://www.beatthemountain.se/2023/10/25/fastighetsjuridik-vad-du-behover-veta-om-fastighetsratt/" TargetMode="External"/><Relationship Id="rId477" Type="http://schemas.openxmlformats.org/officeDocument/2006/relationships/hyperlink" Target="http://vontabel.com/" TargetMode="External"/><Relationship Id="rId2158" Type="http://schemas.openxmlformats.org/officeDocument/2006/relationships/hyperlink" Target="http://fairinvestments.se/" TargetMode="External"/><Relationship Id="rId3209" Type="http://schemas.openxmlformats.org/officeDocument/2006/relationships/hyperlink" Target="https://www.naturfotomagasinet.se/vad-ar-gront-sparande" TargetMode="External"/><Relationship Id="rId4607" Type="http://schemas.openxmlformats.org/officeDocument/2006/relationships/hyperlink" Target="https://www.cherry.com/sv/casino" TargetMode="External"/><Relationship Id="rId6779" Type="http://schemas.openxmlformats.org/officeDocument/2006/relationships/hyperlink" Target="https://www.borskollen.se/nyheter/27/5-dyra-misstag-foretag-gor-vid-rekrytering-och-hur-du-undviker-dem" TargetMode="External"/><Relationship Id="rId12580" Type="http://schemas.openxmlformats.org/officeDocument/2006/relationships/hyperlink" Target="http://bbml.se/" TargetMode="External"/><Relationship Id="rId9252" Type="http://schemas.openxmlformats.org/officeDocument/2006/relationships/hyperlink" Target="https://businessmanualen.se/kopieringspapper-som-forbattrar-ditt-foretags-effektivitet/" TargetMode="External"/><Relationship Id="rId11182" Type="http://schemas.openxmlformats.org/officeDocument/2006/relationships/hyperlink" Target="https://www.tronderjycken.se/" TargetMode="External"/><Relationship Id="rId12233" Type="http://schemas.openxmlformats.org/officeDocument/2006/relationships/hyperlink" Target="https://projektify.de/neue-internet-trends-2024/" TargetMode="External"/><Relationship Id="rId611" Type="http://schemas.openxmlformats.org/officeDocument/2006/relationships/hyperlink" Target="https://www.happysocks.com/us/collection/socks-for-men" TargetMode="External"/><Relationship Id="rId1241" Type="http://schemas.openxmlformats.org/officeDocument/2006/relationships/hyperlink" Target="https://infomeddnews.com/5-considerations-if-you-want-to-start-a-medical-or-wellness-business/" TargetMode="External"/><Relationship Id="rId5862" Type="http://schemas.openxmlformats.org/officeDocument/2006/relationships/hyperlink" Target="https://barabyggare.se/taklaggare-nyckelpersoner-inom-byggeri/" TargetMode="External"/><Relationship Id="rId6913" Type="http://schemas.openxmlformats.org/officeDocument/2006/relationships/hyperlink" Target="https://www.michaelofrisorerna.se/" TargetMode="External"/><Relationship Id="rId4464" Type="http://schemas.openxmlformats.org/officeDocument/2006/relationships/hyperlink" Target="http://mariatand.se/" TargetMode="External"/><Relationship Id="rId5515" Type="http://schemas.openxmlformats.org/officeDocument/2006/relationships/hyperlink" Target="https://www.auf-zur-ostsee.de/traumurlaub-an-der-ostsee-meer-strand-und-erholung-pur" TargetMode="External"/><Relationship Id="rId3066" Type="http://schemas.openxmlformats.org/officeDocument/2006/relationships/hyperlink" Target="http://carpcon.se/" TargetMode="External"/><Relationship Id="rId4117" Type="http://schemas.openxmlformats.org/officeDocument/2006/relationships/hyperlink" Target="http://kvarnx.com/" TargetMode="External"/><Relationship Id="rId7687" Type="http://schemas.openxmlformats.org/officeDocument/2006/relationships/hyperlink" Target="https://hemforalla.se/vikten-av-att-byta-tak-pa-maskinhallar-for-hallbarhet-i-bostader/" TargetMode="External"/><Relationship Id="rId6289" Type="http://schemas.openxmlformats.org/officeDocument/2006/relationships/hyperlink" Target="http://startmotor.se/" TargetMode="External"/><Relationship Id="rId8738" Type="http://schemas.openxmlformats.org/officeDocument/2006/relationships/hyperlink" Target="https://www.dbet.com/casino/" TargetMode="External"/><Relationship Id="rId10668" Type="http://schemas.openxmlformats.org/officeDocument/2006/relationships/hyperlink" Target="http://lsb.se/" TargetMode="External"/><Relationship Id="rId11719" Type="http://schemas.openxmlformats.org/officeDocument/2006/relationships/hyperlink" Target="https://finansassistans.se/detta-ska-man-tanka-pa-nar-man-ska-valja-en-arbetsplattform-till-sin-arbetsplats/" TargetMode="External"/><Relationship Id="rId12090" Type="http://schemas.openxmlformats.org/officeDocument/2006/relationships/hyperlink" Target="https://www.mcforsakring.nu/2023/10/23/rekonstruktion-en-rattslig-process-for-foretags-reorganisering/" TargetMode="External"/><Relationship Id="rId13141" Type="http://schemas.openxmlformats.org/officeDocument/2006/relationships/hyperlink" Target="http://fairinvestments.se/" TargetMode="External"/><Relationship Id="rId2899" Type="http://schemas.openxmlformats.org/officeDocument/2006/relationships/hyperlink" Target="http://glitnor.com/" TargetMode="External"/><Relationship Id="rId3200" Type="http://schemas.openxmlformats.org/officeDocument/2006/relationships/hyperlink" Target="https://beasbokhylla.se/" TargetMode="External"/><Relationship Id="rId6770" Type="http://schemas.openxmlformats.org/officeDocument/2006/relationships/hyperlink" Target="https://www.avanza.se/fonder/om-fonden.html/1205492/spets-a?trackID=173270149&amp;utm_source=wordon&amp;utm_medium=affiliate&amp;utm_campaign=33427" TargetMode="External"/><Relationship Id="rId7821" Type="http://schemas.openxmlformats.org/officeDocument/2006/relationships/hyperlink" Target="https://glassfactory.fi/sv/collections/extra-large" TargetMode="External"/><Relationship Id="rId121" Type="http://schemas.openxmlformats.org/officeDocument/2006/relationships/hyperlink" Target="https://isla.se/big-ben-stand-up-comedy-club-sveriges-basta/" TargetMode="External"/><Relationship Id="rId5372" Type="http://schemas.openxmlformats.org/officeDocument/2006/relationships/hyperlink" Target="https://www.joureliten.se/jour-rormokare/" TargetMode="External"/><Relationship Id="rId6423" Type="http://schemas.openxmlformats.org/officeDocument/2006/relationships/hyperlink" Target="https://www.hund.se/koppel-selar-och-halsband" TargetMode="External"/><Relationship Id="rId9993" Type="http://schemas.openxmlformats.org/officeDocument/2006/relationships/hyperlink" Target="http://willabgarden.de/" TargetMode="External"/><Relationship Id="rId10802" Type="http://schemas.openxmlformats.org/officeDocument/2006/relationships/hyperlink" Target="https://balansekonomi.se/fair-investments-vaxer-satsar-pa-resultatbaserade-investeringar/" TargetMode="External"/><Relationship Id="rId5025" Type="http://schemas.openxmlformats.org/officeDocument/2006/relationships/hyperlink" Target="https://fairinvestments.se/" TargetMode="External"/><Relationship Id="rId8595" Type="http://schemas.openxmlformats.org/officeDocument/2006/relationships/hyperlink" Target="http://kleer.se/" TargetMode="External"/><Relationship Id="rId9646" Type="http://schemas.openxmlformats.org/officeDocument/2006/relationships/hyperlink" Target="https://www.dagensfastigheter.se/20250602/12907/framtidens-fastigheter-steg-mot-ett-mer-hallbart-smart-boende" TargetMode="External"/><Relationship Id="rId12974" Type="http://schemas.openxmlformats.org/officeDocument/2006/relationships/hyperlink" Target="http://megariches.com/" TargetMode="External"/><Relationship Id="rId1635" Type="http://schemas.openxmlformats.org/officeDocument/2006/relationships/hyperlink" Target="http://aretrotale.com/" TargetMode="External"/><Relationship Id="rId1982" Type="http://schemas.openxmlformats.org/officeDocument/2006/relationships/hyperlink" Target="https://www.bfhq.se/cbd-olja-for-okat-valmaende" TargetMode="External"/><Relationship Id="rId7197" Type="http://schemas.openxmlformats.org/officeDocument/2006/relationships/hyperlink" Target="https://arctic.se/se/forsakringslosningar/svensksolenergi/" TargetMode="External"/><Relationship Id="rId8248" Type="http://schemas.openxmlformats.org/officeDocument/2006/relationships/hyperlink" Target="http://nordicknots.com/" TargetMode="External"/><Relationship Id="rId10178" Type="http://schemas.openxmlformats.org/officeDocument/2006/relationships/hyperlink" Target="http://sesec.se/" TargetMode="External"/><Relationship Id="rId11576" Type="http://schemas.openxmlformats.org/officeDocument/2006/relationships/hyperlink" Target="https://sufracofinebrands.com/produkt/harborste-stor-med-svinborst-andree-jardin/" TargetMode="External"/><Relationship Id="rId12627" Type="http://schemas.openxmlformats.org/officeDocument/2006/relationships/hyperlink" Target="https://www.lsb.se/privatlan" TargetMode="External"/><Relationship Id="rId11229" Type="http://schemas.openxmlformats.org/officeDocument/2006/relationships/hyperlink" Target="https://chronos.se/" TargetMode="External"/><Relationship Id="rId4858" Type="http://schemas.openxmlformats.org/officeDocument/2006/relationships/hyperlink" Target="http://kvarnx.com/" TargetMode="External"/><Relationship Id="rId5909" Type="http://schemas.openxmlformats.org/officeDocument/2006/relationships/hyperlink" Target="https://www.cherry.com/sv/live-casino/game-shows" TargetMode="External"/><Relationship Id="rId11710" Type="http://schemas.openxmlformats.org/officeDocument/2006/relationships/hyperlink" Target="https://markets.vontobel.com/fi-fi/tuotteet" TargetMode="External"/><Relationship Id="rId6280" Type="http://schemas.openxmlformats.org/officeDocument/2006/relationships/hyperlink" Target="http://rehabgrossisten.com/" TargetMode="External"/><Relationship Id="rId7331" Type="http://schemas.openxmlformats.org/officeDocument/2006/relationships/hyperlink" Target="https://www.nykommun.se/2025/01/22/vara-hem-blir-allt-sakrare-sa-hakar-du-pa-sakerhetstrenderna-for-att-minska-inbrottsrisken/" TargetMode="External"/><Relationship Id="rId10312" Type="http://schemas.openxmlformats.org/officeDocument/2006/relationships/hyperlink" Target="http://sesec.se/" TargetMode="External"/><Relationship Id="rId2890" Type="http://schemas.openxmlformats.org/officeDocument/2006/relationships/hyperlink" Target="https://luckycasino.com/fi/games-lobby/live_roulette" TargetMode="External"/><Relationship Id="rId3941" Type="http://schemas.openxmlformats.org/officeDocument/2006/relationships/hyperlink" Target="http://sakraror.se/" TargetMode="External"/><Relationship Id="rId12484" Type="http://schemas.openxmlformats.org/officeDocument/2006/relationships/hyperlink" Target="https://eventeffect.se/fair-investments-en-djupdykning-i-effektiv-kraftfull-forvaltning/" TargetMode="External"/><Relationship Id="rId862" Type="http://schemas.openxmlformats.org/officeDocument/2006/relationships/hyperlink" Target="https://miamipool.se/" TargetMode="External"/><Relationship Id="rId1492" Type="http://schemas.openxmlformats.org/officeDocument/2006/relationships/hyperlink" Target="http://tandea.se/" TargetMode="External"/><Relationship Id="rId2543" Type="http://schemas.openxmlformats.org/officeDocument/2006/relationships/hyperlink" Target="http://distansinstitutet.se/" TargetMode="External"/><Relationship Id="rId9156" Type="http://schemas.openxmlformats.org/officeDocument/2006/relationships/hyperlink" Target="http://seniorrabatt.se/" TargetMode="External"/><Relationship Id="rId11086" Type="http://schemas.openxmlformats.org/officeDocument/2006/relationships/hyperlink" Target="https://www.hajper.com/" TargetMode="External"/><Relationship Id="rId12137" Type="http://schemas.openxmlformats.org/officeDocument/2006/relationships/hyperlink" Target="https://www.sistersinlaw.se/blog/2023/11/3/magiska-brollopsforberedelser" TargetMode="External"/><Relationship Id="rId515" Type="http://schemas.openxmlformats.org/officeDocument/2006/relationships/hyperlink" Target="https://pengar.in/vilken-ar-den-billigaste-matbutiken/" TargetMode="External"/><Relationship Id="rId1145" Type="http://schemas.openxmlformats.org/officeDocument/2006/relationships/hyperlink" Target="https://socialsummit17.se/fokus-pa-framtiden-langsiktig-investering-genom-bolagsforvarv/" TargetMode="External"/><Relationship Id="rId5766" Type="http://schemas.openxmlformats.org/officeDocument/2006/relationships/hyperlink" Target="https://www.procup.se/Ta-din-turnering-till-nasta-niva-med-ProCup.htm" TargetMode="External"/><Relationship Id="rId4368" Type="http://schemas.openxmlformats.org/officeDocument/2006/relationships/hyperlink" Target="https://everynightstudios.com/" TargetMode="External"/><Relationship Id="rId5419" Type="http://schemas.openxmlformats.org/officeDocument/2006/relationships/hyperlink" Target="https://e-ciggbolaget.se/e-cigaretter/engangs-vape/" TargetMode="External"/><Relationship Id="rId6817" Type="http://schemas.openxmlformats.org/officeDocument/2006/relationships/hyperlink" Target="https://stryktips.nu/research-infor-stryktipset-sa-forbattrar-du-dina-chanser/" TargetMode="External"/><Relationship Id="rId8989" Type="http://schemas.openxmlformats.org/officeDocument/2006/relationships/hyperlink" Target="https://www.tandea.se/kliniker/haninge/" TargetMode="External"/><Relationship Id="rId11220" Type="http://schemas.openxmlformats.org/officeDocument/2006/relationships/hyperlink" Target="https://chronos.se/program" TargetMode="External"/><Relationship Id="rId5900" Type="http://schemas.openxmlformats.org/officeDocument/2006/relationships/hyperlink" Target="https://husjournalen.se/ombildning-till-bostadsratt-en-guide-for-hyresgaster-som-vill-bli-bostadsrattsinnehavare/" TargetMode="External"/><Relationship Id="rId3451" Type="http://schemas.openxmlformats.org/officeDocument/2006/relationships/hyperlink" Target="https://www.veterinarklinikenbirsta.se/" TargetMode="External"/><Relationship Id="rId4502" Type="http://schemas.openxmlformats.org/officeDocument/2006/relationships/hyperlink" Target="https://brak.se/hur-solenoider-forbattrar-prestanda-i-elektriska-motorer/" TargetMode="External"/><Relationship Id="rId13045" Type="http://schemas.openxmlformats.org/officeDocument/2006/relationships/hyperlink" Target="https://brollopspresenten.se/brollopspresenterna-brudgummen-verkligen-vill-ha/" TargetMode="External"/><Relationship Id="rId372" Type="http://schemas.openxmlformats.org/officeDocument/2006/relationships/hyperlink" Target="http://kopbarnvagn.se/" TargetMode="External"/><Relationship Id="rId2053" Type="http://schemas.openxmlformats.org/officeDocument/2006/relationships/hyperlink" Target="https://www.reco.se/fair-investments-sweden-ab" TargetMode="External"/><Relationship Id="rId3104" Type="http://schemas.openxmlformats.org/officeDocument/2006/relationships/hyperlink" Target="https://lammetochbrodet.se/rosas-visbys-idylliska-tillflyktsort-for-lugna-retreater/" TargetMode="External"/><Relationship Id="rId6674" Type="http://schemas.openxmlformats.org/officeDocument/2006/relationships/hyperlink" Target="https://byggbalans.se/vvs-tjanster-for-byggprojekt-en-guide-till-sakra-ror-bygg/" TargetMode="External"/><Relationship Id="rId7725" Type="http://schemas.openxmlformats.org/officeDocument/2006/relationships/hyperlink" Target="https://mynicco.com/" TargetMode="External"/><Relationship Id="rId5276" Type="http://schemas.openxmlformats.org/officeDocument/2006/relationships/hyperlink" Target="https://tipsmedoss.com/" TargetMode="External"/><Relationship Id="rId6327" Type="http://schemas.openxmlformats.org/officeDocument/2006/relationships/hyperlink" Target="https://fritidsintressen.se/skapa-ditt-eget-fiskedrag-en-hobby-for-fiskentusiaster/" TargetMode="External"/><Relationship Id="rId9897" Type="http://schemas.openxmlformats.org/officeDocument/2006/relationships/hyperlink" Target="http://mynicco.com/" TargetMode="External"/><Relationship Id="rId10706" Type="http://schemas.openxmlformats.org/officeDocument/2006/relationships/hyperlink" Target="https://www.diabit.se/hitta-tandlakaren-som-passar-dig/" TargetMode="External"/><Relationship Id="rId8499" Type="http://schemas.openxmlformats.org/officeDocument/2006/relationships/hyperlink" Target="http://svenskafonster.se/" TargetMode="External"/><Relationship Id="rId12878" Type="http://schemas.openxmlformats.org/officeDocument/2006/relationships/hyperlink" Target="https://www.kungaslottet.se/" TargetMode="External"/><Relationship Id="rId1886" Type="http://schemas.openxmlformats.org/officeDocument/2006/relationships/hyperlink" Target="https://beste-l&#229;n.com/coop-mastercard/" TargetMode="External"/><Relationship Id="rId2937" Type="http://schemas.openxmlformats.org/officeDocument/2006/relationships/hyperlink" Target="https://happycasino.se/live" TargetMode="External"/><Relationship Id="rId909" Type="http://schemas.openxmlformats.org/officeDocument/2006/relationships/hyperlink" Target="https://www.robomarkets.com/se/forex-trading/trading/isk/" TargetMode="External"/><Relationship Id="rId1539" Type="http://schemas.openxmlformats.org/officeDocument/2006/relationships/hyperlink" Target="https://www.happysocks.com/us/adults/trend-edit" TargetMode="External"/><Relationship Id="rId5410" Type="http://schemas.openxmlformats.org/officeDocument/2006/relationships/hyperlink" Target="https://tiotak.se/" TargetMode="External"/><Relationship Id="rId8980" Type="http://schemas.openxmlformats.org/officeDocument/2006/relationships/hyperlink" Target="http://himala.ai/" TargetMode="External"/><Relationship Id="rId11961" Type="http://schemas.openxmlformats.org/officeDocument/2006/relationships/hyperlink" Target="https://www.affarsvarlden.se/tagg/fair-investments" TargetMode="External"/><Relationship Id="rId4012" Type="http://schemas.openxmlformats.org/officeDocument/2006/relationships/hyperlink" Target="http://arctic.se/" TargetMode="External"/><Relationship Id="rId7582" Type="http://schemas.openxmlformats.org/officeDocument/2006/relationships/hyperlink" Target="http://nodepositbonus.cc/" TargetMode="External"/><Relationship Id="rId8633" Type="http://schemas.openxmlformats.org/officeDocument/2006/relationships/hyperlink" Target="https://www.lansfast.se/maklare/sodermanland/trosa/" TargetMode="External"/><Relationship Id="rId10563" Type="http://schemas.openxmlformats.org/officeDocument/2006/relationships/hyperlink" Target="https://www.maklarringen.se/upptack-maklarringen/byggtips-fakta-inspiration/valkommen-in-i-familjelivet-en-guide-till-en-ny-vardag" TargetMode="External"/><Relationship Id="rId11614" Type="http://schemas.openxmlformats.org/officeDocument/2006/relationships/hyperlink" Target="https://toyota-forklifts.se/begagnade-truckar/" TargetMode="External"/><Relationship Id="rId6184" Type="http://schemas.openxmlformats.org/officeDocument/2006/relationships/hyperlink" Target="http://chattanoogarehab.com/" TargetMode="External"/><Relationship Id="rId7235" Type="http://schemas.openxmlformats.org/officeDocument/2006/relationships/hyperlink" Target="http://tigerofsweden.com/" TargetMode="External"/><Relationship Id="rId10216" Type="http://schemas.openxmlformats.org/officeDocument/2006/relationships/hyperlink" Target="https://www.argonautnews.com/affiliate_content/stop-drowning-in-admin-work-understanding-training-management-software/article_8f0b4daa-65a8-45df-944b-2c1ee2143203.html" TargetMode="External"/><Relationship Id="rId2794" Type="http://schemas.openxmlformats.org/officeDocument/2006/relationships/hyperlink" Target="https://aksjeskole.com/norges-nye-autoritaere-kilde-til-finans-og-okonomi/" TargetMode="External"/><Relationship Id="rId3845" Type="http://schemas.openxmlformats.org/officeDocument/2006/relationships/hyperlink" Target="https://e-ciggbolaget.se/e-cigaretter/engangs-vape/" TargetMode="External"/><Relationship Id="rId12388" Type="http://schemas.openxmlformats.org/officeDocument/2006/relationships/hyperlink" Target="https://www.bipolarsjuk.se/sag-hejda-till-rokningen" TargetMode="External"/><Relationship Id="rId766" Type="http://schemas.openxmlformats.org/officeDocument/2006/relationships/hyperlink" Target="https://evigliv.se/sa-kommer-man-igang-med-traning-och-att-ata-battre-pa-ett-enkelt-satt/" TargetMode="External"/><Relationship Id="rId1396" Type="http://schemas.openxmlformats.org/officeDocument/2006/relationships/hyperlink" Target="https://www.happysocks.com/us/collection/socks-for-men" TargetMode="External"/><Relationship Id="rId2447" Type="http://schemas.openxmlformats.org/officeDocument/2006/relationships/hyperlink" Target="http://pontonhamnar.se/" TargetMode="External"/><Relationship Id="rId419" Type="http://schemas.openxmlformats.org/officeDocument/2006/relationships/hyperlink" Target="https://bygg-appen.se/tips-och-trick/ska-du-anlita-hantverkare-detta-ar-bra-att-tanka-pa" TargetMode="External"/><Relationship Id="rId1049" Type="http://schemas.openxmlformats.org/officeDocument/2006/relationships/hyperlink" Target="https://www.happysocks.com/us/collection/socks-for-men" TargetMode="External"/><Relationship Id="rId7092" Type="http://schemas.openxmlformats.org/officeDocument/2006/relationships/hyperlink" Target="https://www.sportfack.se/annons/20250103/trenderna-som-driver-spelindustrin-framat-nar-vi-kliver-in-i-2025/" TargetMode="External"/><Relationship Id="rId8143" Type="http://schemas.openxmlformats.org/officeDocument/2006/relationships/hyperlink" Target="http://purakliniken.se/" TargetMode="External"/><Relationship Id="rId8490" Type="http://schemas.openxmlformats.org/officeDocument/2006/relationships/hyperlink" Target="http://kleer.se/" TargetMode="External"/><Relationship Id="rId9541" Type="http://schemas.openxmlformats.org/officeDocument/2006/relationships/hyperlink" Target="https://passioneffect.se/fordelar-med-att-betala-av-lanet-snabbare/" TargetMode="External"/><Relationship Id="rId11471" Type="http://schemas.openxmlformats.org/officeDocument/2006/relationships/hyperlink" Target="https://veckomagasinet.com/din-halsa-gar-fore-allt-annat-har-i-livet/" TargetMode="External"/><Relationship Id="rId12522" Type="http://schemas.openxmlformats.org/officeDocument/2006/relationships/hyperlink" Target="http://fairinvestments.se/" TargetMode="External"/><Relationship Id="rId900" Type="http://schemas.openxmlformats.org/officeDocument/2006/relationships/hyperlink" Target="http://haxan.se/" TargetMode="External"/><Relationship Id="rId1530" Type="http://schemas.openxmlformats.org/officeDocument/2006/relationships/hyperlink" Target="https://www.happysocks.com/us/collection/socks-for-men" TargetMode="External"/><Relationship Id="rId10073" Type="http://schemas.openxmlformats.org/officeDocument/2006/relationships/hyperlink" Target="https://comfydence.se/collections/menstrosor" TargetMode="External"/><Relationship Id="rId11124" Type="http://schemas.openxmlformats.org/officeDocument/2006/relationships/hyperlink" Target="https://ekonomikunskap.se/varfor-kontorsvanor-paverkar-din-marginal/" TargetMode="External"/><Relationship Id="rId4753" Type="http://schemas.openxmlformats.org/officeDocument/2006/relationships/hyperlink" Target="http://e-ciggbolaget.se/" TargetMode="External"/><Relationship Id="rId5804" Type="http://schemas.openxmlformats.org/officeDocument/2006/relationships/hyperlink" Target="http://rusta.se/" TargetMode="External"/><Relationship Id="rId13296" Type="http://schemas.openxmlformats.org/officeDocument/2006/relationships/hyperlink" Target="http://tkw.se/" TargetMode="External"/><Relationship Id="rId3355" Type="http://schemas.openxmlformats.org/officeDocument/2006/relationships/hyperlink" Target="http://notyfile.se/sv" TargetMode="External"/><Relationship Id="rId4406" Type="http://schemas.openxmlformats.org/officeDocument/2006/relationships/hyperlink" Target="https://nybyggande.se/hur-du-sakerstaller-att-dina-solceller-ar-ratt-forsakrade/" TargetMode="External"/><Relationship Id="rId7976" Type="http://schemas.openxmlformats.org/officeDocument/2006/relationships/hyperlink" Target="https://www.folkbladet.nu/2025-02-28/sa-sakerstalls-valmaendet-for-travhastar-genom-hastutrustning-c2987" TargetMode="External"/><Relationship Id="rId276" Type="http://schemas.openxmlformats.org/officeDocument/2006/relationships/hyperlink" Target="https://haxan.se/" TargetMode="External"/><Relationship Id="rId3008" Type="http://schemas.openxmlformats.org/officeDocument/2006/relationships/hyperlink" Target="https://www.alfa.no/pages/hvilken-jaktstovel-skal-jeg-velge" TargetMode="External"/><Relationship Id="rId6578" Type="http://schemas.openxmlformats.org/officeDocument/2006/relationships/hyperlink" Target="http://hajper.com/" TargetMode="External"/><Relationship Id="rId7629" Type="http://schemas.openxmlformats.org/officeDocument/2006/relationships/hyperlink" Target="https://villaprojekt.se/bilvard-for-ditt-hem-sa-rengor-du-bilen-som-en-proffs/" TargetMode="External"/><Relationship Id="rId10957" Type="http://schemas.openxmlformats.org/officeDocument/2006/relationships/hyperlink" Target="http://mrvegas.com/" TargetMode="External"/><Relationship Id="rId9051" Type="http://schemas.openxmlformats.org/officeDocument/2006/relationships/hyperlink" Target="http://rusta.se/" TargetMode="External"/><Relationship Id="rId1040" Type="http://schemas.openxmlformats.org/officeDocument/2006/relationships/hyperlink" Target="https://www.happysocks.com/us/collection/socks-for-men" TargetMode="External"/><Relationship Id="rId12032" Type="http://schemas.openxmlformats.org/officeDocument/2006/relationships/hyperlink" Target="https://www.rosmarinolja.nu/" TargetMode="External"/><Relationship Id="rId410" Type="http://schemas.openxmlformats.org/officeDocument/2006/relationships/hyperlink" Target="https://bygg-appen.se/ovrigt/skar-ner-hushallets-elrakningar-med-dessa-5-tips" TargetMode="External"/><Relationship Id="rId5661" Type="http://schemas.openxmlformats.org/officeDocument/2006/relationships/hyperlink" Target="http://tryggbil.se/" TargetMode="External"/><Relationship Id="rId6712" Type="http://schemas.openxmlformats.org/officeDocument/2006/relationships/hyperlink" Target="https://livetsskola.se/halsosam-livsstil-med-supernormal-en-guide-till-battre-valmaende/" TargetMode="External"/><Relationship Id="rId4263" Type="http://schemas.openxmlformats.org/officeDocument/2006/relationships/hyperlink" Target="https://rosaspensionat.se/" TargetMode="External"/><Relationship Id="rId5314" Type="http://schemas.openxmlformats.org/officeDocument/2006/relationships/hyperlink" Target="https://www.totallyorebro.se/uncategorized/orebro-hockey-senaste-nytt-infor-den-nya-sasongen/" TargetMode="External"/><Relationship Id="rId8884" Type="http://schemas.openxmlformats.org/officeDocument/2006/relationships/hyperlink" Target="https://www.chattanoogarehab.com/" TargetMode="External"/><Relationship Id="rId9935" Type="http://schemas.openxmlformats.org/officeDocument/2006/relationships/hyperlink" Target="http://spelklubben.se/" TargetMode="External"/><Relationship Id="rId1924" Type="http://schemas.openxmlformats.org/officeDocument/2006/relationships/hyperlink" Target="https://www.inmygarden.se/ta-vara-pa-solens-energi" TargetMode="External"/><Relationship Id="rId7486" Type="http://schemas.openxmlformats.org/officeDocument/2006/relationships/hyperlink" Target="http://cdg.io/" TargetMode="External"/><Relationship Id="rId8537" Type="http://schemas.openxmlformats.org/officeDocument/2006/relationships/hyperlink" Target="http://nordicknots.com/" TargetMode="External"/><Relationship Id="rId10467" Type="http://schemas.openxmlformats.org/officeDocument/2006/relationships/hyperlink" Target="https://www.startmotor.se/batterier/b%C3%A5tbatteri" TargetMode="External"/><Relationship Id="rId11865" Type="http://schemas.openxmlformats.org/officeDocument/2006/relationships/hyperlink" Target="http://carpcon.se/" TargetMode="External"/><Relationship Id="rId12916" Type="http://schemas.openxmlformats.org/officeDocument/2006/relationships/hyperlink" Target="https://radiotoday.co.uk/2025/09/what-radio-can-learn-from-onboarding-across-entertainment-sectors/" TargetMode="External"/><Relationship Id="rId6088" Type="http://schemas.openxmlformats.org/officeDocument/2006/relationships/hyperlink" Target="https://www.oddsonline.se/resultat/" TargetMode="External"/><Relationship Id="rId7139" Type="http://schemas.openxmlformats.org/officeDocument/2006/relationships/hyperlink" Target="http://rusta.se/" TargetMode="External"/><Relationship Id="rId11518" Type="http://schemas.openxmlformats.org/officeDocument/2006/relationships/hyperlink" Target="http://schjodt.com/" TargetMode="External"/><Relationship Id="rId2698" Type="http://schemas.openxmlformats.org/officeDocument/2006/relationships/hyperlink" Target="https://hazard.se/casino/levande-spanning-en-djupdykning-i-varlden-av-live-casino-spel-online/" TargetMode="External"/><Relationship Id="rId3749" Type="http://schemas.openxmlformats.org/officeDocument/2006/relationships/hyperlink" Target="https://conclean.se/produkter/minireningsverk/" TargetMode="External"/><Relationship Id="rId5171" Type="http://schemas.openxmlformats.org/officeDocument/2006/relationships/hyperlink" Target="http://m6bygg.se/" TargetMode="External"/><Relationship Id="rId6222" Type="http://schemas.openxmlformats.org/officeDocument/2006/relationships/hyperlink" Target="http://purakliniken.se/" TargetMode="External"/><Relationship Id="rId7620" Type="http://schemas.openxmlformats.org/officeDocument/2006/relationships/hyperlink" Target="https://direktbygg.se/framtiden-for-byggindustrin-hur-ftx-systemet-kan-revolutionera-projektledning/" TargetMode="External"/><Relationship Id="rId10601" Type="http://schemas.openxmlformats.org/officeDocument/2006/relationships/hyperlink" Target="https://www.miaboss.de/naturoasen-in-der-stadt/" TargetMode="External"/><Relationship Id="rId9792" Type="http://schemas.openxmlformats.org/officeDocument/2006/relationships/hyperlink" Target="https://smartkonstruktion.se/batbatteriets-betydelse-for-sakerheten-pa-byggarbetsplatser/" TargetMode="External"/><Relationship Id="rId12773" Type="http://schemas.openxmlformats.org/officeDocument/2006/relationships/hyperlink" Target="http://rusta.se/" TargetMode="External"/><Relationship Id="rId1781" Type="http://schemas.openxmlformats.org/officeDocument/2006/relationships/hyperlink" Target="http://lemontree.se/" TargetMode="External"/><Relationship Id="rId2832" Type="http://schemas.openxmlformats.org/officeDocument/2006/relationships/hyperlink" Target="http://vont.co/de" TargetMode="External"/><Relationship Id="rId8394" Type="http://schemas.openxmlformats.org/officeDocument/2006/relationships/hyperlink" Target="http://wellio.se/" TargetMode="External"/><Relationship Id="rId9445" Type="http://schemas.openxmlformats.org/officeDocument/2006/relationships/hyperlink" Target="http://purakliniken.se/" TargetMode="External"/><Relationship Id="rId11375" Type="http://schemas.openxmlformats.org/officeDocument/2006/relationships/hyperlink" Target="https://haxan.se/collections/rokelse" TargetMode="External"/><Relationship Id="rId12426" Type="http://schemas.openxmlformats.org/officeDocument/2006/relationships/hyperlink" Target="http://legendbygg.com/" TargetMode="External"/><Relationship Id="rId804" Type="http://schemas.openxmlformats.org/officeDocument/2006/relationships/hyperlink" Target="http://happysocks.com/" TargetMode="External"/><Relationship Id="rId1434" Type="http://schemas.openxmlformats.org/officeDocument/2006/relationships/hyperlink" Target="https://www.bathav.se/" TargetMode="External"/><Relationship Id="rId8047" Type="http://schemas.openxmlformats.org/officeDocument/2006/relationships/hyperlink" Target="https://pushyourdesign.com/find-your-style-minimalist-and-maximalist-design-and-the-nuances-in-between/" TargetMode="External"/><Relationship Id="rId11028" Type="http://schemas.openxmlformats.org/officeDocument/2006/relationships/hyperlink" Target="https://luurituki.fi/nain-valitset-oikean-olohuoneen-alykotiisi/" TargetMode="External"/><Relationship Id="rId4657" Type="http://schemas.openxmlformats.org/officeDocument/2006/relationships/hyperlink" Target="https://nyheteridag.se/bitcoins-senaste-nedgang-ett-koplage/" TargetMode="External"/><Relationship Id="rId5708" Type="http://schemas.openxmlformats.org/officeDocument/2006/relationships/hyperlink" Target="https://www.executiveeffect.se/automatiserad-bokforing-framtidens-losning-for-foretag/" TargetMode="External"/><Relationship Id="rId3259" Type="http://schemas.openxmlformats.org/officeDocument/2006/relationships/hyperlink" Target="https://www.bokensframtid.se/man-kan-lasa-online-ocksa" TargetMode="External"/><Relationship Id="rId7130" Type="http://schemas.openxmlformats.org/officeDocument/2006/relationships/hyperlink" Target="http://tiotak.se/" TargetMode="External"/><Relationship Id="rId10111" Type="http://schemas.openxmlformats.org/officeDocument/2006/relationships/hyperlink" Target="https://www.rusta.com/sv-se/hem-och-inredning/belysning" TargetMode="External"/><Relationship Id="rId3740" Type="http://schemas.openxmlformats.org/officeDocument/2006/relationships/hyperlink" Target="http://spolarent.se/" TargetMode="External"/><Relationship Id="rId12283" Type="http://schemas.openxmlformats.org/officeDocument/2006/relationships/hyperlink" Target="http://robomarkets.com/" TargetMode="External"/><Relationship Id="rId661" Type="http://schemas.openxmlformats.org/officeDocument/2006/relationships/hyperlink" Target="https://www.happysocks.com/us/collection/dressed" TargetMode="External"/><Relationship Id="rId1291" Type="http://schemas.openxmlformats.org/officeDocument/2006/relationships/hyperlink" Target="http://distansinstitutet.se/" TargetMode="External"/><Relationship Id="rId2342" Type="http://schemas.openxmlformats.org/officeDocument/2006/relationships/hyperlink" Target="https://www.animonhus.se/hur-koper-man-en-fastighet" TargetMode="External"/><Relationship Id="rId6963" Type="http://schemas.openxmlformats.org/officeDocument/2006/relationships/hyperlink" Target="https://svenskafonster.se/" TargetMode="External"/><Relationship Id="rId314" Type="http://schemas.openxmlformats.org/officeDocument/2006/relationships/hyperlink" Target="https://goteborgextra.se/teckna-ett-billigare-elavtal-som-goteborgare/" TargetMode="External"/><Relationship Id="rId5565" Type="http://schemas.openxmlformats.org/officeDocument/2006/relationships/hyperlink" Target="https://www.tandea.se/" TargetMode="External"/><Relationship Id="rId6616" Type="http://schemas.openxmlformats.org/officeDocument/2006/relationships/hyperlink" Target="https://www.n&#228;tcasinoguide.se/" TargetMode="External"/><Relationship Id="rId4167" Type="http://schemas.openxmlformats.org/officeDocument/2006/relationships/hyperlink" Target="http://conclean.se/" TargetMode="External"/><Relationship Id="rId5218" Type="http://schemas.openxmlformats.org/officeDocument/2006/relationships/hyperlink" Target="https://www.anvandbarhet.se/en-omfattande-guide-om-olika-typer-av-led-belysning-deras-anvandningsomraden/" TargetMode="External"/><Relationship Id="rId8788" Type="http://schemas.openxmlformats.org/officeDocument/2006/relationships/hyperlink" Target="https://www.stockholmsbyggnyheter.se/20250425/6459/stockholm-vs-mindre-stader-hur-forandras-hantverkarens-status-med-stadens-storlek" TargetMode="External"/><Relationship Id="rId9839" Type="http://schemas.openxmlformats.org/officeDocument/2006/relationships/hyperlink" Target="http://michaelofrisorerna.se/" TargetMode="External"/><Relationship Id="rId11769" Type="http://schemas.openxmlformats.org/officeDocument/2006/relationships/hyperlink" Target="http://yagya.com/" TargetMode="External"/><Relationship Id="rId13191" Type="http://schemas.openxmlformats.org/officeDocument/2006/relationships/hyperlink" Target="https://www.megariches.com/the-wheel-of-riches-info" TargetMode="External"/><Relationship Id="rId1828" Type="http://schemas.openxmlformats.org/officeDocument/2006/relationships/hyperlink" Target="https://saneringscompaniet.se/" TargetMode="External"/><Relationship Id="rId3250" Type="http://schemas.openxmlformats.org/officeDocument/2006/relationships/hyperlink" Target="https://www.fotbollsvm.se/happycasino-ett-paradis-for-klassiska-slots-och-live-casino-nojen/" TargetMode="External"/><Relationship Id="rId171" Type="http://schemas.openxmlformats.org/officeDocument/2006/relationships/hyperlink" Target="https://www.kopbarnvagn.se/sv/artiklar/bugaboo/index.html" TargetMode="External"/><Relationship Id="rId4301" Type="http://schemas.openxmlformats.org/officeDocument/2006/relationships/hyperlink" Target="https://ttsab.nu/bygg/" TargetMode="External"/><Relationship Id="rId7871" Type="http://schemas.openxmlformats.org/officeDocument/2006/relationships/hyperlink" Target="https://erothotsd.com/how-your-brain-reacts-to-relaxation-beauty-rituals-and-everyday-indulgences/" TargetMode="External"/><Relationship Id="rId8922" Type="http://schemas.openxmlformats.org/officeDocument/2006/relationships/hyperlink" Target="https://aretrotale.com/" TargetMode="External"/><Relationship Id="rId10852" Type="http://schemas.openxmlformats.org/officeDocument/2006/relationships/hyperlink" Target="http://violamilano.com/" TargetMode="External"/><Relationship Id="rId11903" Type="http://schemas.openxmlformats.org/officeDocument/2006/relationships/hyperlink" Target="https://www.beatthemountain.se/2023/09/26/svarigheterna-och-krangligheter-av-rekonstruktion-inom-juridiken/" TargetMode="External"/><Relationship Id="rId6473" Type="http://schemas.openxmlformats.org/officeDocument/2006/relationships/hyperlink" Target="http://michaelofrisorerna.se/" TargetMode="External"/><Relationship Id="rId7524" Type="http://schemas.openxmlformats.org/officeDocument/2006/relationships/hyperlink" Target="http://fairinvestments.se/" TargetMode="External"/><Relationship Id="rId10505" Type="http://schemas.openxmlformats.org/officeDocument/2006/relationships/hyperlink" Target="https://upplevelse.com/presenttips/present-till-pojkvan" TargetMode="External"/><Relationship Id="rId5075" Type="http://schemas.openxmlformats.org/officeDocument/2006/relationships/hyperlink" Target="https://arctic.se/se/forsakringslosningar/svensksolenergi/" TargetMode="External"/><Relationship Id="rId6126" Type="http://schemas.openxmlformats.org/officeDocument/2006/relationships/hyperlink" Target="https://www.chattanoogarehab.com/" TargetMode="External"/><Relationship Id="rId9696" Type="http://schemas.openxmlformats.org/officeDocument/2006/relationships/hyperlink" Target="https://www.dagensfastigheter.se/20250701/12983/det-har-ska-du-tanka-pa-nar-du-koper-lagenhet-som-husdjursagare" TargetMode="External"/><Relationship Id="rId12677" Type="http://schemas.openxmlformats.org/officeDocument/2006/relationships/hyperlink" Target="https://arctic.se/se/forsakringslosningar/svensksolenergi/" TargetMode="External"/><Relationship Id="rId1685" Type="http://schemas.openxmlformats.org/officeDocument/2006/relationships/hyperlink" Target="https://publicistpaper.com/watches-for-every-occasion-how-to-build-your-collection/" TargetMode="External"/><Relationship Id="rId2736" Type="http://schemas.openxmlformats.org/officeDocument/2006/relationships/hyperlink" Target="http://fairinvestments.se/" TargetMode="External"/><Relationship Id="rId8298" Type="http://schemas.openxmlformats.org/officeDocument/2006/relationships/hyperlink" Target="http://nettotobak.com/" TargetMode="External"/><Relationship Id="rId9349" Type="http://schemas.openxmlformats.org/officeDocument/2006/relationships/hyperlink" Target="http://cherry.com/" TargetMode="External"/><Relationship Id="rId11279" Type="http://schemas.openxmlformats.org/officeDocument/2006/relationships/hyperlink" Target="http://dieselkraft.se/" TargetMode="External"/><Relationship Id="rId708" Type="http://schemas.openxmlformats.org/officeDocument/2006/relationships/hyperlink" Target="https://infobloggen.se/en-snabbguide-till-saker-att-tanka-pa-for-dig-som-funderar-kring-att-starta-ett-foretag/" TargetMode="External"/><Relationship Id="rId1338" Type="http://schemas.openxmlformats.org/officeDocument/2006/relationships/hyperlink" Target="https://bigbenstandup.com/svensk-stand-up/svenska-komiker/tomas-bonderud" TargetMode="External"/><Relationship Id="rId5959" Type="http://schemas.openxmlformats.org/officeDocument/2006/relationships/hyperlink" Target="https://ng.se/artiklar/vad-skiljer-casinon-med-och-utan-svensk-licens" TargetMode="External"/><Relationship Id="rId7381" Type="http://schemas.openxmlformats.org/officeDocument/2006/relationships/hyperlink" Target="https://www.amazon.com/stores/page/A25C2F67-D612-4EBD-9B59-6A7A7830240F" TargetMode="External"/><Relationship Id="rId8432" Type="http://schemas.openxmlformats.org/officeDocument/2006/relationships/hyperlink" Target="http://mockfjards.se/" TargetMode="External"/><Relationship Id="rId9830" Type="http://schemas.openxmlformats.org/officeDocument/2006/relationships/hyperlink" Target="https://familjochfritid.se/att-hitta-ratt-tandlakare-for-hela-familjen-i-stockholm/" TargetMode="External"/><Relationship Id="rId11760" Type="http://schemas.openxmlformats.org/officeDocument/2006/relationships/hyperlink" Target="https://publicistpaper.com/what-should-you-know-about-horseback-riding-clothes/" TargetMode="External"/><Relationship Id="rId12811" Type="http://schemas.openxmlformats.org/officeDocument/2006/relationships/hyperlink" Target="https://moneymail.fi/autotallinovi-sijoituksena-nain-se-nostaa-asuntosi-arvon/" TargetMode="External"/><Relationship Id="rId44" Type="http://schemas.openxmlformats.org/officeDocument/2006/relationships/hyperlink" Target="https://www.frii.se/varfor-du-ska-tvatta-dina-fonster-och-vad-du-behover-gora-for-att-gora-det/" TargetMode="External"/><Relationship Id="rId7034" Type="http://schemas.openxmlformats.org/officeDocument/2006/relationships/hyperlink" Target="https://clearfuze.com/solutions/it-consulting/" TargetMode="External"/><Relationship Id="rId10362" Type="http://schemas.openxmlformats.org/officeDocument/2006/relationships/hyperlink" Target="https://www.rusta.com/sv-se/hem-och-inredning/belysning" TargetMode="External"/><Relationship Id="rId11413" Type="http://schemas.openxmlformats.org/officeDocument/2006/relationships/hyperlink" Target="https://www.lansfast.se/maklare/sodermanland/nykoping/" TargetMode="External"/><Relationship Id="rId3991" Type="http://schemas.openxmlformats.org/officeDocument/2006/relationships/hyperlink" Target="https://www.plus46fashion.se/sa-gar-en-botoxbehandling-till" TargetMode="External"/><Relationship Id="rId10015" Type="http://schemas.openxmlformats.org/officeDocument/2006/relationships/hyperlink" Target="https://snickare.online/snickare" TargetMode="External"/><Relationship Id="rId2593" Type="http://schemas.openxmlformats.org/officeDocument/2006/relationships/hyperlink" Target="https://distansinstitutet.se/distansutbildningar/pedagogik/vardbitrade/" TargetMode="External"/><Relationship Id="rId3644" Type="http://schemas.openxmlformats.org/officeDocument/2006/relationships/hyperlink" Target="https://www.lansfast.se/maklare/stockholm/taby-danderyd/" TargetMode="External"/><Relationship Id="rId12187" Type="http://schemas.openxmlformats.org/officeDocument/2006/relationships/hyperlink" Target="https://coolkille.se/3-dejtforslag-for-forsta-dejten-i-stockholm/" TargetMode="External"/><Relationship Id="rId13238" Type="http://schemas.openxmlformats.org/officeDocument/2006/relationships/hyperlink" Target="https://barabyggare.se/vikten-av-ratt-batbatteri-i-byggprojekt/" TargetMode="External"/><Relationship Id="rId565" Type="http://schemas.openxmlformats.org/officeDocument/2006/relationships/hyperlink" Target="http://lansfast.se/" TargetMode="External"/><Relationship Id="rId1195" Type="http://schemas.openxmlformats.org/officeDocument/2006/relationships/hyperlink" Target="https://tiotak.se/byta-tak-ekonomibyggnad/" TargetMode="External"/><Relationship Id="rId2246" Type="http://schemas.openxmlformats.org/officeDocument/2006/relationships/hyperlink" Target="https://www.mirrorcube.se/sakra-roren-i-din-villa" TargetMode="External"/><Relationship Id="rId6867" Type="http://schemas.openxmlformats.org/officeDocument/2006/relationships/hyperlink" Target="http://godies.fi/" TargetMode="External"/><Relationship Id="rId7918" Type="http://schemas.openxmlformats.org/officeDocument/2006/relationships/hyperlink" Target="https://alltomnorrtalje.se/hudvardsrapport-fran-norrtalje-forskning-belyser-hur-klimatet-paverkar-akne/" TargetMode="External"/><Relationship Id="rId218" Type="http://schemas.openxmlformats.org/officeDocument/2006/relationships/hyperlink" Target="https://freddielarsson.se/vad-ska-man-ha-for-belysning-i-poolen/" TargetMode="External"/><Relationship Id="rId5469" Type="http://schemas.openxmlformats.org/officeDocument/2006/relationships/hyperlink" Target="https://www.myownwater.com/" TargetMode="External"/><Relationship Id="rId9340" Type="http://schemas.openxmlformats.org/officeDocument/2006/relationships/hyperlink" Target="http://minifinder.se/" TargetMode="External"/><Relationship Id="rId11270" Type="http://schemas.openxmlformats.org/officeDocument/2006/relationships/hyperlink" Target="http://dieselkraft.se/" TargetMode="External"/><Relationship Id="rId12321" Type="http://schemas.openxmlformats.org/officeDocument/2006/relationships/hyperlink" Target="https://arctic.se/se/forsakringslosningar/svensksolenergi/" TargetMode="External"/><Relationship Id="rId5950" Type="http://schemas.openxmlformats.org/officeDocument/2006/relationships/hyperlink" Target="http://startmotor.se/" TargetMode="External"/><Relationship Id="rId4552" Type="http://schemas.openxmlformats.org/officeDocument/2006/relationships/hyperlink" Target="https://eteriskaoljorna.se/fordelar-med-hampaprotein/" TargetMode="External"/><Relationship Id="rId5603" Type="http://schemas.openxmlformats.org/officeDocument/2006/relationships/hyperlink" Target="http://e-ciggbolaget.se/" TargetMode="External"/><Relationship Id="rId13095" Type="http://schemas.openxmlformats.org/officeDocument/2006/relationships/hyperlink" Target="http://spelklubben.se/" TargetMode="External"/><Relationship Id="rId3154" Type="http://schemas.openxmlformats.org/officeDocument/2006/relationships/hyperlink" Target="https://serviceteknikerkarlstad.se/w3-ledande-inom-hallbar-elinstallation-solenergi/" TargetMode="External"/><Relationship Id="rId4205" Type="http://schemas.openxmlformats.org/officeDocument/2006/relationships/hyperlink" Target="https://techgroup21.com/the-critical-role-of-cybersecurity-in-todays-digital-world/" TargetMode="External"/><Relationship Id="rId7775" Type="http://schemas.openxmlformats.org/officeDocument/2006/relationships/hyperlink" Target="https://glassfactory.fi/sv/collections/extra-large" TargetMode="External"/><Relationship Id="rId8826" Type="http://schemas.openxmlformats.org/officeDocument/2006/relationships/hyperlink" Target="http://minifinder.se/" TargetMode="External"/><Relationship Id="rId10756" Type="http://schemas.openxmlformats.org/officeDocument/2006/relationships/hyperlink" Target="https://sakraror.se/vara-tjanster/allman-service-vvs/vvs-i-taby/" TargetMode="External"/><Relationship Id="rId6377" Type="http://schemas.openxmlformats.org/officeDocument/2006/relationships/hyperlink" Target="https://mynicco.com/" TargetMode="External"/><Relationship Id="rId7428" Type="http://schemas.openxmlformats.org/officeDocument/2006/relationships/hyperlink" Target="https://webbkrysset.se/blogg/nar-engelska-termer-far-svenska-namn/" TargetMode="External"/><Relationship Id="rId10409" Type="http://schemas.openxmlformats.org/officeDocument/2006/relationships/hyperlink" Target="https://www.megariches.com/sv/welcome-bonus/" TargetMode="External"/><Relationship Id="rId11807" Type="http://schemas.openxmlformats.org/officeDocument/2006/relationships/hyperlink" Target="https://conclean.se/produkter/minireningsverk/" TargetMode="External"/><Relationship Id="rId2987" Type="http://schemas.openxmlformats.org/officeDocument/2006/relationships/hyperlink" Target="https://www.tandea.se/" TargetMode="External"/><Relationship Id="rId959" Type="http://schemas.openxmlformats.org/officeDocument/2006/relationships/hyperlink" Target="http://happysocks.com/" TargetMode="External"/><Relationship Id="rId1589" Type="http://schemas.openxmlformats.org/officeDocument/2006/relationships/hyperlink" Target="https://www.affarsvarlden.se/tagg/fair-investments" TargetMode="External"/><Relationship Id="rId5460" Type="http://schemas.openxmlformats.org/officeDocument/2006/relationships/hyperlink" Target="https://www.spelklubben.se/sv/casino/megaways" TargetMode="External"/><Relationship Id="rId6511" Type="http://schemas.openxmlformats.org/officeDocument/2006/relationships/hyperlink" Target="https://www.peaccounting.se/var-tjanst/bokforingsprogram/" TargetMode="External"/><Relationship Id="rId4062" Type="http://schemas.openxmlformats.org/officeDocument/2006/relationships/hyperlink" Target="https://www.sffl.se/" TargetMode="External"/><Relationship Id="rId5113" Type="http://schemas.openxmlformats.org/officeDocument/2006/relationships/hyperlink" Target="https://www.rita.nu/trender-pa-bostadsmarknaden" TargetMode="External"/><Relationship Id="rId8683" Type="http://schemas.openxmlformats.org/officeDocument/2006/relationships/hyperlink" Target="http://tiotak.se/" TargetMode="External"/><Relationship Id="rId9734" Type="http://schemas.openxmlformats.org/officeDocument/2006/relationships/hyperlink" Target="http://sporttv.nu/" TargetMode="External"/><Relationship Id="rId11664" Type="http://schemas.openxmlformats.org/officeDocument/2006/relationships/hyperlink" Target="https://markets.vontobel.com/sv-se/produkter/leverage/knock-out-warrant-open-end" TargetMode="External"/><Relationship Id="rId12715" Type="http://schemas.openxmlformats.org/officeDocument/2006/relationships/hyperlink" Target="https://villaprojekt.se/vikten-av-att-anlita-en-auktoriserad-rormokare-for-ditt-hem-i-stockholm/" TargetMode="External"/><Relationship Id="rId1723" Type="http://schemas.openxmlformats.org/officeDocument/2006/relationships/hyperlink" Target="https://www.alfa.no/collections/sikkerhet-vernesko" TargetMode="External"/><Relationship Id="rId7285" Type="http://schemas.openxmlformats.org/officeDocument/2006/relationships/hyperlink" Target="http://tkw.se/" TargetMode="External"/><Relationship Id="rId8336" Type="http://schemas.openxmlformats.org/officeDocument/2006/relationships/hyperlink" Target="http://svenskafonster.se/" TargetMode="External"/><Relationship Id="rId10266" Type="http://schemas.openxmlformats.org/officeDocument/2006/relationships/hyperlink" Target="https://www.digitaljournal.com/life/goodbye-sedentary-lifestyle-why-stretching-and-staying-active-matters/article" TargetMode="External"/><Relationship Id="rId11317" Type="http://schemas.openxmlformats.org/officeDocument/2006/relationships/hyperlink" Target="https://www.di.se/brandstudio/fair-investments/fair-investments-vi-tar-bara-betalt-for-verkliga-resultat-det-tjanar-alla-pa/" TargetMode="External"/><Relationship Id="rId3895" Type="http://schemas.openxmlformats.org/officeDocument/2006/relationships/hyperlink" Target="https://www.totallyorebro.se/uncategorized/giftiga-hem-dolda-amnena-som-kan-paverka-halsan/" TargetMode="External"/><Relationship Id="rId4946" Type="http://schemas.openxmlformats.org/officeDocument/2006/relationships/hyperlink" Target="http://cannabislight.se/" TargetMode="External"/><Relationship Id="rId2497" Type="http://schemas.openxmlformats.org/officeDocument/2006/relationships/hyperlink" Target="http://lemontree.se/" TargetMode="External"/><Relationship Id="rId3548" Type="http://schemas.openxmlformats.org/officeDocument/2006/relationships/hyperlink" Target="https://www.spelklubben.se/sv/casino" TargetMode="External"/><Relationship Id="rId469" Type="http://schemas.openxmlformats.org/officeDocument/2006/relationships/hyperlink" Target="https://ecommunity.se/forsta-sig-pa-blodsocker-en-omfattande-guide-fran-chronos/" TargetMode="External"/><Relationship Id="rId1099" Type="http://schemas.openxmlformats.org/officeDocument/2006/relationships/hyperlink" Target="https://www.robomarkets.com/se/" TargetMode="External"/><Relationship Id="rId6021" Type="http://schemas.openxmlformats.org/officeDocument/2006/relationships/hyperlink" Target="https://eventeffect.se/printler-vill-radda-din-vagg-fran-konformitetens-bojor/" TargetMode="External"/><Relationship Id="rId9591" Type="http://schemas.openxmlformats.org/officeDocument/2006/relationships/hyperlink" Target="https://flyttgaranti.se/flytt" TargetMode="External"/><Relationship Id="rId10400" Type="http://schemas.openxmlformats.org/officeDocument/2006/relationships/hyperlink" Target="https://www.tandlakare.se/stad/goteborg/" TargetMode="External"/><Relationship Id="rId8193" Type="http://schemas.openxmlformats.org/officeDocument/2006/relationships/hyperlink" Target="https://vackerhud.se/sa-hittar-du-ratt-tandlakare-for-ett-vackert-leende-i-goteborg/" TargetMode="External"/><Relationship Id="rId9244" Type="http://schemas.openxmlformats.org/officeDocument/2006/relationships/hyperlink" Target="https://ladytalk.se/effektiva-metoder-for-viktnedgang-och-halsa-for-kvinnor/" TargetMode="External"/><Relationship Id="rId12572" Type="http://schemas.openxmlformats.org/officeDocument/2006/relationships/hyperlink" Target="https://malm&#246;cloud.se/?p=530" TargetMode="External"/><Relationship Id="rId950" Type="http://schemas.openxmlformats.org/officeDocument/2006/relationships/hyperlink" Target="http://happysocks.com/" TargetMode="External"/><Relationship Id="rId1580" Type="http://schemas.openxmlformats.org/officeDocument/2006/relationships/hyperlink" Target="https://www.tryggbil.se/" TargetMode="External"/><Relationship Id="rId2631" Type="http://schemas.openxmlformats.org/officeDocument/2006/relationships/hyperlink" Target="http://finansplassen.no/" TargetMode="External"/><Relationship Id="rId11174" Type="http://schemas.openxmlformats.org/officeDocument/2006/relationships/hyperlink" Target="https://ledkungen.se/collections/led-lister" TargetMode="External"/><Relationship Id="rId12225" Type="http://schemas.openxmlformats.org/officeDocument/2006/relationships/hyperlink" Target="https://smartkapital.se/hur-investmentbolag-hanterar-sina-portfoljer/" TargetMode="External"/><Relationship Id="rId603" Type="http://schemas.openxmlformats.org/officeDocument/2006/relationships/hyperlink" Target="http://vontabel.com/" TargetMode="External"/><Relationship Id="rId1233" Type="http://schemas.openxmlformats.org/officeDocument/2006/relationships/hyperlink" Target="https://aretrotale.com/" TargetMode="External"/><Relationship Id="rId5854" Type="http://schemas.openxmlformats.org/officeDocument/2006/relationships/hyperlink" Target="https://www.swedoffice.se/" TargetMode="External"/><Relationship Id="rId6905" Type="http://schemas.openxmlformats.org/officeDocument/2006/relationships/hyperlink" Target="http://everynightstudios.com/" TargetMode="External"/><Relationship Id="rId4456" Type="http://schemas.openxmlformats.org/officeDocument/2006/relationships/hyperlink" Target="https://modernating.se/teknologins-roll-vid-forsaljning-av-bostader/" TargetMode="External"/><Relationship Id="rId5507" Type="http://schemas.openxmlformats.org/officeDocument/2006/relationships/hyperlink" Target="http://startmotor.se/" TargetMode="External"/><Relationship Id="rId3058" Type="http://schemas.openxmlformats.org/officeDocument/2006/relationships/hyperlink" Target="http://tryggvi.se/" TargetMode="External"/><Relationship Id="rId4109" Type="http://schemas.openxmlformats.org/officeDocument/2006/relationships/hyperlink" Target="https://www.merinfo.se/foretag/Fair-Investments-Sweden-AB-5568169626/2k3576i-kqah" TargetMode="External"/><Relationship Id="rId7679" Type="http://schemas.openxmlformats.org/officeDocument/2006/relationships/hyperlink" Target="https://www.swedoffice.se/" TargetMode="External"/><Relationship Id="rId12082" Type="http://schemas.openxmlformats.org/officeDocument/2006/relationships/hyperlink" Target="https://tiotak.se/" TargetMode="External"/><Relationship Id="rId13133" Type="http://schemas.openxmlformats.org/officeDocument/2006/relationships/hyperlink" Target="https://www.michaelofrisorerna.se/" TargetMode="External"/><Relationship Id="rId460" Type="http://schemas.openxmlformats.org/officeDocument/2006/relationships/hyperlink" Target="https://www.swedoffice.se/" TargetMode="External"/><Relationship Id="rId1090" Type="http://schemas.openxmlformats.org/officeDocument/2006/relationships/hyperlink" Target="https://spelacasino.io/" TargetMode="External"/><Relationship Id="rId2141" Type="http://schemas.openxmlformats.org/officeDocument/2006/relationships/hyperlink" Target="http://saneringscompaniet.se/" TargetMode="External"/><Relationship Id="rId113" Type="http://schemas.openxmlformats.org/officeDocument/2006/relationships/hyperlink" Target="https://stilero.se/partners" TargetMode="External"/><Relationship Id="rId6762" Type="http://schemas.openxmlformats.org/officeDocument/2006/relationships/hyperlink" Target="http://acnespecialisten.se/" TargetMode="External"/><Relationship Id="rId7813" Type="http://schemas.openxmlformats.org/officeDocument/2006/relationships/hyperlink" Target="http://fairinvestments.se/" TargetMode="External"/><Relationship Id="rId5017" Type="http://schemas.openxmlformats.org/officeDocument/2006/relationships/hyperlink" Target="http://soartzy.com/" TargetMode="External"/><Relationship Id="rId5364" Type="http://schemas.openxmlformats.org/officeDocument/2006/relationships/hyperlink" Target="http://rehabgrossisten.com/" TargetMode="External"/><Relationship Id="rId6415" Type="http://schemas.openxmlformats.org/officeDocument/2006/relationships/hyperlink" Target="http://fairinvestments.se/" TargetMode="External"/><Relationship Id="rId9985" Type="http://schemas.openxmlformats.org/officeDocument/2006/relationships/hyperlink" Target="https://www.digitalconnectmag.com/the-ultimate-guide-to-keeping-your-dog-safe-with-smart-technology/" TargetMode="External"/><Relationship Id="rId12966" Type="http://schemas.openxmlformats.org/officeDocument/2006/relationships/hyperlink" Target="https://www.megariches.com/sv/mobile/" TargetMode="External"/><Relationship Id="rId1974" Type="http://schemas.openxmlformats.org/officeDocument/2006/relationships/hyperlink" Target="https://bigbenstandup.com/" TargetMode="External"/><Relationship Id="rId8587" Type="http://schemas.openxmlformats.org/officeDocument/2006/relationships/hyperlink" Target="http://spelklubben.se/" TargetMode="External"/><Relationship Id="rId9638" Type="http://schemas.openxmlformats.org/officeDocument/2006/relationships/hyperlink" Target="https://pontechmarina.com/se/" TargetMode="External"/><Relationship Id="rId11568" Type="http://schemas.openxmlformats.org/officeDocument/2006/relationships/hyperlink" Target="http://sufracofinebrands.com/" TargetMode="External"/><Relationship Id="rId12619" Type="http://schemas.openxmlformats.org/officeDocument/2006/relationships/hyperlink" Target="https://www.tandlakare.se/stad/stockholm/" TargetMode="External"/><Relationship Id="rId1627" Type="http://schemas.openxmlformats.org/officeDocument/2006/relationships/hyperlink" Target="http://triwa.com/" TargetMode="External"/><Relationship Id="rId7189" Type="http://schemas.openxmlformats.org/officeDocument/2006/relationships/hyperlink" Target="http://hund.se/" TargetMode="External"/><Relationship Id="rId3799" Type="http://schemas.openxmlformats.org/officeDocument/2006/relationships/hyperlink" Target="https://www.mariatand.se/" TargetMode="External"/><Relationship Id="rId4100" Type="http://schemas.openxmlformats.org/officeDocument/2006/relationships/hyperlink" Target="http://fairinvestments.se/" TargetMode="External"/><Relationship Id="rId7670" Type="http://schemas.openxmlformats.org/officeDocument/2006/relationships/hyperlink" Target="https://www.startmotor.se/kategori/batmotordelar" TargetMode="External"/><Relationship Id="rId8721" Type="http://schemas.openxmlformats.org/officeDocument/2006/relationships/hyperlink" Target="https://www.petster.se/hast/hasttacken/" TargetMode="External"/><Relationship Id="rId6272" Type="http://schemas.openxmlformats.org/officeDocument/2006/relationships/hyperlink" Target="https://industrilinjen.se/tvistlosning-inom-naringslivet-en-guide-till-framgang/" TargetMode="External"/><Relationship Id="rId7323" Type="http://schemas.openxmlformats.org/officeDocument/2006/relationships/hyperlink" Target="https://sakraror.se/" TargetMode="External"/><Relationship Id="rId10651" Type="http://schemas.openxmlformats.org/officeDocument/2006/relationships/hyperlink" Target="https://www.ykkoslohja.fi/digitaaliset-valuutat-tulee-yha-suosituimmaksi/" TargetMode="External"/><Relationship Id="rId11702" Type="http://schemas.openxmlformats.org/officeDocument/2006/relationships/hyperlink" Target="http://vontabel.com/" TargetMode="External"/><Relationship Id="rId9495" Type="http://schemas.openxmlformats.org/officeDocument/2006/relationships/hyperlink" Target="https://willabgarden.de/" TargetMode="External"/><Relationship Id="rId10304" Type="http://schemas.openxmlformats.org/officeDocument/2006/relationships/hyperlink" Target="https://dagensfar.se/bilreparationer-och-service-med-fokus-pa-mans-behov-i-tyreso/" TargetMode="External"/><Relationship Id="rId2882" Type="http://schemas.openxmlformats.org/officeDocument/2006/relationships/hyperlink" Target="http://alfa.no/" TargetMode="External"/><Relationship Id="rId3933" Type="http://schemas.openxmlformats.org/officeDocument/2006/relationships/hyperlink" Target="http://svenskaeljouren.se/" TargetMode="External"/><Relationship Id="rId8097" Type="http://schemas.openxmlformats.org/officeDocument/2006/relationships/hyperlink" Target="http://acnespecialisten.se/" TargetMode="External"/><Relationship Id="rId9148" Type="http://schemas.openxmlformats.org/officeDocument/2006/relationships/hyperlink" Target="https://katescreativespace.com/simple-changes-for-a-greener-home/" TargetMode="External"/><Relationship Id="rId12476" Type="http://schemas.openxmlformats.org/officeDocument/2006/relationships/hyperlink" Target="https://www.merinfo.se/foretag/Fair-Investments-Sweden-AB-5568169626/2k3576i-kqah" TargetMode="External"/><Relationship Id="rId854" Type="http://schemas.openxmlformats.org/officeDocument/2006/relationships/hyperlink" Target="http://happysocks.com/" TargetMode="External"/><Relationship Id="rId1484" Type="http://schemas.openxmlformats.org/officeDocument/2006/relationships/hyperlink" Target="https://www.alfa.no/collections/tursko-til-herre" TargetMode="External"/><Relationship Id="rId2535" Type="http://schemas.openxmlformats.org/officeDocument/2006/relationships/hyperlink" Target="https://www.netref.net/smart-hantering-av-it-och-molntjanster-fran-microsoft" TargetMode="External"/><Relationship Id="rId11078" Type="http://schemas.openxmlformats.org/officeDocument/2006/relationships/hyperlink" Target="http://mrvegas.com/" TargetMode="External"/><Relationship Id="rId12129" Type="http://schemas.openxmlformats.org/officeDocument/2006/relationships/hyperlink" Target="http://svalan.se/" TargetMode="External"/><Relationship Id="rId507" Type="http://schemas.openxmlformats.org/officeDocument/2006/relationships/hyperlink" Target="http://schjodt.com/" TargetMode="External"/><Relationship Id="rId1137" Type="http://schemas.openxmlformats.org/officeDocument/2006/relationships/hyperlink" Target="https://savethefuture.se/minireningsverk-en-innovativ-losning-for-hallbar-vattenrening/" TargetMode="External"/><Relationship Id="rId5758" Type="http://schemas.openxmlformats.org/officeDocument/2006/relationships/hyperlink" Target="https://www.nodepositbonus.cc/bonuses/40-free-chip-at-betwhale/" TargetMode="External"/><Relationship Id="rId6809" Type="http://schemas.openxmlformats.org/officeDocument/2006/relationships/hyperlink" Target="https://www.hund.se/hundgodis" TargetMode="External"/><Relationship Id="rId7180" Type="http://schemas.openxmlformats.org/officeDocument/2006/relationships/hyperlink" Target="https://industribanken.se/foretagsboende-en-ny-losning-for-affarsresandet/" TargetMode="External"/><Relationship Id="rId8231" Type="http://schemas.openxmlformats.org/officeDocument/2006/relationships/hyperlink" Target="https://iptv-suomi.com/" TargetMode="External"/><Relationship Id="rId10161" Type="http://schemas.openxmlformats.org/officeDocument/2006/relationships/hyperlink" Target="https://www.orderhero.se/restauranger-och-fik-som-din-hund-far-hanga-med-och-ata-pa/" TargetMode="External"/><Relationship Id="rId11212" Type="http://schemas.openxmlformats.org/officeDocument/2006/relationships/hyperlink" Target="https://www.blufashion.com/style/fashion-and-beauty-trends-you-need-to-know-about/" TargetMode="External"/><Relationship Id="rId12610" Type="http://schemas.openxmlformats.org/officeDocument/2006/relationships/hyperlink" Target="http://dbet.com/" TargetMode="External"/><Relationship Id="rId2392" Type="http://schemas.openxmlformats.org/officeDocument/2006/relationships/hyperlink" Target="https://schjodt.com/expertise/rekonstruktion-insolvens" TargetMode="External"/><Relationship Id="rId3790" Type="http://schemas.openxmlformats.org/officeDocument/2006/relationships/hyperlink" Target="https://jessicasmaleriostad.se/foretagsevent-i-sverige-har-ar-de-hetaste-platserna/" TargetMode="External"/><Relationship Id="rId4841" Type="http://schemas.openxmlformats.org/officeDocument/2006/relationships/hyperlink" Target="https://tv-tabla.nu/blogg/tv-reklamer-vi-minns-en-nostalgisk-resa-genom-tidens-klassiker" TargetMode="External"/><Relationship Id="rId364" Type="http://schemas.openxmlformats.org/officeDocument/2006/relationships/hyperlink" Target="http://toyota-forklifts.se/" TargetMode="External"/><Relationship Id="rId2045" Type="http://schemas.openxmlformats.org/officeDocument/2006/relationships/hyperlink" Target="http://w3solenergi.se/" TargetMode="External"/><Relationship Id="rId3443" Type="http://schemas.openxmlformats.org/officeDocument/2006/relationships/hyperlink" Target="http://distansinstitutet.se/" TargetMode="External"/><Relationship Id="rId13037" Type="http://schemas.openxmlformats.org/officeDocument/2006/relationships/hyperlink" Target="https://www.dagensinfrastruktur.se/2025/10/01/sannolikhet-i-infrastruktur-smartare-drag-nar-slumpen-far-plats/" TargetMode="External"/><Relationship Id="rId6666" Type="http://schemas.openxmlformats.org/officeDocument/2006/relationships/hyperlink" Target="https://www.swedoffice.se/kategori/49902-kopieringspapper" TargetMode="External"/><Relationship Id="rId7717" Type="http://schemas.openxmlformats.org/officeDocument/2006/relationships/hyperlink" Target="http://michaelofrisorerna.se/" TargetMode="External"/><Relationship Id="rId5268" Type="http://schemas.openxmlformats.org/officeDocument/2006/relationships/hyperlink" Target="https://pricecarz.com/en/" TargetMode="External"/><Relationship Id="rId6319" Type="http://schemas.openxmlformats.org/officeDocument/2006/relationships/hyperlink" Target="https://swedenlongstay.se/sv/for-foretag" TargetMode="External"/><Relationship Id="rId9889" Type="http://schemas.openxmlformats.org/officeDocument/2006/relationships/hyperlink" Target="https://www.metrotimes.com/contributor-news/how-coaching-platforms-are-changing-athlete-development-39720561" TargetMode="External"/><Relationship Id="rId12120" Type="http://schemas.openxmlformats.org/officeDocument/2006/relationships/hyperlink" Target="http://blugiallo.com/" TargetMode="External"/><Relationship Id="rId1878" Type="http://schemas.openxmlformats.org/officeDocument/2006/relationships/hyperlink" Target="http://spelklubben.se/" TargetMode="External"/><Relationship Id="rId2929" Type="http://schemas.openxmlformats.org/officeDocument/2006/relationships/hyperlink" Target="https://luckycasino.com/sv/" TargetMode="External"/><Relationship Id="rId4351" Type="http://schemas.openxmlformats.org/officeDocument/2006/relationships/hyperlink" Target="https://esport-gaming.se/artiklar/e-sportstillverkare-och-operatorer-en-djupdykning-i-branschen/" TargetMode="External"/><Relationship Id="rId5402" Type="http://schemas.openxmlformats.org/officeDocument/2006/relationships/hyperlink" Target="https://www.tandea.se/kliniker/tandlakare-ostermalm/" TargetMode="External"/><Relationship Id="rId6800" Type="http://schemas.openxmlformats.org/officeDocument/2006/relationships/hyperlink" Target="https://www.coface.se/inkasso" TargetMode="External"/><Relationship Id="rId4004" Type="http://schemas.openxmlformats.org/officeDocument/2006/relationships/hyperlink" Target="https://www.executiveeffect.se/forenkla-dina-kryptoinvesteringar/" TargetMode="External"/><Relationship Id="rId8972" Type="http://schemas.openxmlformats.org/officeDocument/2006/relationships/hyperlink" Target="https://www.grontsamhallsbyggande.se/2025/04/29/atta-klimatsmarta-initiativ-for-ett-hallbart-samhallsbyggande/" TargetMode="External"/><Relationship Id="rId11953" Type="http://schemas.openxmlformats.org/officeDocument/2006/relationships/hyperlink" Target="http://fairinvestments.se/" TargetMode="External"/><Relationship Id="rId6176" Type="http://schemas.openxmlformats.org/officeDocument/2006/relationships/hyperlink" Target="https://www.thomashuette.com/" TargetMode="External"/><Relationship Id="rId7227" Type="http://schemas.openxmlformats.org/officeDocument/2006/relationships/hyperlink" Target="https://svenskiptv.com/" TargetMode="External"/><Relationship Id="rId7574" Type="http://schemas.openxmlformats.org/officeDocument/2006/relationships/hyperlink" Target="https://eventeffect.se/tander-tonlage-och-taltempo-hur-manniskor-domer-dig-och-vad-du-kan-tanka-pa/" TargetMode="External"/><Relationship Id="rId8625" Type="http://schemas.openxmlformats.org/officeDocument/2006/relationships/hyperlink" Target="http://fairinvestments.se/" TargetMode="External"/><Relationship Id="rId10555" Type="http://schemas.openxmlformats.org/officeDocument/2006/relationships/hyperlink" Target="https://passioneffect.se/sakerhetsrutiner-hos-spelbolag-licenser-betalningar-och-spelansvar/" TargetMode="External"/><Relationship Id="rId11606" Type="http://schemas.openxmlformats.org/officeDocument/2006/relationships/hyperlink" Target="http://tiotak.se/" TargetMode="External"/><Relationship Id="rId10208" Type="http://schemas.openxmlformats.org/officeDocument/2006/relationships/hyperlink" Target="https://joinstriveon.com/" TargetMode="External"/><Relationship Id="rId2786" Type="http://schemas.openxmlformats.org/officeDocument/2006/relationships/hyperlink" Target="https://ledarsidorna.se/spelklubben-revolutionerande-kundtjanst-i-online-casino-varlden/" TargetMode="External"/><Relationship Id="rId3837" Type="http://schemas.openxmlformats.org/officeDocument/2006/relationships/hyperlink" Target="http://e-ciggbolaget.se/" TargetMode="External"/><Relationship Id="rId9399" Type="http://schemas.openxmlformats.org/officeDocument/2006/relationships/hyperlink" Target="https://www.nettotobak.com/" TargetMode="External"/><Relationship Id="rId758" Type="http://schemas.openxmlformats.org/officeDocument/2006/relationships/hyperlink" Target="https://stilrenahem.se/har-du-olika-husprojekt-att-ta-tag-i-underhall-ar-alltid-battre-an-reparation/" TargetMode="External"/><Relationship Id="rId1388" Type="http://schemas.openxmlformats.org/officeDocument/2006/relationships/hyperlink" Target="http://happysocks.com/" TargetMode="External"/><Relationship Id="rId2439" Type="http://schemas.openxmlformats.org/officeDocument/2006/relationships/hyperlink" Target="https://megarock.se/den-revolutionerande-varlden-av-engangsvapes/" TargetMode="External"/><Relationship Id="rId6310" Type="http://schemas.openxmlformats.org/officeDocument/2006/relationships/hyperlink" Target="https://alltombeauty.se/estetiska-tandbehandlingar-en-guide-till-skalfasader/" TargetMode="External"/><Relationship Id="rId9880" Type="http://schemas.openxmlformats.org/officeDocument/2006/relationships/hyperlink" Target="https://joinstriveon.com/" TargetMode="External"/><Relationship Id="rId94" Type="http://schemas.openxmlformats.org/officeDocument/2006/relationships/hyperlink" Target="https://ljusgrossisten.se/" TargetMode="External"/><Relationship Id="rId8482" Type="http://schemas.openxmlformats.org/officeDocument/2006/relationships/hyperlink" Target="https://barnbidrag.info/vad-ska-barnbidraget-egentligen-ga-till/" TargetMode="External"/><Relationship Id="rId9533" Type="http://schemas.openxmlformats.org/officeDocument/2006/relationships/hyperlink" Target="https://eventeffect.se/de-vanligaste-festtemana-fast-garanterat-inte-som-du-upplevt-dem-forut/" TargetMode="External"/><Relationship Id="rId12861" Type="http://schemas.openxmlformats.org/officeDocument/2006/relationships/hyperlink" Target="http://technobark.com/" TargetMode="External"/><Relationship Id="rId2920" Type="http://schemas.openxmlformats.org/officeDocument/2006/relationships/hyperlink" Target="http://cannabislight.se/" TargetMode="External"/><Relationship Id="rId7084" Type="http://schemas.openxmlformats.org/officeDocument/2006/relationships/hyperlink" Target="http://hajper.com/" TargetMode="External"/><Relationship Id="rId8135" Type="http://schemas.openxmlformats.org/officeDocument/2006/relationships/hyperlink" Target="https://www.lansfast.se/maklare/sodermanland/trosa/" TargetMode="External"/><Relationship Id="rId10065" Type="http://schemas.openxmlformats.org/officeDocument/2006/relationships/hyperlink" Target="http://tandea.se/" TargetMode="External"/><Relationship Id="rId11463" Type="http://schemas.openxmlformats.org/officeDocument/2006/relationships/hyperlink" Target="http://ljusgrossisten.se/" TargetMode="External"/><Relationship Id="rId12514" Type="http://schemas.openxmlformats.org/officeDocument/2006/relationships/hyperlink" Target="https://livsekonomi.se/planera-for-framtiden-hur-man-skapar-en-effektiv-pensionsstrategi/" TargetMode="External"/><Relationship Id="rId1522" Type="http://schemas.openxmlformats.org/officeDocument/2006/relationships/hyperlink" Target="https://www.happysocks.com/us/collection/socks-for-dogs" TargetMode="External"/><Relationship Id="rId11116" Type="http://schemas.openxmlformats.org/officeDocument/2006/relationships/hyperlink" Target="https://villalivet.se/allmant/jackpottar-i-vardagen/" TargetMode="External"/><Relationship Id="rId3694" Type="http://schemas.openxmlformats.org/officeDocument/2006/relationships/hyperlink" Target="https://conversationswithrina.com/relationships/the-rise-of-professional-matchmaking-services/" TargetMode="External"/><Relationship Id="rId4745" Type="http://schemas.openxmlformats.org/officeDocument/2006/relationships/hyperlink" Target="https://www.dagensinfrastruktur.se/2024/07/25/framtidens-infrastruktur-och-hallbara-investeringar/" TargetMode="External"/><Relationship Id="rId13288" Type="http://schemas.openxmlformats.org/officeDocument/2006/relationships/hyperlink" Target="https://hemforalla.se/professionella-stadtjanster-for-en-halsosam-boendemiljo-i-stockholm/" TargetMode="External"/><Relationship Id="rId2296" Type="http://schemas.openxmlformats.org/officeDocument/2006/relationships/hyperlink" Target="http://norteam.se/" TargetMode="External"/><Relationship Id="rId3347" Type="http://schemas.openxmlformats.org/officeDocument/2006/relationships/hyperlink" Target="https://interiorforyou.se/lansfast-din-partner-i-bostadsaffarer/" TargetMode="External"/><Relationship Id="rId7968" Type="http://schemas.openxmlformats.org/officeDocument/2006/relationships/hyperlink" Target="http://dryft.se/" TargetMode="External"/><Relationship Id="rId268" Type="http://schemas.openxmlformats.org/officeDocument/2006/relationships/hyperlink" Target="http://elmarknad.se/" TargetMode="External"/><Relationship Id="rId9390" Type="http://schemas.openxmlformats.org/officeDocument/2006/relationships/hyperlink" Target="https://www.lsb.se/lana-pengar" TargetMode="External"/><Relationship Id="rId10949" Type="http://schemas.openxmlformats.org/officeDocument/2006/relationships/hyperlink" Target="https://www.zmarta.se/lana-pengar/privatlan" TargetMode="External"/><Relationship Id="rId12371" Type="http://schemas.openxmlformats.org/officeDocument/2006/relationships/hyperlink" Target="https://sund.nu/optimera-ditt-utomhusutrymme-med-en-swimmingpool-fran-experterna-pa-miami-pool/" TargetMode="External"/><Relationship Id="rId2430" Type="http://schemas.openxmlformats.org/officeDocument/2006/relationships/hyperlink" Target="https://hoganassaluhall.se/pionjarer-inom-e-cigaretter-och-sveriges-basta-utbud/" TargetMode="External"/><Relationship Id="rId9043" Type="http://schemas.openxmlformats.org/officeDocument/2006/relationships/hyperlink" Target="https://dailyemerald.com/165294/promotedposts/the-growing-impact-of-ai-in-universities-and-academia/" TargetMode="External"/><Relationship Id="rId12024" Type="http://schemas.openxmlformats.org/officeDocument/2006/relationships/hyperlink" Target="https://haxan.se/" TargetMode="External"/><Relationship Id="rId402" Type="http://schemas.openxmlformats.org/officeDocument/2006/relationships/hyperlink" Target="https://www.lansfast.se/maklare/sodermanland/nykoping/" TargetMode="External"/><Relationship Id="rId1032" Type="http://schemas.openxmlformats.org/officeDocument/2006/relationships/hyperlink" Target="http://happysocks.com/" TargetMode="External"/><Relationship Id="rId4255" Type="http://schemas.openxmlformats.org/officeDocument/2006/relationships/hyperlink" Target="http://legendbygg.com/" TargetMode="External"/><Relationship Id="rId5306" Type="http://schemas.openxmlformats.org/officeDocument/2006/relationships/hyperlink" Target="https://www.rita.nu/" TargetMode="External"/><Relationship Id="rId5653" Type="http://schemas.openxmlformats.org/officeDocument/2006/relationships/hyperlink" Target="https://torrfoder.se/blogg/tips-for-hundfoder/" TargetMode="External"/><Relationship Id="rId6704" Type="http://schemas.openxmlformats.org/officeDocument/2006/relationships/hyperlink" Target="https://vardagstipset.se/tobaksfritt-snus-och-nikotinpasar-tips-for-ett-medvetet-val/" TargetMode="External"/><Relationship Id="rId8876" Type="http://schemas.openxmlformats.org/officeDocument/2006/relationships/hyperlink" Target="http://bergetsro.se/" TargetMode="External"/><Relationship Id="rId9927" Type="http://schemas.openxmlformats.org/officeDocument/2006/relationships/hyperlink" Target="https://www.food-supply.se/lb-article/181647/maten-du-bor-undvika-efter-tandbehandlingar-en-guide-till-snabbare-lakning-battre-munhalsa" TargetMode="External"/><Relationship Id="rId11857" Type="http://schemas.openxmlformats.org/officeDocument/2006/relationships/hyperlink" Target="https://www.bauen-und-heimwerken.de/artikel/lohnt-sich-eine-waermepumpe.htm" TargetMode="External"/><Relationship Id="rId12908" Type="http://schemas.openxmlformats.org/officeDocument/2006/relationships/hyperlink" Target="https://www.dbet.com/se/mobil/" TargetMode="External"/><Relationship Id="rId1916" Type="http://schemas.openxmlformats.org/officeDocument/2006/relationships/hyperlink" Target="https://luddep.se/nyckeln-till-forenklade-affarer" TargetMode="External"/><Relationship Id="rId7478" Type="http://schemas.openxmlformats.org/officeDocument/2006/relationships/hyperlink" Target="https://www.blogstrove.com/categories/health/how-electrotherapy-is-changing-pain-management-in-everyday-life/" TargetMode="External"/><Relationship Id="rId8529" Type="http://schemas.openxmlformats.org/officeDocument/2006/relationships/hyperlink" Target="https://eventeffect.se/smart-logistik-for-gaster-hur-en-genomtankt-transfer-kan-lyfta-hela-eventet/" TargetMode="External"/><Relationship Id="rId10459" Type="http://schemas.openxmlformats.org/officeDocument/2006/relationships/hyperlink" Target="http://merchoteket.se/" TargetMode="External"/><Relationship Id="rId6561" Type="http://schemas.openxmlformats.org/officeDocument/2006/relationships/hyperlink" Target="https://tryggbil.se/volkswagen/" TargetMode="External"/><Relationship Id="rId7612" Type="http://schemas.openxmlformats.org/officeDocument/2006/relationships/hyperlink" Target="https://matchbook.nu/framtidens-tv-tittande-flexibilitet-och-valfrihet-med-ip-tv" TargetMode="External"/><Relationship Id="rId10940" Type="http://schemas.openxmlformats.org/officeDocument/2006/relationships/hyperlink" Target="http://kleer.se/" TargetMode="External"/><Relationship Id="rId5163" Type="http://schemas.openxmlformats.org/officeDocument/2006/relationships/hyperlink" Target="https://www.entitet.se/" TargetMode="External"/><Relationship Id="rId6214" Type="http://schemas.openxmlformats.org/officeDocument/2006/relationships/hyperlink" Target="http://ekstromgaray.se/" TargetMode="External"/><Relationship Id="rId9784" Type="http://schemas.openxmlformats.org/officeDocument/2006/relationships/hyperlink" Target="https://www.rusta.com/se/sv/hem--inredning/mattor/" TargetMode="External"/><Relationship Id="rId8386" Type="http://schemas.openxmlformats.org/officeDocument/2006/relationships/hyperlink" Target="https://filmeye.se/hur-mjuka-textilier-lyfter-filmupplevelsen-i-hemmet/" TargetMode="External"/><Relationship Id="rId9437" Type="http://schemas.openxmlformats.org/officeDocument/2006/relationships/hyperlink" Target="http://spelklubben.se/" TargetMode="External"/><Relationship Id="rId12765" Type="http://schemas.openxmlformats.org/officeDocument/2006/relationships/hyperlink" Target="https://investeringer.se/jamfor-forsakringar-for-att-hitta-ditt-basta-alternativ/" TargetMode="External"/><Relationship Id="rId1773" Type="http://schemas.openxmlformats.org/officeDocument/2006/relationships/hyperlink" Target="http://tandea.se/" TargetMode="External"/><Relationship Id="rId2824" Type="http://schemas.openxmlformats.org/officeDocument/2006/relationships/hyperlink" Target="https://aretrotale.com/" TargetMode="External"/><Relationship Id="rId8039" Type="http://schemas.openxmlformats.org/officeDocument/2006/relationships/hyperlink" Target="http://hajper.com/" TargetMode="External"/><Relationship Id="rId11367" Type="http://schemas.openxmlformats.org/officeDocument/2006/relationships/hyperlink" Target="https://www.linkedin.com/company/fair-investments-sweden-ab/?originalSubdomain=se" TargetMode="External"/><Relationship Id="rId12418" Type="http://schemas.openxmlformats.org/officeDocument/2006/relationships/hyperlink" Target="https://malm&#246;cloud.se/?p=528" TargetMode="External"/><Relationship Id="rId1426" Type="http://schemas.openxmlformats.org/officeDocument/2006/relationships/hyperlink" Target="https://uppsalabostad.se/" TargetMode="External"/><Relationship Id="rId4996" Type="http://schemas.openxmlformats.org/officeDocument/2006/relationships/hyperlink" Target="http://tandea.se/" TargetMode="External"/><Relationship Id="rId3598" Type="http://schemas.openxmlformats.org/officeDocument/2006/relationships/hyperlink" Target="https://www.bipolarsjuk.se/kan-man-bli-rik-snabbt" TargetMode="External"/><Relationship Id="rId4649" Type="http://schemas.openxmlformats.org/officeDocument/2006/relationships/hyperlink" Target="https://ledarsidorna.se/hallbara-investeringar-och-deras-betydelse-for-framtiden/" TargetMode="External"/><Relationship Id="rId8520" Type="http://schemas.openxmlformats.org/officeDocument/2006/relationships/hyperlink" Target="https://alltomnorrtalje.se/bkv-norrtalje-kommer-laget-nagonsin-ta-sig-till-de-hogre-divisionerna/" TargetMode="External"/><Relationship Id="rId10450" Type="http://schemas.openxmlformats.org/officeDocument/2006/relationships/hyperlink" Target="http://rusta.se/" TargetMode="External"/><Relationship Id="rId11501" Type="http://schemas.openxmlformats.org/officeDocument/2006/relationships/hyperlink" Target="https://www.robomarkets.com/se/" TargetMode="External"/><Relationship Id="rId6071" Type="http://schemas.openxmlformats.org/officeDocument/2006/relationships/hyperlink" Target="https://www.vont.se/" TargetMode="External"/><Relationship Id="rId7122" Type="http://schemas.openxmlformats.org/officeDocument/2006/relationships/hyperlink" Target="http://mariatand.se/" TargetMode="External"/><Relationship Id="rId10103" Type="http://schemas.openxmlformats.org/officeDocument/2006/relationships/hyperlink" Target="http://kungaslottet.se/" TargetMode="External"/><Relationship Id="rId2681" Type="http://schemas.openxmlformats.org/officeDocument/2006/relationships/hyperlink" Target="https://e-ciggbolaget.se/e-cigaretter/pod-system/pod-kit/voom-bar-engangs-e-cigarett/" TargetMode="External"/><Relationship Id="rId9294" Type="http://schemas.openxmlformats.org/officeDocument/2006/relationships/hyperlink" Target="https://roligabarn.se/viktiga-faktorer-att-tanka-pa-vid-val-av-barnvagn/" TargetMode="External"/><Relationship Id="rId12275" Type="http://schemas.openxmlformats.org/officeDocument/2006/relationships/hyperlink" Target="https://ecommunity.se/maximera-din-solcellsinvestering-tips-for-nya-solcellsagare/" TargetMode="External"/><Relationship Id="rId653" Type="http://schemas.openxmlformats.org/officeDocument/2006/relationships/hyperlink" Target="http://happysocks.com/" TargetMode="External"/><Relationship Id="rId1283" Type="http://schemas.openxmlformats.org/officeDocument/2006/relationships/hyperlink" Target="https://malm&#246;cloud.se/?p=448" TargetMode="External"/><Relationship Id="rId2334" Type="http://schemas.openxmlformats.org/officeDocument/2006/relationships/hyperlink" Target="https://e-ciggbolaget.se/?hr-page=%7B%22product_count%22%3A24%7D" TargetMode="External"/><Relationship Id="rId3732" Type="http://schemas.openxmlformats.org/officeDocument/2006/relationships/hyperlink" Target="http://vont.co/de" TargetMode="External"/><Relationship Id="rId306" Type="http://schemas.openxmlformats.org/officeDocument/2006/relationships/hyperlink" Target="https://www.industritorget.se/nyheter/kontorsmaterial/35462/" TargetMode="External"/><Relationship Id="rId6955" Type="http://schemas.openxmlformats.org/officeDocument/2006/relationships/hyperlink" Target="http://arctic.se/" TargetMode="External"/><Relationship Id="rId4159" Type="http://schemas.openxmlformats.org/officeDocument/2006/relationships/hyperlink" Target="https://www.oslo.com/blog/2024/06/26/lan-og-investeringer-veien-til-okonomisk-stabilitet/" TargetMode="External"/><Relationship Id="rId5557" Type="http://schemas.openxmlformats.org/officeDocument/2006/relationships/hyperlink" Target="http://hampabonden.se/" TargetMode="External"/><Relationship Id="rId6608" Type="http://schemas.openxmlformats.org/officeDocument/2006/relationships/hyperlink" Target="http://hajper.com/" TargetMode="External"/><Relationship Id="rId8030" Type="http://schemas.openxmlformats.org/officeDocument/2006/relationships/hyperlink" Target="https://clearfuze.com/" TargetMode="External"/><Relationship Id="rId11011" Type="http://schemas.openxmlformats.org/officeDocument/2006/relationships/hyperlink" Target="http://videoslots.com/" TargetMode="External"/><Relationship Id="rId4640" Type="http://schemas.openxmlformats.org/officeDocument/2006/relationships/hyperlink" Target="http://snusnetto.se/" TargetMode="External"/><Relationship Id="rId13183" Type="http://schemas.openxmlformats.org/officeDocument/2006/relationships/hyperlink" Target="http://megariches.com/" TargetMode="External"/><Relationship Id="rId2191" Type="http://schemas.openxmlformats.org/officeDocument/2006/relationships/hyperlink" Target="https://www.lansfast.se/maklare/stockholm/taby-danderyd/" TargetMode="External"/><Relationship Id="rId3242" Type="http://schemas.openxmlformats.org/officeDocument/2006/relationships/hyperlink" Target="https://veganmage.se/veganism-och-tandhalsa" TargetMode="External"/><Relationship Id="rId163" Type="http://schemas.openxmlformats.org/officeDocument/2006/relationships/hyperlink" Target="http://bigbenstandup.com/" TargetMode="External"/><Relationship Id="rId6465" Type="http://schemas.openxmlformats.org/officeDocument/2006/relationships/hyperlink" Target="https://www.sportochfritidsnyheter.se/20241129/4080/motion-med-hund-viktiga-tips-aktivt-och-halsosamt-hundliv" TargetMode="External"/><Relationship Id="rId7516" Type="http://schemas.openxmlformats.org/officeDocument/2006/relationships/hyperlink" Target="http://myownwater.com/" TargetMode="External"/><Relationship Id="rId7863" Type="http://schemas.openxmlformats.org/officeDocument/2006/relationships/hyperlink" Target="http://spelklubben.se/" TargetMode="External"/><Relationship Id="rId8914" Type="http://schemas.openxmlformats.org/officeDocument/2006/relationships/hyperlink" Target="https://nothing2hide.net/gaming/level-up-your-game-high-tips-to-boost-focus/" TargetMode="External"/><Relationship Id="rId10844" Type="http://schemas.openxmlformats.org/officeDocument/2006/relationships/hyperlink" Target="https://www.sfweekly.com/marketplace/how-ai-agents-are-streamlining-modern-meetings-to-improve-productivity/article_e9c655cd-65d9-42b8-b5e2-e955ac8c0d2e.html" TargetMode="External"/><Relationship Id="rId5067" Type="http://schemas.openxmlformats.org/officeDocument/2006/relationships/hyperlink" Target="http://aaatak.se/" TargetMode="External"/><Relationship Id="rId6118" Type="http://schemas.openxmlformats.org/officeDocument/2006/relationships/hyperlink" Target="http://hajper.com/" TargetMode="External"/><Relationship Id="rId9688" Type="http://schemas.openxmlformats.org/officeDocument/2006/relationships/hyperlink" Target="https://www.sportochfritidsnyheter.se/20250603/4272/vad-ar-gps-tracking-inom-sport" TargetMode="External"/><Relationship Id="rId12669" Type="http://schemas.openxmlformats.org/officeDocument/2006/relationships/hyperlink" Target="http://bethard.com/" TargetMode="External"/><Relationship Id="rId1677" Type="http://schemas.openxmlformats.org/officeDocument/2006/relationships/hyperlink" Target="https://advancepointcap.com/blog/same-day-smb-loan/" TargetMode="External"/><Relationship Id="rId2728" Type="http://schemas.openxmlformats.org/officeDocument/2006/relationships/hyperlink" Target="http://arctic.se/" TargetMode="External"/><Relationship Id="rId4150" Type="http://schemas.openxmlformats.org/officeDocument/2006/relationships/hyperlink" Target="https://www.kingsizemag.se/okategoriserat/de-5-godaste-snussmakerna-2024/" TargetMode="External"/><Relationship Id="rId5201" Type="http://schemas.openxmlformats.org/officeDocument/2006/relationships/hyperlink" Target="https://www.alfa.no/collections/fritidssko" TargetMode="External"/><Relationship Id="rId8771" Type="http://schemas.openxmlformats.org/officeDocument/2006/relationships/hyperlink" Target="https://www.cherry.com/sv/live-casino" TargetMode="External"/><Relationship Id="rId9822" Type="http://schemas.openxmlformats.org/officeDocument/2006/relationships/hyperlink" Target="https://direktbygg.se/kvalitetsservice-for-din-bil-sa-paverkar-det-byggindustrin-i-tyreso/" TargetMode="External"/><Relationship Id="rId36" Type="http://schemas.openxmlformats.org/officeDocument/2006/relationships/hyperlink" Target="https://b&#228;stf&#246;rs&#228;kringar.se/byta-forsakringsbolag/" TargetMode="External"/><Relationship Id="rId7373" Type="http://schemas.openxmlformats.org/officeDocument/2006/relationships/hyperlink" Target="https://www.coface.no/inkasso" TargetMode="External"/><Relationship Id="rId8424" Type="http://schemas.openxmlformats.org/officeDocument/2006/relationships/hyperlink" Target="https://www.boxingdaily.com/editorials/boxing-post-training-recovery-guide/" TargetMode="External"/><Relationship Id="rId10354" Type="http://schemas.openxmlformats.org/officeDocument/2006/relationships/hyperlink" Target="http://rusta.se/" TargetMode="External"/><Relationship Id="rId11752" Type="http://schemas.openxmlformats.org/officeDocument/2006/relationships/hyperlink" Target="http://yagya.com/" TargetMode="External"/><Relationship Id="rId12803" Type="http://schemas.openxmlformats.org/officeDocument/2006/relationships/hyperlink" Target="https://influencereffect.se/lat-sparandet-vara-stabilt-nar-floden-svanger/" TargetMode="External"/><Relationship Id="rId1811" Type="http://schemas.openxmlformats.org/officeDocument/2006/relationships/hyperlink" Target="http://oconnors.se/" TargetMode="External"/><Relationship Id="rId7026" Type="http://schemas.openxmlformats.org/officeDocument/2006/relationships/hyperlink" Target="http://arctic.se/" TargetMode="External"/><Relationship Id="rId10007" Type="http://schemas.openxmlformats.org/officeDocument/2006/relationships/hyperlink" Target="https://www.mrvegas.com/mobile/welcome-bonus/" TargetMode="External"/><Relationship Id="rId11405" Type="http://schemas.openxmlformats.org/officeDocument/2006/relationships/hyperlink" Target="http://lansfast.se/" TargetMode="External"/><Relationship Id="rId3983" Type="http://schemas.openxmlformats.org/officeDocument/2006/relationships/hyperlink" Target="https://www.mirakelmusik.se/vad-ar-en-vape" TargetMode="External"/><Relationship Id="rId9198" Type="http://schemas.openxmlformats.org/officeDocument/2006/relationships/hyperlink" Target="http://ekstromgaray.se/" TargetMode="External"/><Relationship Id="rId1187" Type="http://schemas.openxmlformats.org/officeDocument/2006/relationships/hyperlink" Target="http://haxan.se/" TargetMode="External"/><Relationship Id="rId2585" Type="http://schemas.openxmlformats.org/officeDocument/2006/relationships/hyperlink" Target="https://ledkungen.se/collections/led-lister" TargetMode="External"/><Relationship Id="rId3636" Type="http://schemas.openxmlformats.org/officeDocument/2006/relationships/hyperlink" Target="https://www.realtid.se/investeringsnatverk-hjalper-la-reine-mannens-solcellsbolag/" TargetMode="External"/><Relationship Id="rId12179" Type="http://schemas.openxmlformats.org/officeDocument/2006/relationships/hyperlink" Target="https://schjodt.com/expertise/rekonstruktion-insolvens" TargetMode="External"/><Relationship Id="rId557" Type="http://schemas.openxmlformats.org/officeDocument/2006/relationships/hyperlink" Target="https://44bars.com/how-to-put-together-a-party-outfit-that-works/" TargetMode="External"/><Relationship Id="rId2238" Type="http://schemas.openxmlformats.org/officeDocument/2006/relationships/hyperlink" Target="https://www.villarelining.se/" TargetMode="External"/><Relationship Id="rId6859" Type="http://schemas.openxmlformats.org/officeDocument/2006/relationships/hyperlink" Target="http://upplevelse.com/" TargetMode="External"/><Relationship Id="rId12660" Type="http://schemas.openxmlformats.org/officeDocument/2006/relationships/hyperlink" Target="http://comfydence.se/" TargetMode="External"/><Relationship Id="rId8281" Type="http://schemas.openxmlformats.org/officeDocument/2006/relationships/hyperlink" Target="https://www.kingmagazine.se/partner/10-vagar-till-lan/" TargetMode="External"/><Relationship Id="rId9332" Type="http://schemas.openxmlformats.org/officeDocument/2006/relationships/hyperlink" Target="https://www.lsb.se/renoveringslan" TargetMode="External"/><Relationship Id="rId11262" Type="http://schemas.openxmlformats.org/officeDocument/2006/relationships/hyperlink" Target="https://eventeffect.se/motoroptimering-i-fokus/" TargetMode="External"/><Relationship Id="rId12313" Type="http://schemas.openxmlformats.org/officeDocument/2006/relationships/hyperlink" Target="https://www.alexbyggkonsult.se/" TargetMode="External"/><Relationship Id="rId1321" Type="http://schemas.openxmlformats.org/officeDocument/2006/relationships/hyperlink" Target="http://robomarkets.com/" TargetMode="External"/><Relationship Id="rId4891" Type="http://schemas.openxmlformats.org/officeDocument/2006/relationships/hyperlink" Target="http://bethard.com/" TargetMode="External"/><Relationship Id="rId3493" Type="http://schemas.openxmlformats.org/officeDocument/2006/relationships/hyperlink" Target="https://alltomnorrtalje.se/upplev-naturen-med-alfas-hogkvalitativa-vandringskangor-for-damer/" TargetMode="External"/><Relationship Id="rId4544" Type="http://schemas.openxmlformats.org/officeDocument/2006/relationships/hyperlink" Target="https://e-ciggbolaget.se/vitt-snus" TargetMode="External"/><Relationship Id="rId5942" Type="http://schemas.openxmlformats.org/officeDocument/2006/relationships/hyperlink" Target="http://tandea.se/" TargetMode="External"/><Relationship Id="rId13087" Type="http://schemas.openxmlformats.org/officeDocument/2006/relationships/hyperlink" Target="https://www.sciencetimes.com/articles/60622/20251001/why-businesses-are-turning-ai-meeting-assistants.htm" TargetMode="External"/><Relationship Id="rId2095" Type="http://schemas.openxmlformats.org/officeDocument/2006/relationships/hyperlink" Target="https://www.freckeus.se/" TargetMode="External"/><Relationship Id="rId3146" Type="http://schemas.openxmlformats.org/officeDocument/2006/relationships/hyperlink" Target="https://arctic.se/se/forsakringslosningar/svensksolenergi/" TargetMode="External"/><Relationship Id="rId6369" Type="http://schemas.openxmlformats.org/officeDocument/2006/relationships/hyperlink" Target="https://boxthislap.org/the-impact-of-the-hidden-formula-of-racing-success-how-f1-drivers-prepare-physically-and-mentally-for-the-track/" TargetMode="External"/><Relationship Id="rId7767" Type="http://schemas.openxmlformats.org/officeDocument/2006/relationships/hyperlink" Target="http://sakraror.se/" TargetMode="External"/><Relationship Id="rId8818" Type="http://schemas.openxmlformats.org/officeDocument/2006/relationships/hyperlink" Target="https://www.saleseffect.se/vissa-produkter-saljer-sig-sjalva-vad-har-de-gemensamt/" TargetMode="External"/><Relationship Id="rId10748" Type="http://schemas.openxmlformats.org/officeDocument/2006/relationships/hyperlink" Target="https://hemmaprofilen.se/effektivitet-och-kvalitet-i-ditt-hem-med-ratt-skrivarpapper/" TargetMode="External"/><Relationship Id="rId12170" Type="http://schemas.openxmlformats.org/officeDocument/2006/relationships/hyperlink" Target="https://www.villarelining.se/" TargetMode="External"/><Relationship Id="rId13221" Type="http://schemas.openxmlformats.org/officeDocument/2006/relationships/hyperlink" Target="https://joinstriveon.com/" TargetMode="External"/><Relationship Id="rId2979" Type="http://schemas.openxmlformats.org/officeDocument/2006/relationships/hyperlink" Target="http://e-ciggbolaget.se/" TargetMode="External"/><Relationship Id="rId6850" Type="http://schemas.openxmlformats.org/officeDocument/2006/relationships/hyperlink" Target="http://spelklubben.se/" TargetMode="External"/><Relationship Id="rId7901" Type="http://schemas.openxmlformats.org/officeDocument/2006/relationships/hyperlink" Target="http://himala.ai/" TargetMode="External"/><Relationship Id="rId201" Type="http://schemas.openxmlformats.org/officeDocument/2006/relationships/hyperlink" Target="http://askskinfo.com/" TargetMode="External"/><Relationship Id="rId5452" Type="http://schemas.openxmlformats.org/officeDocument/2006/relationships/hyperlink" Target="https://ekstromgaray.se/skicka-in-manus/" TargetMode="External"/><Relationship Id="rId6503" Type="http://schemas.openxmlformats.org/officeDocument/2006/relationships/hyperlink" Target="http://fairinvestments.se/" TargetMode="External"/><Relationship Id="rId4054" Type="http://schemas.openxmlformats.org/officeDocument/2006/relationships/hyperlink" Target="https://www.realtid.se/la-reine-mannen-ar-tillbaka-lockar-investeringar-till-solcellsbranschen/" TargetMode="External"/><Relationship Id="rId5105" Type="http://schemas.openxmlformats.org/officeDocument/2006/relationships/hyperlink" Target="https://tiotak.se/byta-tak-ekonomibyggnad/" TargetMode="External"/><Relationship Id="rId8675" Type="http://schemas.openxmlformats.org/officeDocument/2006/relationships/hyperlink" Target="https://direktbygg.se/vvs-tjanster-i-taby-som-forbattrar-ditt-byggprojekt/" TargetMode="External"/><Relationship Id="rId9726" Type="http://schemas.openxmlformats.org/officeDocument/2006/relationships/hyperlink" Target="https://www.nordicknots.com/us" TargetMode="External"/><Relationship Id="rId7277" Type="http://schemas.openxmlformats.org/officeDocument/2006/relationships/hyperlink" Target="http://kleer.se/" TargetMode="External"/><Relationship Id="rId8328" Type="http://schemas.openxmlformats.org/officeDocument/2006/relationships/hyperlink" Target="https://www.gearfuse.com/innovative-technologies-that-can-help-roofers-succeed/" TargetMode="External"/><Relationship Id="rId11656" Type="http://schemas.openxmlformats.org/officeDocument/2006/relationships/hyperlink" Target="http://vontabel.com/" TargetMode="External"/><Relationship Id="rId12707" Type="http://schemas.openxmlformats.org/officeDocument/2006/relationships/hyperlink" Target="https://hobbyforalla.se/ett-hallbart-val-av-papper-for-dina-kreativa-projekt/" TargetMode="External"/><Relationship Id="rId1715" Type="http://schemas.openxmlformats.org/officeDocument/2006/relationships/hyperlink" Target="http://tandea.se/" TargetMode="External"/><Relationship Id="rId10258" Type="http://schemas.openxmlformats.org/officeDocument/2006/relationships/hyperlink" Target="https://www.bethard.com/sv/sports/fotboll?tab=liveAndUpcoming" TargetMode="External"/><Relationship Id="rId11309" Type="http://schemas.openxmlformats.org/officeDocument/2006/relationships/hyperlink" Target="http://fairinvestments.se/" TargetMode="External"/><Relationship Id="rId3887" Type="http://schemas.openxmlformats.org/officeDocument/2006/relationships/hyperlink" Target="https://www.totallystockholm.se/olika-sorters-takmaterial-for-olika-klimat/" TargetMode="External"/><Relationship Id="rId4938" Type="http://schemas.openxmlformats.org/officeDocument/2006/relationships/hyperlink" Target="https://hazard.se/betting/proffsens-bettingstrategi-sa-betar-de-basta/" TargetMode="External"/><Relationship Id="rId2489" Type="http://schemas.openxmlformats.org/officeDocument/2006/relationships/hyperlink" Target="https://distansinstitutet.se/" TargetMode="External"/><Relationship Id="rId6360" Type="http://schemas.openxmlformats.org/officeDocument/2006/relationships/hyperlink" Target="https://ourculturemag.com/2024/11/22/printler-bringing-art-to-the-people/" TargetMode="External"/><Relationship Id="rId7411" Type="http://schemas.openxmlformats.org/officeDocument/2006/relationships/hyperlink" Target="https://www.purakliniken.se/estetisk-tandvard/tandimplantat/" TargetMode="External"/><Relationship Id="rId2970" Type="http://schemas.openxmlformats.org/officeDocument/2006/relationships/hyperlink" Target="http://e-ciggbolaget.se/" TargetMode="External"/><Relationship Id="rId6013" Type="http://schemas.openxmlformats.org/officeDocument/2006/relationships/hyperlink" Target="https://www.bathav.se/fiskeutrustning-for-alla-typer-av-fiske/" TargetMode="External"/><Relationship Id="rId9583" Type="http://schemas.openxmlformats.org/officeDocument/2006/relationships/hyperlink" Target="http://svenskalasjouren.se/" TargetMode="External"/><Relationship Id="rId12564" Type="http://schemas.openxmlformats.org/officeDocument/2006/relationships/hyperlink" Target="https://app.ahrefs.com/keywords-explorer/google/se/overview?keyword=cbd%20olja" TargetMode="External"/><Relationship Id="rId942" Type="http://schemas.openxmlformats.org/officeDocument/2006/relationships/hyperlink" Target="https://www.mynewsdesk.com/se/visibility-punktum-group/blog_posts/dessa-tankesaett-kan-hjaelpa-en-att-hantera-en-rehab-114462" TargetMode="External"/><Relationship Id="rId1572" Type="http://schemas.openxmlformats.org/officeDocument/2006/relationships/hyperlink" Target="http://tryggbil.se/" TargetMode="External"/><Relationship Id="rId2623" Type="http://schemas.openxmlformats.org/officeDocument/2006/relationships/hyperlink" Target="http://tandea.se/" TargetMode="External"/><Relationship Id="rId8185" Type="http://schemas.openxmlformats.org/officeDocument/2006/relationships/hyperlink" Target="http://tkw.se/" TargetMode="External"/><Relationship Id="rId9236" Type="http://schemas.openxmlformats.org/officeDocument/2006/relationships/hyperlink" Target="https://mittvitahus.se/belysningens-betydelse-for-ett-trivsamt-hem/" TargetMode="External"/><Relationship Id="rId11166" Type="http://schemas.openxmlformats.org/officeDocument/2006/relationships/hyperlink" Target="https://www.idreren.se/" TargetMode="External"/><Relationship Id="rId12217" Type="http://schemas.openxmlformats.org/officeDocument/2006/relationships/hyperlink" Target="https://ritty.se/hyr-kassa/" TargetMode="External"/><Relationship Id="rId1225" Type="http://schemas.openxmlformats.org/officeDocument/2006/relationships/hyperlink" Target="https://schjodt.com/expertise/rekonstruktion-insolvens" TargetMode="External"/><Relationship Id="rId3397" Type="http://schemas.openxmlformats.org/officeDocument/2006/relationships/hyperlink" Target="http://mrnicco.com/" TargetMode="External"/><Relationship Id="rId4795" Type="http://schemas.openxmlformats.org/officeDocument/2006/relationships/hyperlink" Target="https://www.nyaprojekt.se/2024/07/29/framtidens-kontorsutrymmen-flexibla-och-hallbara-losningar/" TargetMode="External"/><Relationship Id="rId5846" Type="http://schemas.openxmlformats.org/officeDocument/2006/relationships/hyperlink" Target="http://seniorrabatt.se/" TargetMode="External"/><Relationship Id="rId4448" Type="http://schemas.openxmlformats.org/officeDocument/2006/relationships/hyperlink" Target="https://now.nu/den-ultimata-guiden-for-en-smidig-flytt-flyttips-checklistor/" TargetMode="External"/><Relationship Id="rId10999" Type="http://schemas.openxmlformats.org/officeDocument/2006/relationships/hyperlink" Target="https://www.battrestadsdel.se/i-samarbete-med-2/sa-fixar-du-smidigt-foretagsboende-soderort-pa-tapeten/" TargetMode="External"/><Relationship Id="rId11300" Type="http://schemas.openxmlformats.org/officeDocument/2006/relationships/hyperlink" Target="http://fairinvestments.se/" TargetMode="External"/><Relationship Id="rId2480" Type="http://schemas.openxmlformats.org/officeDocument/2006/relationships/hyperlink" Target="https://distansinstitutet.se/distansutbildningar/pedagogik/vardbitrade/" TargetMode="External"/><Relationship Id="rId3531" Type="http://schemas.openxmlformats.org/officeDocument/2006/relationships/hyperlink" Target="http://aaatak.se/" TargetMode="External"/><Relationship Id="rId9093" Type="http://schemas.openxmlformats.org/officeDocument/2006/relationships/hyperlink" Target="https://www.scienceworldreport.com/articles/62147/20250514/the-new-workforce-ai-agents.htm" TargetMode="External"/><Relationship Id="rId12074" Type="http://schemas.openxmlformats.org/officeDocument/2006/relationships/hyperlink" Target="https://markets.vontobel.com/sv-se/produkter/leverage/mini-future" TargetMode="External"/><Relationship Id="rId13125" Type="http://schemas.openxmlformats.org/officeDocument/2006/relationships/hyperlink" Target="http://megariches.com/" TargetMode="External"/><Relationship Id="rId452" Type="http://schemas.openxmlformats.org/officeDocument/2006/relationships/hyperlink" Target="http://tiotak.se/" TargetMode="External"/><Relationship Id="rId1082" Type="http://schemas.openxmlformats.org/officeDocument/2006/relationships/hyperlink" Target="https://www.alfa.no/collections/tursko" TargetMode="External"/><Relationship Id="rId2133" Type="http://schemas.openxmlformats.org/officeDocument/2006/relationships/hyperlink" Target="https://www.rightonblog.net/hur-mycket-tanker-du-pa-framtiden" TargetMode="External"/><Relationship Id="rId6754" Type="http://schemas.openxmlformats.org/officeDocument/2006/relationships/hyperlink" Target="http://joureliten.se/" TargetMode="External"/><Relationship Id="rId7805" Type="http://schemas.openxmlformats.org/officeDocument/2006/relationships/hyperlink" Target="https://www.lidingonyheter.se/varldens-vanligaste-komplimang-och-vad-den-betyder/" TargetMode="External"/><Relationship Id="rId105" Type="http://schemas.openxmlformats.org/officeDocument/2006/relationships/hyperlink" Target="https://nem.health/" TargetMode="External"/><Relationship Id="rId5356" Type="http://schemas.openxmlformats.org/officeDocument/2006/relationships/hyperlink" Target="https://www.itsawomensworld.se/" TargetMode="External"/><Relationship Id="rId6407" Type="http://schemas.openxmlformats.org/officeDocument/2006/relationships/hyperlink" Target="http://chattanoogarehab.com/" TargetMode="External"/><Relationship Id="rId5009" Type="http://schemas.openxmlformats.org/officeDocument/2006/relationships/hyperlink" Target="https://www.dagenshandel.se/lb-article/180742/every-night-studios-livar-upp-profilkladesbranschen" TargetMode="External"/><Relationship Id="rId8579" Type="http://schemas.openxmlformats.org/officeDocument/2006/relationships/hyperlink" Target="https://mockfjards.se/att-byta-fonster" TargetMode="External"/><Relationship Id="rId9977" Type="http://schemas.openxmlformats.org/officeDocument/2006/relationships/hyperlink" Target="https://www.myownwater.com/aluminum-water-bottles" TargetMode="External"/><Relationship Id="rId12958" Type="http://schemas.openxmlformats.org/officeDocument/2006/relationships/hyperlink" Target="http://fairinvestments.se/" TargetMode="External"/><Relationship Id="rId1966" Type="http://schemas.openxmlformats.org/officeDocument/2006/relationships/hyperlink" Target="http://distansinstitutet.se/" TargetMode="External"/><Relationship Id="rId1619" Type="http://schemas.openxmlformats.org/officeDocument/2006/relationships/hyperlink" Target="https://www.triwa.com/watches-for-men" TargetMode="External"/><Relationship Id="rId3041" Type="http://schemas.openxmlformats.org/officeDocument/2006/relationships/hyperlink" Target="http://spelklubben.se/" TargetMode="External"/><Relationship Id="rId7662" Type="http://schemas.openxmlformats.org/officeDocument/2006/relationships/hyperlink" Target="http://bigbenstandup.com/" TargetMode="External"/><Relationship Id="rId8713" Type="http://schemas.openxmlformats.org/officeDocument/2006/relationships/hyperlink" Target="https://www.lilla-varlden.se/" TargetMode="External"/><Relationship Id="rId10643" Type="http://schemas.openxmlformats.org/officeDocument/2006/relationships/hyperlink" Target="https://turner.fi/" TargetMode="External"/><Relationship Id="rId10990" Type="http://schemas.openxmlformats.org/officeDocument/2006/relationships/hyperlink" Target="https://www.byggnyheter.se/20250902/32458/ritningar-rantor-och-risk-sa-bygger-du-buffert-i-en-skakig-konjunktur" TargetMode="External"/><Relationship Id="rId6264" Type="http://schemas.openxmlformats.org/officeDocument/2006/relationships/hyperlink" Target="https://sakraror.se/vara-tjanster/allman-service-vvs/vvs-i-sollentuna/" TargetMode="External"/><Relationship Id="rId7315" Type="http://schemas.openxmlformats.org/officeDocument/2006/relationships/hyperlink" Target="https://www.kleer.se/" TargetMode="External"/><Relationship Id="rId9487" Type="http://schemas.openxmlformats.org/officeDocument/2006/relationships/hyperlink" Target="http://arctic.se/" TargetMode="External"/><Relationship Id="rId1476" Type="http://schemas.openxmlformats.org/officeDocument/2006/relationships/hyperlink" Target="http://advancepointcap.com/" TargetMode="External"/><Relationship Id="rId2874" Type="http://schemas.openxmlformats.org/officeDocument/2006/relationships/hyperlink" Target="https://uppsalabostad.se/panther-bar-den-allomfattande-engangsvape-upplevelsen/" TargetMode="External"/><Relationship Id="rId3925" Type="http://schemas.openxmlformats.org/officeDocument/2006/relationships/hyperlink" Target="https://www.shadowtrain.com/poetry-and-fashion" TargetMode="External"/><Relationship Id="rId8089" Type="http://schemas.openxmlformats.org/officeDocument/2006/relationships/hyperlink" Target="http://svenskiptv.com/" TargetMode="External"/><Relationship Id="rId12468" Type="http://schemas.openxmlformats.org/officeDocument/2006/relationships/hyperlink" Target="http://fairinvestments.se/" TargetMode="External"/><Relationship Id="rId846" Type="http://schemas.openxmlformats.org/officeDocument/2006/relationships/hyperlink" Target="https://focusera.se/sa-ser-man-till-att-man-kan-koncetrera-sig-pa-jobbet/" TargetMode="External"/><Relationship Id="rId1129" Type="http://schemas.openxmlformats.org/officeDocument/2006/relationships/hyperlink" Target="http://fashionetc.com/fashion/fashion-news/9281-3-ways-to-be-more-stylish-today" TargetMode="External"/><Relationship Id="rId2527" Type="http://schemas.openxmlformats.org/officeDocument/2006/relationships/hyperlink" Target="https://www.vont.se/vitt-snus" TargetMode="External"/><Relationship Id="rId5000" Type="http://schemas.openxmlformats.org/officeDocument/2006/relationships/hyperlink" Target="https://www.entreprenad.com/lb-article/180720/skalfasader-inom-bygg-modern-teknik-for-hallbar-renovering" TargetMode="External"/><Relationship Id="rId4699" Type="http://schemas.openxmlformats.org/officeDocument/2006/relationships/hyperlink" Target="https://ledkungen.se/collections/led-lister" TargetMode="External"/><Relationship Id="rId8570" Type="http://schemas.openxmlformats.org/officeDocument/2006/relationships/hyperlink" Target="https://www.purakliniken.se/estetisk-tandvard/skalfasader/" TargetMode="External"/><Relationship Id="rId9621" Type="http://schemas.openxmlformats.org/officeDocument/2006/relationships/hyperlink" Target="https://www.varsity.co.uk/sponsored/how-online-casinos-like-mr-vegas-are-changing-digital-entertainment-for-students" TargetMode="External"/><Relationship Id="rId11551" Type="http://schemas.openxmlformats.org/officeDocument/2006/relationships/hyperlink" Target="https://sufracofinebrands.com/kategori/Varumarken-Compagnie-de-Provence" TargetMode="External"/><Relationship Id="rId12602" Type="http://schemas.openxmlformats.org/officeDocument/2006/relationships/hyperlink" Target="https://www.dagensps.se/karriar/hur-du-lar-dig-att-fatta-beslut-snabbare/" TargetMode="External"/><Relationship Id="rId1610" Type="http://schemas.openxmlformats.org/officeDocument/2006/relationships/hyperlink" Target="http://ledkungen.se/" TargetMode="External"/><Relationship Id="rId7172" Type="http://schemas.openxmlformats.org/officeDocument/2006/relationships/hyperlink" Target="https://businessacademy.se/forlagets-roll-i-det-moderna-affarslivet/" TargetMode="External"/><Relationship Id="rId8223" Type="http://schemas.openxmlformats.org/officeDocument/2006/relationships/hyperlink" Target="https://www.sarasotamagazine.com/advantagepoint/2025/03/coastal-chic-roofing-top-trends-for-sarasota-homes" TargetMode="External"/><Relationship Id="rId10153" Type="http://schemas.openxmlformats.org/officeDocument/2006/relationships/hyperlink" Target="https://www.videoslots.com/sv/" TargetMode="External"/><Relationship Id="rId11204" Type="http://schemas.openxmlformats.org/officeDocument/2006/relationships/hyperlink" Target="http://blugiallo.com/" TargetMode="External"/><Relationship Id="rId3782" Type="http://schemas.openxmlformats.org/officeDocument/2006/relationships/hyperlink" Target="https://standupsverige.se/" TargetMode="External"/><Relationship Id="rId4833" Type="http://schemas.openxmlformats.org/officeDocument/2006/relationships/hyperlink" Target="https://www.videoslots.com/" TargetMode="External"/><Relationship Id="rId2384" Type="http://schemas.openxmlformats.org/officeDocument/2006/relationships/hyperlink" Target="http://notyfile.se/sv" TargetMode="External"/><Relationship Id="rId3435" Type="http://schemas.openxmlformats.org/officeDocument/2006/relationships/hyperlink" Target="https://edgehyllie.se/timra-teknik-service-ab-ttsab-byggnadstjanster-av-exceptionell-kvalite/" TargetMode="External"/><Relationship Id="rId13029" Type="http://schemas.openxmlformats.org/officeDocument/2006/relationships/hyperlink" Target="https://www.grontsamhallsbyggande.se/2025/10/01/design-for-ateranvandning/" TargetMode="External"/><Relationship Id="rId356" Type="http://schemas.openxmlformats.org/officeDocument/2006/relationships/hyperlink" Target="http://elmarknad.se/" TargetMode="External"/><Relationship Id="rId2037" Type="http://schemas.openxmlformats.org/officeDocument/2006/relationships/hyperlink" Target="https://www.wildjunketmagazine.com/electronics-to-carry-on-your-adventure-trip" TargetMode="External"/><Relationship Id="rId6658" Type="http://schemas.openxmlformats.org/officeDocument/2006/relationships/hyperlink" Target="https://www.lansfast.se/maklare/sodermanland/trosa/" TargetMode="External"/><Relationship Id="rId7709" Type="http://schemas.openxmlformats.org/officeDocument/2006/relationships/hyperlink" Target="https://veganbeauty.se/vardcentralens-paverkan-pa-skonhet-och-halsa-i-spanga-tensta/" TargetMode="External"/><Relationship Id="rId8080" Type="http://schemas.openxmlformats.org/officeDocument/2006/relationships/hyperlink" Target="http://cherry.com/" TargetMode="External"/><Relationship Id="rId9131" Type="http://schemas.openxmlformats.org/officeDocument/2006/relationships/hyperlink" Target="http://mynicco.com/" TargetMode="External"/><Relationship Id="rId11061" Type="http://schemas.openxmlformats.org/officeDocument/2006/relationships/hyperlink" Target="http://lsb.se/" TargetMode="External"/><Relationship Id="rId12112" Type="http://schemas.openxmlformats.org/officeDocument/2006/relationships/hyperlink" Target="http://robomarkets.com/" TargetMode="External"/><Relationship Id="rId1120" Type="http://schemas.openxmlformats.org/officeDocument/2006/relationships/hyperlink" Target="https://baucemag.com/the-psychology-of-colors-what-your-choice-says-about-you/" TargetMode="External"/><Relationship Id="rId4690" Type="http://schemas.openxmlformats.org/officeDocument/2006/relationships/hyperlink" Target="https://bigbenstandup.com/svensk-stand-up/svenska-komiker/tomas-bonderud" TargetMode="External"/><Relationship Id="rId5741" Type="http://schemas.openxmlformats.org/officeDocument/2006/relationships/hyperlink" Target="https://webbkrysset.se/synonym/spel-synonymer-till-spel/" TargetMode="External"/><Relationship Id="rId3292" Type="http://schemas.openxmlformats.org/officeDocument/2006/relationships/hyperlink" Target="https://fairinvestments.se/" TargetMode="External"/><Relationship Id="rId4343" Type="http://schemas.openxmlformats.org/officeDocument/2006/relationships/hyperlink" Target="https://www.spelklubben.se/sv/casino/slots" TargetMode="External"/><Relationship Id="rId8964" Type="http://schemas.openxmlformats.org/officeDocument/2006/relationships/hyperlink" Target="https://www.avanza.se/fonder/om-fonden.html/1205492/spets-a" TargetMode="External"/><Relationship Id="rId7566" Type="http://schemas.openxmlformats.org/officeDocument/2006/relationships/hyperlink" Target="https://casinodjungel.se/casinon/cherry-casino/" TargetMode="External"/><Relationship Id="rId8617" Type="http://schemas.openxmlformats.org/officeDocument/2006/relationships/hyperlink" Target="https://hobbyshoppen.se/att-fa-sin-bok-utgiven-som-en-del-av-sin-hobby/" TargetMode="External"/><Relationship Id="rId10894" Type="http://schemas.openxmlformats.org/officeDocument/2006/relationships/hyperlink" Target="http://indoorprofessional.se/" TargetMode="External"/><Relationship Id="rId11945" Type="http://schemas.openxmlformats.org/officeDocument/2006/relationships/hyperlink" Target="https://www.afian.se/2023/09/27/vikten-av-testautomatisering-i-programvaruproduktion/" TargetMode="External"/><Relationship Id="rId6168" Type="http://schemas.openxmlformats.org/officeDocument/2006/relationships/hyperlink" Target="http://e-ciggbolaget.se/" TargetMode="External"/><Relationship Id="rId7219" Type="http://schemas.openxmlformats.org/officeDocument/2006/relationships/hyperlink" Target="http://cdbilvardsprodukter.se/" TargetMode="External"/><Relationship Id="rId10547" Type="http://schemas.openxmlformats.org/officeDocument/2006/relationships/hyperlink" Target="https://merchoteket.se/collections/muggar" TargetMode="External"/><Relationship Id="rId13020" Type="http://schemas.openxmlformats.org/officeDocument/2006/relationships/hyperlink" Target="http://lilla-varlden.se/" TargetMode="External"/><Relationship Id="rId2778" Type="http://schemas.openxmlformats.org/officeDocument/2006/relationships/hyperlink" Target="http://glitnor.com/" TargetMode="External"/><Relationship Id="rId3829" Type="http://schemas.openxmlformats.org/officeDocument/2006/relationships/hyperlink" Target="https://paracas.se/cirkular-ekonomi-en-hallbar-vag-framat/" TargetMode="External"/><Relationship Id="rId7700" Type="http://schemas.openxmlformats.org/officeDocument/2006/relationships/hyperlink" Target="https://vardagsfrid.se/hemstadning/stockholm" TargetMode="External"/><Relationship Id="rId5251" Type="http://schemas.openxmlformats.org/officeDocument/2006/relationships/hyperlink" Target="https://www.myownwater.com/" TargetMode="External"/><Relationship Id="rId6302" Type="http://schemas.openxmlformats.org/officeDocument/2006/relationships/hyperlink" Target="https://digitalfritid.se/vaping-som-fritidsaktivitet-utforska-vonts-varld/" TargetMode="External"/><Relationship Id="rId9872" Type="http://schemas.openxmlformats.org/officeDocument/2006/relationships/hyperlink" Target="http://hund.se/" TargetMode="External"/><Relationship Id="rId12853" Type="http://schemas.openxmlformats.org/officeDocument/2006/relationships/hyperlink" Target="https://havokjournal.com/nation/business/why-aluminum-water-bottles-are-the-smarter-greener-choice-for-events-and-brands/" TargetMode="External"/><Relationship Id="rId86" Type="http://schemas.openxmlformats.org/officeDocument/2006/relationships/hyperlink" Target="https://blugiallo.com/custom-tailored/clothes/jeans/" TargetMode="External"/><Relationship Id="rId1861" Type="http://schemas.openxmlformats.org/officeDocument/2006/relationships/hyperlink" Target="https://w3elsolenergi.se/" TargetMode="External"/><Relationship Id="rId2912" Type="http://schemas.openxmlformats.org/officeDocument/2006/relationships/hyperlink" Target="https://nordictimes.com/partner/maximera-produktiviteten-pa-arbetsplatsen/" TargetMode="External"/><Relationship Id="rId8474" Type="http://schemas.openxmlformats.org/officeDocument/2006/relationships/hyperlink" Target="https://iptvdansk.com/" TargetMode="External"/><Relationship Id="rId9525" Type="http://schemas.openxmlformats.org/officeDocument/2006/relationships/hyperlink" Target="https://www.petster.se/hast/hasttacken/" TargetMode="External"/><Relationship Id="rId11455" Type="http://schemas.openxmlformats.org/officeDocument/2006/relationships/hyperlink" Target="https://eventeffect.se/ratt-belysning-for-storre-event/" TargetMode="External"/><Relationship Id="rId12506" Type="http://schemas.openxmlformats.org/officeDocument/2006/relationships/hyperlink" Target="https://www.allabolag.se/5568169626/bokslut" TargetMode="External"/><Relationship Id="rId1514" Type="http://schemas.openxmlformats.org/officeDocument/2006/relationships/hyperlink" Target="http://happysocks.com/" TargetMode="External"/><Relationship Id="rId7076" Type="http://schemas.openxmlformats.org/officeDocument/2006/relationships/hyperlink" Target="https://avstarnews.com/the-vital-role-of-physical-activity-in-health-and-well-being/" TargetMode="External"/><Relationship Id="rId8127" Type="http://schemas.openxmlformats.org/officeDocument/2006/relationships/hyperlink" Target="http://fairinvestments.se/" TargetMode="External"/><Relationship Id="rId10057" Type="http://schemas.openxmlformats.org/officeDocument/2006/relationships/hyperlink" Target="https://www.husohem.se/partner/casino-med-lyx-hemma-sa-inreder-du-for-att-skapa-las-vegas-kansla/" TargetMode="External"/><Relationship Id="rId11108" Type="http://schemas.openxmlformats.org/officeDocument/2006/relationships/hyperlink" Target="https://www.kungaslottet.se/sv/mobile/" TargetMode="External"/><Relationship Id="rId3686" Type="http://schemas.openxmlformats.org/officeDocument/2006/relationships/hyperlink" Target="http://tandea.se/" TargetMode="External"/><Relationship Id="rId2288" Type="http://schemas.openxmlformats.org/officeDocument/2006/relationships/hyperlink" Target="https://www.schmack.se/gammal-ladugard-far-nytt-liv" TargetMode="External"/><Relationship Id="rId3339" Type="http://schemas.openxmlformats.org/officeDocument/2006/relationships/hyperlink" Target="https://bigbenstandup.com/svensk-stand-up/svenska-komiker/tomas-bonderud" TargetMode="External"/><Relationship Id="rId4737" Type="http://schemas.openxmlformats.org/officeDocument/2006/relationships/hyperlink" Target="http://spelklubben.se/" TargetMode="External"/><Relationship Id="rId7210" Type="http://schemas.openxmlformats.org/officeDocument/2006/relationships/hyperlink" Target="http://joureliten.se/" TargetMode="External"/><Relationship Id="rId3820" Type="http://schemas.openxmlformats.org/officeDocument/2006/relationships/hyperlink" Target="https://formtrappan.se/" TargetMode="External"/><Relationship Id="rId9382" Type="http://schemas.openxmlformats.org/officeDocument/2006/relationships/hyperlink" Target="https://aktiewiki.se/frilansare-kan-faktiskt-ga-runt-ekonomiskt/" TargetMode="External"/><Relationship Id="rId12363" Type="http://schemas.openxmlformats.org/officeDocument/2006/relationships/hyperlink" Target="http://vont.se/" TargetMode="External"/><Relationship Id="rId741" Type="http://schemas.openxmlformats.org/officeDocument/2006/relationships/hyperlink" Target="http://lansfast.se/" TargetMode="External"/><Relationship Id="rId1371" Type="http://schemas.openxmlformats.org/officeDocument/2006/relationships/hyperlink" Target="https://www.reco.se/fair-investments-sweden-ab" TargetMode="External"/><Relationship Id="rId2422" Type="http://schemas.openxmlformats.org/officeDocument/2006/relationships/hyperlink" Target="https://www.vont.se/to-go" TargetMode="External"/><Relationship Id="rId5992" Type="http://schemas.openxmlformats.org/officeDocument/2006/relationships/hyperlink" Target="https://www.nodepositbonus.cc/free-chips-no-deposit-casino-bonuses/100-dollar-no-deposit-casino-chips/" TargetMode="External"/><Relationship Id="rId9035" Type="http://schemas.openxmlformats.org/officeDocument/2006/relationships/hyperlink" Target="https://www.myownwater.com/" TargetMode="External"/><Relationship Id="rId12016" Type="http://schemas.openxmlformats.org/officeDocument/2006/relationships/hyperlink" Target="http://bigbenstandup.com/" TargetMode="External"/><Relationship Id="rId1024" Type="http://schemas.openxmlformats.org/officeDocument/2006/relationships/hyperlink" Target="https://thefashionglobe.com/three-dynamic-ways-for-men-to-personalise-their-style" TargetMode="External"/><Relationship Id="rId4594" Type="http://schemas.openxmlformats.org/officeDocument/2006/relationships/hyperlink" Target="https://www.snusnetto.se/tobaksfritt-snus/" TargetMode="External"/><Relationship Id="rId5645" Type="http://schemas.openxmlformats.org/officeDocument/2006/relationships/hyperlink" Target="https://fairinvestments.se/" TargetMode="External"/><Relationship Id="rId3196" Type="http://schemas.openxmlformats.org/officeDocument/2006/relationships/hyperlink" Target="http://finansplassen.no/" TargetMode="External"/><Relationship Id="rId4247" Type="http://schemas.openxmlformats.org/officeDocument/2006/relationships/hyperlink" Target="https://economictimes.ae/guides/the-rapid-growth-of-nicotine-pouches-a-modern-alternative-to-smoking/" TargetMode="External"/><Relationship Id="rId8868" Type="http://schemas.openxmlformats.org/officeDocument/2006/relationships/hyperlink" Target="http://flygbussarna.se/" TargetMode="External"/><Relationship Id="rId9919" Type="http://schemas.openxmlformats.org/officeDocument/2006/relationships/hyperlink" Target="https://www.nettotobak.com/" TargetMode="External"/><Relationship Id="rId10798" Type="http://schemas.openxmlformats.org/officeDocument/2006/relationships/hyperlink" Target="http://lsb.se/" TargetMode="External"/><Relationship Id="rId11849" Type="http://schemas.openxmlformats.org/officeDocument/2006/relationships/hyperlink" Target="https://blugiallo.se/herrklader/klader/kostymer/" TargetMode="External"/><Relationship Id="rId1908" Type="http://schemas.openxmlformats.org/officeDocument/2006/relationships/hyperlink" Target="https://www.rightonblog.net/ordning-pa-kontoret" TargetMode="External"/><Relationship Id="rId13271" Type="http://schemas.openxmlformats.org/officeDocument/2006/relationships/hyperlink" Target="https://dinbyggnad.se/vikten-av-professionell-service-for-bilar-inom-byggbranschen/" TargetMode="External"/><Relationship Id="rId251" Type="http://schemas.openxmlformats.org/officeDocument/2006/relationships/hyperlink" Target="http://arctic.se/" TargetMode="External"/><Relationship Id="rId3330" Type="http://schemas.openxmlformats.org/officeDocument/2006/relationships/hyperlink" Target="https://massagestockholm.se/" TargetMode="External"/><Relationship Id="rId7951" Type="http://schemas.openxmlformats.org/officeDocument/2006/relationships/hyperlink" Target="https://passioneffect.se/smutsiga-kontor-okar-stressen-dags-att-stada-upp-i-stockholm/" TargetMode="External"/><Relationship Id="rId10932" Type="http://schemas.openxmlformats.org/officeDocument/2006/relationships/hyperlink" Target="https://businessleben.de/gewaechshaeuser-steigern-produktivitaet" TargetMode="External"/><Relationship Id="rId6553" Type="http://schemas.openxmlformats.org/officeDocument/2006/relationships/hyperlink" Target="http://arctic.se/" TargetMode="External"/><Relationship Id="rId7604" Type="http://schemas.openxmlformats.org/officeDocument/2006/relationships/hyperlink" Target="http://upplevelse.com/" TargetMode="External"/><Relationship Id="rId5155" Type="http://schemas.openxmlformats.org/officeDocument/2006/relationships/hyperlink" Target="https://bigbenstandup.com/" TargetMode="External"/><Relationship Id="rId6206" Type="http://schemas.openxmlformats.org/officeDocument/2006/relationships/hyperlink" Target="https://www.spelklubben.se/sv/casino" TargetMode="External"/><Relationship Id="rId9776" Type="http://schemas.openxmlformats.org/officeDocument/2006/relationships/hyperlink" Target="http://kleer.se/" TargetMode="External"/><Relationship Id="rId1765" Type="http://schemas.openxmlformats.org/officeDocument/2006/relationships/hyperlink" Target="https://www.foyen.se/om-oss/vara-kontor/foyen-i-stockholm/" TargetMode="External"/><Relationship Id="rId8378" Type="http://schemas.openxmlformats.org/officeDocument/2006/relationships/hyperlink" Target="http://mockfjards.se/" TargetMode="External"/><Relationship Id="rId9429" Type="http://schemas.openxmlformats.org/officeDocument/2006/relationships/hyperlink" Target="http://megariches.com/" TargetMode="External"/><Relationship Id="rId11359" Type="http://schemas.openxmlformats.org/officeDocument/2006/relationships/hyperlink" Target="http://fairinvestments.se/" TargetMode="External"/><Relationship Id="rId12757" Type="http://schemas.openxmlformats.org/officeDocument/2006/relationships/hyperlink" Target="https://nybyggdahus.se/effektiv-stadning-i-hemmet-for-en-hallbar-livsstil/" TargetMode="External"/><Relationship Id="rId1418" Type="http://schemas.openxmlformats.org/officeDocument/2006/relationships/hyperlink" Target="https://rehabgrossisten.com/" TargetMode="External"/><Relationship Id="rId2816" Type="http://schemas.openxmlformats.org/officeDocument/2006/relationships/hyperlink" Target="http://alfa.no/" TargetMode="External"/><Relationship Id="rId4988" Type="http://schemas.openxmlformats.org/officeDocument/2006/relationships/hyperlink" Target="https://www.fri-kopenskap.se/lb-article/180716/axfoods-borsras-orsaker-och-framtidsutsikter" TargetMode="External"/><Relationship Id="rId9910" Type="http://schemas.openxmlformats.org/officeDocument/2006/relationships/hyperlink" Target="https://turner.fi/teollisuusovet/" TargetMode="External"/><Relationship Id="rId11840" Type="http://schemas.openxmlformats.org/officeDocument/2006/relationships/hyperlink" Target="https://www.vont.se/" TargetMode="External"/><Relationship Id="rId6063" Type="http://schemas.openxmlformats.org/officeDocument/2006/relationships/hyperlink" Target="https://www.spelklubben.se/sv/" TargetMode="External"/><Relationship Id="rId7461" Type="http://schemas.openxmlformats.org/officeDocument/2006/relationships/hyperlink" Target="http://acnespecialisten.se/" TargetMode="External"/><Relationship Id="rId8512" Type="http://schemas.openxmlformats.org/officeDocument/2006/relationships/hyperlink" Target="https://www.svenskbyggtidning.se/2025/03/31/badrummets-uppgradering-en-spegel-som-kombinerar-form-och-funktion/" TargetMode="External"/><Relationship Id="rId10442" Type="http://schemas.openxmlformats.org/officeDocument/2006/relationships/hyperlink" Target="https://tradportalen.se/upptack-naturen-med-din-hund/" TargetMode="External"/><Relationship Id="rId7114" Type="http://schemas.openxmlformats.org/officeDocument/2006/relationships/hyperlink" Target="https://www.aarep.se/hitta-ratt-bilverkstad-en-investering-i-sakerhet-och-prestanda" TargetMode="External"/><Relationship Id="rId992" Type="http://schemas.openxmlformats.org/officeDocument/2006/relationships/hyperlink" Target="http://aretrotale.com/" TargetMode="External"/><Relationship Id="rId2673" Type="http://schemas.openxmlformats.org/officeDocument/2006/relationships/hyperlink" Target="http://e-ciggbolaget.se/" TargetMode="External"/><Relationship Id="rId3724" Type="http://schemas.openxmlformats.org/officeDocument/2006/relationships/hyperlink" Target="https://www.vinstraden.se/vad-ar-casino-game-shows/" TargetMode="External"/><Relationship Id="rId9286" Type="http://schemas.openxmlformats.org/officeDocument/2006/relationships/hyperlink" Target="http://sesec.se/" TargetMode="External"/><Relationship Id="rId12267" Type="http://schemas.openxmlformats.org/officeDocument/2006/relationships/hyperlink" Target="http://conclean.se/" TargetMode="External"/><Relationship Id="rId13318" Type="http://schemas.openxmlformats.org/officeDocument/2006/relationships/hyperlink" Target="https://www.epidemicsound.com/" TargetMode="External"/><Relationship Id="rId645" Type="http://schemas.openxmlformats.org/officeDocument/2006/relationships/hyperlink" Target="https://www.voguefreaks.com/gift-ideas-for-the-boyfriend/" TargetMode="External"/><Relationship Id="rId1275" Type="http://schemas.openxmlformats.org/officeDocument/2006/relationships/hyperlink" Target="https://distansinstitutet.se/distansutbildningar/administration/loneadministrator/" TargetMode="External"/><Relationship Id="rId2326" Type="http://schemas.openxmlformats.org/officeDocument/2006/relationships/hyperlink" Target="https://lemontree.se/branscher/bank-finans-forsakring/dora/" TargetMode="External"/><Relationship Id="rId5896" Type="http://schemas.openxmlformats.org/officeDocument/2006/relationships/hyperlink" Target="http://purakliniken.se/" TargetMode="External"/><Relationship Id="rId6947" Type="http://schemas.openxmlformats.org/officeDocument/2006/relationships/hyperlink" Target="http://sakraror.se/" TargetMode="External"/><Relationship Id="rId4498" Type="http://schemas.openxmlformats.org/officeDocument/2006/relationships/hyperlink" Target="http://sakraror.se/" TargetMode="External"/><Relationship Id="rId5549" Type="http://schemas.openxmlformats.org/officeDocument/2006/relationships/hyperlink" Target="http://cherry.com/" TargetMode="External"/><Relationship Id="rId9420" Type="http://schemas.openxmlformats.org/officeDocument/2006/relationships/hyperlink" Target="http://svenskafonster.se/" TargetMode="External"/><Relationship Id="rId8022" Type="http://schemas.openxmlformats.org/officeDocument/2006/relationships/hyperlink" Target="http://godies.fi/" TargetMode="External"/><Relationship Id="rId11350" Type="http://schemas.openxmlformats.org/officeDocument/2006/relationships/hyperlink" Target="http://fairinvestments.se/" TargetMode="External"/><Relationship Id="rId12401" Type="http://schemas.openxmlformats.org/officeDocument/2006/relationships/hyperlink" Target="https://www.tryggbil.se/" TargetMode="External"/><Relationship Id="rId11003" Type="http://schemas.openxmlformats.org/officeDocument/2006/relationships/hyperlink" Target="https://www.spelklubben.se/sv/casino" TargetMode="External"/><Relationship Id="rId3581" Type="http://schemas.openxmlformats.org/officeDocument/2006/relationships/hyperlink" Target="http://mobot.com/" TargetMode="External"/><Relationship Id="rId4632" Type="http://schemas.openxmlformats.org/officeDocument/2006/relationships/hyperlink" Target="https://www.saleseffect.se/6-effektiva-saljstrategier-2024-trender-och-tips/" TargetMode="External"/><Relationship Id="rId13175" Type="http://schemas.openxmlformats.org/officeDocument/2006/relationships/hyperlink" Target="https://br&#246;llopspresenttips.se/de-mest-uppskattade-klassiska-brollopspresenterna/" TargetMode="External"/><Relationship Id="rId2183" Type="http://schemas.openxmlformats.org/officeDocument/2006/relationships/hyperlink" Target="http://norteam.se/" TargetMode="External"/><Relationship Id="rId3234" Type="http://schemas.openxmlformats.org/officeDocument/2006/relationships/hyperlink" Target="https://taxiterapeuterna.se/" TargetMode="External"/><Relationship Id="rId7855" Type="http://schemas.openxmlformats.org/officeDocument/2006/relationships/hyperlink" Target="http://rusta.se/" TargetMode="External"/><Relationship Id="rId8906" Type="http://schemas.openxmlformats.org/officeDocument/2006/relationships/hyperlink" Target="https://mockfjards.se/fonster" TargetMode="External"/><Relationship Id="rId155" Type="http://schemas.openxmlformats.org/officeDocument/2006/relationships/hyperlink" Target="https://hustillsalu.se/" TargetMode="External"/><Relationship Id="rId6457" Type="http://schemas.openxmlformats.org/officeDocument/2006/relationships/hyperlink" Target="https://www.sportochfritidsnyheter.se/20241129/4078/hallbara-profilklader-sportevenemang-lyft-ditt-varumarke-med-miljovanliga-val" TargetMode="External"/><Relationship Id="rId7508" Type="http://schemas.openxmlformats.org/officeDocument/2006/relationships/hyperlink" Target="https://vitamagazine.com/2025/01/21/sustainable-interior-design-creating-an-eco-friendly-living-space/" TargetMode="External"/><Relationship Id="rId10836" Type="http://schemas.openxmlformats.org/officeDocument/2006/relationships/hyperlink" Target="https://www.videoslots.com/sv/casino/" TargetMode="External"/><Relationship Id="rId5059" Type="http://schemas.openxmlformats.org/officeDocument/2006/relationships/hyperlink" Target="https://www.allaannonser.se/samarb-spelstrategier.html" TargetMode="External"/><Relationship Id="rId1669" Type="http://schemas.openxmlformats.org/officeDocument/2006/relationships/hyperlink" Target="http://alfa.no/" TargetMode="External"/><Relationship Id="rId3091" Type="http://schemas.openxmlformats.org/officeDocument/2006/relationships/hyperlink" Target="http://freckeus.se/" TargetMode="External"/><Relationship Id="rId4142" Type="http://schemas.openxmlformats.org/officeDocument/2006/relationships/hyperlink" Target="http://kvarnx.com/" TargetMode="External"/><Relationship Id="rId5540" Type="http://schemas.openxmlformats.org/officeDocument/2006/relationships/hyperlink" Target="http://nodepositbonus.cc/" TargetMode="External"/><Relationship Id="rId8763" Type="http://schemas.openxmlformats.org/officeDocument/2006/relationships/hyperlink" Target="http://bethard.com/" TargetMode="External"/><Relationship Id="rId9814" Type="http://schemas.openxmlformats.org/officeDocument/2006/relationships/hyperlink" Target="https://sakraror.se/" TargetMode="External"/><Relationship Id="rId10693" Type="http://schemas.openxmlformats.org/officeDocument/2006/relationships/hyperlink" Target="https://battreaffarer.nu/ekonomi/fragorna-maklare-vill-att-du-staller/" TargetMode="External"/><Relationship Id="rId11744" Type="http://schemas.openxmlformats.org/officeDocument/2006/relationships/hyperlink" Target="https://krafitis.com/5-qualities-to-scrutinize-when-purchasing-horse-riding-gloves-today/" TargetMode="External"/><Relationship Id="rId28" Type="http://schemas.openxmlformats.org/officeDocument/2006/relationships/hyperlink" Target="http://blugiallo.com/" TargetMode="External"/><Relationship Id="rId1803" Type="http://schemas.openxmlformats.org/officeDocument/2006/relationships/hyperlink" Target="https://serviceteknikerkarlstad.se/nar-ar-det-dags-att-byta-fonster/" TargetMode="External"/><Relationship Id="rId7365" Type="http://schemas.openxmlformats.org/officeDocument/2006/relationships/hyperlink" Target="https://kelleher-international.com/professional-matchmaking-for-men/" TargetMode="External"/><Relationship Id="rId8416" Type="http://schemas.openxmlformats.org/officeDocument/2006/relationships/hyperlink" Target="https://www.executiveeffect.se/vad-galler-for-giveaways-pa-arbetsplatsen/" TargetMode="External"/><Relationship Id="rId10346" Type="http://schemas.openxmlformats.org/officeDocument/2006/relationships/hyperlink" Target="https://www.nykommun.se/2025/07/23/livskvalitet-vid-havet-darfor-valjer-manga-lidingo/" TargetMode="External"/><Relationship Id="rId3975" Type="http://schemas.openxmlformats.org/officeDocument/2006/relationships/hyperlink" Target="https://www.executiveeffect.se/skonhetsoperationer-i-fokus-allt-fler-valjer-att-forandra-sitt-utseende/" TargetMode="External"/><Relationship Id="rId7018" Type="http://schemas.openxmlformats.org/officeDocument/2006/relationships/hyperlink" Target="https://www.coface.fi/perintaepalvelut" TargetMode="External"/><Relationship Id="rId896" Type="http://schemas.openxmlformats.org/officeDocument/2006/relationships/hyperlink" Target="https://www.happysocks.com/us/collection/dressed" TargetMode="External"/><Relationship Id="rId2577" Type="http://schemas.openxmlformats.org/officeDocument/2006/relationships/hyperlink" Target="http://aretrotale.com/" TargetMode="External"/><Relationship Id="rId3628" Type="http://schemas.openxmlformats.org/officeDocument/2006/relationships/hyperlink" Target="http://norteam.se/" TargetMode="External"/><Relationship Id="rId549" Type="http://schemas.openxmlformats.org/officeDocument/2006/relationships/hyperlink" Target="https://www.elmarknad.se/spotpris/imorgon" TargetMode="External"/><Relationship Id="rId1179" Type="http://schemas.openxmlformats.org/officeDocument/2006/relationships/hyperlink" Target="http://veterinarklinikenbirsta.se/" TargetMode="External"/><Relationship Id="rId5050" Type="http://schemas.openxmlformats.org/officeDocument/2006/relationships/hyperlink" Target="https://www.framtidensbygg.se/lb-article/180752/pontoner-en-nyckel-till-framtidens-byggprojekt" TargetMode="External"/><Relationship Id="rId6101" Type="http://schemas.openxmlformats.org/officeDocument/2006/relationships/hyperlink" Target="https://onthisveryspot.com/latest/gaming-and-recovery-enhancing-muscle-rehabilitation-for-better-performance/" TargetMode="External"/><Relationship Id="rId8273" Type="http://schemas.openxmlformats.org/officeDocument/2006/relationships/hyperlink" Target="https://www.lifesciencesweden.se/lb-article/181363/vetenskapens-underverk-fran-partikelacceleratorer-till-rymdteleskop" TargetMode="External"/><Relationship Id="rId9671" Type="http://schemas.openxmlformats.org/officeDocument/2006/relationships/hyperlink" Target="https://flyttgaranti.se/flytt" TargetMode="External"/><Relationship Id="rId12652" Type="http://schemas.openxmlformats.org/officeDocument/2006/relationships/hyperlink" Target="https://www.executiveeffect.se/hur-du-vinner-rummet-nar-du-forklarar-spelregler/" TargetMode="External"/><Relationship Id="rId1660" Type="http://schemas.openxmlformats.org/officeDocument/2006/relationships/hyperlink" Target="http://alfa.no/" TargetMode="External"/><Relationship Id="rId2711" Type="http://schemas.openxmlformats.org/officeDocument/2006/relationships/hyperlink" Target="https://wartsila-osake.fi/tutustu-online-kasinon-maailmaan-tarjoukset-ja-bonukset-parantavat-kokemustasi/" TargetMode="External"/><Relationship Id="rId9324" Type="http://schemas.openxmlformats.org/officeDocument/2006/relationships/hyperlink" Target="http://svenskalasjouren.se/" TargetMode="External"/><Relationship Id="rId11254" Type="http://schemas.openxmlformats.org/officeDocument/2006/relationships/hyperlink" Target="http://dieselkraft.se/" TargetMode="External"/><Relationship Id="rId12305" Type="http://schemas.openxmlformats.org/officeDocument/2006/relationships/hyperlink" Target="https://ledkungen.se/collections/led-lister" TargetMode="External"/><Relationship Id="rId1313" Type="http://schemas.openxmlformats.org/officeDocument/2006/relationships/hyperlink" Target="https://haronaglarspa.se/?p=405" TargetMode="External"/><Relationship Id="rId4883" Type="http://schemas.openxmlformats.org/officeDocument/2006/relationships/hyperlink" Target="http://spelklubben.se/" TargetMode="External"/><Relationship Id="rId5934" Type="http://schemas.openxmlformats.org/officeDocument/2006/relationships/hyperlink" Target="https://www.fri-kopenskap.se/lb-article/180897/hallbart-sparande-och-investeringar-for-sma-och-medelstora-detaljhandelsforetag" TargetMode="External"/><Relationship Id="rId3485" Type="http://schemas.openxmlformats.org/officeDocument/2006/relationships/hyperlink" Target="https://kelleher-international.com/" TargetMode="External"/><Relationship Id="rId4536" Type="http://schemas.openxmlformats.org/officeDocument/2006/relationships/hyperlink" Target="http://vont.co/de" TargetMode="External"/><Relationship Id="rId13079" Type="http://schemas.openxmlformats.org/officeDocument/2006/relationships/hyperlink" Target="https://www.bergetsro.se/salja/maklare-sundbyberg/" TargetMode="External"/><Relationship Id="rId2087" Type="http://schemas.openxmlformats.org/officeDocument/2006/relationships/hyperlink" Target="https://www.bgfashion.net/article/19101/81/TRIWA-Redefining-Watches-as-Symbols-of-Change-and-Sustainability" TargetMode="External"/><Relationship Id="rId3138" Type="http://schemas.openxmlformats.org/officeDocument/2006/relationships/hyperlink" Target="http://ttsab.nu/" TargetMode="External"/><Relationship Id="rId7759" Type="http://schemas.openxmlformats.org/officeDocument/2006/relationships/hyperlink" Target="http://aerius.se/" TargetMode="External"/><Relationship Id="rId9181" Type="http://schemas.openxmlformats.org/officeDocument/2006/relationships/hyperlink" Target="https://beautytube.se/perioral-dermatit-och-dess-paverkan-pa-din-skonhetsrutin/" TargetMode="External"/><Relationship Id="rId540" Type="http://schemas.openxmlformats.org/officeDocument/2006/relationships/hyperlink" Target="https://www.swedoffice.se/kategori/69602-gaffelparm-trarygg/" TargetMode="External"/><Relationship Id="rId1170" Type="http://schemas.openxmlformats.org/officeDocument/2006/relationships/hyperlink" Target="https://www.saleseffect.se/tandlakare-och-tandvard-en-djupdykning-i-yrket-och-dess-omfattande-roll/" TargetMode="External"/><Relationship Id="rId2221" Type="http://schemas.openxmlformats.org/officeDocument/2006/relationships/hyperlink" Target="https://www.utbildningsforetagen.se/2020/11/marcus-lindh-distansinstitutet-2-2/" TargetMode="External"/><Relationship Id="rId12162" Type="http://schemas.openxmlformats.org/officeDocument/2006/relationships/hyperlink" Target="https://investeringer.se/tyreso-dar-familjeliv-moter-naturlig-skonhet-och-bekvamlighet/" TargetMode="External"/><Relationship Id="rId13213" Type="http://schemas.openxmlformats.org/officeDocument/2006/relationships/hyperlink" Target="http://kleer.se/" TargetMode="External"/><Relationship Id="rId5791" Type="http://schemas.openxmlformats.org/officeDocument/2006/relationships/hyperlink" Target="https://idrottsklubben.se/vo2-max-nyckeln-till-battre-prestanda-inom-sporten/" TargetMode="External"/><Relationship Id="rId6842" Type="http://schemas.openxmlformats.org/officeDocument/2006/relationships/hyperlink" Target="https://www.verkstaderna.se/lb-article/181080/ge-entreprenadmaskinen-den-omtanke-den-fortjanar" TargetMode="External"/><Relationship Id="rId4393" Type="http://schemas.openxmlformats.org/officeDocument/2006/relationships/hyperlink" Target="http://fairinvestments.se/" TargetMode="External"/><Relationship Id="rId5444" Type="http://schemas.openxmlformats.org/officeDocument/2006/relationships/hyperlink" Target="http://fairinvestments.se/" TargetMode="External"/><Relationship Id="rId11995" Type="http://schemas.openxmlformats.org/officeDocument/2006/relationships/hyperlink" Target="https://www.spoors.health/" TargetMode="External"/><Relationship Id="rId4046" Type="http://schemas.openxmlformats.org/officeDocument/2006/relationships/hyperlink" Target="https://www.startmotor.se/kategori/solenoider" TargetMode="External"/><Relationship Id="rId8667" Type="http://schemas.openxmlformats.org/officeDocument/2006/relationships/hyperlink" Target="http://swedenlongstay.se/" TargetMode="External"/><Relationship Id="rId9718" Type="http://schemas.openxmlformats.org/officeDocument/2006/relationships/hyperlink" Target="http://kungaslottet.se/" TargetMode="External"/><Relationship Id="rId10597" Type="http://schemas.openxmlformats.org/officeDocument/2006/relationships/hyperlink" Target="http://willabgarden.de/" TargetMode="External"/><Relationship Id="rId11648" Type="http://schemas.openxmlformats.org/officeDocument/2006/relationships/hyperlink" Target="https://markets.vontobel.com/fi-fi/tuotteet" TargetMode="External"/><Relationship Id="rId1707" Type="http://schemas.openxmlformats.org/officeDocument/2006/relationships/hyperlink" Target="https://livsfakta.se/den-perfekta-bryggan-en-guide-for-husagare-med-sjotomt/" TargetMode="External"/><Relationship Id="rId7269" Type="http://schemas.openxmlformats.org/officeDocument/2006/relationships/hyperlink" Target="https://fragbite.se/all/news/56952/4-league-of-legends-tavlingar-du-kan-betta-pa-i-var" TargetMode="External"/><Relationship Id="rId13070" Type="http://schemas.openxmlformats.org/officeDocument/2006/relationships/hyperlink" Target="https://www.startmotor.se/batterier/startbatterier" TargetMode="External"/><Relationship Id="rId3879" Type="http://schemas.openxmlformats.org/officeDocument/2006/relationships/hyperlink" Target="https://www.allabolag.se/5568169626/bokslut" TargetMode="External"/><Relationship Id="rId6352" Type="http://schemas.openxmlformats.org/officeDocument/2006/relationships/hyperlink" Target="https://www.washingtontimes.com/sponsored/empowering-independence-smart-tech-supporting-elderly-home-rehab/" TargetMode="External"/><Relationship Id="rId7750" Type="http://schemas.openxmlformats.org/officeDocument/2006/relationships/hyperlink" Target="http://upplevelse.com/" TargetMode="External"/><Relationship Id="rId8801" Type="http://schemas.openxmlformats.org/officeDocument/2006/relationships/hyperlink" Target="https://www.inredningsnyheter.se/20250425/20060/dyra-uttryck-billiga-losningar-inredningsdetaljerna-som-ser-ut-att-kosta-1-miljon" TargetMode="External"/><Relationship Id="rId10731" Type="http://schemas.openxmlformats.org/officeDocument/2006/relationships/hyperlink" Target="https://industrimagasinet.se/effektiv-lonehantering-for-foretag-med-hjalp-av-automatiserade-system/" TargetMode="External"/><Relationship Id="rId6005" Type="http://schemas.openxmlformats.org/officeDocument/2006/relationships/hyperlink" Target="http://kamux.fi/" TargetMode="External"/><Relationship Id="rId7403" Type="http://schemas.openxmlformats.org/officeDocument/2006/relationships/hyperlink" Target="http://cherry.com/" TargetMode="External"/><Relationship Id="rId2962" Type="http://schemas.openxmlformats.org/officeDocument/2006/relationships/hyperlink" Target="http://spelklubben.se/" TargetMode="External"/><Relationship Id="rId9575" Type="http://schemas.openxmlformats.org/officeDocument/2006/relationships/hyperlink" Target="http://dbet.com/" TargetMode="External"/><Relationship Id="rId12556" Type="http://schemas.openxmlformats.org/officeDocument/2006/relationships/hyperlink" Target="http://notyfile.se/sv" TargetMode="External"/><Relationship Id="rId934" Type="http://schemas.openxmlformats.org/officeDocument/2006/relationships/hyperlink" Target="http://arctic.se/" TargetMode="External"/><Relationship Id="rId1564" Type="http://schemas.openxmlformats.org/officeDocument/2006/relationships/hyperlink" Target="https://sek-converter.se/ekonomiutbildning-pa-distans/" TargetMode="External"/><Relationship Id="rId2615" Type="http://schemas.openxmlformats.org/officeDocument/2006/relationships/hyperlink" Target="https://www.stromfestival.de/feiern-und-geniessen" TargetMode="External"/><Relationship Id="rId8177" Type="http://schemas.openxmlformats.org/officeDocument/2006/relationships/hyperlink" Target="http://tiotak.se/" TargetMode="External"/><Relationship Id="rId9228" Type="http://schemas.openxmlformats.org/officeDocument/2006/relationships/hyperlink" Target="https://www.purakliniken.se/estetisk-tandvard/skalfasader/" TargetMode="External"/><Relationship Id="rId11158" Type="http://schemas.openxmlformats.org/officeDocument/2006/relationships/hyperlink" Target="https://twitter.com/i/flow/login?redirect_after_login=%2FFairInvSwe" TargetMode="External"/><Relationship Id="rId12209" Type="http://schemas.openxmlformats.org/officeDocument/2006/relationships/hyperlink" Target="https://ledkungen.se/collections/led-lister" TargetMode="External"/><Relationship Id="rId1217" Type="http://schemas.openxmlformats.org/officeDocument/2006/relationships/hyperlink" Target="http://villarelining.se/" TargetMode="External"/><Relationship Id="rId4787" Type="http://schemas.openxmlformats.org/officeDocument/2006/relationships/hyperlink" Target="http://aretrotale.com/" TargetMode="External"/><Relationship Id="rId5838" Type="http://schemas.openxmlformats.org/officeDocument/2006/relationships/hyperlink" Target="https://www.mariatand.se/" TargetMode="External"/><Relationship Id="rId3389" Type="http://schemas.openxmlformats.org/officeDocument/2006/relationships/hyperlink" Target="http://gordetmedrw.se/" TargetMode="External"/><Relationship Id="rId7260" Type="http://schemas.openxmlformats.org/officeDocument/2006/relationships/hyperlink" Target="https://ourculturemag.com/2025/01/21/fitness-on-the-road-how-to-stay-healthy-and-active-while-traveling/" TargetMode="External"/><Relationship Id="rId8311" Type="http://schemas.openxmlformats.org/officeDocument/2006/relationships/hyperlink" Target="https://ecommunity.se/sa-mycket-kostar-en-hund-genom-livet/" TargetMode="External"/><Relationship Id="rId10241" Type="http://schemas.openxmlformats.org/officeDocument/2006/relationships/hyperlink" Target="http://chattanoogarehab.com/" TargetMode="External"/><Relationship Id="rId3870" Type="http://schemas.openxmlformats.org/officeDocument/2006/relationships/hyperlink" Target="https://www.mynewsdesk.com/se/visibility-punktum-group/blog_posts/maximera-avkastningen-med-saekerhet-en-djupdykning-i-raettvisa-investeringars-unika-strategi-118509" TargetMode="External"/><Relationship Id="rId4921" Type="http://schemas.openxmlformats.org/officeDocument/2006/relationships/hyperlink" Target="https://www.bethard.com/sv/sports" TargetMode="External"/><Relationship Id="rId9085" Type="http://schemas.openxmlformats.org/officeDocument/2006/relationships/hyperlink" Target="https://leaptodigital.com/roofing-crm" TargetMode="External"/><Relationship Id="rId791" Type="http://schemas.openxmlformats.org/officeDocument/2006/relationships/hyperlink" Target="https://www.swedoffice.se/" TargetMode="External"/><Relationship Id="rId1074" Type="http://schemas.openxmlformats.org/officeDocument/2006/relationships/hyperlink" Target="http://lansfast.se/" TargetMode="External"/><Relationship Id="rId2472" Type="http://schemas.openxmlformats.org/officeDocument/2006/relationships/hyperlink" Target="http://e-ciggbolaget.se/" TargetMode="External"/><Relationship Id="rId3523" Type="http://schemas.openxmlformats.org/officeDocument/2006/relationships/hyperlink" Target="https://varmlandsbygden.se/partner/panther-bar-engangsvapes-ett-djarvt-steg-in-i-vape-varlden/" TargetMode="External"/><Relationship Id="rId12066" Type="http://schemas.openxmlformats.org/officeDocument/2006/relationships/hyperlink" Target="http://arctic.se/" TargetMode="External"/><Relationship Id="rId13117" Type="http://schemas.openxmlformats.org/officeDocument/2006/relationships/hyperlink" Target="http://bethard.com/" TargetMode="External"/><Relationship Id="rId444" Type="http://schemas.openxmlformats.org/officeDocument/2006/relationships/hyperlink" Target="http://happysocks.com/" TargetMode="External"/><Relationship Id="rId2125" Type="http://schemas.openxmlformats.org/officeDocument/2006/relationships/hyperlink" Target="https://saneringscompaniet.se/" TargetMode="External"/><Relationship Id="rId5695" Type="http://schemas.openxmlformats.org/officeDocument/2006/relationships/hyperlink" Target="https://www.zmarta.se/lana-pengar/privatlan" TargetMode="External"/><Relationship Id="rId6746" Type="http://schemas.openxmlformats.org/officeDocument/2006/relationships/hyperlink" Target="https://alltomhem.se/trygghet-for-ditt-hem-forsakringslosningar-for-solceller/" TargetMode="External"/><Relationship Id="rId4297" Type="http://schemas.openxmlformats.org/officeDocument/2006/relationships/hyperlink" Target="https://www.spelklubben.se/sv/casino" TargetMode="External"/><Relationship Id="rId5348" Type="http://schemas.openxmlformats.org/officeDocument/2006/relationships/hyperlink" Target="https://www.totallyorebro.se/uncategorized/orebro-hockey-senaste-nytt-infor-den-nya-sasongen/" TargetMode="External"/><Relationship Id="rId9969" Type="http://schemas.openxmlformats.org/officeDocument/2006/relationships/hyperlink" Target="http://arctic.se/" TargetMode="External"/><Relationship Id="rId12200" Type="http://schemas.openxmlformats.org/officeDocument/2006/relationships/hyperlink" Target="https://www.affarsvarlden.se/native/spetsig-fond-hittar-globala-vinnare" TargetMode="External"/><Relationship Id="rId11899" Type="http://schemas.openxmlformats.org/officeDocument/2006/relationships/hyperlink" Target="http://schjodt.com/" TargetMode="External"/><Relationship Id="rId1958" Type="http://schemas.openxmlformats.org/officeDocument/2006/relationships/hyperlink" Target="https://www.lula.se/fonsterna-ar-husets-ogon" TargetMode="External"/><Relationship Id="rId3380" Type="http://schemas.openxmlformats.org/officeDocument/2006/relationships/hyperlink" Target="https://www.nancysfood.se/skapandet-av-minnen-samhorighet-spelklubben-revolutionerar-det-onlinecasino-varlden/" TargetMode="External"/><Relationship Id="rId4431" Type="http://schemas.openxmlformats.org/officeDocument/2006/relationships/hyperlink" Target="https://carpcon.se/fonsterbyte/" TargetMode="External"/><Relationship Id="rId3033" Type="http://schemas.openxmlformats.org/officeDocument/2006/relationships/hyperlink" Target="https://lifehacking.se/spelklubben-det-nya-onlinecasinot-som-forandrar-spelet/" TargetMode="External"/><Relationship Id="rId10982" Type="http://schemas.openxmlformats.org/officeDocument/2006/relationships/hyperlink" Target="https://primegamblingway.com/the-story-of-jackpots-who-actually-wins-them/" TargetMode="External"/><Relationship Id="rId7654" Type="http://schemas.openxmlformats.org/officeDocument/2006/relationships/hyperlink" Target="https://veganbeauty.se/forbattra-ditt-leende-med-skalfasader/" TargetMode="External"/><Relationship Id="rId8705" Type="http://schemas.openxmlformats.org/officeDocument/2006/relationships/hyperlink" Target="http://michaelofrisorerna.se/" TargetMode="External"/><Relationship Id="rId10635" Type="http://schemas.openxmlformats.org/officeDocument/2006/relationships/hyperlink" Target="http://kamux.fi/" TargetMode="External"/><Relationship Id="rId6256" Type="http://schemas.openxmlformats.org/officeDocument/2006/relationships/hyperlink" Target="http://tryggbil.se/" TargetMode="External"/><Relationship Id="rId7307" Type="http://schemas.openxmlformats.org/officeDocument/2006/relationships/hyperlink" Target="https://www.executiveeffect.se/vad-ar-fair-investments/" TargetMode="External"/><Relationship Id="rId2866" Type="http://schemas.openxmlformats.org/officeDocument/2006/relationships/hyperlink" Target="http://vont.se/" TargetMode="External"/><Relationship Id="rId3917" Type="http://schemas.openxmlformats.org/officeDocument/2006/relationships/hyperlink" Target="https://alfaoutdoor.se/collections/vandringskangor-till-dam" TargetMode="External"/><Relationship Id="rId9479" Type="http://schemas.openxmlformats.org/officeDocument/2006/relationships/hyperlink" Target="https://nyweekly.com/lifestyle/how-a-custom-rug-can-affect-your-home/" TargetMode="External"/><Relationship Id="rId838" Type="http://schemas.openxmlformats.org/officeDocument/2006/relationships/hyperlink" Target="https://blugiallo.se/guider/brollopsguide-akt-ett-vem/" TargetMode="External"/><Relationship Id="rId1468" Type="http://schemas.openxmlformats.org/officeDocument/2006/relationships/hyperlink" Target="https://debrabernier.com/3-types-of-loans-for-auto-repair-shops-to-consider/" TargetMode="External"/><Relationship Id="rId2519" Type="http://schemas.openxmlformats.org/officeDocument/2006/relationships/hyperlink" Target="https://www.merinfo.se/foretag/Fair-Investments-Sweden-AB-5568169626/2k3576i-kqah" TargetMode="External"/><Relationship Id="rId8562" Type="http://schemas.openxmlformats.org/officeDocument/2006/relationships/hyperlink" Target="http://himala.ai/" TargetMode="External"/><Relationship Id="rId9960" Type="http://schemas.openxmlformats.org/officeDocument/2006/relationships/hyperlink" Target="https://intomoda.fi/uncategorized/viisi-tapaa-luoda-rauhallisuutta-kotona-jo-eteisesta/" TargetMode="External"/><Relationship Id="rId11890" Type="http://schemas.openxmlformats.org/officeDocument/2006/relationships/hyperlink" Target="https://www.vont.se/to-go/0-mg-ml" TargetMode="External"/><Relationship Id="rId12941" Type="http://schemas.openxmlformats.org/officeDocument/2006/relationships/hyperlink" Target="https://www.battrestadsdel.se/i-samarbete-med-2/har-hittar-du-gratistraning-i-sydvastra-stockholm/" TargetMode="External"/><Relationship Id="rId7164" Type="http://schemas.openxmlformats.org/officeDocument/2006/relationships/hyperlink" Target="https://dagensfar.se/solenoider-for-startmotorer-vad-man-bor-veta/" TargetMode="External"/><Relationship Id="rId8215" Type="http://schemas.openxmlformats.org/officeDocument/2006/relationships/hyperlink" Target="https://himala.ai/" TargetMode="External"/><Relationship Id="rId9613" Type="http://schemas.openxmlformats.org/officeDocument/2006/relationships/hyperlink" Target="https://www.mynewsdesk.com/se/spelklubben/news/tre-kronor-hetare-aen-champions-league-spelklubben-noterar-enorm-oekning-497646" TargetMode="External"/><Relationship Id="rId10492" Type="http://schemas.openxmlformats.org/officeDocument/2006/relationships/hyperlink" Target="https://www.hajper.com/sv" TargetMode="External"/><Relationship Id="rId11543" Type="http://schemas.openxmlformats.org/officeDocument/2006/relationships/hyperlink" Target="http://sufracofinebrands.com/" TargetMode="External"/><Relationship Id="rId1602" Type="http://schemas.openxmlformats.org/officeDocument/2006/relationships/hyperlink" Target="http://distansinstitutet.se/" TargetMode="External"/><Relationship Id="rId10145" Type="http://schemas.openxmlformats.org/officeDocument/2006/relationships/hyperlink" Target="http://hajper.com/" TargetMode="External"/><Relationship Id="rId3774" Type="http://schemas.openxmlformats.org/officeDocument/2006/relationships/hyperlink" Target="http://ttsab.nu/" TargetMode="External"/><Relationship Id="rId4825" Type="http://schemas.openxmlformats.org/officeDocument/2006/relationships/hyperlink" Target="http://himala.ai/" TargetMode="External"/><Relationship Id="rId695" Type="http://schemas.openxmlformats.org/officeDocument/2006/relationships/hyperlink" Target="http://happysocks.com/" TargetMode="External"/><Relationship Id="rId2376" Type="http://schemas.openxmlformats.org/officeDocument/2006/relationships/hyperlink" Target="https://e-ciggbolaget.se/e-cigaretter/engangs-vape/?hr-page=%7B%22product_count%22%3A24%7D" TargetMode="External"/><Relationship Id="rId3427" Type="http://schemas.openxmlformats.org/officeDocument/2006/relationships/hyperlink" Target="https://pontonhamnar.se/produkter/flytbrygga/" TargetMode="External"/><Relationship Id="rId6997" Type="http://schemas.openxmlformats.org/officeDocument/2006/relationships/hyperlink" Target="http://chattanoogarehab.com/" TargetMode="External"/><Relationship Id="rId348" Type="http://schemas.openxmlformats.org/officeDocument/2006/relationships/hyperlink" Target="https://haxan.se/collections/tarotkort" TargetMode="External"/><Relationship Id="rId2029" Type="http://schemas.openxmlformats.org/officeDocument/2006/relationships/hyperlink" Target="https://www.villarelining.se/" TargetMode="External"/><Relationship Id="rId5599" Type="http://schemas.openxmlformats.org/officeDocument/2006/relationships/hyperlink" Target="https://lexivision.se/forebygg-vanliga-vvs-skador-tips-for-underhall-sakerhet-i-hemmet/" TargetMode="External"/><Relationship Id="rId9470" Type="http://schemas.openxmlformats.org/officeDocument/2006/relationships/hyperlink" Target="http://videoslots.com/" TargetMode="External"/><Relationship Id="rId2510" Type="http://schemas.openxmlformats.org/officeDocument/2006/relationships/hyperlink" Target="https://www.bipolarsjuk.se/vem-kan-bli-vardbitrade" TargetMode="External"/><Relationship Id="rId8072" Type="http://schemas.openxmlformats.org/officeDocument/2006/relationships/hyperlink" Target="http://vardagsfrid.se/stadning/kontorsstadning" TargetMode="External"/><Relationship Id="rId9123" Type="http://schemas.openxmlformats.org/officeDocument/2006/relationships/hyperlink" Target="http://yourgild.com/" TargetMode="External"/><Relationship Id="rId11053" Type="http://schemas.openxmlformats.org/officeDocument/2006/relationships/hyperlink" Target="https://intomoda.fi/koti/oletko-muuttamassa-asiantunteva-muuttopalvelu-voi-auttaa-sinua-tutustumaan-uudelleen-vaatekaappiisi/" TargetMode="External"/><Relationship Id="rId12104" Type="http://schemas.openxmlformats.org/officeDocument/2006/relationships/hyperlink" Target="http://ledkungen.se/" TargetMode="External"/><Relationship Id="rId12451" Type="http://schemas.openxmlformats.org/officeDocument/2006/relationships/hyperlink" Target="https://gardets.nu/det-dromlika-boende-och-lagenhetssokandet-i-solleftea-en-resa-genom-naturskona-landskap/" TargetMode="External"/><Relationship Id="rId1112" Type="http://schemas.openxmlformats.org/officeDocument/2006/relationships/hyperlink" Target="https://bygghuddinge.se/teakolja-i-atervunna-plastforpackningar-en-miljovanlig-effektiv-och-giftfri-travardsprodukt/" TargetMode="External"/><Relationship Id="rId3284" Type="http://schemas.openxmlformats.org/officeDocument/2006/relationships/hyperlink" Target="http://spelklubben.se/" TargetMode="External"/><Relationship Id="rId4682" Type="http://schemas.openxmlformats.org/officeDocument/2006/relationships/hyperlink" Target="http://w3solenergi.se/" TargetMode="External"/><Relationship Id="rId5733" Type="http://schemas.openxmlformats.org/officeDocument/2006/relationships/hyperlink" Target="https://www.spelklubben.se/sv/live-casino" TargetMode="External"/><Relationship Id="rId4335" Type="http://schemas.openxmlformats.org/officeDocument/2006/relationships/hyperlink" Target="http://spelklubben.se/" TargetMode="External"/><Relationship Id="rId8956" Type="http://schemas.openxmlformats.org/officeDocument/2006/relationships/hyperlink" Target="https://podradio.nu/poddar-for-livsnjutaren/" TargetMode="External"/><Relationship Id="rId10886" Type="http://schemas.openxmlformats.org/officeDocument/2006/relationships/hyperlink" Target="http://minifinder.se/" TargetMode="External"/><Relationship Id="rId11937" Type="http://schemas.openxmlformats.org/officeDocument/2006/relationships/hyperlink" Target="https://www.foyen.se/affarsomraden/fastighetsratt/" TargetMode="External"/><Relationship Id="rId7558" Type="http://schemas.openxmlformats.org/officeDocument/2006/relationships/hyperlink" Target="https://www.bethard.com/sv/sports" TargetMode="External"/><Relationship Id="rId8609" Type="http://schemas.openxmlformats.org/officeDocument/2006/relationships/hyperlink" Target="https://arctic.se/se/forsakringslosningar/svensksolenergi/" TargetMode="External"/><Relationship Id="rId10539" Type="http://schemas.openxmlformats.org/officeDocument/2006/relationships/hyperlink" Target="https://www.saleseffect.se/sa-haller-du-huvudet-skarpt-pa-jobbet-utan-att-krascha-vid-tretiden/" TargetMode="External"/><Relationship Id="rId13012" Type="http://schemas.openxmlformats.org/officeDocument/2006/relationships/hyperlink" Target="http://jakt.se/" TargetMode="External"/><Relationship Id="rId2020" Type="http://schemas.openxmlformats.org/officeDocument/2006/relationships/hyperlink" Target="https://www.affarsvarlden.se/native/spetsig-fond-hittar-globala-vinnare" TargetMode="External"/><Relationship Id="rId5590" Type="http://schemas.openxmlformats.org/officeDocument/2006/relationships/hyperlink" Target="https://dekorativt.se/taksakerhet-en-omfattande-guide-for-sakra-hallbara-taklosningar/" TargetMode="External"/><Relationship Id="rId6641" Type="http://schemas.openxmlformats.org/officeDocument/2006/relationships/hyperlink" Target="http://bethard.com/" TargetMode="External"/><Relationship Id="rId4192" Type="http://schemas.openxmlformats.org/officeDocument/2006/relationships/hyperlink" Target="http://finansplassen.no/" TargetMode="External"/><Relationship Id="rId5243" Type="http://schemas.openxmlformats.org/officeDocument/2006/relationships/hyperlink" Target="https://dagenstv.com/artikel/starburst-en-tidlos-klassiker-fran-netent-" TargetMode="External"/><Relationship Id="rId9864" Type="http://schemas.openxmlformats.org/officeDocument/2006/relationships/hyperlink" Target="https://leaptodigital.com/roofing-crm" TargetMode="External"/><Relationship Id="rId11794" Type="http://schemas.openxmlformats.org/officeDocument/2006/relationships/hyperlink" Target="https://www.facebook.com/fairinvestmentsswedenAB/" TargetMode="External"/><Relationship Id="rId12845" Type="http://schemas.openxmlformats.org/officeDocument/2006/relationships/hyperlink" Target="http://aretrotale.com/" TargetMode="External"/><Relationship Id="rId78" Type="http://schemas.openxmlformats.org/officeDocument/2006/relationships/hyperlink" Target="https://vasterasextra.se/5-satt-att-forbattra-din-halsa/" TargetMode="External"/><Relationship Id="rId1853" Type="http://schemas.openxmlformats.org/officeDocument/2006/relationships/hyperlink" Target="http://hvvs.se/" TargetMode="External"/><Relationship Id="rId2904" Type="http://schemas.openxmlformats.org/officeDocument/2006/relationships/hyperlink" Target="https://luckycasino.com/sv/" TargetMode="External"/><Relationship Id="rId7068" Type="http://schemas.openxmlformats.org/officeDocument/2006/relationships/hyperlink" Target="http://himala.ai/" TargetMode="External"/><Relationship Id="rId8119" Type="http://schemas.openxmlformats.org/officeDocument/2006/relationships/hyperlink" Target="https://finansassistans.se/sa-valjer-du-ratt-kapitalforvaltning-for-att-maximera-din-avkastning/" TargetMode="External"/><Relationship Id="rId8466" Type="http://schemas.openxmlformats.org/officeDocument/2006/relationships/hyperlink" Target="https://mynicco.com/" TargetMode="External"/><Relationship Id="rId9517" Type="http://schemas.openxmlformats.org/officeDocument/2006/relationships/hyperlink" Target="http://petster.se/" TargetMode="External"/><Relationship Id="rId10396" Type="http://schemas.openxmlformats.org/officeDocument/2006/relationships/hyperlink" Target="http://kleer.se/" TargetMode="External"/><Relationship Id="rId11447" Type="http://schemas.openxmlformats.org/officeDocument/2006/relationships/hyperlink" Target="https://www.lansfast.se/maklare/sodermanland/nykoping/" TargetMode="External"/><Relationship Id="rId1506" Type="http://schemas.openxmlformats.org/officeDocument/2006/relationships/hyperlink" Target="https://www.fashion-mommy.com/4-tips-on-how-to-style-your-socks-to-perfection/" TargetMode="External"/><Relationship Id="rId10049" Type="http://schemas.openxmlformats.org/officeDocument/2006/relationships/hyperlink" Target="https://www.spelklubben.se/sv" TargetMode="External"/><Relationship Id="rId3678" Type="http://schemas.openxmlformats.org/officeDocument/2006/relationships/hyperlink" Target="https://www.executiveeffect.se/vad-ar-fair-investments/" TargetMode="External"/><Relationship Id="rId4729" Type="http://schemas.openxmlformats.org/officeDocument/2006/relationships/hyperlink" Target="http://spelklubben.se/" TargetMode="External"/><Relationship Id="rId8600" Type="http://schemas.openxmlformats.org/officeDocument/2006/relationships/hyperlink" Target="https://www.acnespecialisten.se/perioral-dermatit.php" TargetMode="External"/><Relationship Id="rId599" Type="http://schemas.openxmlformats.org/officeDocument/2006/relationships/hyperlink" Target="https://www.vont.se/" TargetMode="External"/><Relationship Id="rId6151" Type="http://schemas.openxmlformats.org/officeDocument/2006/relationships/hyperlink" Target="https://www.procup.se/Lotterier-och-jackpottar-pa-turneringar.htm" TargetMode="External"/><Relationship Id="rId7202" Type="http://schemas.openxmlformats.org/officeDocument/2006/relationships/hyperlink" Target="https://gentlemanexperten.se/volkswagen-service-for-man-vad-du-behover-veta/" TargetMode="External"/><Relationship Id="rId10530" Type="http://schemas.openxmlformats.org/officeDocument/2006/relationships/hyperlink" Target="https://bilverkstad.eu/lar-dig-lyssna-pa-bilens-signaler-detta-betyder-de-blinkande-lamporna/" TargetMode="External"/><Relationship Id="rId9374" Type="http://schemas.openxmlformats.org/officeDocument/2006/relationships/hyperlink" Target="https://www.fintechnews.org/mega-slots-spin-your-way-to-massive-jackpots/" TargetMode="External"/><Relationship Id="rId1363" Type="http://schemas.openxmlformats.org/officeDocument/2006/relationships/hyperlink" Target="http://advancepointcap.com/" TargetMode="External"/><Relationship Id="rId2761" Type="http://schemas.openxmlformats.org/officeDocument/2006/relationships/hyperlink" Target="https://www.affarsvarlden.se/native/spetsig-fond-hittar-globala-vinnare" TargetMode="External"/><Relationship Id="rId3812" Type="http://schemas.openxmlformats.org/officeDocument/2006/relationships/hyperlink" Target="http://ampilo.se/" TargetMode="External"/><Relationship Id="rId9027" Type="http://schemas.openxmlformats.org/officeDocument/2006/relationships/hyperlink" Target="http://svenskafonster.se/" TargetMode="External"/><Relationship Id="rId12355" Type="http://schemas.openxmlformats.org/officeDocument/2006/relationships/hyperlink" Target="https://nordostfussball.de/article/277-eric-dier-wechselt-von-tottenham-zu-den-bayern/" TargetMode="External"/><Relationship Id="rId733" Type="http://schemas.openxmlformats.org/officeDocument/2006/relationships/hyperlink" Target="https://finansieringar.se/darfor-ar-fonder-det-basta-alternativet-for-den-som-vill-borja-med-investeringar/" TargetMode="External"/><Relationship Id="rId1016" Type="http://schemas.openxmlformats.org/officeDocument/2006/relationships/hyperlink" Target="https://distansinstitutet.se/distansutbildningar/ekonomi/" TargetMode="External"/><Relationship Id="rId2414" Type="http://schemas.openxmlformats.org/officeDocument/2006/relationships/hyperlink" Target="https://distansinstitutet.se/distansutbildningar/pedagogik/vardbitrade/" TargetMode="External"/><Relationship Id="rId5984" Type="http://schemas.openxmlformats.org/officeDocument/2006/relationships/hyperlink" Target="http://mynicco.com/" TargetMode="External"/><Relationship Id="rId12008" Type="http://schemas.openxmlformats.org/officeDocument/2006/relationships/hyperlink" Target="https://stabilokonomi.dk/overvejer-du-at-koebe-aktier-via-dit-selskab-her-er-hvad-du-skal-undersoege-foer-du-investerer/" TargetMode="External"/><Relationship Id="rId4586" Type="http://schemas.openxmlformats.org/officeDocument/2006/relationships/hyperlink" Target="https://ladyfashion.se/vikten-av-regelbundna-tandlakarbesok-for-din-halsa/" TargetMode="External"/><Relationship Id="rId5637" Type="http://schemas.openxmlformats.org/officeDocument/2006/relationships/hyperlink" Target="http://kvarnx.com/" TargetMode="External"/><Relationship Id="rId3188" Type="http://schemas.openxmlformats.org/officeDocument/2006/relationships/hyperlink" Target="http://svenskaeljouren.se/" TargetMode="External"/><Relationship Id="rId4239" Type="http://schemas.openxmlformats.org/officeDocument/2006/relationships/hyperlink" Target="https://www.hvvs.se/" TargetMode="External"/><Relationship Id="rId8110" Type="http://schemas.openxmlformats.org/officeDocument/2006/relationships/hyperlink" Target="https://farkamraten.se/sa-har-valjer-du-ratt-bilvardsprodukter-for-din-bil/" TargetMode="External"/><Relationship Id="rId10040" Type="http://schemas.openxmlformats.org/officeDocument/2006/relationships/hyperlink" Target="https://www.megariches.com/mobile/" TargetMode="External"/><Relationship Id="rId4720" Type="http://schemas.openxmlformats.org/officeDocument/2006/relationships/hyperlink" Target="http://cherry.com/" TargetMode="External"/><Relationship Id="rId13263" Type="http://schemas.openxmlformats.org/officeDocument/2006/relationships/hyperlink" Target="https://tiotak.se/" TargetMode="External"/><Relationship Id="rId590" Type="http://schemas.openxmlformats.org/officeDocument/2006/relationships/hyperlink" Target="https://www.villarelining.se/" TargetMode="External"/><Relationship Id="rId2271" Type="http://schemas.openxmlformats.org/officeDocument/2006/relationships/hyperlink" Target="https://www.vont.se/to-go" TargetMode="External"/><Relationship Id="rId3322" Type="http://schemas.openxmlformats.org/officeDocument/2006/relationships/hyperlink" Target="http://tryggvi.se/" TargetMode="External"/><Relationship Id="rId243" Type="http://schemas.openxmlformats.org/officeDocument/2006/relationships/hyperlink" Target="http://bigbenstandup.com/" TargetMode="External"/><Relationship Id="rId5494" Type="http://schemas.openxmlformats.org/officeDocument/2006/relationships/hyperlink" Target="https://fairinvestments.se/investeringsfilosofi/forvaltning-privatperson" TargetMode="External"/><Relationship Id="rId6892" Type="http://schemas.openxmlformats.org/officeDocument/2006/relationships/hyperlink" Target="http://bethard.com/" TargetMode="External"/><Relationship Id="rId7943" Type="http://schemas.openxmlformats.org/officeDocument/2006/relationships/hyperlink" Target="https://tvprogram.nu/blogg/casinoreklamer-da-och-nu-en-resa-genom-tidens-spel" TargetMode="External"/><Relationship Id="rId10924" Type="http://schemas.openxmlformats.org/officeDocument/2006/relationships/hyperlink" Target="https://technobark.com/best-gps-dog-fences/" TargetMode="External"/><Relationship Id="rId4096" Type="http://schemas.openxmlformats.org/officeDocument/2006/relationships/hyperlink" Target="https://fairinvestments.se/" TargetMode="External"/><Relationship Id="rId5147" Type="http://schemas.openxmlformats.org/officeDocument/2006/relationships/hyperlink" Target="http://arctic.se/" TargetMode="External"/><Relationship Id="rId6545" Type="http://schemas.openxmlformats.org/officeDocument/2006/relationships/hyperlink" Target="https://www.cwinz.com/" TargetMode="External"/><Relationship Id="rId9768" Type="http://schemas.openxmlformats.org/officeDocument/2006/relationships/hyperlink" Target="https://ekstromgaray.se/skicka-in-manus/" TargetMode="External"/><Relationship Id="rId11698" Type="http://schemas.openxmlformats.org/officeDocument/2006/relationships/hyperlink" Target="https://markets.vontobel.com/nb-no" TargetMode="External"/><Relationship Id="rId12749" Type="http://schemas.openxmlformats.org/officeDocument/2006/relationships/hyperlink" Target="http://sahlstenskincare.se/" TargetMode="External"/><Relationship Id="rId1757" Type="http://schemas.openxmlformats.org/officeDocument/2006/relationships/hyperlink" Target="http://triwa.com/" TargetMode="External"/><Relationship Id="rId2808" Type="http://schemas.openxmlformats.org/officeDocument/2006/relationships/hyperlink" Target="http://spelklubben.se/" TargetMode="External"/><Relationship Id="rId4230" Type="http://schemas.openxmlformats.org/officeDocument/2006/relationships/hyperlink" Target="https://arctic.se/se/forsakringslosningar/svensksolenergi/" TargetMode="External"/><Relationship Id="rId8851" Type="http://schemas.openxmlformats.org/officeDocument/2006/relationships/hyperlink" Target="https://www.disy-magazin.de/unsere-magazine/disy-gesundheit/familie/familie/moderne-waermepumpen-definieren-den-wohnkomfort-neu/" TargetMode="External"/><Relationship Id="rId7453" Type="http://schemas.openxmlformats.org/officeDocument/2006/relationships/hyperlink" Target="http://mockfjards.se/" TargetMode="External"/><Relationship Id="rId8504" Type="http://schemas.openxmlformats.org/officeDocument/2006/relationships/hyperlink" Target="http://aerius.se/ventilation-vasteras/" TargetMode="External"/><Relationship Id="rId9902" Type="http://schemas.openxmlformats.org/officeDocument/2006/relationships/hyperlink" Target="http://kamux.fi/" TargetMode="External"/><Relationship Id="rId10781" Type="http://schemas.openxmlformats.org/officeDocument/2006/relationships/hyperlink" Target="https://www.lilla-varlden.se/" TargetMode="External"/><Relationship Id="rId11832" Type="http://schemas.openxmlformats.org/officeDocument/2006/relationships/hyperlink" Target="https://markets.vontobel.com/da-dk" TargetMode="External"/><Relationship Id="rId6055" Type="http://schemas.openxmlformats.org/officeDocument/2006/relationships/hyperlink" Target="http://spelklubben.se/" TargetMode="External"/><Relationship Id="rId7106" Type="http://schemas.openxmlformats.org/officeDocument/2006/relationships/hyperlink" Target="https://svenskafonster.se/" TargetMode="External"/><Relationship Id="rId10434" Type="http://schemas.openxmlformats.org/officeDocument/2006/relationships/hyperlink" Target="http://hund.se/koppel-selar-och-halsband" TargetMode="External"/><Relationship Id="rId9278" Type="http://schemas.openxmlformats.org/officeDocument/2006/relationships/hyperlink" Target="https://semestergurun.se/sakra-din-skidsemester-med-ratt-skidvalla-och-tillbehor/" TargetMode="External"/><Relationship Id="rId984" Type="http://schemas.openxmlformats.org/officeDocument/2006/relationships/hyperlink" Target="https://www.alfa.no/" TargetMode="External"/><Relationship Id="rId2665" Type="http://schemas.openxmlformats.org/officeDocument/2006/relationships/hyperlink" Target="https://www.klintabykrog.se/" TargetMode="External"/><Relationship Id="rId3716" Type="http://schemas.openxmlformats.org/officeDocument/2006/relationships/hyperlink" Target="https://www.casinosnack.com/varfor-spelar-vi-klassiska-casinospel/" TargetMode="External"/><Relationship Id="rId12259" Type="http://schemas.openxmlformats.org/officeDocument/2006/relationships/hyperlink" Target="http://triwa.com/" TargetMode="External"/><Relationship Id="rId637" Type="http://schemas.openxmlformats.org/officeDocument/2006/relationships/hyperlink" Target="https://arctic.se/nibewp/" TargetMode="External"/><Relationship Id="rId1267" Type="http://schemas.openxmlformats.org/officeDocument/2006/relationships/hyperlink" Target="http://distansinstitutet.se/" TargetMode="External"/><Relationship Id="rId2318" Type="http://schemas.openxmlformats.org/officeDocument/2006/relationships/hyperlink" Target="https://www.annonsparken.se/forsakra-solcellerna" TargetMode="External"/><Relationship Id="rId5888" Type="http://schemas.openxmlformats.org/officeDocument/2006/relationships/hyperlink" Target="https://lyckasilivet.se/engangsvape-en-guide-till-enkel-och-bekvam-vaping/" TargetMode="External"/><Relationship Id="rId6939" Type="http://schemas.openxmlformats.org/officeDocument/2006/relationships/hyperlink" Target="https://mooska.se/sma-forandringar-for-ett-gladare-hundliv/" TargetMode="External"/><Relationship Id="rId8361" Type="http://schemas.openxmlformats.org/officeDocument/2006/relationships/hyperlink" Target="https://trendlandmagazine.com/affordable-lifestyle-tips-for-pensioners-to-enjoy-a-fulfilling-life/" TargetMode="External"/><Relationship Id="rId9412" Type="http://schemas.openxmlformats.org/officeDocument/2006/relationships/hyperlink" Target="https://thatsup.co.uk/native/stay-play-6-must-visit-casino-hotels-in-the-uk/" TargetMode="External"/><Relationship Id="rId10291" Type="http://schemas.openxmlformats.org/officeDocument/2006/relationships/hyperlink" Target="https://pappagruppen.se/marin-och-industrimotorer-for-man-i-alla-aldrar/" TargetMode="External"/><Relationship Id="rId11342" Type="http://schemas.openxmlformats.org/officeDocument/2006/relationships/hyperlink" Target="https://www.linkedin.com/company/fair-investments-sweden-ab?originalSubdomain=se" TargetMode="External"/><Relationship Id="rId12740" Type="http://schemas.openxmlformats.org/officeDocument/2006/relationships/hyperlink" Target="https://beautyagenten.se/balayage-och-ombre-de-trendigaste-fargteknikerna-for-ditt-har-i-stockholm/" TargetMode="External"/><Relationship Id="rId1401" Type="http://schemas.openxmlformats.org/officeDocument/2006/relationships/hyperlink" Target="http://sipski.se/" TargetMode="External"/><Relationship Id="rId8014" Type="http://schemas.openxmlformats.org/officeDocument/2006/relationships/hyperlink" Target="https://pt-media.org/2025/02/27/auton-ostamisen-ja-myymisen-edut-autokaupassa/" TargetMode="External"/><Relationship Id="rId3573" Type="http://schemas.openxmlformats.org/officeDocument/2006/relationships/hyperlink" Target="http://fairinvestments.se/" TargetMode="External"/><Relationship Id="rId4971" Type="http://schemas.openxmlformats.org/officeDocument/2006/relationships/hyperlink" Target="https://blogbuz.co.uk/branding-essentials-how-custom-water-bottles-can-boost-your-business/" TargetMode="External"/><Relationship Id="rId13167" Type="http://schemas.openxmlformats.org/officeDocument/2006/relationships/hyperlink" Target="https://piggokry.nu/koffein-med-kompass/" TargetMode="External"/><Relationship Id="rId494" Type="http://schemas.openxmlformats.org/officeDocument/2006/relationships/hyperlink" Target="https://blugiallo.com/custom-tailored/clothes/tuxedo/" TargetMode="External"/><Relationship Id="rId2175" Type="http://schemas.openxmlformats.org/officeDocument/2006/relationships/hyperlink" Target="https://www.schmack.se/att-driva-foretag-i-sverige" TargetMode="External"/><Relationship Id="rId3226" Type="http://schemas.openxmlformats.org/officeDocument/2006/relationships/hyperlink" Target="http://aretrotale.com/" TargetMode="External"/><Relationship Id="rId4624" Type="http://schemas.openxmlformats.org/officeDocument/2006/relationships/hyperlink" Target="http://spelklubben.se/" TargetMode="External"/><Relationship Id="rId147" Type="http://schemas.openxmlformats.org/officeDocument/2006/relationships/hyperlink" Target="https://missli.se/" TargetMode="External"/><Relationship Id="rId6796" Type="http://schemas.openxmlformats.org/officeDocument/2006/relationships/hyperlink" Target="http://purakliniken.se/" TargetMode="External"/><Relationship Id="rId7847" Type="http://schemas.openxmlformats.org/officeDocument/2006/relationships/hyperlink" Target="https://www.dagensps.se/weekend/noje-underhallning/nar-frestelsen-lockar-darfor-ar-spel-utan-svensk-licens-olagligt/" TargetMode="External"/><Relationship Id="rId10828" Type="http://schemas.openxmlformats.org/officeDocument/2006/relationships/hyperlink" Target="http://turner.fi/" TargetMode="External"/><Relationship Id="rId5398" Type="http://schemas.openxmlformats.org/officeDocument/2006/relationships/hyperlink" Target="https://www.svenskrallycross.se/" TargetMode="External"/><Relationship Id="rId6449" Type="http://schemas.openxmlformats.org/officeDocument/2006/relationships/hyperlink" Target="http://snusnetto.se/" TargetMode="External"/><Relationship Id="rId12250" Type="http://schemas.openxmlformats.org/officeDocument/2006/relationships/hyperlink" Target="https://www.swedoffice.se/" TargetMode="External"/><Relationship Id="rId13301" Type="http://schemas.openxmlformats.org/officeDocument/2006/relationships/hyperlink" Target="https://tkw.se/" TargetMode="External"/><Relationship Id="rId6930" Type="http://schemas.openxmlformats.org/officeDocument/2006/relationships/hyperlink" Target="https://ng.se/artiklar/detaljerna-att-tanka-pa-till-ditt-sommarhem" TargetMode="External"/><Relationship Id="rId4481" Type="http://schemas.openxmlformats.org/officeDocument/2006/relationships/hyperlink" Target="http://norteam.se/" TargetMode="External"/><Relationship Id="rId5532" Type="http://schemas.openxmlformats.org/officeDocument/2006/relationships/hyperlink" Target="https://www.myownwater.com/" TargetMode="External"/><Relationship Id="rId3083" Type="http://schemas.openxmlformats.org/officeDocument/2006/relationships/hyperlink" Target="https://awaio.com/" TargetMode="External"/><Relationship Id="rId4134" Type="http://schemas.openxmlformats.org/officeDocument/2006/relationships/hyperlink" Target="https://fairinvestments.se/" TargetMode="External"/><Relationship Id="rId7357" Type="http://schemas.openxmlformats.org/officeDocument/2006/relationships/hyperlink" Target="https://fintechasia.net/2025/01/20/how-to-quit-smoking-while-enjoying-how-it-tastes/" TargetMode="External"/><Relationship Id="rId8408" Type="http://schemas.openxmlformats.org/officeDocument/2006/relationships/hyperlink" Target="https://tryggbil.se/" TargetMode="External"/><Relationship Id="rId8755" Type="http://schemas.openxmlformats.org/officeDocument/2006/relationships/hyperlink" Target="https://www.allsvenskantabell.se/tabell/" TargetMode="External"/><Relationship Id="rId9806" Type="http://schemas.openxmlformats.org/officeDocument/2006/relationships/hyperlink" Target="https://www.swedoffice.se/kategori/49902-kopieringspapper" TargetMode="External"/><Relationship Id="rId10685" Type="http://schemas.openxmlformats.org/officeDocument/2006/relationships/hyperlink" Target="https://bovision.se/inspiration/smarta-saett-foer-att-skapa-insynsskydd-paa-din-tomt" TargetMode="External"/><Relationship Id="rId11736" Type="http://schemas.openxmlformats.org/officeDocument/2006/relationships/hyperlink" Target="https://yagya.com/" TargetMode="External"/><Relationship Id="rId10338" Type="http://schemas.openxmlformats.org/officeDocument/2006/relationships/hyperlink" Target="https://www.spelklubben.se/sv/casino" TargetMode="External"/><Relationship Id="rId3967" Type="http://schemas.openxmlformats.org/officeDocument/2006/relationships/hyperlink" Target="https://fairinvestments.se/" TargetMode="External"/><Relationship Id="rId4" Type="http://schemas.openxmlformats.org/officeDocument/2006/relationships/hyperlink" Target="http://haxan.se/" TargetMode="External"/><Relationship Id="rId888" Type="http://schemas.openxmlformats.org/officeDocument/2006/relationships/hyperlink" Target="https://toyota-forklifts.se/vara-truckar/motviktstruck-el/" TargetMode="External"/><Relationship Id="rId2569" Type="http://schemas.openxmlformats.org/officeDocument/2006/relationships/hyperlink" Target="http://distansinstitutet.se/" TargetMode="External"/><Relationship Id="rId6440" Type="http://schemas.openxmlformats.org/officeDocument/2006/relationships/hyperlink" Target="http://petster.se/" TargetMode="External"/><Relationship Id="rId5042" Type="http://schemas.openxmlformats.org/officeDocument/2006/relationships/hyperlink" Target="https://finders.ae/nicotine-pouches/" TargetMode="External"/><Relationship Id="rId9663" Type="http://schemas.openxmlformats.org/officeDocument/2006/relationships/hyperlink" Target="http://bergetsro.se/" TargetMode="External"/><Relationship Id="rId12991" Type="http://schemas.openxmlformats.org/officeDocument/2006/relationships/hyperlink" Target="https://wellio.se/produktkategori/vassleprotein/" TargetMode="External"/><Relationship Id="rId1652" Type="http://schemas.openxmlformats.org/officeDocument/2006/relationships/hyperlink" Target="http://lemontree.se/" TargetMode="External"/><Relationship Id="rId8265" Type="http://schemas.openxmlformats.org/officeDocument/2006/relationships/hyperlink" Target="https://iptv-suomi.com/" TargetMode="External"/><Relationship Id="rId9316" Type="http://schemas.openxmlformats.org/officeDocument/2006/relationships/hyperlink" Target="https://sparaochplacera.se/samla-lan-och-krediter/" TargetMode="External"/><Relationship Id="rId10195" Type="http://schemas.openxmlformats.org/officeDocument/2006/relationships/hyperlink" Target="https://www.megariches.com/sv/" TargetMode="External"/><Relationship Id="rId11246" Type="http://schemas.openxmlformats.org/officeDocument/2006/relationships/hyperlink" Target="https://www.saleseffect.se/minireningsverk-ett-hallbart-tillvagagangssatt-for-lokal-avloppsvattenhantering/" TargetMode="External"/><Relationship Id="rId11593" Type="http://schemas.openxmlformats.org/officeDocument/2006/relationships/hyperlink" Target="https://passioneffect.se/sufraco-utforska-den-stora-mangfalden-av-savon-de-marseille-tvalar/" TargetMode="External"/><Relationship Id="rId12644" Type="http://schemas.openxmlformats.org/officeDocument/2006/relationships/hyperlink" Target="https://www.northtracker.com/korjournal/" TargetMode="External"/><Relationship Id="rId1305" Type="http://schemas.openxmlformats.org/officeDocument/2006/relationships/hyperlink" Target="https://www.happysocks.com/us/collection/socks-for-men" TargetMode="External"/><Relationship Id="rId2703" Type="http://schemas.openxmlformats.org/officeDocument/2006/relationships/hyperlink" Target="https://luckycasino.com/sv/" TargetMode="External"/><Relationship Id="rId4875" Type="http://schemas.openxmlformats.org/officeDocument/2006/relationships/hyperlink" Target="https://nyasvenskacasino.se/blogg/cherry-com-det-nygamla-casinot-som-ar-tillbaka/" TargetMode="External"/><Relationship Id="rId5926" Type="http://schemas.openxmlformats.org/officeDocument/2006/relationships/hyperlink" Target="https://bbml.se/badrumsrenovering/" TargetMode="External"/><Relationship Id="rId11" Type="http://schemas.openxmlformats.org/officeDocument/2006/relationships/hyperlink" Target="https://marketingmartin.se/6-satt-att-forbattra-belysningen-i-ditt-hem/" TargetMode="External"/><Relationship Id="rId398" Type="http://schemas.openxmlformats.org/officeDocument/2006/relationships/hyperlink" Target="https://livsstilsexperten.se/detta-ar-livsstilsforandringarna-som-lakarna-rekommenderar-for-ett-battre-liv-med-typ-2-diabetes/" TargetMode="External"/><Relationship Id="rId2079" Type="http://schemas.openxmlformats.org/officeDocument/2006/relationships/hyperlink" Target="https://www.creditsafe.com/dk/da/kredit-risiko/kreditrapporter/kreditvurdering.html" TargetMode="External"/><Relationship Id="rId3477" Type="http://schemas.openxmlformats.org/officeDocument/2006/relationships/hyperlink" Target="https://www.filippa-k.com/se/sv/dam/ready-to-wear/byxor" TargetMode="External"/><Relationship Id="rId4528" Type="http://schemas.openxmlformats.org/officeDocument/2006/relationships/hyperlink" Target="https://hhbf.se/tecken-pa-att-du-bor-ta-in-bilen-till-en-skadeverkstad/" TargetMode="External"/><Relationship Id="rId7001" Type="http://schemas.openxmlformats.org/officeDocument/2006/relationships/hyperlink" Target="https://nothing2hide.net/latest/kickstart-2025-five-simple-steps-to-a-healthier-you/" TargetMode="External"/><Relationship Id="rId2560" Type="http://schemas.openxmlformats.org/officeDocument/2006/relationships/hyperlink" Target="http://distansinstitutet.se/" TargetMode="External"/><Relationship Id="rId3611" Type="http://schemas.openxmlformats.org/officeDocument/2006/relationships/hyperlink" Target="https://www.upplevroslagen.se/" TargetMode="External"/><Relationship Id="rId9173" Type="http://schemas.openxmlformats.org/officeDocument/2006/relationships/hyperlink" Target="https://gonorthshop.com/products/pots-and-pans-cooking-kitchen-set" TargetMode="External"/><Relationship Id="rId12154" Type="http://schemas.openxmlformats.org/officeDocument/2006/relationships/hyperlink" Target="https://haxan.se/products/haxan-bikarbonat" TargetMode="External"/><Relationship Id="rId13205" Type="http://schemas.openxmlformats.org/officeDocument/2006/relationships/hyperlink" Target="https://www.fiso.co.uk/how-to-stay-motivated-in-fantasy-football/" TargetMode="External"/><Relationship Id="rId532" Type="http://schemas.openxmlformats.org/officeDocument/2006/relationships/hyperlink" Target="http://chronos.se/" TargetMode="External"/><Relationship Id="rId1162" Type="http://schemas.openxmlformats.org/officeDocument/2006/relationships/hyperlink" Target="https://hoganassaluhall.se/vapes-som-hjalpmedel-for-rokavvanjning-en-djupdykning-i-effektivitet-och-kontrovers/" TargetMode="External"/><Relationship Id="rId2213" Type="http://schemas.openxmlformats.org/officeDocument/2006/relationships/hyperlink" Target="http://tandea.se/" TargetMode="External"/><Relationship Id="rId5783" Type="http://schemas.openxmlformats.org/officeDocument/2006/relationships/hyperlink" Target="https://familjenshemsida.se/stand-up-i-stockholm-familjeunderhallning-med-skratt/" TargetMode="External"/><Relationship Id="rId4385" Type="http://schemas.openxmlformats.org/officeDocument/2006/relationships/hyperlink" Target="https://kapitalskolan.se/forsta-och-utnyttja-rattvisa-investeringsmojligheter/" TargetMode="External"/><Relationship Id="rId5436" Type="http://schemas.openxmlformats.org/officeDocument/2006/relationships/hyperlink" Target="https://www.cdg.io/services/virtual-ciso/" TargetMode="External"/><Relationship Id="rId6834" Type="http://schemas.openxmlformats.org/officeDocument/2006/relationships/hyperlink" Target="http://hajper.com/" TargetMode="External"/><Relationship Id="rId4038" Type="http://schemas.openxmlformats.org/officeDocument/2006/relationships/hyperlink" Target="http://fairinvestments.se/" TargetMode="External"/><Relationship Id="rId11987" Type="http://schemas.openxmlformats.org/officeDocument/2006/relationships/hyperlink" Target="https://lifestylebloggen.se/nar-naturens-underverk-moter-modern-forskning/" TargetMode="External"/><Relationship Id="rId8659" Type="http://schemas.openxmlformats.org/officeDocument/2006/relationships/hyperlink" Target="http://startmotor.se/" TargetMode="External"/><Relationship Id="rId10589" Type="http://schemas.openxmlformats.org/officeDocument/2006/relationships/hyperlink" Target="https://www.africanbusinessreview.co.za/urban-pet-ownership-and-the-demand-for-innovative-products/" TargetMode="External"/><Relationship Id="rId13062" Type="http://schemas.openxmlformats.org/officeDocument/2006/relationships/hyperlink" Target="http://startmotor.se/" TargetMode="External"/><Relationship Id="rId2070" Type="http://schemas.openxmlformats.org/officeDocument/2006/relationships/hyperlink" Target="https://aretrotale.com/" TargetMode="External"/><Relationship Id="rId3121" Type="http://schemas.openxmlformats.org/officeDocument/2006/relationships/hyperlink" Target="https://tommytappar.se/tiotaks-taklaggare-fornyelse-av-tak-for-ekonomibyggnader-maskinhallar-jordbruksfastigheter-industrihallar/" TargetMode="External"/><Relationship Id="rId6691" Type="http://schemas.openxmlformats.org/officeDocument/2006/relationships/hyperlink" Target="http://seniorrabatt.se/" TargetMode="External"/><Relationship Id="rId7742" Type="http://schemas.openxmlformats.org/officeDocument/2006/relationships/hyperlink" Target="https://www.rusta.com/sv-se/hem-och-inredning/belysning" TargetMode="External"/><Relationship Id="rId5293" Type="http://schemas.openxmlformats.org/officeDocument/2006/relationships/hyperlink" Target="http://arctic.se/" TargetMode="External"/><Relationship Id="rId6344" Type="http://schemas.openxmlformats.org/officeDocument/2006/relationships/hyperlink" Target="http://rusta.se/" TargetMode="External"/><Relationship Id="rId10723" Type="http://schemas.openxmlformats.org/officeDocument/2006/relationships/hyperlink" Target="http://arctic.se/" TargetMode="External"/><Relationship Id="rId9567" Type="http://schemas.openxmlformats.org/officeDocument/2006/relationships/hyperlink" Target="https://www.kingsizemag.se/okategoriserat/var-gar-gransen-mellan-hundlyx-och-mansklig-fafanga/" TargetMode="External"/><Relationship Id="rId12895" Type="http://schemas.openxmlformats.org/officeDocument/2006/relationships/hyperlink" Target="http://epidemicsounds.com/" TargetMode="External"/><Relationship Id="rId2954" Type="http://schemas.openxmlformats.org/officeDocument/2006/relationships/hyperlink" Target="https://spelaonlinecasino.eu/nyheter/hur-teknologin-har-utvecklat-online-casinon-och-betting/" TargetMode="External"/><Relationship Id="rId8169" Type="http://schemas.openxmlformats.org/officeDocument/2006/relationships/hyperlink" Target="https://hobbybyggare.se/kreativa-hobbys-sa-kan-kontorsmaterial-forbattra-ditt-projekt/" TargetMode="External"/><Relationship Id="rId11497" Type="http://schemas.openxmlformats.org/officeDocument/2006/relationships/hyperlink" Target="https://financefinder.se/robomarkets-maximera-handelspotentialen-med-havstang/" TargetMode="External"/><Relationship Id="rId12548" Type="http://schemas.openxmlformats.org/officeDocument/2006/relationships/hyperlink" Target="https://blankaaktier.com/tips-for-handlare-anmal-dig-till-tradingview/" TargetMode="External"/><Relationship Id="rId926" Type="http://schemas.openxmlformats.org/officeDocument/2006/relationships/hyperlink" Target="https://fashionedits.com/the-ultimate-guide-to-finding-a-suit/" TargetMode="External"/><Relationship Id="rId1556" Type="http://schemas.openxmlformats.org/officeDocument/2006/relationships/hyperlink" Target="https://brandskor.se/att-sakerstalla-hallbara-tandhalsovanor-en-guide-till-ett-skinande-leende-livet-ut/" TargetMode="External"/><Relationship Id="rId2607" Type="http://schemas.openxmlformats.org/officeDocument/2006/relationships/hyperlink" Target="https://www.cattisb.se/sa-lindrar-du-knasmartan" TargetMode="External"/><Relationship Id="rId10099" Type="http://schemas.openxmlformats.org/officeDocument/2006/relationships/hyperlink" Target="https://www.bethard.com/sv/sports" TargetMode="External"/><Relationship Id="rId1209" Type="http://schemas.openxmlformats.org/officeDocument/2006/relationships/hyperlink" Target="https://www.tryggbil.se/" TargetMode="External"/><Relationship Id="rId4779" Type="http://schemas.openxmlformats.org/officeDocument/2006/relationships/hyperlink" Target="http://fairinvestments.se/" TargetMode="External"/><Relationship Id="rId8650" Type="http://schemas.openxmlformats.org/officeDocument/2006/relationships/hyperlink" Target="http://rusta.se/" TargetMode="External"/><Relationship Id="rId9701" Type="http://schemas.openxmlformats.org/officeDocument/2006/relationships/hyperlink" Target="http://4him4her.com/" TargetMode="External"/><Relationship Id="rId10580" Type="http://schemas.openxmlformats.org/officeDocument/2006/relationships/hyperlink" Target="https://naturaplug.com/natural-health-and-wellness/the-cost-of-convenience-water-bottles-and-waste/" TargetMode="External"/><Relationship Id="rId11631" Type="http://schemas.openxmlformats.org/officeDocument/2006/relationships/hyperlink" Target="http://vontabel.com/" TargetMode="External"/><Relationship Id="rId7252" Type="http://schemas.openxmlformats.org/officeDocument/2006/relationships/hyperlink" Target="https://clearfuze.com/solutions/it-consulting/" TargetMode="External"/><Relationship Id="rId8303" Type="http://schemas.openxmlformats.org/officeDocument/2006/relationships/hyperlink" Target="http://hajper.com/" TargetMode="External"/><Relationship Id="rId10233" Type="http://schemas.openxmlformats.org/officeDocument/2006/relationships/hyperlink" Target="https://www.allaannonser.se/samarb-kopplahund.html" TargetMode="External"/><Relationship Id="rId3862" Type="http://schemas.openxmlformats.org/officeDocument/2006/relationships/hyperlink" Target="http://spelklubben.se/" TargetMode="External"/><Relationship Id="rId783" Type="http://schemas.openxmlformats.org/officeDocument/2006/relationships/hyperlink" Target="https://www.happysocks.com/us/collection/socks-for-men" TargetMode="External"/><Relationship Id="rId2464" Type="http://schemas.openxmlformats.org/officeDocument/2006/relationships/hyperlink" Target="https://savethefuture.se/frunk-bar-frozen-strawberry-ar-en-engangs-vape-enhet-som-presenterar-en-spannande-och-fruktig-twist-till-den-vaxande-varlden-av-e-cigaretter/" TargetMode="External"/><Relationship Id="rId3515" Type="http://schemas.openxmlformats.org/officeDocument/2006/relationships/hyperlink" Target="https://happycasino.se/live" TargetMode="External"/><Relationship Id="rId4913" Type="http://schemas.openxmlformats.org/officeDocument/2006/relationships/hyperlink" Target="http://spelklubben.se/" TargetMode="External"/><Relationship Id="rId9077" Type="http://schemas.openxmlformats.org/officeDocument/2006/relationships/hyperlink" Target="https://www.rusta.com/sv-se/hem-och-inredning/belysning" TargetMode="External"/><Relationship Id="rId12058" Type="http://schemas.openxmlformats.org/officeDocument/2006/relationships/hyperlink" Target="https://www.vont.se/" TargetMode="External"/><Relationship Id="rId13109" Type="http://schemas.openxmlformats.org/officeDocument/2006/relationships/hyperlink" Target="https://omaha.com/life-entertainment/article_cab506c5-34cf-5c82-8bd2-1e21e7299148.html" TargetMode="External"/><Relationship Id="rId436" Type="http://schemas.openxmlformats.org/officeDocument/2006/relationships/hyperlink" Target="https://publicistpaper.com/exploring-the-charm-of-crazy-socks-colorful-adventures-await/" TargetMode="External"/><Relationship Id="rId1066" Type="http://schemas.openxmlformats.org/officeDocument/2006/relationships/hyperlink" Target="https://www.editorsbeauty.com/home-2/sock-hacks-clever-uses-for-old-or-mismatched-socks?rq=sock" TargetMode="External"/><Relationship Id="rId2117" Type="http://schemas.openxmlformats.org/officeDocument/2006/relationships/hyperlink" Target="http://foyen.se/" TargetMode="External"/><Relationship Id="rId4289" Type="http://schemas.openxmlformats.org/officeDocument/2006/relationships/hyperlink" Target="http://tiotak.se/" TargetMode="External"/><Relationship Id="rId5687" Type="http://schemas.openxmlformats.org/officeDocument/2006/relationships/hyperlink" Target="http://cherry.com/" TargetMode="External"/><Relationship Id="rId6738" Type="http://schemas.openxmlformats.org/officeDocument/2006/relationships/hyperlink" Target="https://www.hund.se/koppel-selar-och-halsband" TargetMode="External"/><Relationship Id="rId8160" Type="http://schemas.openxmlformats.org/officeDocument/2006/relationships/hyperlink" Target="https://www.startmotor.se/fordon/reservdelar-bat/volvo-penta" TargetMode="External"/><Relationship Id="rId9211" Type="http://schemas.openxmlformats.org/officeDocument/2006/relationships/hyperlink" Target="https://nordicinvestor.se/langsiktiga-investeringar-och-skraddarsydda-losningar-for-hogre-avkastning/" TargetMode="External"/><Relationship Id="rId10090" Type="http://schemas.openxmlformats.org/officeDocument/2006/relationships/hyperlink" Target="https://www.grontsamhallsbyggande.se/2025/06/29/satsa-pa-klimatsmarta-renoveringar-nar-du-fixar-i-hemmet/" TargetMode="External"/><Relationship Id="rId11141" Type="http://schemas.openxmlformats.org/officeDocument/2006/relationships/hyperlink" Target="http://haxan.se/" TargetMode="External"/><Relationship Id="rId1200" Type="http://schemas.openxmlformats.org/officeDocument/2006/relationships/hyperlink" Target="https://vardagsbetraktelser.se/blogg/den-moderna-kostymens-roll-i-samhallet-mer-an-bara-en-arbetskladsel/" TargetMode="External"/><Relationship Id="rId4770" Type="http://schemas.openxmlformats.org/officeDocument/2006/relationships/hyperlink" Target="https://sakraror.se/monterat-och-klart-vvs-tjanster-till-fast-pris/" TargetMode="External"/><Relationship Id="rId5821" Type="http://schemas.openxmlformats.org/officeDocument/2006/relationships/hyperlink" Target="http://joureliten.se/" TargetMode="External"/><Relationship Id="rId3372" Type="http://schemas.openxmlformats.org/officeDocument/2006/relationships/hyperlink" Target="https://distansinstitutet.se/distansutbildningar/inredning/inredare/" TargetMode="External"/><Relationship Id="rId4423" Type="http://schemas.openxmlformats.org/officeDocument/2006/relationships/hyperlink" Target="http://www.kelleher-international.com/" TargetMode="External"/><Relationship Id="rId7993" Type="http://schemas.openxmlformats.org/officeDocument/2006/relationships/hyperlink" Target="https://www.thecanary.co/discovery/lifestyle/2025/02/28/the-environmental-cost-of-fast-fashion-a-call-for-conscious-consumerism/" TargetMode="External"/><Relationship Id="rId293" Type="http://schemas.openxmlformats.org/officeDocument/2006/relationships/hyperlink" Target="https://nem.health/" TargetMode="External"/><Relationship Id="rId3025" Type="http://schemas.openxmlformats.org/officeDocument/2006/relationships/hyperlink" Target="http://spelklubben.se/" TargetMode="External"/><Relationship Id="rId6595" Type="http://schemas.openxmlformats.org/officeDocument/2006/relationships/hyperlink" Target="http://spelklubben.se/" TargetMode="External"/><Relationship Id="rId7646" Type="http://schemas.openxmlformats.org/officeDocument/2006/relationships/hyperlink" Target="http://hund.se/" TargetMode="External"/><Relationship Id="rId10974" Type="http://schemas.openxmlformats.org/officeDocument/2006/relationships/hyperlink" Target="https://www.videoslots.com/sv/" TargetMode="External"/><Relationship Id="rId5197" Type="http://schemas.openxmlformats.org/officeDocument/2006/relationships/hyperlink" Target="https://www.executiveeffect.se/hur-ai-omformar-bettingbranschen-en-titt-pa-framtiden/" TargetMode="External"/><Relationship Id="rId6248" Type="http://schemas.openxmlformats.org/officeDocument/2006/relationships/hyperlink" Target="https://byggmester.se/takbyte-pa-maskinhallar-vikt-och-processer/" TargetMode="External"/><Relationship Id="rId10627" Type="http://schemas.openxmlformats.org/officeDocument/2006/relationships/hyperlink" Target="http://mrvegas.com/" TargetMode="External"/><Relationship Id="rId12799" Type="http://schemas.openxmlformats.org/officeDocument/2006/relationships/hyperlink" Target="http://lsb.se/" TargetMode="External"/><Relationship Id="rId13100" Type="http://schemas.openxmlformats.org/officeDocument/2006/relationships/hyperlink" Target="https://www.racingbetter.co.uk/news/2025/10/rb700_photographing_horses.html" TargetMode="External"/><Relationship Id="rId2858" Type="http://schemas.openxmlformats.org/officeDocument/2006/relationships/hyperlink" Target="http://lemontree.se/" TargetMode="External"/><Relationship Id="rId3909" Type="http://schemas.openxmlformats.org/officeDocument/2006/relationships/hyperlink" Target="https://www.fastforwardmedia.se/spara-rattvist-vad-innebar-det" TargetMode="External"/><Relationship Id="rId4280" Type="http://schemas.openxmlformats.org/officeDocument/2006/relationships/hyperlink" Target="https://kastatarning.se/piffa-till-hemmet-med-lacker-led-belysning/" TargetMode="External"/><Relationship Id="rId5331" Type="http://schemas.openxmlformats.org/officeDocument/2006/relationships/hyperlink" Target="http://kvarnx.com/" TargetMode="External"/><Relationship Id="rId9952" Type="http://schemas.openxmlformats.org/officeDocument/2006/relationships/hyperlink" Target="https://www.haapavesi-lehti.fi/artikkeli/nain-loydat-parhaan-lainan-lainavertailu-palvelulla-zmarta" TargetMode="External"/><Relationship Id="rId1941" Type="http://schemas.openxmlformats.org/officeDocument/2006/relationships/hyperlink" Target="https://www.simmasverige.se/lyxsommar-hemma-med-egen-pool" TargetMode="External"/><Relationship Id="rId8554" Type="http://schemas.openxmlformats.org/officeDocument/2006/relationships/hyperlink" Target="https://www.godies.fi/collections/meikki" TargetMode="External"/><Relationship Id="rId9605" Type="http://schemas.openxmlformats.org/officeDocument/2006/relationships/hyperlink" Target="https://valkomnahem.se/nej-du-far-inte-mala-ditt-hus-rosa-sa-styr-staten-fargen-pa-ditt-hem/" TargetMode="External"/><Relationship Id="rId10484" Type="http://schemas.openxmlformats.org/officeDocument/2006/relationships/hyperlink" Target="http://sesec.se/" TargetMode="External"/><Relationship Id="rId11535" Type="http://schemas.openxmlformats.org/officeDocument/2006/relationships/hyperlink" Target="https://sufracofinebrands.com/" TargetMode="External"/><Relationship Id="rId11882" Type="http://schemas.openxmlformats.org/officeDocument/2006/relationships/hyperlink" Target="https://tiotak.se/byta-tak-maskinhall/" TargetMode="External"/><Relationship Id="rId12933" Type="http://schemas.openxmlformats.org/officeDocument/2006/relationships/hyperlink" Target="https://www.megariches.com/sv/" TargetMode="External"/><Relationship Id="rId7156" Type="http://schemas.openxmlformats.org/officeDocument/2006/relationships/hyperlink" Target="https://www.lansfast.se/maklare/sodermanland/trosa/" TargetMode="External"/><Relationship Id="rId8207" Type="http://schemas.openxmlformats.org/officeDocument/2006/relationships/hyperlink" Target="http://lilla-varlden.se/" TargetMode="External"/><Relationship Id="rId10137" Type="http://schemas.openxmlformats.org/officeDocument/2006/relationships/hyperlink" Target="https://myslandet.se/blogg/varldens-mysigaste-matta-ar-korad/" TargetMode="External"/><Relationship Id="rId687" Type="http://schemas.openxmlformats.org/officeDocument/2006/relationships/hyperlink" Target="https://bilvardsguiden.se/" TargetMode="External"/><Relationship Id="rId2368" Type="http://schemas.openxmlformats.org/officeDocument/2006/relationships/hyperlink" Target="http://foyen.se/" TargetMode="External"/><Relationship Id="rId3766" Type="http://schemas.openxmlformats.org/officeDocument/2006/relationships/hyperlink" Target="https://hot-maillogginse.se/aktiviteter-for-hela-familjen-i-sundsvall/" TargetMode="External"/><Relationship Id="rId4817" Type="http://schemas.openxmlformats.org/officeDocument/2006/relationships/hyperlink" Target="http://bigbenstandup.com/" TargetMode="External"/><Relationship Id="rId3419" Type="http://schemas.openxmlformats.org/officeDocument/2006/relationships/hyperlink" Target="http://rosapensionat.se/" TargetMode="External"/><Relationship Id="rId6989" Type="http://schemas.openxmlformats.org/officeDocument/2006/relationships/hyperlink" Target="https://modulhus.se/hallbara-tak-for-lantbruk-ladugardar/" TargetMode="External"/><Relationship Id="rId12790" Type="http://schemas.openxmlformats.org/officeDocument/2006/relationships/hyperlink" Target="http://hund.se/koppel-selar-och-halsband" TargetMode="External"/><Relationship Id="rId3900" Type="http://schemas.openxmlformats.org/officeDocument/2006/relationships/hyperlink" Target="http://www.purakliniken.se/" TargetMode="External"/><Relationship Id="rId9462" Type="http://schemas.openxmlformats.org/officeDocument/2006/relationships/hyperlink" Target="https://www.borskollen.se/nyheter/27/5-satt-att-bygga-ett-battre-sjalvfortroende-som-genast-gor-dig-mer-sjalvsaker" TargetMode="External"/><Relationship Id="rId11392" Type="http://schemas.openxmlformats.org/officeDocument/2006/relationships/hyperlink" Target="http://haxan.se/" TargetMode="External"/><Relationship Id="rId12443" Type="http://schemas.openxmlformats.org/officeDocument/2006/relationships/hyperlink" Target="https://www.affarsvarlden.se/native/spetsig-fond-hittar-globala-vinnare" TargetMode="External"/><Relationship Id="rId821" Type="http://schemas.openxmlformats.org/officeDocument/2006/relationships/hyperlink" Target="https://brollopspresenten.se/tank-pa-detta-infor-ditt-besok-pa-ett-brollop/" TargetMode="External"/><Relationship Id="rId1451" Type="http://schemas.openxmlformats.org/officeDocument/2006/relationships/hyperlink" Target="http://alfa.no/" TargetMode="External"/><Relationship Id="rId2502" Type="http://schemas.openxmlformats.org/officeDocument/2006/relationships/hyperlink" Target="https://nordenhydraulic.se/ledningskomponenter/slang-ledningskomponenter/hydraulslang/" TargetMode="External"/><Relationship Id="rId8064" Type="http://schemas.openxmlformats.org/officeDocument/2006/relationships/hyperlink" Target="http://bethard.com/sv/sports" TargetMode="External"/><Relationship Id="rId9115" Type="http://schemas.openxmlformats.org/officeDocument/2006/relationships/hyperlink" Target="http://yourgild.com/" TargetMode="External"/><Relationship Id="rId11045" Type="http://schemas.openxmlformats.org/officeDocument/2006/relationships/hyperlink" Target="http://kvarnx.com/" TargetMode="External"/><Relationship Id="rId1104" Type="http://schemas.openxmlformats.org/officeDocument/2006/relationships/hyperlink" Target="https://kamagraquees.nu/bilverkstaden-en-nodvandig-resurs-for-fordonsunderhall-och-reparationer/" TargetMode="External"/><Relationship Id="rId4674" Type="http://schemas.openxmlformats.org/officeDocument/2006/relationships/hyperlink" Target="https://www.cherry.com/sv/" TargetMode="External"/><Relationship Id="rId5725" Type="http://schemas.openxmlformats.org/officeDocument/2006/relationships/hyperlink" Target="https://www.rusta.com/se/sv/hem--inredning/mattor/" TargetMode="External"/><Relationship Id="rId3276" Type="http://schemas.openxmlformats.org/officeDocument/2006/relationships/hyperlink" Target="https://www.kasino-bonus.nu/spelklubben-recension-och-guide/" TargetMode="External"/><Relationship Id="rId4327" Type="http://schemas.openxmlformats.org/officeDocument/2006/relationships/hyperlink" Target="https://eciggshoppen.se/vapes-e-cigaretter-minskade-risker-jamfort-med-traditionella-cigaretter/" TargetMode="External"/><Relationship Id="rId197" Type="http://schemas.openxmlformats.org/officeDocument/2006/relationships/hyperlink" Target="https://chronos.se/" TargetMode="External"/><Relationship Id="rId6499" Type="http://schemas.openxmlformats.org/officeDocument/2006/relationships/hyperlink" Target="https://www.tigerofsweden.com/se/sv/herr/kostymer/" TargetMode="External"/><Relationship Id="rId7897" Type="http://schemas.openxmlformats.org/officeDocument/2006/relationships/hyperlink" Target="https://www.chattanoogarehab.com/us/hot-cold/hot-cold-packs" TargetMode="External"/><Relationship Id="rId8948" Type="http://schemas.openxmlformats.org/officeDocument/2006/relationships/hyperlink" Target="https://thestripesblog.com/working-remotely-this-summer-here-s-how-it-keeps-you-connected/" TargetMode="External"/><Relationship Id="rId10878" Type="http://schemas.openxmlformats.org/officeDocument/2006/relationships/hyperlink" Target="http://kleer.se/" TargetMode="External"/><Relationship Id="rId11929" Type="http://schemas.openxmlformats.org/officeDocument/2006/relationships/hyperlink" Target="http://robomarkets.com/" TargetMode="External"/><Relationship Id="rId3410" Type="http://schemas.openxmlformats.org/officeDocument/2006/relationships/hyperlink" Target="https://eventeffect.se/tryggvi-din-partner-i-jamforelse-av-forsakringar/" TargetMode="External"/><Relationship Id="rId6980" Type="http://schemas.openxmlformats.org/officeDocument/2006/relationships/hyperlink" Target="http://kleer.se/" TargetMode="External"/><Relationship Id="rId13004" Type="http://schemas.openxmlformats.org/officeDocument/2006/relationships/hyperlink" Target="https://jazziparken.se/den-perfekta-ankomsttiden/" TargetMode="External"/><Relationship Id="rId331" Type="http://schemas.openxmlformats.org/officeDocument/2006/relationships/hyperlink" Target="https://smartkonstruktion.se/karvar-ekonomin-just-nu-spara-hundralappar-genom-att-sanka-elforbrukningen/" TargetMode="External"/><Relationship Id="rId2012" Type="http://schemas.openxmlformats.org/officeDocument/2006/relationships/hyperlink" Target="http://ledkungen.se/" TargetMode="External"/><Relationship Id="rId5582" Type="http://schemas.openxmlformats.org/officeDocument/2006/relationships/hyperlink" Target="https://tiotak.se/plattak/plattak-med-solceller/" TargetMode="External"/><Relationship Id="rId6633" Type="http://schemas.openxmlformats.org/officeDocument/2006/relationships/hyperlink" Target="https://ledarsidorna.se/att-leda-sin-hund/" TargetMode="External"/><Relationship Id="rId4184" Type="http://schemas.openxmlformats.org/officeDocument/2006/relationships/hyperlink" Target="https://www.tarelugnt.se/solceller-framtidens-energi" TargetMode="External"/><Relationship Id="rId5235" Type="http://schemas.openxmlformats.org/officeDocument/2006/relationships/hyperlink" Target="https://tryggbil.se/volkswagen/" TargetMode="External"/><Relationship Id="rId9856" Type="http://schemas.openxmlformats.org/officeDocument/2006/relationships/hyperlink" Target="https://yourgild.com/" TargetMode="External"/><Relationship Id="rId8458" Type="http://schemas.openxmlformats.org/officeDocument/2006/relationships/hyperlink" Target="http://mobot.com/" TargetMode="External"/><Relationship Id="rId9509" Type="http://schemas.openxmlformats.org/officeDocument/2006/relationships/hyperlink" Target="https://www.4him4her.com/sv-se" TargetMode="External"/><Relationship Id="rId11786" Type="http://schemas.openxmlformats.org/officeDocument/2006/relationships/hyperlink" Target="https://www.robomarkets.com/se/forex-trading/assets/indices/" TargetMode="External"/><Relationship Id="rId12837" Type="http://schemas.openxmlformats.org/officeDocument/2006/relationships/hyperlink" Target="http://mynicco.com/" TargetMode="External"/><Relationship Id="rId1845" Type="http://schemas.openxmlformats.org/officeDocument/2006/relationships/hyperlink" Target="https://www.norteam.se/" TargetMode="External"/><Relationship Id="rId10388" Type="http://schemas.openxmlformats.org/officeDocument/2006/relationships/hyperlink" Target="https://caboo.se/upplevelser-att-dela-med-din-pojkvan/" TargetMode="External"/><Relationship Id="rId11439" Type="http://schemas.openxmlformats.org/officeDocument/2006/relationships/hyperlink" Target="http://lansfast.se/" TargetMode="External"/><Relationship Id="rId11920" Type="http://schemas.openxmlformats.org/officeDocument/2006/relationships/hyperlink" Target="http://robomarkets.com/" TargetMode="External"/><Relationship Id="rId5092" Type="http://schemas.openxmlformats.org/officeDocument/2006/relationships/hyperlink" Target="http://lemontree.se/" TargetMode="External"/><Relationship Id="rId6490" Type="http://schemas.openxmlformats.org/officeDocument/2006/relationships/hyperlink" Target="https://supernormal.health/se/medicinsk-viktnedgang/Information-om-lakemedel/rybelsus/" TargetMode="External"/><Relationship Id="rId7541" Type="http://schemas.openxmlformats.org/officeDocument/2006/relationships/hyperlink" Target="http://bethard.com/" TargetMode="External"/><Relationship Id="rId10522" Type="http://schemas.openxmlformats.org/officeDocument/2006/relationships/hyperlink" Target="https://www.epidemicsound.com/music/" TargetMode="External"/><Relationship Id="rId6143" Type="http://schemas.openxmlformats.org/officeDocument/2006/relationships/hyperlink" Target="http://aretrotale.com/" TargetMode="External"/><Relationship Id="rId12694" Type="http://schemas.openxmlformats.org/officeDocument/2006/relationships/hyperlink" Target="https://hobbyforalla.se/batbatteri-en-viktig-del-av-din-bathobby/" TargetMode="External"/><Relationship Id="rId2753" Type="http://schemas.openxmlformats.org/officeDocument/2006/relationships/hyperlink" Target="http://distansinstitutet.se/" TargetMode="External"/><Relationship Id="rId3804" Type="http://schemas.openxmlformats.org/officeDocument/2006/relationships/hyperlink" Target="https://coresys.se/framtiden-for-ai-inom-logistik-och-leveranskedjor/" TargetMode="External"/><Relationship Id="rId9366" Type="http://schemas.openxmlformats.org/officeDocument/2006/relationships/hyperlink" Target="https://www.kungaslottet.se/mobile/welcome-bonus/" TargetMode="External"/><Relationship Id="rId11296" Type="http://schemas.openxmlformats.org/officeDocument/2006/relationships/hyperlink" Target="https://www.di.se/brandstudio/fair-investments/fair-investments-vi-tar-bara-betalt-for-verkliga-resultat-det-tjanar-alla-pa/" TargetMode="External"/><Relationship Id="rId12347" Type="http://schemas.openxmlformats.org/officeDocument/2006/relationships/hyperlink" Target="http://triwa.com/" TargetMode="External"/><Relationship Id="rId725" Type="http://schemas.openxmlformats.org/officeDocument/2006/relationships/hyperlink" Target="https://kundportal.fairinvestments.se/" TargetMode="External"/><Relationship Id="rId1355" Type="http://schemas.openxmlformats.org/officeDocument/2006/relationships/hyperlink" Target="https://socialsummit17.se/tandvard-i-framkant-tandlakarvarlden-i-stockholm/" TargetMode="External"/><Relationship Id="rId2406" Type="http://schemas.openxmlformats.org/officeDocument/2006/relationships/hyperlink" Target="https://www.tarelugnt.se/cbd-olja-for-halsa-och-valbefinnande" TargetMode="External"/><Relationship Id="rId9019" Type="http://schemas.openxmlformats.org/officeDocument/2006/relationships/hyperlink" Target="https://www.expressen.se/brandstudio/spelklubben/spelklubben-firar-ett-ar-med-nya-satsningar/" TargetMode="External"/><Relationship Id="rId1008" Type="http://schemas.openxmlformats.org/officeDocument/2006/relationships/hyperlink" Target="http://distansinstitutet.se/" TargetMode="External"/><Relationship Id="rId4578" Type="http://schemas.openxmlformats.org/officeDocument/2006/relationships/hyperlink" Target="http://cdg.io/" TargetMode="External"/><Relationship Id="rId5976" Type="http://schemas.openxmlformats.org/officeDocument/2006/relationships/hyperlink" Target="https://www.myownwater.com/" TargetMode="External"/><Relationship Id="rId61" Type="http://schemas.openxmlformats.org/officeDocument/2006/relationships/hyperlink" Target="http://haxan.se/" TargetMode="External"/><Relationship Id="rId5629" Type="http://schemas.openxmlformats.org/officeDocument/2006/relationships/hyperlink" Target="https://www.smss.se/" TargetMode="External"/><Relationship Id="rId7051" Type="http://schemas.openxmlformats.org/officeDocument/2006/relationships/hyperlink" Target="http://mynicco.com/" TargetMode="External"/><Relationship Id="rId8102" Type="http://schemas.openxmlformats.org/officeDocument/2006/relationships/hyperlink" Target="https://aerius.se/tjanster/ftx-system/" TargetMode="External"/><Relationship Id="rId9500" Type="http://schemas.openxmlformats.org/officeDocument/2006/relationships/hyperlink" Target="https://lindenytt.com/extra/sommarschemat-for-lindesberg-2025/" TargetMode="External"/><Relationship Id="rId11430" Type="http://schemas.openxmlformats.org/officeDocument/2006/relationships/hyperlink" Target="http://lansfast.se/" TargetMode="External"/><Relationship Id="rId10032" Type="http://schemas.openxmlformats.org/officeDocument/2006/relationships/hyperlink" Target="https://www.dbet.com/" TargetMode="External"/><Relationship Id="rId3661" Type="http://schemas.openxmlformats.org/officeDocument/2006/relationships/hyperlink" Target="http://aretrotale.com/" TargetMode="External"/><Relationship Id="rId4712" Type="http://schemas.openxmlformats.org/officeDocument/2006/relationships/hyperlink" Target="https://oljudsthlm.se/sa-valjer-du-ratt-bilverkstad/" TargetMode="External"/><Relationship Id="rId13255" Type="http://schemas.openxmlformats.org/officeDocument/2006/relationships/hyperlink" Target="http://sakraror.se/" TargetMode="External"/><Relationship Id="rId582" Type="http://schemas.openxmlformats.org/officeDocument/2006/relationships/hyperlink" Target="http://tiotak.se/" TargetMode="External"/><Relationship Id="rId2263" Type="http://schemas.openxmlformats.org/officeDocument/2006/relationships/hyperlink" Target="https://www.mariatand.se/behandling/tandimplantat-stockholm" TargetMode="External"/><Relationship Id="rId3314" Type="http://schemas.openxmlformats.org/officeDocument/2006/relationships/hyperlink" Target="https://dinvilla.no/hvordan-sikre-det-beste-lanet-en-guide-til-smart-pengebruk/" TargetMode="External"/><Relationship Id="rId6884" Type="http://schemas.openxmlformats.org/officeDocument/2006/relationships/hyperlink" Target="https://www.cherry.com/sv/welcome-bonus" TargetMode="External"/><Relationship Id="rId7935" Type="http://schemas.openxmlformats.org/officeDocument/2006/relationships/hyperlink" Target="http://sesec.se/" TargetMode="External"/><Relationship Id="rId235" Type="http://schemas.openxmlformats.org/officeDocument/2006/relationships/hyperlink" Target="https://uppsalabostad.se/" TargetMode="External"/><Relationship Id="rId5486" Type="http://schemas.openxmlformats.org/officeDocument/2006/relationships/hyperlink" Target="http://e-ciggbolaget.se/" TargetMode="External"/><Relationship Id="rId6537" Type="http://schemas.openxmlformats.org/officeDocument/2006/relationships/hyperlink" Target="http://clearfuze.com/" TargetMode="External"/><Relationship Id="rId10916" Type="http://schemas.openxmlformats.org/officeDocument/2006/relationships/hyperlink" Target="http://myownwater.com/" TargetMode="External"/><Relationship Id="rId4088" Type="http://schemas.openxmlformats.org/officeDocument/2006/relationships/hyperlink" Target="http://fairinvestments.se/" TargetMode="External"/><Relationship Id="rId5139" Type="http://schemas.openxmlformats.org/officeDocument/2006/relationships/hyperlink" Target="https://www.bipolarsjuk.se/sa-minskar-du-din-tandlakarskrack" TargetMode="External"/><Relationship Id="rId9010" Type="http://schemas.openxmlformats.org/officeDocument/2006/relationships/hyperlink" Target="https://www.hajper.com/sv" TargetMode="External"/><Relationship Id="rId1749" Type="http://schemas.openxmlformats.org/officeDocument/2006/relationships/hyperlink" Target="http://triwa.com/" TargetMode="External"/><Relationship Id="rId3171" Type="http://schemas.openxmlformats.org/officeDocument/2006/relationships/hyperlink" Target="http://distansinstitutet.se/" TargetMode="External"/><Relationship Id="rId5620" Type="http://schemas.openxmlformats.org/officeDocument/2006/relationships/hyperlink" Target="https://www.joureliten.se/jour-elektriker/" TargetMode="External"/><Relationship Id="rId4222" Type="http://schemas.openxmlformats.org/officeDocument/2006/relationships/hyperlink" Target="http://fairinvestments.se/" TargetMode="External"/><Relationship Id="rId7792" Type="http://schemas.openxmlformats.org/officeDocument/2006/relationships/hyperlink" Target="https://www.jfkra.dk/se-tv-film-og-serier-pa-en-helt-ny-made" TargetMode="External"/><Relationship Id="rId8843" Type="http://schemas.openxmlformats.org/officeDocument/2006/relationships/hyperlink" Target="https://www.petster.se/hast/hasttacken/?74800031=g-changed-d-48-1-filter:JTdCJTIyZmlsdGVyJTIyOiU1QiU1RCwlMjJwcmljZSUyMjolN0IlMjJtaW4lMjI6MCwlMjJtYXglMjI6OTk5OTk5OTk5JTdEJTdE" TargetMode="External"/><Relationship Id="rId10773" Type="http://schemas.openxmlformats.org/officeDocument/2006/relationships/hyperlink" Target="http://michaelofrisorerna.se/" TargetMode="External"/><Relationship Id="rId11824" Type="http://schemas.openxmlformats.org/officeDocument/2006/relationships/hyperlink" Target="https://migogaalborg.dk/kreditvurderinger-skaber-tryghed-for-nye-ivaerksaettere-i-aalborg/" TargetMode="External"/><Relationship Id="rId6394" Type="http://schemas.openxmlformats.org/officeDocument/2006/relationships/hyperlink" Target="http://kamux.fi/" TargetMode="External"/><Relationship Id="rId7445" Type="http://schemas.openxmlformats.org/officeDocument/2006/relationships/hyperlink" Target="https://www.kingsizemag.se/okategoriserat/hiphop-stjarnornas-hemlighet-bakom-deras-perfekta-leenden/" TargetMode="External"/><Relationship Id="rId10426" Type="http://schemas.openxmlformats.org/officeDocument/2006/relationships/hyperlink" Target="https://glassfactory.fi/sv/collections/speglar-med-belysning" TargetMode="External"/><Relationship Id="rId6047" Type="http://schemas.openxmlformats.org/officeDocument/2006/relationships/hyperlink" Target="https://www.svenskbyggtidning.se/2024/10/28/sakra-ror-din-palitliga-partner-for-alla-dina-vvs-behov/" TargetMode="External"/><Relationship Id="rId976" Type="http://schemas.openxmlformats.org/officeDocument/2006/relationships/hyperlink" Target="https://www.villarelining.se/" TargetMode="External"/><Relationship Id="rId2657" Type="http://schemas.openxmlformats.org/officeDocument/2006/relationships/hyperlink" Target="https://luckycasino.com/en/" TargetMode="External"/><Relationship Id="rId12598" Type="http://schemas.openxmlformats.org/officeDocument/2006/relationships/hyperlink" Target="http://spelklubben.se/" TargetMode="External"/><Relationship Id="rId629" Type="http://schemas.openxmlformats.org/officeDocument/2006/relationships/hyperlink" Target="https://seblogg.se/sa-valjer-du-ratt-entreprenor-i-samband-med-byggnation/" TargetMode="External"/><Relationship Id="rId1259" Type="http://schemas.openxmlformats.org/officeDocument/2006/relationships/hyperlink" Target="https://www.swedoffice.se/kategori/49902-kopieringspapper" TargetMode="External"/><Relationship Id="rId3708" Type="http://schemas.openxmlformats.org/officeDocument/2006/relationships/hyperlink" Target="https://www.filippa-k.com/se/sv/dam/ready-to-wear/byxor" TargetMode="External"/><Relationship Id="rId5130" Type="http://schemas.openxmlformats.org/officeDocument/2006/relationships/hyperlink" Target="https://www.tandea.se/" TargetMode="External"/><Relationship Id="rId9751" Type="http://schemas.openxmlformats.org/officeDocument/2006/relationships/hyperlink" Target="http://turner.fi/" TargetMode="External"/><Relationship Id="rId11681" Type="http://schemas.openxmlformats.org/officeDocument/2006/relationships/hyperlink" Target="https://stabilokonomi.dk/guide-til-det-du-skal-vide-om-bull-og-bear-markedet/" TargetMode="External"/><Relationship Id="rId12732" Type="http://schemas.openxmlformats.org/officeDocument/2006/relationships/hyperlink" Target="https://www.tandlakare.se/stad/goteborg/" TargetMode="External"/><Relationship Id="rId1740" Type="http://schemas.openxmlformats.org/officeDocument/2006/relationships/hyperlink" Target="http://lemontree.se/" TargetMode="External"/><Relationship Id="rId8353" Type="http://schemas.openxmlformats.org/officeDocument/2006/relationships/hyperlink" Target="https://www.bergetsro.se/salja/maklare-sundbyberg/" TargetMode="External"/><Relationship Id="rId9404" Type="http://schemas.openxmlformats.org/officeDocument/2006/relationships/hyperlink" Target="https://www.newst.se/hemmets-sju-masten/" TargetMode="External"/><Relationship Id="rId10283" Type="http://schemas.openxmlformats.org/officeDocument/2006/relationships/hyperlink" Target="https://www.rusta.com/se/sv/hem--inredning/mattor/" TargetMode="External"/><Relationship Id="rId11334" Type="http://schemas.openxmlformats.org/officeDocument/2006/relationships/hyperlink" Target="https://www.facebook.com/fairinvestmentsswedenAB/" TargetMode="External"/><Relationship Id="rId4963" Type="http://schemas.openxmlformats.org/officeDocument/2006/relationships/hyperlink" Target="https://alfaoutdoor.se/" TargetMode="External"/><Relationship Id="rId8006" Type="http://schemas.openxmlformats.org/officeDocument/2006/relationships/hyperlink" Target="https://www.myownwater.com/aluminum-water-bottles" TargetMode="External"/><Relationship Id="rId3565" Type="http://schemas.openxmlformats.org/officeDocument/2006/relationships/hyperlink" Target="https://www.socialmediamagazine.org/matchmaking-business" TargetMode="External"/><Relationship Id="rId4616" Type="http://schemas.openxmlformats.org/officeDocument/2006/relationships/hyperlink" Target="https://www.spelklubben.se/sv/casino/new-games" TargetMode="External"/><Relationship Id="rId13159" Type="http://schemas.openxmlformats.org/officeDocument/2006/relationships/hyperlink" Target="https://fragbite.se/all/news/59603/spelifieringen-av-spel" TargetMode="External"/><Relationship Id="rId486" Type="http://schemas.openxmlformats.org/officeDocument/2006/relationships/hyperlink" Target="https://www.vont.se/" TargetMode="External"/><Relationship Id="rId2167" Type="http://schemas.openxmlformats.org/officeDocument/2006/relationships/hyperlink" Target="https://www.norteam.se/" TargetMode="External"/><Relationship Id="rId3218" Type="http://schemas.openxmlformats.org/officeDocument/2006/relationships/hyperlink" Target="https://quizy.se/luckycasino-det-ultimata-online-casinot/" TargetMode="External"/><Relationship Id="rId6788" Type="http://schemas.openxmlformats.org/officeDocument/2006/relationships/hyperlink" Target="https://www.executiveeffect.se/kostymer-och-makt-sa-bar-du-kostymen-som-en-ledare/" TargetMode="External"/><Relationship Id="rId139" Type="http://schemas.openxmlformats.org/officeDocument/2006/relationships/hyperlink" Target="http://kopbarnvagn.se/" TargetMode="External"/><Relationship Id="rId7839" Type="http://schemas.openxmlformats.org/officeDocument/2006/relationships/hyperlink" Target="http://rusta.se/" TargetMode="External"/><Relationship Id="rId9261" Type="http://schemas.openxmlformats.org/officeDocument/2006/relationships/hyperlink" Target="https://sakraror.se/" TargetMode="External"/><Relationship Id="rId11191" Type="http://schemas.openxmlformats.org/officeDocument/2006/relationships/hyperlink" Target="https://el-news.de/umwelt-gesundheit/waermepumpen-ein-neues-energie-system-fuer-nachhaltiges-wohnen/" TargetMode="External"/><Relationship Id="rId12242" Type="http://schemas.openxmlformats.org/officeDocument/2006/relationships/hyperlink" Target="https://www.totallystockholm.se/valutahandel-omsattning-och-risker/" TargetMode="External"/><Relationship Id="rId620" Type="http://schemas.openxmlformats.org/officeDocument/2006/relationships/hyperlink" Target="https://vivaglammagazine.com/guide-10-essential-items-for-the-minimalist-mans-wardrobe/" TargetMode="External"/><Relationship Id="rId1250" Type="http://schemas.openxmlformats.org/officeDocument/2006/relationships/hyperlink" Target="https://www.thebulletintime.com/trend/4-cool-ways-to-style-your-socks/" TargetMode="External"/><Relationship Id="rId2301" Type="http://schemas.openxmlformats.org/officeDocument/2006/relationships/hyperlink" Target="https://ingelaclarin.se/studera-pedagogik-pa-distans" TargetMode="External"/><Relationship Id="rId5871" Type="http://schemas.openxmlformats.org/officeDocument/2006/relationships/hyperlink" Target="https://herrtidningar.se/bilverkstad-i-tyreso-en-guide-for-maend/" TargetMode="External"/><Relationship Id="rId6922" Type="http://schemas.openxmlformats.org/officeDocument/2006/relationships/hyperlink" Target="https://www.tandea.se/tandvard/" TargetMode="External"/><Relationship Id="rId4473" Type="http://schemas.openxmlformats.org/officeDocument/2006/relationships/hyperlink" Target="http://m6bygg.se/" TargetMode="External"/><Relationship Id="rId5524" Type="http://schemas.openxmlformats.org/officeDocument/2006/relationships/hyperlink" Target="https://www.bathav.se/vanliga-batproblem-och-effektiva-losningar/" TargetMode="External"/><Relationship Id="rId3075" Type="http://schemas.openxmlformats.org/officeDocument/2006/relationships/hyperlink" Target="http://legendbygg.com/" TargetMode="External"/><Relationship Id="rId4126" Type="http://schemas.openxmlformats.org/officeDocument/2006/relationships/hyperlink" Target="http://storgruppen.se/" TargetMode="External"/><Relationship Id="rId7696" Type="http://schemas.openxmlformats.org/officeDocument/2006/relationships/hyperlink" Target="https://herrprylar.se/professionell-service-for-volkswagen-bilar-en-guide-for-man-i-tyreso/" TargetMode="External"/><Relationship Id="rId8747" Type="http://schemas.openxmlformats.org/officeDocument/2006/relationships/hyperlink" Target="https://www.spelklubben.se/sv/live-casino/roulette" TargetMode="External"/><Relationship Id="rId6298" Type="http://schemas.openxmlformats.org/officeDocument/2006/relationships/hyperlink" Target="http://tiotak.se/" TargetMode="External"/><Relationship Id="rId7349" Type="http://schemas.openxmlformats.org/officeDocument/2006/relationships/hyperlink" Target="https://www.chattanoogarehab.com/shock-wave-rpw" TargetMode="External"/><Relationship Id="rId10677" Type="http://schemas.openxmlformats.org/officeDocument/2006/relationships/hyperlink" Target="https://www.byggnyheter.se/20250805/32338/smarta-tips-en-smidig-flytt" TargetMode="External"/><Relationship Id="rId11728" Type="http://schemas.openxmlformats.org/officeDocument/2006/relationships/hyperlink" Target="https://camdenclothesline.com/horse-riding-breeches-and-riding-apparel.html" TargetMode="External"/><Relationship Id="rId13150" Type="http://schemas.openxmlformats.org/officeDocument/2006/relationships/hyperlink" Target="https://piggokry.nu/mattande-mellanmal/" TargetMode="External"/><Relationship Id="rId130" Type="http://schemas.openxmlformats.org/officeDocument/2006/relationships/hyperlink" Target="https://tidskriftenskeppet.se/sa-lyckas-man-med-att-borja-trana/" TargetMode="External"/><Relationship Id="rId3959" Type="http://schemas.openxmlformats.org/officeDocument/2006/relationships/hyperlink" Target="http://lemontree.se/" TargetMode="External"/><Relationship Id="rId5381" Type="http://schemas.openxmlformats.org/officeDocument/2006/relationships/hyperlink" Target="https://rabattkodsidor.se/2024/10/01/sa-hittar-du-de-basta-priserna-pa-vitt-snus-en-guide-smartare-kop/" TargetMode="External"/><Relationship Id="rId7830" Type="http://schemas.openxmlformats.org/officeDocument/2006/relationships/hyperlink" Target="http://svenskafonster.se/" TargetMode="External"/><Relationship Id="rId10811" Type="http://schemas.openxmlformats.org/officeDocument/2006/relationships/hyperlink" Target="http://www.klingsbergsforlag.se/" TargetMode="External"/><Relationship Id="rId5034" Type="http://schemas.openxmlformats.org/officeDocument/2006/relationships/hyperlink" Target="https://www.cherry.com/sv/casino/jackpotspel" TargetMode="External"/><Relationship Id="rId6432" Type="http://schemas.openxmlformats.org/officeDocument/2006/relationships/hyperlink" Target="https://aerius.se/" TargetMode="External"/><Relationship Id="rId12983" Type="http://schemas.openxmlformats.org/officeDocument/2006/relationships/hyperlink" Target="http://distansinstitutet.se/" TargetMode="External"/><Relationship Id="rId1991" Type="http://schemas.openxmlformats.org/officeDocument/2006/relationships/hyperlink" Target="https://www.mariatand.se/" TargetMode="External"/><Relationship Id="rId9655" Type="http://schemas.openxmlformats.org/officeDocument/2006/relationships/hyperlink" Target="https://www.transportochlogistik.se/20250602/21290/last-mile-delivery-och-hur-amazon-pressar-en-hel-bransch" TargetMode="External"/><Relationship Id="rId11585" Type="http://schemas.openxmlformats.org/officeDocument/2006/relationships/hyperlink" Target="https://sufracofinebrands.com/produkt/elementborste/" TargetMode="External"/><Relationship Id="rId12636" Type="http://schemas.openxmlformats.org/officeDocument/2006/relationships/hyperlink" Target="http://fairinvestments.se/" TargetMode="External"/><Relationship Id="rId1644" Type="http://schemas.openxmlformats.org/officeDocument/2006/relationships/hyperlink" Target="https://smallbusinessjournals.com/startup-construction-business/" TargetMode="External"/><Relationship Id="rId8257" Type="http://schemas.openxmlformats.org/officeDocument/2006/relationships/hyperlink" Target="http://spelklubben.se/" TargetMode="External"/><Relationship Id="rId9308" Type="http://schemas.openxmlformats.org/officeDocument/2006/relationships/hyperlink" Target="https://snickare.online/snickare" TargetMode="External"/><Relationship Id="rId10187" Type="http://schemas.openxmlformats.org/officeDocument/2006/relationships/hyperlink" Target="http://megariches.com/" TargetMode="External"/><Relationship Id="rId11238" Type="http://schemas.openxmlformats.org/officeDocument/2006/relationships/hyperlink" Target="https://chronos.se/diabetes/blodsocker" TargetMode="External"/><Relationship Id="rId4867" Type="http://schemas.openxmlformats.org/officeDocument/2006/relationships/hyperlink" Target="http://spelklubben.se/" TargetMode="External"/><Relationship Id="rId3469" Type="http://schemas.openxmlformats.org/officeDocument/2006/relationships/hyperlink" Target="https://www.tandlakare.se/stad/stockholm/" TargetMode="External"/><Relationship Id="rId5918" Type="http://schemas.openxmlformats.org/officeDocument/2006/relationships/hyperlink" Target="https://e-ciggbolaget.se/" TargetMode="External"/><Relationship Id="rId7340" Type="http://schemas.openxmlformats.org/officeDocument/2006/relationships/hyperlink" Target="http://hajper.com/" TargetMode="External"/><Relationship Id="rId10321" Type="http://schemas.openxmlformats.org/officeDocument/2006/relationships/hyperlink" Target="https://www.lilla-varlden.se/" TargetMode="External"/><Relationship Id="rId3950" Type="http://schemas.openxmlformats.org/officeDocument/2006/relationships/hyperlink" Target="http://everynightstudios.com/" TargetMode="External"/><Relationship Id="rId9165" Type="http://schemas.openxmlformats.org/officeDocument/2006/relationships/hyperlink" Target="http://technobark.com/" TargetMode="External"/><Relationship Id="rId12493" Type="http://schemas.openxmlformats.org/officeDocument/2006/relationships/hyperlink" Target="https://eventeffect.se/fair-investments-en-vag-mot-ekonomisk-trygghet-framtida-livskvalitet/" TargetMode="External"/><Relationship Id="rId871" Type="http://schemas.openxmlformats.org/officeDocument/2006/relationships/hyperlink" Target="https://fashionforest.se/hur-ska-man-egentligen-kla-sig-pa-ett-brollop/" TargetMode="External"/><Relationship Id="rId2552" Type="http://schemas.openxmlformats.org/officeDocument/2006/relationships/hyperlink" Target="http://fairinvestments.se/" TargetMode="External"/><Relationship Id="rId3603" Type="http://schemas.openxmlformats.org/officeDocument/2006/relationships/hyperlink" Target="https://www.plus46fashion.se/hall-koll-detta-om-du-startar-modellagentur" TargetMode="External"/><Relationship Id="rId11095" Type="http://schemas.openxmlformats.org/officeDocument/2006/relationships/hyperlink" Target="https://businesscloud.co.uk/news/tech-ecosystems-orchards-ripe-with-monopolies/" TargetMode="External"/><Relationship Id="rId12146" Type="http://schemas.openxmlformats.org/officeDocument/2006/relationships/hyperlink" Target="http://freckeus.se/" TargetMode="External"/><Relationship Id="rId524" Type="http://schemas.openxmlformats.org/officeDocument/2006/relationships/hyperlink" Target="https://byggavilla.se/truck-for-storre-byggprojekt-hyra-eller-kopa/" TargetMode="External"/><Relationship Id="rId1154" Type="http://schemas.openxmlformats.org/officeDocument/2006/relationships/hyperlink" Target="https://malm&#246;cloud.se/effektiv-mjukvarutestning-genom-automatiserade-processer-utforska-testautomatiseringens-fordelar/" TargetMode="External"/><Relationship Id="rId2205" Type="http://schemas.openxmlformats.org/officeDocument/2006/relationships/hyperlink" Target="http://tandea.se/" TargetMode="External"/><Relationship Id="rId5775" Type="http://schemas.openxmlformats.org/officeDocument/2006/relationships/hyperlink" Target="http://snusnetto.se/" TargetMode="External"/><Relationship Id="rId6826" Type="http://schemas.openxmlformats.org/officeDocument/2006/relationships/hyperlink" Target="http://bethard.com/" TargetMode="External"/><Relationship Id="rId4377" Type="http://schemas.openxmlformats.org/officeDocument/2006/relationships/hyperlink" Target="https://www.affarsvarlden.se/native/spetsig-fond-hittar-globala-vinnare" TargetMode="External"/><Relationship Id="rId5428" Type="http://schemas.openxmlformats.org/officeDocument/2006/relationships/hyperlink" Target="https://everynightstudios.com/collections/designa-egen-t-shirt" TargetMode="External"/><Relationship Id="rId8998" Type="http://schemas.openxmlformats.org/officeDocument/2006/relationships/hyperlink" Target="http://godies.fi/" TargetMode="External"/><Relationship Id="rId11979" Type="http://schemas.openxmlformats.org/officeDocument/2006/relationships/hyperlink" Target="http://fairinvestments.se/" TargetMode="External"/><Relationship Id="rId3460" Type="http://schemas.openxmlformats.org/officeDocument/2006/relationships/hyperlink" Target="https://conclean.se/produkter/minireningsverk/" TargetMode="External"/><Relationship Id="rId381" Type="http://schemas.openxmlformats.org/officeDocument/2006/relationships/hyperlink" Target="https://ngweb.se/viktiga-saker-att-ha-pa-kontoret/" TargetMode="External"/><Relationship Id="rId2062" Type="http://schemas.openxmlformats.org/officeDocument/2006/relationships/hyperlink" Target="https://www.creditsafe.com/dk/da/kredit-risiko/kreditrapporter/kreditvurdering.html" TargetMode="External"/><Relationship Id="rId3113" Type="http://schemas.openxmlformats.org/officeDocument/2006/relationships/hyperlink" Target="https://firmify.se/notyfile-det-ultimata-crm-verktyget-for-alla-typer-av-verksamheter/" TargetMode="External"/><Relationship Id="rId4511" Type="http://schemas.openxmlformats.org/officeDocument/2006/relationships/hyperlink" Target="https://lillavik.se/vad-ar-en-elmotor-och-vad-ar-skillnaden-mellan-en-elmotor-flaktmotor-och-torkarmotor/" TargetMode="External"/><Relationship Id="rId13054" Type="http://schemas.openxmlformats.org/officeDocument/2006/relationships/hyperlink" Target="https://www.eastvalleytribune.com/contributor_content/why-digital-strategy-matters-for-local-and-niche-markets/article_f1466250-efcb-41b7-89d2-74cfbf21f281.html" TargetMode="External"/><Relationship Id="rId6683" Type="http://schemas.openxmlformats.org/officeDocument/2006/relationships/hyperlink" Target="https://industribanken.se/effektiv-tvistlosning-for-foretag-en-guide-for-affarsman/" TargetMode="External"/><Relationship Id="rId7734" Type="http://schemas.openxmlformats.org/officeDocument/2006/relationships/hyperlink" Target="http://arctic.se/" TargetMode="External"/><Relationship Id="rId10715" Type="http://schemas.openxmlformats.org/officeDocument/2006/relationships/hyperlink" Target="https://www.enterprisemagazine.se/nyheter/artikel/7-metoder-for-battre-moten-pa-arbetsplatsen" TargetMode="External"/><Relationship Id="rId5285" Type="http://schemas.openxmlformats.org/officeDocument/2006/relationships/hyperlink" Target="https://dgmnews.com/posts/the-rise-of-personalized-products-a-new-era-in-consumer-engagement/" TargetMode="External"/><Relationship Id="rId6336" Type="http://schemas.openxmlformats.org/officeDocument/2006/relationships/hyperlink" Target="https://familjfakta.se/familjens-basta-van-hundens-roll-i-familjelivet/" TargetMode="External"/><Relationship Id="rId1895" Type="http://schemas.openxmlformats.org/officeDocument/2006/relationships/hyperlink" Target="https://www.vont.co/de/e-zigarette" TargetMode="External"/><Relationship Id="rId2946" Type="http://schemas.openxmlformats.org/officeDocument/2006/relationships/hyperlink" Target="https://www.spelklubben.se/sv/casino" TargetMode="External"/><Relationship Id="rId9559" Type="http://schemas.openxmlformats.org/officeDocument/2006/relationships/hyperlink" Target="http://fairinvestments.se/" TargetMode="External"/><Relationship Id="rId11489" Type="http://schemas.openxmlformats.org/officeDocument/2006/relationships/hyperlink" Target="https://www.robomarkets.com/se/" TargetMode="External"/><Relationship Id="rId12887" Type="http://schemas.openxmlformats.org/officeDocument/2006/relationships/hyperlink" Target="http://dbet.com/" TargetMode="External"/><Relationship Id="rId918" Type="http://schemas.openxmlformats.org/officeDocument/2006/relationships/hyperlink" Target="https://www.happysocks.com/us/collection/socks-for-men" TargetMode="External"/><Relationship Id="rId1548" Type="http://schemas.openxmlformats.org/officeDocument/2006/relationships/hyperlink" Target="https://www.happysocks.com/us/collection/socks-for-men" TargetMode="External"/><Relationship Id="rId4021" Type="http://schemas.openxmlformats.org/officeDocument/2006/relationships/hyperlink" Target="http://mariatand.se/" TargetMode="External"/><Relationship Id="rId7591" Type="http://schemas.openxmlformats.org/officeDocument/2006/relationships/hyperlink" Target="https://www.nodepositbonus.cc/" TargetMode="External"/><Relationship Id="rId11970" Type="http://schemas.openxmlformats.org/officeDocument/2006/relationships/hyperlink" Target="http://blugiallo.com/" TargetMode="External"/><Relationship Id="rId6193" Type="http://schemas.openxmlformats.org/officeDocument/2006/relationships/hyperlink" Target="http://cherry.com/" TargetMode="External"/><Relationship Id="rId7244" Type="http://schemas.openxmlformats.org/officeDocument/2006/relationships/hyperlink" Target="http://tandea.se/" TargetMode="External"/><Relationship Id="rId8642" Type="http://schemas.openxmlformats.org/officeDocument/2006/relationships/hyperlink" Target="https://industrilinjen.se/effektivisera-foretagets-lonehantering-med-molnbaserade-losningar/" TargetMode="External"/><Relationship Id="rId10572" Type="http://schemas.openxmlformats.org/officeDocument/2006/relationships/hyperlink" Target="https://kelleher-international.com/professional-matchmaking-for-men/" TargetMode="External"/><Relationship Id="rId11623" Type="http://schemas.openxmlformats.org/officeDocument/2006/relationships/hyperlink" Target="https://www.mynewsdesk.com/se/visibility-punktum-group/blog_posts/allt-och-lite-till-om-e-cigaretter-114707" TargetMode="External"/><Relationship Id="rId10225" Type="http://schemas.openxmlformats.org/officeDocument/2006/relationships/hyperlink" Target="https://nyweekly.com/health/how-using-cold-packs-is-essential-in-injury-management/" TargetMode="External"/><Relationship Id="rId3854" Type="http://schemas.openxmlformats.org/officeDocument/2006/relationships/hyperlink" Target="https://panncentralen.se/nyheter/vaping-i-sportvarlden-ar-det-ett-bra-nikotinalternativ-for-idrottare/" TargetMode="External"/><Relationship Id="rId4905" Type="http://schemas.openxmlformats.org/officeDocument/2006/relationships/hyperlink" Target="https://www.kvarnx.com/sv/foretaget" TargetMode="External"/><Relationship Id="rId12397" Type="http://schemas.openxmlformats.org/officeDocument/2006/relationships/hyperlink" Target="https://marketingmartin.se/att-vardera-tillforlitlighet-tryggbil-din-bilverkstad-i-stockholm-tyreso/" TargetMode="External"/><Relationship Id="rId775" Type="http://schemas.openxmlformats.org/officeDocument/2006/relationships/hyperlink" Target="http://happysocks.com/" TargetMode="External"/><Relationship Id="rId2456" Type="http://schemas.openxmlformats.org/officeDocument/2006/relationships/hyperlink" Target="http://kamux.fi/" TargetMode="External"/><Relationship Id="rId3507" Type="http://schemas.openxmlformats.org/officeDocument/2006/relationships/hyperlink" Target="http://e-ciggbolaget.se/" TargetMode="External"/><Relationship Id="rId9069" Type="http://schemas.openxmlformats.org/officeDocument/2006/relationships/hyperlink" Target="http://bethard.com/" TargetMode="External"/><Relationship Id="rId428" Type="http://schemas.openxmlformats.org/officeDocument/2006/relationships/hyperlink" Target="https://eciggshoppen.se/allt-du-behover-veta-om-vaping-ny-smak-ute-vart-att-testa/" TargetMode="External"/><Relationship Id="rId1058" Type="http://schemas.openxmlformats.org/officeDocument/2006/relationships/hyperlink" Target="https://sek-converter.se/foretagsrekonstruktion-insolvens-och-ekonomisk-radgivning-for-foretag-i-ekonomiska-svarigheter/" TargetMode="External"/><Relationship Id="rId2109" Type="http://schemas.openxmlformats.org/officeDocument/2006/relationships/hyperlink" Target="https://www.xpublishing.se/varfor-ar-ett-kassasystem-ett-maste" TargetMode="External"/><Relationship Id="rId5679" Type="http://schemas.openxmlformats.org/officeDocument/2006/relationships/hyperlink" Target="http://rusta.se/" TargetMode="External"/><Relationship Id="rId9550" Type="http://schemas.openxmlformats.org/officeDocument/2006/relationships/hyperlink" Target="https://www.videoslots.com/sv/mobile/casino/" TargetMode="External"/><Relationship Id="rId8152" Type="http://schemas.openxmlformats.org/officeDocument/2006/relationships/hyperlink" Target="http://rusta.se/" TargetMode="External"/><Relationship Id="rId9203" Type="http://schemas.openxmlformats.org/officeDocument/2006/relationships/hyperlink" Target="http://fairinvestments.se/" TargetMode="External"/><Relationship Id="rId10082" Type="http://schemas.openxmlformats.org/officeDocument/2006/relationships/hyperlink" Target="https://merchoteket.se/collections/muggar" TargetMode="External"/><Relationship Id="rId11480" Type="http://schemas.openxmlformats.org/officeDocument/2006/relationships/hyperlink" Target="https://nem.health/" TargetMode="External"/><Relationship Id="rId12531" Type="http://schemas.openxmlformats.org/officeDocument/2006/relationships/hyperlink" Target="http://ttsab.nu/" TargetMode="External"/><Relationship Id="rId11133" Type="http://schemas.openxmlformats.org/officeDocument/2006/relationships/hyperlink" Target="https://ekonomikunskap.se/spara-tid-och-minska-stress-med-smart-hemstadning/" TargetMode="External"/><Relationship Id="rId4762" Type="http://schemas.openxmlformats.org/officeDocument/2006/relationships/hyperlink" Target="http://tiotak.se/" TargetMode="External"/><Relationship Id="rId5813" Type="http://schemas.openxmlformats.org/officeDocument/2006/relationships/hyperlink" Target="https://smartkonstruktion.se/bortforsling-av-skrap-priser-och-tjanster-for-effektiv-avfallshantering/" TargetMode="External"/><Relationship Id="rId285" Type="http://schemas.openxmlformats.org/officeDocument/2006/relationships/hyperlink" Target="https://blugiallo.com/custom-tailored/clothes/jeans/" TargetMode="External"/><Relationship Id="rId3364" Type="http://schemas.openxmlformats.org/officeDocument/2006/relationships/hyperlink" Target="https://www.mynewsdesk.com/se/visibility-punktum-group/blog_posts/kvinnors-skjortor-en-evig-stilikon-118489" TargetMode="External"/><Relationship Id="rId4415" Type="http://schemas.openxmlformats.org/officeDocument/2006/relationships/hyperlink" Target="https://samlivet.se/fordelarna-med-regelbundna-tandlakarbesok/" TargetMode="External"/><Relationship Id="rId7985" Type="http://schemas.openxmlformats.org/officeDocument/2006/relationships/hyperlink" Target="https://www.easyfilm.dk/se-film-pa-en-moderne-made" TargetMode="External"/><Relationship Id="rId3017" Type="http://schemas.openxmlformats.org/officeDocument/2006/relationships/hyperlink" Target="https://eventeffect.se/alfa-outdoors-herr-fritidsskor-upplev-kvalitet-komfort-mangsidighet/" TargetMode="External"/><Relationship Id="rId6587" Type="http://schemas.openxmlformats.org/officeDocument/2006/relationships/hyperlink" Target="http://www.kanalgratis.se/sv" TargetMode="External"/><Relationship Id="rId7638" Type="http://schemas.openxmlformats.org/officeDocument/2006/relationships/hyperlink" Target="https://fritidsaktivitet.se/sa-skickar-du-in-ditt-manus-for-publicering-av-din-bok-inom-hobbyer/" TargetMode="External"/><Relationship Id="rId10619" Type="http://schemas.openxmlformats.org/officeDocument/2006/relationships/hyperlink" Target="https://evpowered.co.uk/feature/how-ev-partnerships-are-changing-casino-marketing/" TargetMode="External"/><Relationship Id="rId10966" Type="http://schemas.openxmlformats.org/officeDocument/2006/relationships/hyperlink" Target="http://hund.se/" TargetMode="External"/><Relationship Id="rId5189" Type="http://schemas.openxmlformats.org/officeDocument/2006/relationships/hyperlink" Target="http://startmotor.se/" TargetMode="External"/><Relationship Id="rId9060" Type="http://schemas.openxmlformats.org/officeDocument/2006/relationships/hyperlink" Target="http://mockfjards.se/" TargetMode="External"/><Relationship Id="rId12041" Type="http://schemas.openxmlformats.org/officeDocument/2006/relationships/hyperlink" Target="https://freizeitradar.de/blog/4-hobbys-die-sie-im-winter-machen-koennen/" TargetMode="External"/><Relationship Id="rId1799" Type="http://schemas.openxmlformats.org/officeDocument/2006/relationships/hyperlink" Target="http://schjodt.com/" TargetMode="External"/><Relationship Id="rId2100" Type="http://schemas.openxmlformats.org/officeDocument/2006/relationships/hyperlink" Target="https://www.peoma.se/var-radd-om-dina-knan" TargetMode="External"/><Relationship Id="rId5670" Type="http://schemas.openxmlformats.org/officeDocument/2006/relationships/hyperlink" Target="http://kvarnx.com/" TargetMode="External"/><Relationship Id="rId4272" Type="http://schemas.openxmlformats.org/officeDocument/2006/relationships/hyperlink" Target="https://www.lansfast.se/maklare/sodermanland/trosa/" TargetMode="External"/><Relationship Id="rId5323" Type="http://schemas.openxmlformats.org/officeDocument/2006/relationships/hyperlink" Target="https://alltomnorrtalje.se/sa-sparar-du-pengar-i-host-tips-for-att-minska-dina-kostnader/" TargetMode="External"/><Relationship Id="rId6721" Type="http://schemas.openxmlformats.org/officeDocument/2006/relationships/hyperlink" Target="https://fashionsidan.se/hallbara-klader-varfor-det-ar-viktigt-att-valja-ratt/" TargetMode="External"/><Relationship Id="rId8893" Type="http://schemas.openxmlformats.org/officeDocument/2006/relationships/hyperlink" Target="http://hund.se/" TargetMode="External"/><Relationship Id="rId9944" Type="http://schemas.openxmlformats.org/officeDocument/2006/relationships/hyperlink" Target="https://www.newst.se/5-saker-att-fordriva-tiden-med-under-semestern/" TargetMode="External"/><Relationship Id="rId11874" Type="http://schemas.openxmlformats.org/officeDocument/2006/relationships/hyperlink" Target="http://tiotak.se/" TargetMode="External"/><Relationship Id="rId12925" Type="http://schemas.openxmlformats.org/officeDocument/2006/relationships/hyperlink" Target="https://www.zmarta.se/lana-pengar" TargetMode="External"/><Relationship Id="rId1933" Type="http://schemas.openxmlformats.org/officeDocument/2006/relationships/hyperlink" Target="https://miamipool.se/" TargetMode="External"/><Relationship Id="rId6097" Type="http://schemas.openxmlformats.org/officeDocument/2006/relationships/hyperlink" Target="https://paracas.se/koksrenovering-trender-och-tips-for-2025/" TargetMode="External"/><Relationship Id="rId7495" Type="http://schemas.openxmlformats.org/officeDocument/2006/relationships/hyperlink" Target="http://nettotobak.com/" TargetMode="External"/><Relationship Id="rId8546" Type="http://schemas.openxmlformats.org/officeDocument/2006/relationships/hyperlink" Target="http://kamux.fi/" TargetMode="External"/><Relationship Id="rId10476" Type="http://schemas.openxmlformats.org/officeDocument/2006/relationships/hyperlink" Target="https://www.cherry.com/sv/casino" TargetMode="External"/><Relationship Id="rId11527" Type="http://schemas.openxmlformats.org/officeDocument/2006/relationships/hyperlink" Target="https://beautymama.se/varda-ditt-yttre-med-naturliga-skonhetsprodukter/" TargetMode="External"/><Relationship Id="rId7148" Type="http://schemas.openxmlformats.org/officeDocument/2006/relationships/hyperlink" Target="http://joureliten.se/" TargetMode="External"/><Relationship Id="rId10129" Type="http://schemas.openxmlformats.org/officeDocument/2006/relationships/hyperlink" Target="https://himala.ai/" TargetMode="External"/><Relationship Id="rId3758" Type="http://schemas.openxmlformats.org/officeDocument/2006/relationships/hyperlink" Target="https://www.norteam.se/cloud-portal" TargetMode="External"/><Relationship Id="rId4809" Type="http://schemas.openxmlformats.org/officeDocument/2006/relationships/hyperlink" Target="https://makeachange.se/effektiva-losningar-for-moderna-hydrauliska-system/" TargetMode="External"/><Relationship Id="rId679" Type="http://schemas.openxmlformats.org/officeDocument/2006/relationships/hyperlink" Target="https://blugiallo.se/guider/brollopsguide-akt-ett-vem/" TargetMode="External"/><Relationship Id="rId5180" Type="http://schemas.openxmlformats.org/officeDocument/2006/relationships/hyperlink" Target="http://sakraror.se/" TargetMode="External"/><Relationship Id="rId6231" Type="http://schemas.openxmlformats.org/officeDocument/2006/relationships/hyperlink" Target="http://lansfast.se/" TargetMode="External"/><Relationship Id="rId10610" Type="http://schemas.openxmlformats.org/officeDocument/2006/relationships/hyperlink" Target="https://www.utdplug.co.uk/personalisation-smart-recommendations-in-casino-technology/" TargetMode="External"/><Relationship Id="rId9454" Type="http://schemas.openxmlformats.org/officeDocument/2006/relationships/hyperlink" Target="http://upplevelse.com/" TargetMode="External"/><Relationship Id="rId12782" Type="http://schemas.openxmlformats.org/officeDocument/2006/relationships/hyperlink" Target="https://www.lsb.se/" TargetMode="External"/><Relationship Id="rId1790" Type="http://schemas.openxmlformats.org/officeDocument/2006/relationships/hyperlink" Target="http://freckeus.se/" TargetMode="External"/><Relationship Id="rId2841" Type="http://schemas.openxmlformats.org/officeDocument/2006/relationships/hyperlink" Target="https://eventeffect.se/fair-investments-en-djupdykning-i-finansiell-forvaltning/" TargetMode="External"/><Relationship Id="rId8056" Type="http://schemas.openxmlformats.org/officeDocument/2006/relationships/hyperlink" Target="http://ekstromgaray.se/" TargetMode="External"/><Relationship Id="rId9107" Type="http://schemas.openxmlformats.org/officeDocument/2006/relationships/hyperlink" Target="https://www.gilbertsunnews.com/affiliate_content/the-implementation-of-crm-systems-is-changing-business-for-the-better/article_1ea220fc-5edb-4a69-9f25-16ae6ef8d98b.html" TargetMode="External"/><Relationship Id="rId11384" Type="http://schemas.openxmlformats.org/officeDocument/2006/relationships/hyperlink" Target="http://haxan.se/" TargetMode="External"/><Relationship Id="rId12435" Type="http://schemas.openxmlformats.org/officeDocument/2006/relationships/hyperlink" Target="http://alvtorpet.se/" TargetMode="External"/><Relationship Id="rId813" Type="http://schemas.openxmlformats.org/officeDocument/2006/relationships/hyperlink" Target="https://www.adligo.io/sv" TargetMode="External"/><Relationship Id="rId1443" Type="http://schemas.openxmlformats.org/officeDocument/2006/relationships/hyperlink" Target="https://econotimes.com/5-Essential-Considerations-When-Taking-Out-a-Business-Loan-1662973" TargetMode="External"/><Relationship Id="rId11037" Type="http://schemas.openxmlformats.org/officeDocument/2006/relationships/hyperlink" Target="https://nettiruutu.fi/anna-itsesi-inspiroitua-elokuvamaailman-ikonisimmista-ovikohtauksista/" TargetMode="External"/><Relationship Id="rId4666" Type="http://schemas.openxmlformats.org/officeDocument/2006/relationships/hyperlink" Target="http://cherry.com/" TargetMode="External"/><Relationship Id="rId5717" Type="http://schemas.openxmlformats.org/officeDocument/2006/relationships/hyperlink" Target="http://nodepositbonus.cc/" TargetMode="External"/><Relationship Id="rId3268" Type="http://schemas.openxmlformats.org/officeDocument/2006/relationships/hyperlink" Target="https://www.smss.se/" TargetMode="External"/><Relationship Id="rId4319" Type="http://schemas.openxmlformats.org/officeDocument/2006/relationships/hyperlink" Target="https://www.spelklubben.se/sv/casino" TargetMode="External"/><Relationship Id="rId7889" Type="http://schemas.openxmlformats.org/officeDocument/2006/relationships/hyperlink" Target="http://bethard.com/" TargetMode="External"/><Relationship Id="rId10120" Type="http://schemas.openxmlformats.org/officeDocument/2006/relationships/hyperlink" Target="https://glassfactory.fi/sv/collections/extra-stora-speglar" TargetMode="External"/><Relationship Id="rId189" Type="http://schemas.openxmlformats.org/officeDocument/2006/relationships/hyperlink" Target="http://kopbarnvagn.se/" TargetMode="External"/><Relationship Id="rId12292" Type="http://schemas.openxmlformats.org/officeDocument/2006/relationships/hyperlink" Target="http://robomarkets.com/" TargetMode="External"/><Relationship Id="rId670" Type="http://schemas.openxmlformats.org/officeDocument/2006/relationships/hyperlink" Target="https://www.happysocks.com/us/collection/socks-for-men" TargetMode="External"/><Relationship Id="rId2351" Type="http://schemas.openxmlformats.org/officeDocument/2006/relationships/hyperlink" Target="https://bod&#248;posten.no/er-det-lurt-a-lane-penger-i-2024/" TargetMode="External"/><Relationship Id="rId3402" Type="http://schemas.openxmlformats.org/officeDocument/2006/relationships/hyperlink" Target="https://www.executiveeffect.se/hur-gar-det-till-nar-man-vill-ombilda-sin-hyresratt/" TargetMode="External"/><Relationship Id="rId4800" Type="http://schemas.openxmlformats.org/officeDocument/2006/relationships/hyperlink" Target="https://www.kvarnx.com/sv/kryptovalutor" TargetMode="External"/><Relationship Id="rId323" Type="http://schemas.openxmlformats.org/officeDocument/2006/relationships/hyperlink" Target="https://b&#228;stf&#246;rs&#228;kringar.se/villaforsakring/" TargetMode="External"/><Relationship Id="rId2004" Type="http://schemas.openxmlformats.org/officeDocument/2006/relationships/hyperlink" Target="https://www.nyhetsbrevskola.se/forbattra-din-affarsmodell-med-devops" TargetMode="External"/><Relationship Id="rId6972" Type="http://schemas.openxmlformats.org/officeDocument/2006/relationships/hyperlink" Target="http://mockfjards.se/att-byta-fonster" TargetMode="External"/><Relationship Id="rId4176" Type="http://schemas.openxmlformats.org/officeDocument/2006/relationships/hyperlink" Target="http://kvarnx.com/" TargetMode="External"/><Relationship Id="rId5574" Type="http://schemas.openxmlformats.org/officeDocument/2006/relationships/hyperlink" Target="https://www.mariatand.se/" TargetMode="External"/><Relationship Id="rId6625" Type="http://schemas.openxmlformats.org/officeDocument/2006/relationships/hyperlink" Target="http://fairinvestments.se/" TargetMode="External"/><Relationship Id="rId5227" Type="http://schemas.openxmlformats.org/officeDocument/2006/relationships/hyperlink" Target="http://joureliten.se/" TargetMode="External"/><Relationship Id="rId8797" Type="http://schemas.openxmlformats.org/officeDocument/2006/relationships/hyperlink" Target="http://pontechmarina.com/" TargetMode="External"/><Relationship Id="rId9848" Type="http://schemas.openxmlformats.org/officeDocument/2006/relationships/hyperlink" Target="http://cdbilvardsprodukter.se/" TargetMode="External"/><Relationship Id="rId11778" Type="http://schemas.openxmlformats.org/officeDocument/2006/relationships/hyperlink" Target="http://yagya.com/" TargetMode="External"/><Relationship Id="rId12829" Type="http://schemas.openxmlformats.org/officeDocument/2006/relationships/hyperlink" Target="https://www.haapavesi-lehti.fi/artikkeli/nain-kunnostat-terassin-kesalla" TargetMode="External"/><Relationship Id="rId1837" Type="http://schemas.openxmlformats.org/officeDocument/2006/relationships/hyperlink" Target="https://www.swedoffice.se/" TargetMode="External"/><Relationship Id="rId7399" Type="http://schemas.openxmlformats.org/officeDocument/2006/relationships/hyperlink" Target="https://www.tandea.se/tandvard/tandblekning/" TargetMode="External"/><Relationship Id="rId4310" Type="http://schemas.openxmlformats.org/officeDocument/2006/relationships/hyperlink" Target="https://tryggbil.se/volkswagen/" TargetMode="External"/><Relationship Id="rId7880" Type="http://schemas.openxmlformats.org/officeDocument/2006/relationships/hyperlink" Target="http://mobot.com/" TargetMode="External"/><Relationship Id="rId180" Type="http://schemas.openxmlformats.org/officeDocument/2006/relationships/hyperlink" Target="http://elmarknad.se/" TargetMode="External"/><Relationship Id="rId6482" Type="http://schemas.openxmlformats.org/officeDocument/2006/relationships/hyperlink" Target="http://aerius.se/" TargetMode="External"/><Relationship Id="rId7533" Type="http://schemas.openxmlformats.org/officeDocument/2006/relationships/hyperlink" Target="http://mockfjards.se/" TargetMode="External"/><Relationship Id="rId8931" Type="http://schemas.openxmlformats.org/officeDocument/2006/relationships/hyperlink" Target="https://www.myownwater.com/aluminum-water-bottles" TargetMode="External"/><Relationship Id="rId10861" Type="http://schemas.openxmlformats.org/officeDocument/2006/relationships/hyperlink" Target="http://wellio.se/" TargetMode="External"/><Relationship Id="rId11912" Type="http://schemas.openxmlformats.org/officeDocument/2006/relationships/hyperlink" Target="https://www.finansbasen.se/2023/09/26/robomarkets-en-innovativ-plats-for-online-trading/" TargetMode="External"/><Relationship Id="rId5084" Type="http://schemas.openxmlformats.org/officeDocument/2006/relationships/hyperlink" Target="https://www.glimtenigrytan.se/vaping-nar-du-reser-har-du-koll" TargetMode="External"/><Relationship Id="rId6135" Type="http://schemas.openxmlformats.org/officeDocument/2006/relationships/hyperlink" Target="https://mynicco.com/" TargetMode="External"/><Relationship Id="rId10514" Type="http://schemas.openxmlformats.org/officeDocument/2006/relationships/hyperlink" Target="https://www.upplevelse.com/presenttips/30-ars-present" TargetMode="External"/><Relationship Id="rId12686" Type="http://schemas.openxmlformats.org/officeDocument/2006/relationships/hyperlink" Target="https://www.kleer.se/lonesystem/" TargetMode="External"/><Relationship Id="rId1694" Type="http://schemas.openxmlformats.org/officeDocument/2006/relationships/hyperlink" Target="https://b&#228;stf&#246;rs&#228;kringar.se/" TargetMode="External"/><Relationship Id="rId2745" Type="http://schemas.openxmlformats.org/officeDocument/2006/relationships/hyperlink" Target="http://norteam.se/" TargetMode="External"/><Relationship Id="rId9358" Type="http://schemas.openxmlformats.org/officeDocument/2006/relationships/hyperlink" Target="http://dbet.com/" TargetMode="External"/><Relationship Id="rId11288" Type="http://schemas.openxmlformats.org/officeDocument/2006/relationships/hyperlink" Target="http://fairinvestments.se/" TargetMode="External"/><Relationship Id="rId12339" Type="http://schemas.openxmlformats.org/officeDocument/2006/relationships/hyperlink" Target="https://ekonomiboken.se/att-sakra-solceller-med-trygghetsforsakringar/" TargetMode="External"/><Relationship Id="rId717" Type="http://schemas.openxmlformats.org/officeDocument/2006/relationships/hyperlink" Target="http://arctic.se/" TargetMode="External"/><Relationship Id="rId1347" Type="http://schemas.openxmlformats.org/officeDocument/2006/relationships/hyperlink" Target="https://miamipool.se/" TargetMode="External"/><Relationship Id="rId5968" Type="http://schemas.openxmlformats.org/officeDocument/2006/relationships/hyperlink" Target="https://soartzy.com/" TargetMode="External"/><Relationship Id="rId53" Type="http://schemas.openxmlformats.org/officeDocument/2006/relationships/hyperlink" Target="https://eventeffect.se/ratt-dimmers-for-event/" TargetMode="External"/><Relationship Id="rId7390" Type="http://schemas.openxmlformats.org/officeDocument/2006/relationships/hyperlink" Target="https://www.myownwater.com/aluminum-water-bottles" TargetMode="External"/><Relationship Id="rId8441" Type="http://schemas.openxmlformats.org/officeDocument/2006/relationships/hyperlink" Target="http://clearfuze.com/" TargetMode="External"/><Relationship Id="rId10371" Type="http://schemas.openxmlformats.org/officeDocument/2006/relationships/hyperlink" Target="https://www.dbet.com/" TargetMode="External"/><Relationship Id="rId12820" Type="http://schemas.openxmlformats.org/officeDocument/2006/relationships/hyperlink" Target="https://rakennajaparas.fi/9-syyta-miksi-sinun-tulisi-valita-autotallin-nosto-ovi-turnerilta/" TargetMode="External"/><Relationship Id="rId7043" Type="http://schemas.openxmlformats.org/officeDocument/2006/relationships/hyperlink" Target="https://thinkofgames.com/hidden-dangers-of-the-internet-protecting-yourself-online/" TargetMode="External"/><Relationship Id="rId10024" Type="http://schemas.openxmlformats.org/officeDocument/2006/relationships/hyperlink" Target="http://glassfactory.fi/" TargetMode="External"/><Relationship Id="rId11422" Type="http://schemas.openxmlformats.org/officeDocument/2006/relationships/hyperlink" Target="https://www.lansfast.se/maklare/sodermanland/nykoping/" TargetMode="External"/><Relationship Id="rId574" Type="http://schemas.openxmlformats.org/officeDocument/2006/relationships/hyperlink" Target="http://rehabgrossisten.com/" TargetMode="External"/><Relationship Id="rId2255" Type="http://schemas.openxmlformats.org/officeDocument/2006/relationships/hyperlink" Target="https://arctic.se/de/" TargetMode="External"/><Relationship Id="rId3653" Type="http://schemas.openxmlformats.org/officeDocument/2006/relationships/hyperlink" Target="https://hervibor.no/planlegging-av-ditt-drommehus/" TargetMode="External"/><Relationship Id="rId4704" Type="http://schemas.openxmlformats.org/officeDocument/2006/relationships/hyperlink" Target="https://www.swedoffice.se/kategori/49902-kopieringspapper" TargetMode="External"/><Relationship Id="rId12196" Type="http://schemas.openxmlformats.org/officeDocument/2006/relationships/hyperlink" Target="https://trevligahem.se/en-kompakt-losning-for-avloppsrening/" TargetMode="External"/><Relationship Id="rId13247" Type="http://schemas.openxmlformats.org/officeDocument/2006/relationships/hyperlink" Target="https://swedenlongstay.se/sv/foretagsbostader" TargetMode="External"/><Relationship Id="rId227" Type="http://schemas.openxmlformats.org/officeDocument/2006/relationships/hyperlink" Target="https://www.frii.se/den-ultimata-guiden-for-att-valja-ratt-belysning-for-ditt-hem/" TargetMode="External"/><Relationship Id="rId3306" Type="http://schemas.openxmlformats.org/officeDocument/2006/relationships/hyperlink" Target="https://www.dejavubok.se/tander-i-litteraturen" TargetMode="External"/><Relationship Id="rId6876" Type="http://schemas.openxmlformats.org/officeDocument/2006/relationships/hyperlink" Target="http://nordicknots.com/" TargetMode="External"/><Relationship Id="rId7927" Type="http://schemas.openxmlformats.org/officeDocument/2006/relationships/hyperlink" Target="https://www.forfest.se/belysning-till-fest-inomhus-och-utomhus/" TargetMode="External"/><Relationship Id="rId10908" Type="http://schemas.openxmlformats.org/officeDocument/2006/relationships/hyperlink" Target="https://londonlovesbusiness.com/the-timeless-appeal-of-vintage-clothing-and-its-quality/" TargetMode="External"/><Relationship Id="rId5478" Type="http://schemas.openxmlformats.org/officeDocument/2006/relationships/hyperlink" Target="http://hampabonden.se/" TargetMode="External"/><Relationship Id="rId6529" Type="http://schemas.openxmlformats.org/officeDocument/2006/relationships/hyperlink" Target="http://aretrotale.com/" TargetMode="External"/><Relationship Id="rId12330" Type="http://schemas.openxmlformats.org/officeDocument/2006/relationships/hyperlink" Target="https://varmlandsbygden.se/partner/den-tobaksfria-framtiden-utforskning-av-fordelarna-med-vitt-snus/" TargetMode="External"/><Relationship Id="rId9002" Type="http://schemas.openxmlformats.org/officeDocument/2006/relationships/hyperlink" Target="https://www.outdooractive.fi/fi/joint-trip/seuraavaa-luontokokemusta-ajatellen/315159721/" TargetMode="External"/><Relationship Id="rId4561" Type="http://schemas.openxmlformats.org/officeDocument/2006/relationships/hyperlink" Target="https://firmify.se/optimera-ditt-fordon-med-optione/" TargetMode="External"/><Relationship Id="rId5612" Type="http://schemas.openxmlformats.org/officeDocument/2006/relationships/hyperlink" Target="http://massagestockholm.se/" TargetMode="External"/><Relationship Id="rId3163" Type="http://schemas.openxmlformats.org/officeDocument/2006/relationships/hyperlink" Target="https://www.ghali.se/kan-jag-ge-cbd-olja-till-hunden" TargetMode="External"/><Relationship Id="rId4214" Type="http://schemas.openxmlformats.org/officeDocument/2006/relationships/hyperlink" Target="https://www.cortinaklubben.nu/" TargetMode="External"/><Relationship Id="rId6386" Type="http://schemas.openxmlformats.org/officeDocument/2006/relationships/hyperlink" Target="https://topicsolutions.net/the-hidden-link-between-gaming-ergonomics-and-recovery-how-tech-can-help-your-body-perform-better/" TargetMode="External"/><Relationship Id="rId7784" Type="http://schemas.openxmlformats.org/officeDocument/2006/relationships/hyperlink" Target="http://pontechmarina.com/se" TargetMode="External"/><Relationship Id="rId8835" Type="http://schemas.openxmlformats.org/officeDocument/2006/relationships/hyperlink" Target="http://lsb.se/" TargetMode="External"/><Relationship Id="rId10765" Type="http://schemas.openxmlformats.org/officeDocument/2006/relationships/hyperlink" Target="https://tryggbil.se/" TargetMode="External"/><Relationship Id="rId11816" Type="http://schemas.openxmlformats.org/officeDocument/2006/relationships/hyperlink" Target="http://vontabel.com/" TargetMode="External"/><Relationship Id="rId6039" Type="http://schemas.openxmlformats.org/officeDocument/2006/relationships/hyperlink" Target="http://printler.com/" TargetMode="External"/><Relationship Id="rId7437" Type="http://schemas.openxmlformats.org/officeDocument/2006/relationships/hyperlink" Target="https://www.totallystockholm.se/en-utvardering-av-stockholmsborsen-2024/" TargetMode="External"/><Relationship Id="rId10418" Type="http://schemas.openxmlformats.org/officeDocument/2006/relationships/hyperlink" Target="http://ekstromgaray.se/" TargetMode="External"/><Relationship Id="rId2996" Type="http://schemas.openxmlformats.org/officeDocument/2006/relationships/hyperlink" Target="https://www.spelklubben.se/sv/casino" TargetMode="External"/><Relationship Id="rId968" Type="http://schemas.openxmlformats.org/officeDocument/2006/relationships/hyperlink" Target="http://tryggbil.se/" TargetMode="External"/><Relationship Id="rId1598" Type="http://schemas.openxmlformats.org/officeDocument/2006/relationships/hyperlink" Target="https://vainu.io/company/fair-investments-sweden-ab-omsattning-och-nyckeltal/1180004/foretagsinfo" TargetMode="External"/><Relationship Id="rId2649" Type="http://schemas.openxmlformats.org/officeDocument/2006/relationships/hyperlink" Target="https://eventeffect.se/en-djupdykning-i-cbd-cbg-och-cbn-oljor-skillnader-och-anvandningsomraden/" TargetMode="External"/><Relationship Id="rId6520" Type="http://schemas.openxmlformats.org/officeDocument/2006/relationships/hyperlink" Target="https://fintechszoom.com/data-security-in-gaming-vs-finance/" TargetMode="External"/><Relationship Id="rId4071" Type="http://schemas.openxmlformats.org/officeDocument/2006/relationships/hyperlink" Target="https://www.anasayfa.se/ska-man-spara-eller-slosa" TargetMode="External"/><Relationship Id="rId5122" Type="http://schemas.openxmlformats.org/officeDocument/2006/relationships/hyperlink" Target="http://startmotor.se/" TargetMode="External"/><Relationship Id="rId8692" Type="http://schemas.openxmlformats.org/officeDocument/2006/relationships/hyperlink" Target="http://tryggbil.se/" TargetMode="External"/><Relationship Id="rId9743" Type="http://schemas.openxmlformats.org/officeDocument/2006/relationships/hyperlink" Target="https://pt-media.org/2025/06/11/alykodin-ratkaisut-jotka-nostavat-elintasoa/" TargetMode="External"/><Relationship Id="rId7294" Type="http://schemas.openxmlformats.org/officeDocument/2006/relationships/hyperlink" Target="https://www.di.se/brandstudio/fair-investments/fair-investments-vi-tar-bara-betalt-for-verkliga-resultat-det-tjanar-alla-pa/" TargetMode="External"/><Relationship Id="rId8345" Type="http://schemas.openxmlformats.org/officeDocument/2006/relationships/hyperlink" Target="http://dryft.se/" TargetMode="External"/><Relationship Id="rId11673" Type="http://schemas.openxmlformats.org/officeDocument/2006/relationships/hyperlink" Target="https://markets.vontobel.com/fi-fi/tuotteet/viputuotteet/minifutuuri" TargetMode="External"/><Relationship Id="rId12724" Type="http://schemas.openxmlformats.org/officeDocument/2006/relationships/hyperlink" Target="https://manligutveckling.se/service-och-underhall-av-bilar-for-man-i-tyreso/" TargetMode="External"/><Relationship Id="rId1732" Type="http://schemas.openxmlformats.org/officeDocument/2006/relationships/hyperlink" Target="https://e-ciggbolaget.se/e-cigaretter/" TargetMode="External"/><Relationship Id="rId10275" Type="http://schemas.openxmlformats.org/officeDocument/2006/relationships/hyperlink" Target="https://familjenshemsida.se/vikten-av-att-valja-ratt-produkter-for-din-hunds-valmaende-i-familjen/" TargetMode="External"/><Relationship Id="rId11326" Type="http://schemas.openxmlformats.org/officeDocument/2006/relationships/hyperlink" Target="https://www.reco.se/fair-investments-sweden-ab" TargetMode="External"/><Relationship Id="rId4955" Type="http://schemas.openxmlformats.org/officeDocument/2006/relationships/hyperlink" Target="http://cannabislight.se/" TargetMode="External"/><Relationship Id="rId3557" Type="http://schemas.openxmlformats.org/officeDocument/2006/relationships/hyperlink" Target="https://www.vaken.se/e-ciggbolaget-destinationen-for-hogkvalitativa-e-cigg-e-juicer-nikotinshottar-engangsvapes/" TargetMode="External"/><Relationship Id="rId4608" Type="http://schemas.openxmlformats.org/officeDocument/2006/relationships/hyperlink" Target="http://spelklubben.se/" TargetMode="External"/><Relationship Id="rId478" Type="http://schemas.openxmlformats.org/officeDocument/2006/relationships/hyperlink" Target="https://ranaposten.no/okende-interesse-for-aksjer-i-norge/" TargetMode="External"/><Relationship Id="rId2159" Type="http://schemas.openxmlformats.org/officeDocument/2006/relationships/hyperlink" Target="https://www.gymnasiade.com/fair-investments-vad-ar-det" TargetMode="External"/><Relationship Id="rId6030" Type="http://schemas.openxmlformats.org/officeDocument/2006/relationships/hyperlink" Target="https://www.saleseffect.se/acnespecialisten-se-expertis-inom-hudvard-och-aknebehandlingar/" TargetMode="External"/><Relationship Id="rId12581" Type="http://schemas.openxmlformats.org/officeDocument/2006/relationships/hyperlink" Target="https://www.kulturakademintrappan.se/" TargetMode="External"/><Relationship Id="rId2640" Type="http://schemas.openxmlformats.org/officeDocument/2006/relationships/hyperlink" Target="http://hemplybalance.com/" TargetMode="External"/><Relationship Id="rId9253" Type="http://schemas.openxmlformats.org/officeDocument/2006/relationships/hyperlink" Target="https://www.swedoffice.se/kategori/49902-kopieringspapper" TargetMode="External"/><Relationship Id="rId11183" Type="http://schemas.openxmlformats.org/officeDocument/2006/relationships/hyperlink" Target="https://www.veterinarklinikenbirsta.se/" TargetMode="External"/><Relationship Id="rId12234" Type="http://schemas.openxmlformats.org/officeDocument/2006/relationships/hyperlink" Target="http://vont.co/de:" TargetMode="External"/><Relationship Id="rId612" Type="http://schemas.openxmlformats.org/officeDocument/2006/relationships/hyperlink" Target="http://tiotak.se/" TargetMode="External"/><Relationship Id="rId1242" Type="http://schemas.openxmlformats.org/officeDocument/2006/relationships/hyperlink" Target="https://advancepointcap.com/medical-business-loans/" TargetMode="External"/><Relationship Id="rId4465" Type="http://schemas.openxmlformats.org/officeDocument/2006/relationships/hyperlink" Target="https://akallaapotek.se/tandvardens-utveckling-de-senaste-50-aren-fran-70-talet-till-idag/" TargetMode="External"/><Relationship Id="rId5863" Type="http://schemas.openxmlformats.org/officeDocument/2006/relationships/hyperlink" Target="https://tiotak.se/" TargetMode="External"/><Relationship Id="rId6914" Type="http://schemas.openxmlformats.org/officeDocument/2006/relationships/hyperlink" Target="http://hund.se/" TargetMode="External"/><Relationship Id="rId3067" Type="http://schemas.openxmlformats.org/officeDocument/2006/relationships/hyperlink" Target="https://bygghuddinge.se/carpcon-din-fonsterexpert-for-ett-smidigt-fonsterbyte/" TargetMode="External"/><Relationship Id="rId4118" Type="http://schemas.openxmlformats.org/officeDocument/2006/relationships/hyperlink" Target="https://modernalivet.se/okategoriserade/varfor-fler-investerare-vander-sig-till-kryptovalutor/" TargetMode="External"/><Relationship Id="rId5516" Type="http://schemas.openxmlformats.org/officeDocument/2006/relationships/hyperlink" Target="https://arctic.se/nibe-warmepumpe-versicherung/" TargetMode="External"/><Relationship Id="rId7688" Type="http://schemas.openxmlformats.org/officeDocument/2006/relationships/hyperlink" Target="https://tiotak.se/byta-tak-maskinhall/" TargetMode="External"/><Relationship Id="rId8739" Type="http://schemas.openxmlformats.org/officeDocument/2006/relationships/hyperlink" Target="https://bovision.se/inspiration/varfoer-behoevs-ens-en-maeklare" TargetMode="External"/><Relationship Id="rId10669" Type="http://schemas.openxmlformats.org/officeDocument/2006/relationships/hyperlink" Target="https://www.aff&#228;rslivet.com/blogs/hur-ska-foretag-tanka-kring-buffertar" TargetMode="External"/><Relationship Id="rId12091" Type="http://schemas.openxmlformats.org/officeDocument/2006/relationships/hyperlink" Target="https://schjodt.com/expertise/rekonstruktion-insolvens" TargetMode="External"/><Relationship Id="rId13142" Type="http://schemas.openxmlformats.org/officeDocument/2006/relationships/hyperlink" Target="https://byggnytt.nu/nar-projektkalkylen-moter-kapitalmarknaden/" TargetMode="External"/><Relationship Id="rId2150" Type="http://schemas.openxmlformats.org/officeDocument/2006/relationships/hyperlink" Target="http://tryggbil.se/" TargetMode="External"/><Relationship Id="rId3201" Type="http://schemas.openxmlformats.org/officeDocument/2006/relationships/hyperlink" Target="https://distansinstitutet.se/distansutbildningar/administration/loneadministrator/" TargetMode="External"/><Relationship Id="rId6771" Type="http://schemas.openxmlformats.org/officeDocument/2006/relationships/hyperlink" Target="http://kvarnx.com/" TargetMode="External"/><Relationship Id="rId7822" Type="http://schemas.openxmlformats.org/officeDocument/2006/relationships/hyperlink" Target="http://svenskafonster.se/" TargetMode="External"/><Relationship Id="rId122" Type="http://schemas.openxmlformats.org/officeDocument/2006/relationships/hyperlink" Target="https://bigbenstandup.com/" TargetMode="External"/><Relationship Id="rId5373" Type="http://schemas.openxmlformats.org/officeDocument/2006/relationships/hyperlink" Target="http://cherry.com/" TargetMode="External"/><Relationship Id="rId6424" Type="http://schemas.openxmlformats.org/officeDocument/2006/relationships/hyperlink" Target="https://kilander-racing.se/optimera-din-racingprestanda/" TargetMode="External"/><Relationship Id="rId10803" Type="http://schemas.openxmlformats.org/officeDocument/2006/relationships/hyperlink" Target="https://www.linkedin.com/company/fair-investments-sweden-ab/" TargetMode="External"/><Relationship Id="rId5026" Type="http://schemas.openxmlformats.org/officeDocument/2006/relationships/hyperlink" Target="http://kvarnx.com/" TargetMode="External"/><Relationship Id="rId8596" Type="http://schemas.openxmlformats.org/officeDocument/2006/relationships/hyperlink" Target="https://fragbite.se/all/news/57719/5-ekonomiska-missar-dar-foretag-kan-lara-sig-av-cs" TargetMode="External"/><Relationship Id="rId9994" Type="http://schemas.openxmlformats.org/officeDocument/2006/relationships/hyperlink" Target="https://schwerin-lokal.de/gewaechshaus-kaufen-schwerin/" TargetMode="External"/><Relationship Id="rId12975" Type="http://schemas.openxmlformats.org/officeDocument/2006/relationships/hyperlink" Target="https://tommymyllymaki.se/inspiration/nar-smak-moter-slump-knep-for-att-lasa-det-finstilta-i-online-erbjudanden/" TargetMode="External"/><Relationship Id="rId1983" Type="http://schemas.openxmlformats.org/officeDocument/2006/relationships/hyperlink" Target="https://hemplybalance.se/cbd-hampaoljor/" TargetMode="External"/><Relationship Id="rId7198" Type="http://schemas.openxmlformats.org/officeDocument/2006/relationships/hyperlink" Target="http://arctic.se/" TargetMode="External"/><Relationship Id="rId8249" Type="http://schemas.openxmlformats.org/officeDocument/2006/relationships/hyperlink" Target="https://www.sarasotamagazine.com/advantagepoint/2025/03/coastal-chic-rugs-and-curtains-to-elevate-your-sarasota-home" TargetMode="External"/><Relationship Id="rId9647" Type="http://schemas.openxmlformats.org/officeDocument/2006/relationships/hyperlink" Target="https://sakraror.se/vara-tjanster/allman-service-vvs/vvs-i-sollentuna/" TargetMode="External"/><Relationship Id="rId11577" Type="http://schemas.openxmlformats.org/officeDocument/2006/relationships/hyperlink" Target="http://sufracofinebrands.com/" TargetMode="External"/><Relationship Id="rId12628" Type="http://schemas.openxmlformats.org/officeDocument/2006/relationships/hyperlink" Target="https://eventeffect.se/fy-for-konserter-utan-skarmar/" TargetMode="External"/><Relationship Id="rId1636" Type="http://schemas.openxmlformats.org/officeDocument/2006/relationships/hyperlink" Target="http://aretrotale.com/" TargetMode="External"/><Relationship Id="rId10179" Type="http://schemas.openxmlformats.org/officeDocument/2006/relationships/hyperlink" Target="https://www.maklarringen.se/upptack-maklarringen/bostadsjuridik-ekonomi/trygghet-i-boendemiljon" TargetMode="External"/><Relationship Id="rId4859" Type="http://schemas.openxmlformats.org/officeDocument/2006/relationships/hyperlink" Target="https://www.forsakringen.se/kopa-och-salja-krypto-en-omfattande-guide-till-en-digital-ekonomi/" TargetMode="External"/><Relationship Id="rId8730" Type="http://schemas.openxmlformats.org/officeDocument/2006/relationships/hyperlink" Target="https://www.executiveeffect.se/hur-ar-man-chef-over-frilansare/" TargetMode="External"/><Relationship Id="rId10660" Type="http://schemas.openxmlformats.org/officeDocument/2006/relationships/hyperlink" Target="https://norrahalland.se/native/halland-fraan-sommarparadis-till-vintertystnad/48572" TargetMode="External"/><Relationship Id="rId6281" Type="http://schemas.openxmlformats.org/officeDocument/2006/relationships/hyperlink" Target="https://halsaochidrott.se/knaskydd-for-sportutovare-en-guide-till-basta-valen/" TargetMode="External"/><Relationship Id="rId7332" Type="http://schemas.openxmlformats.org/officeDocument/2006/relationships/hyperlink" Target="https://mockfjards.se/" TargetMode="External"/><Relationship Id="rId10313" Type="http://schemas.openxmlformats.org/officeDocument/2006/relationships/hyperlink" Target="http://michaelofrisorerna.se/" TargetMode="External"/><Relationship Id="rId11711" Type="http://schemas.openxmlformats.org/officeDocument/2006/relationships/hyperlink" Target="http://vontabel.com/" TargetMode="External"/><Relationship Id="rId863" Type="http://schemas.openxmlformats.org/officeDocument/2006/relationships/hyperlink" Target="http://schjodt.com/" TargetMode="External"/><Relationship Id="rId1493" Type="http://schemas.openxmlformats.org/officeDocument/2006/relationships/hyperlink" Target="https://www.fullerhairtransplant.se/2023/09/27/hur-du-valjer-ratt-tandlakare-i-stockholm/" TargetMode="External"/><Relationship Id="rId2544" Type="http://schemas.openxmlformats.org/officeDocument/2006/relationships/hyperlink" Target="https://matchbook.nu/investera-i-din-framtid" TargetMode="External"/><Relationship Id="rId2891" Type="http://schemas.openxmlformats.org/officeDocument/2006/relationships/hyperlink" Target="http://glitnor.com/" TargetMode="External"/><Relationship Id="rId3942" Type="http://schemas.openxmlformats.org/officeDocument/2006/relationships/hyperlink" Target="https://socialsummit17.se/effektiv-vvs-planering-for-badrumsrenoveringar/" TargetMode="External"/><Relationship Id="rId9157" Type="http://schemas.openxmlformats.org/officeDocument/2006/relationships/hyperlink" Target="https://www.feast-magazine.co.uk/lifestyle-2/from-groceries-to-getaways-benefits-that-come-with-experience-57386" TargetMode="External"/><Relationship Id="rId11087" Type="http://schemas.openxmlformats.org/officeDocument/2006/relationships/hyperlink" Target="http://hajper.com/" TargetMode="External"/><Relationship Id="rId12485" Type="http://schemas.openxmlformats.org/officeDocument/2006/relationships/hyperlink" Target="https://www.linkedin.com/company/fair-investments-sweden-ab/?originalSubdomain=se" TargetMode="External"/><Relationship Id="rId516" Type="http://schemas.openxmlformats.org/officeDocument/2006/relationships/hyperlink" Target="https://schjodt.com/expertise/rekonstruktion-insolvens" TargetMode="External"/><Relationship Id="rId1146" Type="http://schemas.openxmlformats.org/officeDocument/2006/relationships/hyperlink" Target="https://www.reco.se/fair-investments-sweden-ab" TargetMode="External"/><Relationship Id="rId12138" Type="http://schemas.openxmlformats.org/officeDocument/2006/relationships/hyperlink" Target="https://blugiallo.se/tagg/brollop/" TargetMode="External"/><Relationship Id="rId5767" Type="http://schemas.openxmlformats.org/officeDocument/2006/relationships/hyperlink" Target="https://www.bethard.com/sv/sports" TargetMode="External"/><Relationship Id="rId6818" Type="http://schemas.openxmlformats.org/officeDocument/2006/relationships/hyperlink" Target="https://www.spelklubben.se/sv" TargetMode="External"/><Relationship Id="rId4369" Type="http://schemas.openxmlformats.org/officeDocument/2006/relationships/hyperlink" Target="http://spelklubben.se/" TargetMode="External"/><Relationship Id="rId8240" Type="http://schemas.openxmlformats.org/officeDocument/2006/relationships/hyperlink" Target="https://www.klamm.de/news/so-gelingt-der-perfekte-start-ins-gartenjahr-52N39033.html" TargetMode="External"/><Relationship Id="rId10170" Type="http://schemas.openxmlformats.org/officeDocument/2006/relationships/hyperlink" Target="https://www.orderhero.se/de-basta-restaurangalternativen-i-stockholm-och-hur-du-sparar-pa-hemleverans/" TargetMode="External"/><Relationship Id="rId11221" Type="http://schemas.openxmlformats.org/officeDocument/2006/relationships/hyperlink" Target="http://chronos.se/" TargetMode="External"/><Relationship Id="rId4850" Type="http://schemas.openxmlformats.org/officeDocument/2006/relationships/hyperlink" Target="https://sporth&#228;nt.se/forbered-dig-infor-nya-premier-league-sasongen/" TargetMode="External"/><Relationship Id="rId5901" Type="http://schemas.openxmlformats.org/officeDocument/2006/relationships/hyperlink" Target="https://restate.se/ombildning-till-bostadsratt/" TargetMode="External"/><Relationship Id="rId3452" Type="http://schemas.openxmlformats.org/officeDocument/2006/relationships/hyperlink" Target="http://w3solenergi.se/" TargetMode="External"/><Relationship Id="rId4503" Type="http://schemas.openxmlformats.org/officeDocument/2006/relationships/hyperlink" Target="https://www.startmotor.se/kategori/solenoider" TargetMode="External"/><Relationship Id="rId13046" Type="http://schemas.openxmlformats.org/officeDocument/2006/relationships/hyperlink" Target="https://www.startmotor.se/batterier/bilbatteri" TargetMode="External"/><Relationship Id="rId373" Type="http://schemas.openxmlformats.org/officeDocument/2006/relationships/hyperlink" Target="https://dambloggen.se/tips-pa-saker-att-tanka-pa-nar-man-ska-ta-hem-ett-barn/" TargetMode="External"/><Relationship Id="rId2054" Type="http://schemas.openxmlformats.org/officeDocument/2006/relationships/hyperlink" Target="http://distansinstitutet.se/" TargetMode="External"/><Relationship Id="rId3105" Type="http://schemas.openxmlformats.org/officeDocument/2006/relationships/hyperlink" Target="https://rosaspensionat.se/" TargetMode="External"/><Relationship Id="rId6675" Type="http://schemas.openxmlformats.org/officeDocument/2006/relationships/hyperlink" Target="https://sakraror.se/vara-tjanster/allman-service-vvs/vvs-i-sollentuna/" TargetMode="External"/><Relationship Id="rId5277" Type="http://schemas.openxmlformats.org/officeDocument/2006/relationships/hyperlink" Target="https://www.spelklubben.se/sv/betting" TargetMode="External"/><Relationship Id="rId6328" Type="http://schemas.openxmlformats.org/officeDocument/2006/relationships/hyperlink" Target="https://www.kanalgratis.se/sv/photofish-designa-ett-eget-drag" TargetMode="External"/><Relationship Id="rId7726" Type="http://schemas.openxmlformats.org/officeDocument/2006/relationships/hyperlink" Target="http://svenskiptv.com/" TargetMode="External"/><Relationship Id="rId10707" Type="http://schemas.openxmlformats.org/officeDocument/2006/relationships/hyperlink" Target="https://www.tandlakare.se/stad/stockholm/" TargetMode="External"/><Relationship Id="rId9898" Type="http://schemas.openxmlformats.org/officeDocument/2006/relationships/hyperlink" Target="https://radaronline.com/p/increased-popularity-of-nicotine-pouches/" TargetMode="External"/><Relationship Id="rId12879" Type="http://schemas.openxmlformats.org/officeDocument/2006/relationships/hyperlink" Target="https://www.sandiegoreader.com/contributor/readernews/how-modern-contractor-software-streamlines-projects-and-profits/" TargetMode="External"/><Relationship Id="rId1887" Type="http://schemas.openxmlformats.org/officeDocument/2006/relationships/hyperlink" Target="https://www.alfa.no/collections/vintersko-til-dame" TargetMode="External"/><Relationship Id="rId2938" Type="http://schemas.openxmlformats.org/officeDocument/2006/relationships/hyperlink" Target="http://glitnor.com/" TargetMode="External"/><Relationship Id="rId4360" Type="http://schemas.openxmlformats.org/officeDocument/2006/relationships/hyperlink" Target="https://www.kimura.se/" TargetMode="External"/><Relationship Id="rId5411" Type="http://schemas.openxmlformats.org/officeDocument/2006/relationships/hyperlink" Target="http://tryggbil.se/" TargetMode="External"/><Relationship Id="rId8981" Type="http://schemas.openxmlformats.org/officeDocument/2006/relationships/hyperlink" Target="https://billingsgazette.com/life-entertainment/article_2a38e9df-3d31-598c-ae38-166850f286bf.html" TargetMode="External"/><Relationship Id="rId4013" Type="http://schemas.openxmlformats.org/officeDocument/2006/relationships/hyperlink" Target="https://www.dombacksmark.se/solkraft-en-smart-energilosning" TargetMode="External"/><Relationship Id="rId7583" Type="http://schemas.openxmlformats.org/officeDocument/2006/relationships/hyperlink" Target="https://ourculturemag.com/2025/02/05/loyalty-programs-how-creative-industries-are-rewarding-fans-in-new-ways/" TargetMode="External"/><Relationship Id="rId8634" Type="http://schemas.openxmlformats.org/officeDocument/2006/relationships/hyperlink" Target="http://lansfast.se/" TargetMode="External"/><Relationship Id="rId11962" Type="http://schemas.openxmlformats.org/officeDocument/2006/relationships/hyperlink" Target="http://fairinvestments.se/" TargetMode="External"/><Relationship Id="rId6185" Type="http://schemas.openxmlformats.org/officeDocument/2006/relationships/hyperlink" Target="https://digitaledge.org/the-role-of-wearable-tech-in-preventing-workplace-injuries/" TargetMode="External"/><Relationship Id="rId7236" Type="http://schemas.openxmlformats.org/officeDocument/2006/relationships/hyperlink" Target="https://nouveaumodels.se/herrkostymen-en-resa-fran-tradition-till-personlig-stil/" TargetMode="External"/><Relationship Id="rId10564" Type="http://schemas.openxmlformats.org/officeDocument/2006/relationships/hyperlink" Target="https://www.lilla-varlden.se/" TargetMode="External"/><Relationship Id="rId11615" Type="http://schemas.openxmlformats.org/officeDocument/2006/relationships/hyperlink" Target="http://villarelining.se/" TargetMode="External"/><Relationship Id="rId10217" Type="http://schemas.openxmlformats.org/officeDocument/2006/relationships/hyperlink" Target="https://joinstriveon.com/solutions/training-management" TargetMode="External"/><Relationship Id="rId1397" Type="http://schemas.openxmlformats.org/officeDocument/2006/relationships/hyperlink" Target="http://happysocks.com/" TargetMode="External"/><Relationship Id="rId2795" Type="http://schemas.openxmlformats.org/officeDocument/2006/relationships/hyperlink" Target="https://finansplassen.no/" TargetMode="External"/><Relationship Id="rId3846" Type="http://schemas.openxmlformats.org/officeDocument/2006/relationships/hyperlink" Target="http://e-ciggbolaget.se/" TargetMode="External"/><Relationship Id="rId12389" Type="http://schemas.openxmlformats.org/officeDocument/2006/relationships/hyperlink" Target="https://www.vont.se/to-go/0-mg-ml" TargetMode="External"/><Relationship Id="rId767" Type="http://schemas.openxmlformats.org/officeDocument/2006/relationships/hyperlink" Target="https://nem.health/" TargetMode="External"/><Relationship Id="rId2448" Type="http://schemas.openxmlformats.org/officeDocument/2006/relationships/hyperlink" Target="https://www.gashaga.nu/bygg-din-egen-brygga" TargetMode="External"/><Relationship Id="rId12870" Type="http://schemas.openxmlformats.org/officeDocument/2006/relationships/hyperlink" Target="http://willabgarden.de/" TargetMode="External"/><Relationship Id="rId8491" Type="http://schemas.openxmlformats.org/officeDocument/2006/relationships/hyperlink" Target="https://ekonomikunskap.se/privatekonomi/borde-ekonomistudenter-lasa-mer-hr/" TargetMode="External"/><Relationship Id="rId9542" Type="http://schemas.openxmlformats.org/officeDocument/2006/relationships/hyperlink" Target="https://www.zmarta.se/lana-pengar/samla-lan" TargetMode="External"/><Relationship Id="rId11472" Type="http://schemas.openxmlformats.org/officeDocument/2006/relationships/hyperlink" Target="https://nem.health/" TargetMode="External"/><Relationship Id="rId12523" Type="http://schemas.openxmlformats.org/officeDocument/2006/relationships/hyperlink" Target="https://investgruppen.se/forvaltare-for-privatpersoner/" TargetMode="External"/><Relationship Id="rId901" Type="http://schemas.openxmlformats.org/officeDocument/2006/relationships/hyperlink" Target="https://www.mynewsdesk.com/se/visibility-punktum-group/blog_posts/seo-goer-det-laettare-att-saelja-sina-produkter-och-naa-ut-till-en-stoerre-maalgrupp-114464" TargetMode="External"/><Relationship Id="rId1531" Type="http://schemas.openxmlformats.org/officeDocument/2006/relationships/hyperlink" Target="http://happysocks.com/" TargetMode="External"/><Relationship Id="rId7093" Type="http://schemas.openxmlformats.org/officeDocument/2006/relationships/hyperlink" Target="https://www.bethard.com/sv/sports" TargetMode="External"/><Relationship Id="rId8144" Type="http://schemas.openxmlformats.org/officeDocument/2006/relationships/hyperlink" Target="https://ladycare.se/skalfasader-och-estetisk-tandvard-for-kvinnor-forbattra-ditt-leende/" TargetMode="External"/><Relationship Id="rId10074" Type="http://schemas.openxmlformats.org/officeDocument/2006/relationships/hyperlink" Target="http://mrvegas.com/" TargetMode="External"/><Relationship Id="rId11125" Type="http://schemas.openxmlformats.org/officeDocument/2006/relationships/hyperlink" Target="https://www.swedoffice.se/" TargetMode="External"/><Relationship Id="rId4754" Type="http://schemas.openxmlformats.org/officeDocument/2006/relationships/hyperlink" Target="https://www.svenskbyggtidning.se/2024/07/25/arbetsmiljo-och-sakerhet-pa-byggarbetsplatser-en-nyckel-till-framgang/" TargetMode="External"/><Relationship Id="rId13297" Type="http://schemas.openxmlformats.org/officeDocument/2006/relationships/hyperlink" Target="https://retrohus.se/forbattra-ditt-hem-med-effektiva-undertak-och-akustiklosningar/" TargetMode="External"/><Relationship Id="rId3356" Type="http://schemas.openxmlformats.org/officeDocument/2006/relationships/hyperlink" Target="https://secworks.se/revolutionerande-forsaljningshantering-notyfiles-intuitiva-crm-plattform/" TargetMode="External"/><Relationship Id="rId4407" Type="http://schemas.openxmlformats.org/officeDocument/2006/relationships/hyperlink" Target="https://arctic.se/se/forsakringslosningar/svensksolenergi/" TargetMode="External"/><Relationship Id="rId5805" Type="http://schemas.openxmlformats.org/officeDocument/2006/relationships/hyperlink" Target="https://egenvilla.se/matta-i-hemmet-en-guide-for-val-och-skotsel/" TargetMode="External"/><Relationship Id="rId277" Type="http://schemas.openxmlformats.org/officeDocument/2006/relationships/hyperlink" Target="http://kopbarnvagn.se/" TargetMode="External"/><Relationship Id="rId3009" Type="http://schemas.openxmlformats.org/officeDocument/2006/relationships/hyperlink" Target="http://spelklubben.se/" TargetMode="External"/><Relationship Id="rId7977" Type="http://schemas.openxmlformats.org/officeDocument/2006/relationships/hyperlink" Target="https://www.petster.se/hast/" TargetMode="External"/><Relationship Id="rId10958" Type="http://schemas.openxmlformats.org/officeDocument/2006/relationships/hyperlink" Target="https://www.nolingo.se/microcopy-i-avgorande-ogonblick/" TargetMode="External"/><Relationship Id="rId6579" Type="http://schemas.openxmlformats.org/officeDocument/2006/relationships/hyperlink" Target="http://cherry.com/" TargetMode="External"/><Relationship Id="rId9052" Type="http://schemas.openxmlformats.org/officeDocument/2006/relationships/hyperlink" Target="https://lindenytt.com/extra/far-jag-ta-med-hunden-en-hundguide-for-lindesberg/" TargetMode="External"/><Relationship Id="rId12380" Type="http://schemas.openxmlformats.org/officeDocument/2006/relationships/hyperlink" Target="https://ingelaclarin.se/investera-hallbart-kanns-battre-i-sjalen" TargetMode="External"/><Relationship Id="rId12033" Type="http://schemas.openxmlformats.org/officeDocument/2006/relationships/hyperlink" Target="http://rosmarinolja.nu/" TargetMode="External"/><Relationship Id="rId411" Type="http://schemas.openxmlformats.org/officeDocument/2006/relationships/hyperlink" Target="https://www.elmarknad.se/" TargetMode="External"/><Relationship Id="rId1041" Type="http://schemas.openxmlformats.org/officeDocument/2006/relationships/hyperlink" Target="http://happysocks.com/" TargetMode="External"/><Relationship Id="rId5662" Type="http://schemas.openxmlformats.org/officeDocument/2006/relationships/hyperlink" Target="https://www.swr-motorsport.se/" TargetMode="External"/><Relationship Id="rId6713" Type="http://schemas.openxmlformats.org/officeDocument/2006/relationships/hyperlink" Target="https://supernormal.health/se/" TargetMode="External"/><Relationship Id="rId4264" Type="http://schemas.openxmlformats.org/officeDocument/2006/relationships/hyperlink" Target="http://sundsvallbergvarme.se/" TargetMode="External"/><Relationship Id="rId5315" Type="http://schemas.openxmlformats.org/officeDocument/2006/relationships/hyperlink" Target="https://www.bethard.com/sv" TargetMode="External"/><Relationship Id="rId8885" Type="http://schemas.openxmlformats.org/officeDocument/2006/relationships/hyperlink" Target="http://dryft.se/" TargetMode="External"/><Relationship Id="rId7487" Type="http://schemas.openxmlformats.org/officeDocument/2006/relationships/hyperlink" Target="https://www.techloy.com/common-misconceptions-in-cybersecurity-what-to-learn-from-them/" TargetMode="External"/><Relationship Id="rId8538" Type="http://schemas.openxmlformats.org/officeDocument/2006/relationships/hyperlink" Target="https://www.gigwise.com/how-to-create-the-perfect-cozy-listening-room/" TargetMode="External"/><Relationship Id="rId9936" Type="http://schemas.openxmlformats.org/officeDocument/2006/relationships/hyperlink" Target="https://affarsstaden.se/aditorial/5-branscher-som-vuxit-med-stormsteg-i-sverige/" TargetMode="External"/><Relationship Id="rId11866" Type="http://schemas.openxmlformats.org/officeDocument/2006/relationships/hyperlink" Target="https://savethefuture.se/fonsterbyte-av-hog-kvalitet-en-djupdykning-i-tillverkning-och-installatio/" TargetMode="External"/><Relationship Id="rId12917" Type="http://schemas.openxmlformats.org/officeDocument/2006/relationships/hyperlink" Target="https://www.mrvegas.com/welcome-bonus/" TargetMode="External"/><Relationship Id="rId1925" Type="http://schemas.openxmlformats.org/officeDocument/2006/relationships/hyperlink" Target="https://arctic.se/se/forsakringslosningar/svensksolenergi/" TargetMode="External"/><Relationship Id="rId6089" Type="http://schemas.openxmlformats.org/officeDocument/2006/relationships/hyperlink" Target="https://www.spelklubben.se/sv/betting" TargetMode="External"/><Relationship Id="rId10468" Type="http://schemas.openxmlformats.org/officeDocument/2006/relationships/hyperlink" Target="http://bergetsro.se/" TargetMode="External"/><Relationship Id="rId11519" Type="http://schemas.openxmlformats.org/officeDocument/2006/relationships/hyperlink" Target="https://schjodt.com/expertise/rekonstruktion-insolvens" TargetMode="External"/><Relationship Id="rId2699" Type="http://schemas.openxmlformats.org/officeDocument/2006/relationships/hyperlink" Target="https://happycasino.se/live" TargetMode="External"/><Relationship Id="rId3000" Type="http://schemas.openxmlformats.org/officeDocument/2006/relationships/hyperlink" Target="http://spelklubben.se/" TargetMode="External"/><Relationship Id="rId6570" Type="http://schemas.openxmlformats.org/officeDocument/2006/relationships/hyperlink" Target="https://www.totallyorebro.se/uncategorized/framtidens-casinospel-hur-teknologi-och-marknadstrender-formar-branschen/" TargetMode="External"/><Relationship Id="rId7621" Type="http://schemas.openxmlformats.org/officeDocument/2006/relationships/hyperlink" Target="https://aerius.se/tjanster/ftx-system/" TargetMode="External"/><Relationship Id="rId10602" Type="http://schemas.openxmlformats.org/officeDocument/2006/relationships/hyperlink" Target="https://www.willabgarden.de/gewachshauser/" TargetMode="External"/><Relationship Id="rId5172" Type="http://schemas.openxmlformats.org/officeDocument/2006/relationships/hyperlink" Target="https://www.hskraft.se/" TargetMode="External"/><Relationship Id="rId6223" Type="http://schemas.openxmlformats.org/officeDocument/2006/relationships/hyperlink" Target="https://www.lifesciencesweden.se/lb-article/180983/estetisk-tandvard-en-kombinerad-vetenskap-och-konst-for-valmaende-och-sjalvfortroende" TargetMode="External"/><Relationship Id="rId9793" Type="http://schemas.openxmlformats.org/officeDocument/2006/relationships/hyperlink" Target="https://www.startmotor.se/kategori/b%C3%A5tbatteri" TargetMode="External"/><Relationship Id="rId1782" Type="http://schemas.openxmlformats.org/officeDocument/2006/relationships/hyperlink" Target="https://varmlandsbygden.se/partner/sre-att-navigera-terrangen-for-hogtrafikerade-webbplatser/" TargetMode="External"/><Relationship Id="rId2833" Type="http://schemas.openxmlformats.org/officeDocument/2006/relationships/hyperlink" Target="http://spelklubben.se/" TargetMode="External"/><Relationship Id="rId8395" Type="http://schemas.openxmlformats.org/officeDocument/2006/relationships/hyperlink" Target="https://influencereffect.se/varfor-ar-sa-manga-influencers-i-sa-bra-form/" TargetMode="External"/><Relationship Id="rId9446" Type="http://schemas.openxmlformats.org/officeDocument/2006/relationships/hyperlink" Target="https://filmeye.se/hollywoods-kandaste-leenden/" TargetMode="External"/><Relationship Id="rId11376" Type="http://schemas.openxmlformats.org/officeDocument/2006/relationships/hyperlink" Target="http://haxan.se/" TargetMode="External"/><Relationship Id="rId12774" Type="http://schemas.openxmlformats.org/officeDocument/2006/relationships/hyperlink" Target="https://interiorbysusan.se/traslag/" TargetMode="External"/><Relationship Id="rId805" Type="http://schemas.openxmlformats.org/officeDocument/2006/relationships/hyperlink" Target="https://www.salonprivemag.com/take-your-outfit-to-a-higher-ground/" TargetMode="External"/><Relationship Id="rId1435" Type="http://schemas.openxmlformats.org/officeDocument/2006/relationships/hyperlink" Target="https://pontechmarina.com/se/" TargetMode="External"/><Relationship Id="rId8048" Type="http://schemas.openxmlformats.org/officeDocument/2006/relationships/hyperlink" Target="https://nordicknots.com/us" TargetMode="External"/><Relationship Id="rId11029" Type="http://schemas.openxmlformats.org/officeDocument/2006/relationships/hyperlink" Target="https://kruunukaluste.fi/kauppa/sohvat/" TargetMode="External"/><Relationship Id="rId12427" Type="http://schemas.openxmlformats.org/officeDocument/2006/relationships/hyperlink" Target="https://renbyggbransch.nu/byggforetag-kreativa-kraftverk-for-framtiden/" TargetMode="External"/><Relationship Id="rId4658" Type="http://schemas.openxmlformats.org/officeDocument/2006/relationships/hyperlink" Target="https://www.kvarnx.com/sv/kryptovalutor" TargetMode="External"/><Relationship Id="rId5709" Type="http://schemas.openxmlformats.org/officeDocument/2006/relationships/hyperlink" Target="https://www.peaccounting.se/var-tjanst/bokforingsprogram/" TargetMode="External"/><Relationship Id="rId6080" Type="http://schemas.openxmlformats.org/officeDocument/2006/relationships/hyperlink" Target="https://www.kanalgratis.se/sv/jiggar-med-riggar" TargetMode="External"/><Relationship Id="rId7131" Type="http://schemas.openxmlformats.org/officeDocument/2006/relationships/hyperlink" Target="https://byggupp.se/professionell-taklaggning-och-renovering-med-tiotak-ab/" TargetMode="External"/><Relationship Id="rId11510" Type="http://schemas.openxmlformats.org/officeDocument/2006/relationships/hyperlink" Target="https://www.robomarkets.com/se/forex-trading/platforms/metatrader4-mt4/" TargetMode="External"/><Relationship Id="rId10112" Type="http://schemas.openxmlformats.org/officeDocument/2006/relationships/hyperlink" Target="http://minifinder.se/" TargetMode="External"/><Relationship Id="rId2690" Type="http://schemas.openxmlformats.org/officeDocument/2006/relationships/hyperlink" Target="https://luckycasino.com/fi/games-lobby/live_roulette" TargetMode="External"/><Relationship Id="rId3741" Type="http://schemas.openxmlformats.org/officeDocument/2006/relationships/hyperlink" Target="https://www.totallystockholm.se/underhall-din-bostad-for-att-slippa-dyra-kostnader/" TargetMode="External"/><Relationship Id="rId12284" Type="http://schemas.openxmlformats.org/officeDocument/2006/relationships/hyperlink" Target="https://indexfonder.net/cfd-handel-att-forsta-risken-och-potentialen-for-hoga-vinster/" TargetMode="External"/><Relationship Id="rId662" Type="http://schemas.openxmlformats.org/officeDocument/2006/relationships/hyperlink" Target="http://fairinvestments.se/" TargetMode="External"/><Relationship Id="rId1292" Type="http://schemas.openxmlformats.org/officeDocument/2006/relationships/hyperlink" Target="https://serviceteknikerkarlstad.se/nya-horisonten-for-kreativ-utbildning-inredare-utbildning-pa-distans/" TargetMode="External"/><Relationship Id="rId2343" Type="http://schemas.openxmlformats.org/officeDocument/2006/relationships/hyperlink" Target="https://www.foyen.se/affarsomraden/fastighetsratt/" TargetMode="External"/><Relationship Id="rId6964" Type="http://schemas.openxmlformats.org/officeDocument/2006/relationships/hyperlink" Target="http://mockfjards.se/" TargetMode="External"/><Relationship Id="rId315" Type="http://schemas.openxmlformats.org/officeDocument/2006/relationships/hyperlink" Target="https://www.elmarknad.se/" TargetMode="External"/><Relationship Id="rId5566" Type="http://schemas.openxmlformats.org/officeDocument/2006/relationships/hyperlink" Target="http://bigbenstandup.com/" TargetMode="External"/><Relationship Id="rId6617" Type="http://schemas.openxmlformats.org/officeDocument/2006/relationships/hyperlink" Target="http://petster.se/" TargetMode="External"/><Relationship Id="rId4168" Type="http://schemas.openxmlformats.org/officeDocument/2006/relationships/hyperlink" Target="https://www.animonhus.se/valja-system-for-avlopp" TargetMode="External"/><Relationship Id="rId5219" Type="http://schemas.openxmlformats.org/officeDocument/2006/relationships/hyperlink" Target="https://ledkungen.se/collections/led-lister" TargetMode="External"/><Relationship Id="rId8789" Type="http://schemas.openxmlformats.org/officeDocument/2006/relationships/hyperlink" Target="http://aerius.se/ventilation-vasteras/" TargetMode="External"/><Relationship Id="rId11020" Type="http://schemas.openxmlformats.org/officeDocument/2006/relationships/hyperlink" Target="http://megariches.com/" TargetMode="External"/><Relationship Id="rId1829" Type="http://schemas.openxmlformats.org/officeDocument/2006/relationships/hyperlink" Target="http://alexbyggkonsult.se/" TargetMode="External"/><Relationship Id="rId5700" Type="http://schemas.openxmlformats.org/officeDocument/2006/relationships/hyperlink" Target="https://www.saleseffect.se/kryptohandel-med-kvarnx-en-plattform-som-moter-framtidens-behov/" TargetMode="External"/><Relationship Id="rId13192" Type="http://schemas.openxmlformats.org/officeDocument/2006/relationships/hyperlink" Target="http://kamux.fi/" TargetMode="External"/><Relationship Id="rId3251" Type="http://schemas.openxmlformats.org/officeDocument/2006/relationships/hyperlink" Target="http://happycasino.se/" TargetMode="External"/><Relationship Id="rId4302" Type="http://schemas.openxmlformats.org/officeDocument/2006/relationships/hyperlink" Target="http://veterinarklinikenbirsta.se/" TargetMode="External"/><Relationship Id="rId7872" Type="http://schemas.openxmlformats.org/officeDocument/2006/relationships/hyperlink" Target="https://mynicco.com/" TargetMode="External"/><Relationship Id="rId8923" Type="http://schemas.openxmlformats.org/officeDocument/2006/relationships/hyperlink" Target="http://arctic.se/" TargetMode="External"/><Relationship Id="rId172" Type="http://schemas.openxmlformats.org/officeDocument/2006/relationships/hyperlink" Target="https://sipski.se/precisionsmedicin-nya-framsteg-inom-halso-och-sjukvarden/" TargetMode="External"/><Relationship Id="rId6474" Type="http://schemas.openxmlformats.org/officeDocument/2006/relationships/hyperlink" Target="https://www.executiveeffect.se/michael-frisorerna-en-forebild-inom-skonhetsbranschen-och-affarsutveckling/" TargetMode="External"/><Relationship Id="rId7525" Type="http://schemas.openxmlformats.org/officeDocument/2006/relationships/hyperlink" Target="https://pengar.in/hur-fungerar-borsen-egentligen/" TargetMode="External"/><Relationship Id="rId10853" Type="http://schemas.openxmlformats.org/officeDocument/2006/relationships/hyperlink" Target="https://hollywoodlife.com/2025/08/19/viola-milano-appeal-of-timeless-pieces/" TargetMode="External"/><Relationship Id="rId11904" Type="http://schemas.openxmlformats.org/officeDocument/2006/relationships/hyperlink" Target="https://schjodt.com/expertise/rekonstruktion-insolvens" TargetMode="External"/><Relationship Id="rId5076" Type="http://schemas.openxmlformats.org/officeDocument/2006/relationships/hyperlink" Target="http://aretrotale.com/" TargetMode="External"/><Relationship Id="rId6127" Type="http://schemas.openxmlformats.org/officeDocument/2006/relationships/hyperlink" Target="http://mynicco.com/" TargetMode="External"/><Relationship Id="rId9697" Type="http://schemas.openxmlformats.org/officeDocument/2006/relationships/hyperlink" Target="https://www.rusta.com/sv-se/fritid/husdjur/hundfoder" TargetMode="External"/><Relationship Id="rId10506" Type="http://schemas.openxmlformats.org/officeDocument/2006/relationships/hyperlink" Target="http://distansinstitutet.se/" TargetMode="External"/><Relationship Id="rId1686" Type="http://schemas.openxmlformats.org/officeDocument/2006/relationships/hyperlink" Target="https://www.triwa.com/" TargetMode="External"/><Relationship Id="rId8299" Type="http://schemas.openxmlformats.org/officeDocument/2006/relationships/hyperlink" Target="https://rabattkodsidor.se/2025/03/26/prisvariationer-pa-en-vardagsvana-hur-man-tanker-till-kring-snus/" TargetMode="External"/><Relationship Id="rId12678" Type="http://schemas.openxmlformats.org/officeDocument/2006/relationships/hyperlink" Target="http://arctic.se/" TargetMode="External"/><Relationship Id="rId1339" Type="http://schemas.openxmlformats.org/officeDocument/2006/relationships/hyperlink" Target="http://foyen.se/" TargetMode="External"/><Relationship Id="rId2737" Type="http://schemas.openxmlformats.org/officeDocument/2006/relationships/hyperlink" Target="https://moveitmama.se/investeringar-for-framtiden" TargetMode="External"/><Relationship Id="rId5210" Type="http://schemas.openxmlformats.org/officeDocument/2006/relationships/hyperlink" Target="https://pricecarz.com/en/" TargetMode="External"/><Relationship Id="rId709" Type="http://schemas.openxmlformats.org/officeDocument/2006/relationships/hyperlink" Target="https://schjodt.com/expertise/rekonstruktion-insolvens" TargetMode="External"/><Relationship Id="rId8780" Type="http://schemas.openxmlformats.org/officeDocument/2006/relationships/hyperlink" Target="https://kruunukaluste.fi/kauppa/puutarhakalusteet-ulkokalusteet-ja-terassikalusteet/" TargetMode="External"/><Relationship Id="rId9831" Type="http://schemas.openxmlformats.org/officeDocument/2006/relationships/hyperlink" Target="https://www.tandlakare.se/stad/stockholm/" TargetMode="External"/><Relationship Id="rId11761" Type="http://schemas.openxmlformats.org/officeDocument/2006/relationships/hyperlink" Target="https://yagya.com/" TargetMode="External"/><Relationship Id="rId12812" Type="http://schemas.openxmlformats.org/officeDocument/2006/relationships/hyperlink" Target="https://turner.fi/autotallin-ovet-ja-oviremontti/" TargetMode="External"/><Relationship Id="rId45" Type="http://schemas.openxmlformats.org/officeDocument/2006/relationships/hyperlink" Target="https://haxan.se/products/fonsterskrapa" TargetMode="External"/><Relationship Id="rId1820" Type="http://schemas.openxmlformats.org/officeDocument/2006/relationships/hyperlink" Target="http://notyfile.se/sv" TargetMode="External"/><Relationship Id="rId7382" Type="http://schemas.openxmlformats.org/officeDocument/2006/relationships/hyperlink" Target="http://himala.ai/" TargetMode="External"/><Relationship Id="rId8433" Type="http://schemas.openxmlformats.org/officeDocument/2006/relationships/hyperlink" Target="https://www.nordsverige.se/2025-03-28/viktiga-tecken-pa-att-det-ar-dags-att-byta-fonster-73399" TargetMode="External"/><Relationship Id="rId10363" Type="http://schemas.openxmlformats.org/officeDocument/2006/relationships/hyperlink" Target="http://glassfactory.fi/" TargetMode="External"/><Relationship Id="rId11414" Type="http://schemas.openxmlformats.org/officeDocument/2006/relationships/hyperlink" Target="http://lansfast.se/" TargetMode="External"/><Relationship Id="rId3992" Type="http://schemas.openxmlformats.org/officeDocument/2006/relationships/hyperlink" Target="https://www.purakliniken.se/estetisk-injektion/botox-stockholm/" TargetMode="External"/><Relationship Id="rId7035" Type="http://schemas.openxmlformats.org/officeDocument/2006/relationships/hyperlink" Target="https://hudsonweekly.com/health-food-trends-for-2025/" TargetMode="External"/><Relationship Id="rId10016" Type="http://schemas.openxmlformats.org/officeDocument/2006/relationships/hyperlink" Target="http://lsb.se/" TargetMode="External"/><Relationship Id="rId2594" Type="http://schemas.openxmlformats.org/officeDocument/2006/relationships/hyperlink" Target="http://notyfile.se/sv" TargetMode="External"/><Relationship Id="rId3645" Type="http://schemas.openxmlformats.org/officeDocument/2006/relationships/hyperlink" Target="https://www.madeinsweden.se/" TargetMode="External"/><Relationship Id="rId12188" Type="http://schemas.openxmlformats.org/officeDocument/2006/relationships/hyperlink" Target="https://bigbenstandup.com/svensk-stand-up/svenska-komiker/tomas-bonderud" TargetMode="External"/><Relationship Id="rId13239" Type="http://schemas.openxmlformats.org/officeDocument/2006/relationships/hyperlink" Target="https://www.startmotor.se/kategori/b%C3%A5tbatteri" TargetMode="External"/><Relationship Id="rId566" Type="http://schemas.openxmlformats.org/officeDocument/2006/relationships/hyperlink" Target="https://nordicinvestor.se/detta-bor-man-veta-om-man-ska-kopa-ett-fritidshus/" TargetMode="External"/><Relationship Id="rId1196" Type="http://schemas.openxmlformats.org/officeDocument/2006/relationships/hyperlink" Target="http://tiotak.se/" TargetMode="External"/><Relationship Id="rId2247" Type="http://schemas.openxmlformats.org/officeDocument/2006/relationships/hyperlink" Target="https://www.villarelining.se/" TargetMode="External"/><Relationship Id="rId219" Type="http://schemas.openxmlformats.org/officeDocument/2006/relationships/hyperlink" Target="https://ljusgrossisten.se/produkter/ljuskallor/poollampor/" TargetMode="External"/><Relationship Id="rId6868" Type="http://schemas.openxmlformats.org/officeDocument/2006/relationships/hyperlink" Target="https://starbuzz.fi/parhaat-vinkit-ihonhoitoon-suomen-saaolosuhteissa/" TargetMode="External"/><Relationship Id="rId7919" Type="http://schemas.openxmlformats.org/officeDocument/2006/relationships/hyperlink" Target="http://acnespecialisten.se/" TargetMode="External"/><Relationship Id="rId8290" Type="http://schemas.openxmlformats.org/officeDocument/2006/relationships/hyperlink" Target="https://www.lifesciencesweden.se/lb-article/181363/vetenskapens-underverk-fran-partikelacceleratorer-till-rymdteleskop" TargetMode="External"/><Relationship Id="rId9341" Type="http://schemas.openxmlformats.org/officeDocument/2006/relationships/hyperlink" Target="https://www.svenskbyggtidning.se/2025/05/26/sa-skulle-svensk-byggindustri-bli-sakrare-7-forslag/" TargetMode="External"/><Relationship Id="rId11271" Type="http://schemas.openxmlformats.org/officeDocument/2006/relationships/hyperlink" Target="http://socialsummit17.se/" TargetMode="External"/><Relationship Id="rId12322" Type="http://schemas.openxmlformats.org/officeDocument/2006/relationships/hyperlink" Target="http://carpcon.se/" TargetMode="External"/><Relationship Id="rId700" Type="http://schemas.openxmlformats.org/officeDocument/2006/relationships/hyperlink" Target="https://schjodt.com/expertise/rekonstruktion-insolvens" TargetMode="External"/><Relationship Id="rId1330" Type="http://schemas.openxmlformats.org/officeDocument/2006/relationships/hyperlink" Target="http://robomarkets.com/" TargetMode="External"/><Relationship Id="rId5951" Type="http://schemas.openxmlformats.org/officeDocument/2006/relationships/hyperlink" Target="https://www.motormagasinet.se/lb-article/180910/startmotor-din-kompletta-leverantor-av-fordonsdelar" TargetMode="External"/><Relationship Id="rId4553" Type="http://schemas.openxmlformats.org/officeDocument/2006/relationships/hyperlink" Target="https://hampabonden.se/33-hampaprodukter/hampaprotein" TargetMode="External"/><Relationship Id="rId5604" Type="http://schemas.openxmlformats.org/officeDocument/2006/relationships/hyperlink" Target="https://www.swenico.se/sa-tillverkas-vitt-snus-en-titt-bakom-kulisserna/" TargetMode="External"/><Relationship Id="rId13096" Type="http://schemas.openxmlformats.org/officeDocument/2006/relationships/hyperlink" Target="http://megariches.com/" TargetMode="External"/><Relationship Id="rId3155" Type="http://schemas.openxmlformats.org/officeDocument/2006/relationships/hyperlink" Target="https://w3elsolenergi.se/" TargetMode="External"/><Relationship Id="rId4206" Type="http://schemas.openxmlformats.org/officeDocument/2006/relationships/hyperlink" Target="https://www.cdg.io/services/virtual-ciso/" TargetMode="External"/><Relationship Id="rId7776" Type="http://schemas.openxmlformats.org/officeDocument/2006/relationships/hyperlink" Target="http://spelklubben.se/" TargetMode="External"/><Relationship Id="rId8827" Type="http://schemas.openxmlformats.org/officeDocument/2006/relationships/hyperlink" Target="https://www.saleseffect.se/internet-of-things-hur-smarta-apparater-revolutionerar-handeln/" TargetMode="External"/><Relationship Id="rId6378" Type="http://schemas.openxmlformats.org/officeDocument/2006/relationships/hyperlink" Target="http://mynicco.com/" TargetMode="External"/><Relationship Id="rId7429" Type="http://schemas.openxmlformats.org/officeDocument/2006/relationships/hyperlink" Target="http://cherry.com/sv" TargetMode="External"/><Relationship Id="rId10757" Type="http://schemas.openxmlformats.org/officeDocument/2006/relationships/hyperlink" Target="http://sakraror.se/" TargetMode="External"/><Relationship Id="rId11808" Type="http://schemas.openxmlformats.org/officeDocument/2006/relationships/hyperlink" Target="http://creditsafe.se/" TargetMode="External"/><Relationship Id="rId13230" Type="http://schemas.openxmlformats.org/officeDocument/2006/relationships/hyperlink" Target="https://www.kleer.se/lonesystem/" TargetMode="External"/><Relationship Id="rId210" Type="http://schemas.openxmlformats.org/officeDocument/2006/relationships/hyperlink" Target="https://blugiallo.com/" TargetMode="External"/><Relationship Id="rId2988" Type="http://schemas.openxmlformats.org/officeDocument/2006/relationships/hyperlink" Target="http://tryggvi.se/" TargetMode="External"/><Relationship Id="rId7910" Type="http://schemas.openxmlformats.org/officeDocument/2006/relationships/hyperlink" Target="http://nettotobak.com/" TargetMode="External"/><Relationship Id="rId5461" Type="http://schemas.openxmlformats.org/officeDocument/2006/relationships/hyperlink" Target="http://spelklubben.se/" TargetMode="External"/><Relationship Id="rId6512" Type="http://schemas.openxmlformats.org/officeDocument/2006/relationships/hyperlink" Target="http://myownwater.com/" TargetMode="External"/><Relationship Id="rId4063" Type="http://schemas.openxmlformats.org/officeDocument/2006/relationships/hyperlink" Target="https://www.tandea.se/" TargetMode="External"/><Relationship Id="rId5114" Type="http://schemas.openxmlformats.org/officeDocument/2006/relationships/hyperlink" Target="https://www.lansfast.se/maklare/sodermanland/trosa/" TargetMode="External"/><Relationship Id="rId8684" Type="http://schemas.openxmlformats.org/officeDocument/2006/relationships/hyperlink" Target="https://hemmaprofilen.se/vikten-av-att-byta-tak-pa-maskinhallar-for-ett-tryggare-boende/" TargetMode="External"/><Relationship Id="rId9735" Type="http://schemas.openxmlformats.org/officeDocument/2006/relationships/hyperlink" Target="https://www.spelklubben.se/sv/casino" TargetMode="External"/><Relationship Id="rId11665" Type="http://schemas.openxmlformats.org/officeDocument/2006/relationships/hyperlink" Target="http://vontabel.com/" TargetMode="External"/><Relationship Id="rId1724" Type="http://schemas.openxmlformats.org/officeDocument/2006/relationships/hyperlink" Target="http://e-ciggbolaget.se/" TargetMode="External"/><Relationship Id="rId7286" Type="http://schemas.openxmlformats.org/officeDocument/2006/relationships/hyperlink" Target="http://aerius.se/" TargetMode="External"/><Relationship Id="rId8337" Type="http://schemas.openxmlformats.org/officeDocument/2006/relationships/hyperlink" Target="https://www.dagensfastigheter.se/20250327/12752/5-inredningsstilar-vi-alltid-alskat-utan-att-veta-vad-de-heter" TargetMode="External"/><Relationship Id="rId10267" Type="http://schemas.openxmlformats.org/officeDocument/2006/relationships/hyperlink" Target="https://www.chattanoogarehab.com/shock-wave-rpw" TargetMode="External"/><Relationship Id="rId11318" Type="http://schemas.openxmlformats.org/officeDocument/2006/relationships/hyperlink" Target="http://fairinvestments.se/" TargetMode="External"/><Relationship Id="rId12716" Type="http://schemas.openxmlformats.org/officeDocument/2006/relationships/hyperlink" Target="https://sakraror.se/" TargetMode="External"/><Relationship Id="rId3896" Type="http://schemas.openxmlformats.org/officeDocument/2006/relationships/hyperlink" Target="https://storgruppen.se/asbestsanering/" TargetMode="External"/><Relationship Id="rId2498" Type="http://schemas.openxmlformats.org/officeDocument/2006/relationships/hyperlink" Target="https://www.mer-trafik.se/automatisera-mjukvarutest" TargetMode="External"/><Relationship Id="rId3549" Type="http://schemas.openxmlformats.org/officeDocument/2006/relationships/hyperlink" Target="http://cannabislight.se/" TargetMode="External"/><Relationship Id="rId4947" Type="http://schemas.openxmlformats.org/officeDocument/2006/relationships/hyperlink" Target="https://eciggshoppen.se/cbd-olja-en-naturlig-losning-for-valbefinnande/" TargetMode="External"/><Relationship Id="rId7420" Type="http://schemas.openxmlformats.org/officeDocument/2006/relationships/hyperlink" Target="http://technobark.com/" TargetMode="External"/><Relationship Id="rId6022" Type="http://schemas.openxmlformats.org/officeDocument/2006/relationships/hyperlink" Target="https://printler.com/sv/posters-art-prints/" TargetMode="External"/><Relationship Id="rId10401" Type="http://schemas.openxmlformats.org/officeDocument/2006/relationships/hyperlink" Target="http://dbet.com/" TargetMode="External"/><Relationship Id="rId8194" Type="http://schemas.openxmlformats.org/officeDocument/2006/relationships/hyperlink" Target="https://www.tandlakare.se/stad/goteborg/" TargetMode="External"/><Relationship Id="rId9592" Type="http://schemas.openxmlformats.org/officeDocument/2006/relationships/hyperlink" Target="http://hund.se/" TargetMode="External"/><Relationship Id="rId12573" Type="http://schemas.openxmlformats.org/officeDocument/2006/relationships/hyperlink" Target="https://w3elsolenergi.se/" TargetMode="External"/><Relationship Id="rId951" Type="http://schemas.openxmlformats.org/officeDocument/2006/relationships/hyperlink" Target="https://fashionallure.com/dress-socks-for-men-in-popular-patterns/" TargetMode="External"/><Relationship Id="rId1581" Type="http://schemas.openxmlformats.org/officeDocument/2006/relationships/hyperlink" Target="http://tryggbil.se/" TargetMode="External"/><Relationship Id="rId2632" Type="http://schemas.openxmlformats.org/officeDocument/2006/relationships/hyperlink" Target="https://nestebank.no/igambling/refinansiering-nokkelen-til-bedre-okonomisk-frihet/" TargetMode="External"/><Relationship Id="rId9245" Type="http://schemas.openxmlformats.org/officeDocument/2006/relationships/hyperlink" Target="https://supernormal.health/se/" TargetMode="External"/><Relationship Id="rId11175" Type="http://schemas.openxmlformats.org/officeDocument/2006/relationships/hyperlink" Target="http://alexbyggkonsult.se/" TargetMode="External"/><Relationship Id="rId12226" Type="http://schemas.openxmlformats.org/officeDocument/2006/relationships/hyperlink" Target="https://fairinvestments.se/" TargetMode="External"/><Relationship Id="rId604" Type="http://schemas.openxmlformats.org/officeDocument/2006/relationships/hyperlink" Target="https://smartfinansiering.se/en-kortfattad-guide-kring-vad-man-ska-tanka-pa-for-nya-investerare/" TargetMode="External"/><Relationship Id="rId1234" Type="http://schemas.openxmlformats.org/officeDocument/2006/relationships/hyperlink" Target="http://alfa.no/" TargetMode="External"/><Relationship Id="rId5855" Type="http://schemas.openxmlformats.org/officeDocument/2006/relationships/hyperlink" Target="http://tandea.se/" TargetMode="External"/><Relationship Id="rId6906" Type="http://schemas.openxmlformats.org/officeDocument/2006/relationships/hyperlink" Target="https://www.totallystockholm.se/unika-kladtryck-som-speglar-din-personlighet-popkulturintressen/" TargetMode="External"/><Relationship Id="rId4457" Type="http://schemas.openxmlformats.org/officeDocument/2006/relationships/hyperlink" Target="https://www.lansfast.se/maklare/stockholm/taby-danderyd/" TargetMode="External"/><Relationship Id="rId5508" Type="http://schemas.openxmlformats.org/officeDocument/2006/relationships/hyperlink" Target="https://brocenter.nu/" TargetMode="External"/><Relationship Id="rId3059" Type="http://schemas.openxmlformats.org/officeDocument/2006/relationships/hyperlink" Target="http://elavtaldirekt.se/" TargetMode="External"/><Relationship Id="rId1091" Type="http://schemas.openxmlformats.org/officeDocument/2006/relationships/hyperlink" Target="http://robomarkets.com/" TargetMode="External"/><Relationship Id="rId3540" Type="http://schemas.openxmlformats.org/officeDocument/2006/relationships/hyperlink" Target="http://spelklubben.se/" TargetMode="External"/><Relationship Id="rId12083" Type="http://schemas.openxmlformats.org/officeDocument/2006/relationships/hyperlink" Target="http://villarelining.se/" TargetMode="External"/><Relationship Id="rId13134" Type="http://schemas.openxmlformats.org/officeDocument/2006/relationships/hyperlink" Target="http://rusta.se/" TargetMode="External"/><Relationship Id="rId114" Type="http://schemas.openxmlformats.org/officeDocument/2006/relationships/hyperlink" Target="https://haxan.se/" TargetMode="External"/><Relationship Id="rId461" Type="http://schemas.openxmlformats.org/officeDocument/2006/relationships/hyperlink" Target="https://hemstart.se/vaping-vs-smoking-hur-vape-har-forandrat-nikotinmarknaden/" TargetMode="External"/><Relationship Id="rId2142" Type="http://schemas.openxmlformats.org/officeDocument/2006/relationships/hyperlink" Target="https://movingimagesmalmo.se/graffiti-klotter-eller-konst" TargetMode="External"/><Relationship Id="rId6763" Type="http://schemas.openxmlformats.org/officeDocument/2006/relationships/hyperlink" Target="https://beautyforyou.se/perioral-dermatit-vad-du-behover-veta-for-att-fa-en-stralande-hy/" TargetMode="External"/><Relationship Id="rId7814" Type="http://schemas.openxmlformats.org/officeDocument/2006/relationships/hyperlink" Target="https://www.nyaprojekt.se/2025/02/24/framtidens-energi-investeringar-sa-klarar-sverige-energikrisen/" TargetMode="External"/><Relationship Id="rId5365" Type="http://schemas.openxmlformats.org/officeDocument/2006/relationships/hyperlink" Target="https://moveitmama.se/" TargetMode="External"/><Relationship Id="rId6416" Type="http://schemas.openxmlformats.org/officeDocument/2006/relationships/hyperlink" Target="https://pengar.in/att-valja-ratt-investeringspartner-for-ekonomisk-trygghet/" TargetMode="External"/><Relationship Id="rId9986" Type="http://schemas.openxmlformats.org/officeDocument/2006/relationships/hyperlink" Target="https://technobark.com/best-dog-gps-trackers/" TargetMode="External"/><Relationship Id="rId5018" Type="http://schemas.openxmlformats.org/officeDocument/2006/relationships/hyperlink" Target="https://www.habit.se/lb-article/180746/motiv-inom-mode-och-inredning-fran-tradition-till-innovation" TargetMode="External"/><Relationship Id="rId8588" Type="http://schemas.openxmlformats.org/officeDocument/2006/relationships/hyperlink" Target="http://hajper.com/" TargetMode="External"/><Relationship Id="rId9639" Type="http://schemas.openxmlformats.org/officeDocument/2006/relationships/hyperlink" Target="http://startmotor.se/" TargetMode="External"/><Relationship Id="rId12967" Type="http://schemas.openxmlformats.org/officeDocument/2006/relationships/hyperlink" Target="http://bethard.com/" TargetMode="External"/><Relationship Id="rId1628" Type="http://schemas.openxmlformats.org/officeDocument/2006/relationships/hyperlink" Target="https://fashionablymale.net/2023/10/23/stylish-essentials-7-classic-menswear-basics-worth-investing-in/" TargetMode="External"/><Relationship Id="rId1975" Type="http://schemas.openxmlformats.org/officeDocument/2006/relationships/hyperlink" Target="http://distansinstitutet.se/" TargetMode="External"/><Relationship Id="rId11569" Type="http://schemas.openxmlformats.org/officeDocument/2006/relationships/hyperlink" Target="https://playhd.se/fordelarna-med-att-anvanda-en-harborste-med-svinborst/" TargetMode="External"/><Relationship Id="rId3050" Type="http://schemas.openxmlformats.org/officeDocument/2006/relationships/hyperlink" Target="https://8d.se/spelklubben-nya-mattstocken/" TargetMode="External"/><Relationship Id="rId4101" Type="http://schemas.openxmlformats.org/officeDocument/2006/relationships/hyperlink" Target="https://modernalivet.se/okategoriserade/planera-for-en-hallbar-framtid-kloka-livsval-for-en-gronare-varld/" TargetMode="External"/><Relationship Id="rId7671" Type="http://schemas.openxmlformats.org/officeDocument/2006/relationships/hyperlink" Target="https://veganbeauty.se/optimera-din-skonhetsupplevelse-med-en-skraddarsydd-e-handelsplattform/" TargetMode="External"/><Relationship Id="rId8722" Type="http://schemas.openxmlformats.org/officeDocument/2006/relationships/hyperlink" Target="http://dbet.com/" TargetMode="External"/><Relationship Id="rId10652" Type="http://schemas.openxmlformats.org/officeDocument/2006/relationships/hyperlink" Target="https://www.kvarnx.com/bitcoin-kurssi" TargetMode="External"/><Relationship Id="rId11703" Type="http://schemas.openxmlformats.org/officeDocument/2006/relationships/hyperlink" Target="https://nokia-osake.fi/mita-uuden-sijoittajan-tulisi-tietaa-bull-bear-sertifikaateista/" TargetMode="External"/><Relationship Id="rId6273" Type="http://schemas.openxmlformats.org/officeDocument/2006/relationships/hyperlink" Target="https://www.foyen.se/affarsomraden/tvistlosning/" TargetMode="External"/><Relationship Id="rId7324" Type="http://schemas.openxmlformats.org/officeDocument/2006/relationships/hyperlink" Target="http://svenskafonster.se/" TargetMode="External"/><Relationship Id="rId10305" Type="http://schemas.openxmlformats.org/officeDocument/2006/relationships/hyperlink" Target="https://tryggbil.se/" TargetMode="External"/><Relationship Id="rId2883" Type="http://schemas.openxmlformats.org/officeDocument/2006/relationships/hyperlink" Target="https://no.moyens.net/netthandel/netthandel-i-norge-nar-nye-hoyder/" TargetMode="External"/><Relationship Id="rId3934" Type="http://schemas.openxmlformats.org/officeDocument/2006/relationships/hyperlink" Target="http://svenskaeljouren.se/" TargetMode="External"/><Relationship Id="rId9496" Type="http://schemas.openxmlformats.org/officeDocument/2006/relationships/hyperlink" Target="http://willabgarden.de/" TargetMode="External"/><Relationship Id="rId12477" Type="http://schemas.openxmlformats.org/officeDocument/2006/relationships/hyperlink" Target="http://fairinvestments.se/" TargetMode="External"/><Relationship Id="rId855" Type="http://schemas.openxmlformats.org/officeDocument/2006/relationships/hyperlink" Target="https://deavita.net/what-to-consider-when-buying-dog-socks-286100.html" TargetMode="External"/><Relationship Id="rId1485" Type="http://schemas.openxmlformats.org/officeDocument/2006/relationships/hyperlink" Target="http://advancepointcap.com/" TargetMode="External"/><Relationship Id="rId2536" Type="http://schemas.openxmlformats.org/officeDocument/2006/relationships/hyperlink" Target="https://www.norteam.se/" TargetMode="External"/><Relationship Id="rId8098" Type="http://schemas.openxmlformats.org/officeDocument/2006/relationships/hyperlink" Target="https://beautyagenten.se/forsta-perioral-dermatit-symptom-orsaker-och-effektiva-behandlingar-for-en-vackrare-hy/" TargetMode="External"/><Relationship Id="rId9149" Type="http://schemas.openxmlformats.org/officeDocument/2006/relationships/hyperlink" Target="https://www.myownwater.com/aluminum-water-bottles" TargetMode="External"/><Relationship Id="rId11079" Type="http://schemas.openxmlformats.org/officeDocument/2006/relationships/hyperlink" Target="https://esportare.se/ovrigt/visuella-strategier-i-e-sport/" TargetMode="External"/><Relationship Id="rId508" Type="http://schemas.openxmlformats.org/officeDocument/2006/relationships/hyperlink" Target="https://dinfinans.se/ar-ditt-foretag-konkurshotat-overvag-en-foretagsrekonstruktion/" TargetMode="External"/><Relationship Id="rId1138" Type="http://schemas.openxmlformats.org/officeDocument/2006/relationships/hyperlink" Target="https://conclean.se/produkter/minireningsverk/" TargetMode="External"/><Relationship Id="rId5759" Type="http://schemas.openxmlformats.org/officeDocument/2006/relationships/hyperlink" Target="http://bbml.se/" TargetMode="External"/><Relationship Id="rId9630" Type="http://schemas.openxmlformats.org/officeDocument/2006/relationships/hyperlink" Target="https://www.industrinyheter.se/20250526/43981/hall-koll-pa-de-aktuella-arbetsmiljokraven-en-vag-till-sakrare-friskare" TargetMode="External"/><Relationship Id="rId7181" Type="http://schemas.openxmlformats.org/officeDocument/2006/relationships/hyperlink" Target="https://swedenlongstay.se/sv/foretagsbostader" TargetMode="External"/><Relationship Id="rId8232" Type="http://schemas.openxmlformats.org/officeDocument/2006/relationships/hyperlink" Target="http://axofinans.se/" TargetMode="External"/><Relationship Id="rId11560" Type="http://schemas.openxmlformats.org/officeDocument/2006/relationships/hyperlink" Target="https://eventeffect.se/varfor-du-ska-ha-ett-tvalfat/" TargetMode="External"/><Relationship Id="rId12611" Type="http://schemas.openxmlformats.org/officeDocument/2006/relationships/hyperlink" Target="https://www.sporthalsa.se/artiklar/marginalernas-magi-sma-vanor-som-vinner-matchen/" TargetMode="External"/><Relationship Id="rId10162" Type="http://schemas.openxmlformats.org/officeDocument/2006/relationships/hyperlink" Target="https://www.rusta.com/sv-se/fritid/husdjur/hundfoder" TargetMode="External"/><Relationship Id="rId11213" Type="http://schemas.openxmlformats.org/officeDocument/2006/relationships/hyperlink" Target="https://blugiallo.com/custom-tailored/clothes/jeans/" TargetMode="External"/><Relationship Id="rId3791" Type="http://schemas.openxmlformats.org/officeDocument/2006/relationships/hyperlink" Target="https://www.heteknik.se/" TargetMode="External"/><Relationship Id="rId4842" Type="http://schemas.openxmlformats.org/officeDocument/2006/relationships/hyperlink" Target="https://www.cherry.com/sv" TargetMode="External"/><Relationship Id="rId2393" Type="http://schemas.openxmlformats.org/officeDocument/2006/relationships/hyperlink" Target="http://lansfast.se/" TargetMode="External"/><Relationship Id="rId3444" Type="http://schemas.openxmlformats.org/officeDocument/2006/relationships/hyperlink" Target="https://www.anasayfa.se/ett-strategiskt-drag-for-framtiden" TargetMode="External"/><Relationship Id="rId13038" Type="http://schemas.openxmlformats.org/officeDocument/2006/relationships/hyperlink" Target="http://kleer.se/" TargetMode="External"/><Relationship Id="rId365" Type="http://schemas.openxmlformats.org/officeDocument/2006/relationships/hyperlink" Target="https://businessmanualen.se/tank-pa-detta-om-du-arbetar-hemifran/" TargetMode="External"/><Relationship Id="rId2046" Type="http://schemas.openxmlformats.org/officeDocument/2006/relationships/hyperlink" Target="https://www.kadesign.se/ta-vara-pa-solens-energi" TargetMode="External"/><Relationship Id="rId6667" Type="http://schemas.openxmlformats.org/officeDocument/2006/relationships/hyperlink" Target="http://rusta.se/" TargetMode="External"/><Relationship Id="rId7718" Type="http://schemas.openxmlformats.org/officeDocument/2006/relationships/hyperlink" Target="https://beautytube.se/frisorsalongen-i-stockholm-som-forvandlar-ditt-har-till-en-skonhetsdrom/" TargetMode="External"/><Relationship Id="rId5269" Type="http://schemas.openxmlformats.org/officeDocument/2006/relationships/hyperlink" Target="http://hampabonden.se/" TargetMode="External"/><Relationship Id="rId9140" Type="http://schemas.openxmlformats.org/officeDocument/2006/relationships/hyperlink" Target="https://kelleher-international.com/professional-matchmaking-for-men/" TargetMode="External"/><Relationship Id="rId11070" Type="http://schemas.openxmlformats.org/officeDocument/2006/relationships/hyperlink" Target="https://ekonomikunskap.se/sa-mycket-kan-du-lagga-pa-nojen-baserat-pa-din-lon/" TargetMode="External"/><Relationship Id="rId12121" Type="http://schemas.openxmlformats.org/officeDocument/2006/relationships/hyperlink" Target="https://skvallra.se/blogg/att-valja-den-ratta-kostymen-en-fullstandig-guide/" TargetMode="External"/><Relationship Id="rId1879" Type="http://schemas.openxmlformats.org/officeDocument/2006/relationships/hyperlink" Target="https://casinodjungel.se/" TargetMode="External"/><Relationship Id="rId5750" Type="http://schemas.openxmlformats.org/officeDocument/2006/relationships/hyperlink" Target="https://blooket.cc/sv/blog-sv/faktorer-som-avgor-om-vi-fortsatter-med-spelandet/" TargetMode="External"/><Relationship Id="rId6801" Type="http://schemas.openxmlformats.org/officeDocument/2006/relationships/hyperlink" Target="http://ekstromgaray.se/" TargetMode="External"/><Relationship Id="rId4005" Type="http://schemas.openxmlformats.org/officeDocument/2006/relationships/hyperlink" Target="https://www.kvarnx.com/sv/foretaget" TargetMode="External"/><Relationship Id="rId4352" Type="http://schemas.openxmlformats.org/officeDocument/2006/relationships/hyperlink" Target="https://www.spelklubben.se/sv/" TargetMode="External"/><Relationship Id="rId5403" Type="http://schemas.openxmlformats.org/officeDocument/2006/relationships/hyperlink" Target="https://www.fysiopodden.se/" TargetMode="External"/><Relationship Id="rId8973" Type="http://schemas.openxmlformats.org/officeDocument/2006/relationships/hyperlink" Target="http://rusta.com/sv-se/fritid/husdjur/hundfoder" TargetMode="External"/><Relationship Id="rId11954" Type="http://schemas.openxmlformats.org/officeDocument/2006/relationships/hyperlink" Target="https://www.nui.nu/2023/09/27/att-gora-rattvisa-investeringar-en-guide-till-hallbara-och-etiska-val/" TargetMode="External"/><Relationship Id="rId7575" Type="http://schemas.openxmlformats.org/officeDocument/2006/relationships/hyperlink" Target="http://tandlakare.se/" TargetMode="External"/><Relationship Id="rId8626" Type="http://schemas.openxmlformats.org/officeDocument/2006/relationships/hyperlink" Target="https://satsanu.se/skraddarsydda-investeringslosningar-for-maximalt-avkastning/" TargetMode="External"/><Relationship Id="rId10556" Type="http://schemas.openxmlformats.org/officeDocument/2006/relationships/hyperlink" Target="https://www.videoslots.com/sv" TargetMode="External"/><Relationship Id="rId11607" Type="http://schemas.openxmlformats.org/officeDocument/2006/relationships/hyperlink" Target="https://savethefuture.se/takbyte-vagen-till-ett-sakert-och-hallbart-tak/" TargetMode="External"/><Relationship Id="rId6177" Type="http://schemas.openxmlformats.org/officeDocument/2006/relationships/hyperlink" Target="http://arctic.se/nibe-warmepumpe-versicherung/" TargetMode="External"/><Relationship Id="rId7228" Type="http://schemas.openxmlformats.org/officeDocument/2006/relationships/hyperlink" Target="http://mockfjards.se/" TargetMode="External"/><Relationship Id="rId10209" Type="http://schemas.openxmlformats.org/officeDocument/2006/relationships/hyperlink" Target="http://joinstriveon.com/" TargetMode="External"/><Relationship Id="rId2787" Type="http://schemas.openxmlformats.org/officeDocument/2006/relationships/hyperlink" Target="https://www.spelklubben.se/sv" TargetMode="External"/><Relationship Id="rId3838" Type="http://schemas.openxmlformats.org/officeDocument/2006/relationships/hyperlink" Target="https://havstomt.se/artiklar/stockholms-skargard-vackraste-havstomter/" TargetMode="External"/><Relationship Id="rId759" Type="http://schemas.openxmlformats.org/officeDocument/2006/relationships/hyperlink" Target="https://www.villarelining.se/" TargetMode="External"/><Relationship Id="rId1389" Type="http://schemas.openxmlformats.org/officeDocument/2006/relationships/hyperlink" Target="https://www.shawanoleader.com/entrepreneur/5-tips-for-styling-the-best-casual-business-outfit/" TargetMode="External"/><Relationship Id="rId5260" Type="http://schemas.openxmlformats.org/officeDocument/2006/relationships/hyperlink" Target="http://myownwater.com/" TargetMode="External"/><Relationship Id="rId6311" Type="http://schemas.openxmlformats.org/officeDocument/2006/relationships/hyperlink" Target="https://www.purakliniken.se/estetisk-tandvard/skalfasader/" TargetMode="External"/><Relationship Id="rId8483" Type="http://schemas.openxmlformats.org/officeDocument/2006/relationships/hyperlink" Target="https://www.lilla-varlden.se/collections/barnvagnar" TargetMode="External"/><Relationship Id="rId9881" Type="http://schemas.openxmlformats.org/officeDocument/2006/relationships/hyperlink" Target="http://yourgild.com/" TargetMode="External"/><Relationship Id="rId12862" Type="http://schemas.openxmlformats.org/officeDocument/2006/relationships/hyperlink" Target="https://programminginsider.com/how-to-provide-the-best-care-for-your-dog/" TargetMode="External"/><Relationship Id="rId95" Type="http://schemas.openxmlformats.org/officeDocument/2006/relationships/hyperlink" Target="http://eteriskaoljorna.se/" TargetMode="External"/><Relationship Id="rId1870" Type="http://schemas.openxmlformats.org/officeDocument/2006/relationships/hyperlink" Target="http://aretrotale.com/" TargetMode="External"/><Relationship Id="rId2921" Type="http://schemas.openxmlformats.org/officeDocument/2006/relationships/hyperlink" Target="https://savethefuture.se/cannabislight-sveriges-ledande-leverantor-av-cbd-produkter/" TargetMode="External"/><Relationship Id="rId7085" Type="http://schemas.openxmlformats.org/officeDocument/2006/relationships/hyperlink" Target="http://petster.se/" TargetMode="External"/><Relationship Id="rId8136" Type="http://schemas.openxmlformats.org/officeDocument/2006/relationships/hyperlink" Target="http://hund.se/" TargetMode="External"/><Relationship Id="rId9534" Type="http://schemas.openxmlformats.org/officeDocument/2006/relationships/hyperlink" Target="https://www.kungaslottet.se/jackpots/" TargetMode="External"/><Relationship Id="rId11464" Type="http://schemas.openxmlformats.org/officeDocument/2006/relationships/hyperlink" Target="https://www.industritorget.se/nyheter/f%c3%b6rdelarna+med+led-belysning+inom+bilindustrin/34171/" TargetMode="External"/><Relationship Id="rId12515" Type="http://schemas.openxmlformats.org/officeDocument/2006/relationships/hyperlink" Target="https://www.di.se/brandstudio/fair-investments/fair-investments-vi-tar-bara-betalt-for-verkliga-resultat-det-tjanar-alla-pa/" TargetMode="External"/><Relationship Id="rId1523" Type="http://schemas.openxmlformats.org/officeDocument/2006/relationships/hyperlink" Target="http://happysocks.com/" TargetMode="External"/><Relationship Id="rId10066" Type="http://schemas.openxmlformats.org/officeDocument/2006/relationships/hyperlink" Target="https://www.vegatus.se/tandblekning-som-terapeut/" TargetMode="External"/><Relationship Id="rId11117" Type="http://schemas.openxmlformats.org/officeDocument/2006/relationships/hyperlink" Target="https://www.mrvegas.com/sv/the-wheel-of-vegas-info/" TargetMode="External"/><Relationship Id="rId3695" Type="http://schemas.openxmlformats.org/officeDocument/2006/relationships/hyperlink" Target="https://kelleher-international.com/" TargetMode="External"/><Relationship Id="rId4746" Type="http://schemas.openxmlformats.org/officeDocument/2006/relationships/hyperlink" Target="https://www.executiveeffect.se/vad-ar-fair-investments/" TargetMode="External"/><Relationship Id="rId13289" Type="http://schemas.openxmlformats.org/officeDocument/2006/relationships/hyperlink" Target="https://www.indoorprofessional.se/" TargetMode="External"/><Relationship Id="rId2297" Type="http://schemas.openxmlformats.org/officeDocument/2006/relationships/hyperlink" Target="https://www.entreprenorsjakten.se/admin/editor.php?url=" TargetMode="External"/><Relationship Id="rId3348" Type="http://schemas.openxmlformats.org/officeDocument/2006/relationships/hyperlink" Target="https://www.lansfast.se/maklare/sodermanland/trosa/" TargetMode="External"/><Relationship Id="rId7969" Type="http://schemas.openxmlformats.org/officeDocument/2006/relationships/hyperlink" Target="http://spelklubben.se/" TargetMode="External"/><Relationship Id="rId10200" Type="http://schemas.openxmlformats.org/officeDocument/2006/relationships/hyperlink" Target="https://www.swaggermagazine.com/fashion-2/the-understated-relevance-of-mens-ties-in-the-modern-world/" TargetMode="External"/><Relationship Id="rId269" Type="http://schemas.openxmlformats.org/officeDocument/2006/relationships/hyperlink" Target="https://savethefuture.se/gor-nagot-bra-for-klimatet-och-din-planbok-minska-din-elforbrukning/" TargetMode="External"/><Relationship Id="rId9391" Type="http://schemas.openxmlformats.org/officeDocument/2006/relationships/hyperlink" Target="http://yourgild.com/" TargetMode="External"/><Relationship Id="rId1380" Type="http://schemas.openxmlformats.org/officeDocument/2006/relationships/hyperlink" Target="https://www.executiveeffect.se/vad-ar-fair-investments/" TargetMode="External"/><Relationship Id="rId9044" Type="http://schemas.openxmlformats.org/officeDocument/2006/relationships/hyperlink" Target="https://clearfuze.com/solutions/it-consulting/" TargetMode="External"/><Relationship Id="rId12372" Type="http://schemas.openxmlformats.org/officeDocument/2006/relationships/hyperlink" Target="https://miamipool.se/" TargetMode="External"/><Relationship Id="rId403" Type="http://schemas.openxmlformats.org/officeDocument/2006/relationships/hyperlink" Target="http://sufracofinebrands.com/" TargetMode="External"/><Relationship Id="rId750" Type="http://schemas.openxmlformats.org/officeDocument/2006/relationships/hyperlink" Target="http://tiotak.se/" TargetMode="External"/><Relationship Id="rId1033" Type="http://schemas.openxmlformats.org/officeDocument/2006/relationships/hyperlink" Target="https://uniquelifetips.com/selecting-the-best-socks-to-wear/" TargetMode="External"/><Relationship Id="rId2431" Type="http://schemas.openxmlformats.org/officeDocument/2006/relationships/hyperlink" Target="https://e-ciggbolaget.se/e-cigaretter/?hr-page=%7B%22product_count%22%3A24%7D" TargetMode="External"/><Relationship Id="rId12025" Type="http://schemas.openxmlformats.org/officeDocument/2006/relationships/hyperlink" Target="http://alexbyggkonsult.se/" TargetMode="External"/><Relationship Id="rId5654" Type="http://schemas.openxmlformats.org/officeDocument/2006/relationships/hyperlink" Target="https://www.rusta.com/se/sv/fritid/husdjur/hund/hundfoder/" TargetMode="External"/><Relationship Id="rId6705" Type="http://schemas.openxmlformats.org/officeDocument/2006/relationships/hyperlink" Target="https://www.vont.se/vitt-snus" TargetMode="External"/><Relationship Id="rId4256" Type="http://schemas.openxmlformats.org/officeDocument/2006/relationships/hyperlink" Target="https://renbyggbransch.nu/att-uppratthalla-en-hogkvalitativ-byggfirma/" TargetMode="External"/><Relationship Id="rId5307" Type="http://schemas.openxmlformats.org/officeDocument/2006/relationships/hyperlink" Target="https://www.mariatand.se/behandling/tandimplantat-stockholm" TargetMode="External"/><Relationship Id="rId8877" Type="http://schemas.openxmlformats.org/officeDocument/2006/relationships/hyperlink" Target="https://www.inredningsnyheter.se/20250428/20062/salja-bostaden-sa-gor-du-det-ratt-steg-steg" TargetMode="External"/><Relationship Id="rId9928" Type="http://schemas.openxmlformats.org/officeDocument/2006/relationships/hyperlink" Target="http://purakliniken.se/estetisk-tandvard/tandimplantat/" TargetMode="External"/><Relationship Id="rId1917" Type="http://schemas.openxmlformats.org/officeDocument/2006/relationships/hyperlink" Target="https://notyfile.se/" TargetMode="External"/><Relationship Id="rId7479" Type="http://schemas.openxmlformats.org/officeDocument/2006/relationships/hyperlink" Target="https://www.chattanoogarehab.com/" TargetMode="External"/><Relationship Id="rId11858" Type="http://schemas.openxmlformats.org/officeDocument/2006/relationships/hyperlink" Target="https://arctic.se/nibewp/" TargetMode="External"/><Relationship Id="rId12909" Type="http://schemas.openxmlformats.org/officeDocument/2006/relationships/hyperlink" Target="http://videoslots.com/" TargetMode="External"/><Relationship Id="rId13280" Type="http://schemas.openxmlformats.org/officeDocument/2006/relationships/hyperlink" Target="https://dinfamilj.se/akut-tandvard-for-hela-familjen-i-stockholm/" TargetMode="External"/><Relationship Id="rId260" Type="http://schemas.openxmlformats.org/officeDocument/2006/relationships/hyperlink" Target="https://parkleken.se/forstaelse-for-langtidssocker-hba1c-och-hur-det-paverkar-diabetiker/" TargetMode="External"/><Relationship Id="rId7960" Type="http://schemas.openxmlformats.org/officeDocument/2006/relationships/hyperlink" Target="https://eventeffect.se/ar-sverige-bast-i-varlden-pa-buss/" TargetMode="External"/><Relationship Id="rId10941" Type="http://schemas.openxmlformats.org/officeDocument/2006/relationships/hyperlink" Target="https://balansekonomi.se/bygg-en-vardagsrutin-som-ger-balans-i-ekonomin/" TargetMode="External"/><Relationship Id="rId5164" Type="http://schemas.openxmlformats.org/officeDocument/2006/relationships/hyperlink" Target="https://everynightstudios.com/" TargetMode="External"/><Relationship Id="rId6215" Type="http://schemas.openxmlformats.org/officeDocument/2006/relationships/hyperlink" Target="https://www.fri-kopenskap.se/lb-article/180980/inspirerande-litteratur-for-foretagare-bocker-om-ledarskap-och-entreprenorskap" TargetMode="External"/><Relationship Id="rId6562" Type="http://schemas.openxmlformats.org/officeDocument/2006/relationships/hyperlink" Target="https://www.icanrestwhenimdead.com/ett-guilty-pleasure-mitt-i-all-action" TargetMode="External"/><Relationship Id="rId7613" Type="http://schemas.openxmlformats.org/officeDocument/2006/relationships/hyperlink" Target="https://svenskiptv.com/hur-fungerar-iptv-kom-igang/" TargetMode="External"/><Relationship Id="rId9785" Type="http://schemas.openxmlformats.org/officeDocument/2006/relationships/hyperlink" Target="http://rusta.se/" TargetMode="External"/><Relationship Id="rId12766" Type="http://schemas.openxmlformats.org/officeDocument/2006/relationships/hyperlink" Target="https://sveaf&#246;rs&#228;kring.se/" TargetMode="External"/><Relationship Id="rId1774" Type="http://schemas.openxmlformats.org/officeDocument/2006/relationships/hyperlink" Target="https://www.totallystockholm.se/fortroende-och-kontinuitet-vagen-till-langsiktig-munhalsa-med-din-tandlakare-i-stockholm/" TargetMode="External"/><Relationship Id="rId2825" Type="http://schemas.openxmlformats.org/officeDocument/2006/relationships/hyperlink" Target="http://haxan.se/" TargetMode="External"/><Relationship Id="rId8387" Type="http://schemas.openxmlformats.org/officeDocument/2006/relationships/hyperlink" Target="http://rusta.com/sv-se/hem-och-inredning/mattor" TargetMode="External"/><Relationship Id="rId9438" Type="http://schemas.openxmlformats.org/officeDocument/2006/relationships/hyperlink" Target="https://www.mellerudsnyheter.se/det-du-inte-visste-om-melleruds-historia.bb9713f7-5a43-445c-950a-b76a2defda88" TargetMode="External"/><Relationship Id="rId11368" Type="http://schemas.openxmlformats.org/officeDocument/2006/relationships/hyperlink" Target="http://fairinvestments.se/" TargetMode="External"/><Relationship Id="rId12419" Type="http://schemas.openxmlformats.org/officeDocument/2006/relationships/hyperlink" Target="https://notyfile.se/" TargetMode="External"/><Relationship Id="rId1427" Type="http://schemas.openxmlformats.org/officeDocument/2006/relationships/hyperlink" Target="https://conclean.se/produkter/minireningsverk/" TargetMode="External"/><Relationship Id="rId4997" Type="http://schemas.openxmlformats.org/officeDocument/2006/relationships/hyperlink" Target="https://www.medtechmagazine.se/lb-article/180719/stark-tillvaxt-for-medtech-i-stockholmuppsala" TargetMode="External"/><Relationship Id="rId3599" Type="http://schemas.openxmlformats.org/officeDocument/2006/relationships/hyperlink" Target="https://fairinvestments.se/" TargetMode="External"/><Relationship Id="rId7470" Type="http://schemas.openxmlformats.org/officeDocument/2006/relationships/hyperlink" Target="http://svenskafonster.se/altandorr" TargetMode="External"/><Relationship Id="rId8521" Type="http://schemas.openxmlformats.org/officeDocument/2006/relationships/hyperlink" Target="http://bethard.com/sv/sports" TargetMode="External"/><Relationship Id="rId12900" Type="http://schemas.openxmlformats.org/officeDocument/2006/relationships/hyperlink" Target="http://www.spelklubben.se/" TargetMode="External"/><Relationship Id="rId6072" Type="http://schemas.openxmlformats.org/officeDocument/2006/relationships/hyperlink" Target="http://soartzy.com/" TargetMode="External"/><Relationship Id="rId7123" Type="http://schemas.openxmlformats.org/officeDocument/2006/relationships/hyperlink" Target="https://bonusfamilj.se/tandvard-for-hela-familjen-en-guide-till-mariatorgets-tandlakarmottagning/" TargetMode="External"/><Relationship Id="rId10451" Type="http://schemas.openxmlformats.org/officeDocument/2006/relationships/hyperlink" Target="https://www.recyclingnet.se/lb-article/181804/atervinn-dina-lampor-pa-ratt-satt-en-guide-for-hallbar-kallsortering" TargetMode="External"/><Relationship Id="rId11502" Type="http://schemas.openxmlformats.org/officeDocument/2006/relationships/hyperlink" Target="http://robomarkets.com/" TargetMode="External"/><Relationship Id="rId9295" Type="http://schemas.openxmlformats.org/officeDocument/2006/relationships/hyperlink" Target="https://www.lilla-varlden.se/" TargetMode="External"/><Relationship Id="rId10104" Type="http://schemas.openxmlformats.org/officeDocument/2006/relationships/hyperlink" Target="https://www.tidningen.se/annons/slottet-som-ingen-talar-om-men-som-alla-spelar-i/" TargetMode="External"/><Relationship Id="rId2682" Type="http://schemas.openxmlformats.org/officeDocument/2006/relationships/hyperlink" Target="http://e-ciggbolaget.se/" TargetMode="External"/><Relationship Id="rId3733" Type="http://schemas.openxmlformats.org/officeDocument/2006/relationships/hyperlink" Target="http://fairinvestments.se/" TargetMode="External"/><Relationship Id="rId12276" Type="http://schemas.openxmlformats.org/officeDocument/2006/relationships/hyperlink" Target="https://arctic.se/se/forsakringslosningar/svensksolenergi/" TargetMode="External"/><Relationship Id="rId654" Type="http://schemas.openxmlformats.org/officeDocument/2006/relationships/hyperlink" Target="https://cultedge.com/how-to-match-your-socks-with-your-outfit/" TargetMode="External"/><Relationship Id="rId1284" Type="http://schemas.openxmlformats.org/officeDocument/2006/relationships/hyperlink" Target="https://distansinstitutet.se/distansutbildningar/administration/" TargetMode="External"/><Relationship Id="rId2335" Type="http://schemas.openxmlformats.org/officeDocument/2006/relationships/hyperlink" Target="http://aretrotale.com/" TargetMode="External"/><Relationship Id="rId6956" Type="http://schemas.openxmlformats.org/officeDocument/2006/relationships/hyperlink" Target="https://www.grontsamhallsbyggande.se/2024/12/21/fem-saker-att-ha-koll-pa-nar-du-investerar-i-en-solcellsanlaggning/" TargetMode="External"/><Relationship Id="rId307" Type="http://schemas.openxmlformats.org/officeDocument/2006/relationships/hyperlink" Target="https://www.swedoffice.se/" TargetMode="External"/><Relationship Id="rId5558" Type="http://schemas.openxmlformats.org/officeDocument/2006/relationships/hyperlink" Target="https://www.starkare.nu/" TargetMode="External"/><Relationship Id="rId6609" Type="http://schemas.openxmlformats.org/officeDocument/2006/relationships/hyperlink" Target="http://spelklubben.se/" TargetMode="External"/><Relationship Id="rId12410" Type="http://schemas.openxmlformats.org/officeDocument/2006/relationships/hyperlink" Target="https://bigbenstandup.com/svensk-stand-up/svenska-komiker/tomas-bonderud" TargetMode="External"/><Relationship Id="rId8031" Type="http://schemas.openxmlformats.org/officeDocument/2006/relationships/hyperlink" Target="http://bethard.com/" TargetMode="External"/><Relationship Id="rId11012" Type="http://schemas.openxmlformats.org/officeDocument/2006/relationships/hyperlink" Target="https://lifeloving.co.uk/the-largest-casinos-in-the-worlds-10-biggest-countries/" TargetMode="External"/><Relationship Id="rId3590" Type="http://schemas.openxmlformats.org/officeDocument/2006/relationships/hyperlink" Target="https://fairinvestments.se/" TargetMode="External"/><Relationship Id="rId13184" Type="http://schemas.openxmlformats.org/officeDocument/2006/relationships/hyperlink" Target="https://bouncemagazine.co.uk/what-game-design-teaches-us-about-everyday-decision-making/" TargetMode="External"/><Relationship Id="rId2192" Type="http://schemas.openxmlformats.org/officeDocument/2006/relationships/hyperlink" Target="https://www.lansfast.se/maklare/stockholm/taby-danderyd/" TargetMode="External"/><Relationship Id="rId3243" Type="http://schemas.openxmlformats.org/officeDocument/2006/relationships/hyperlink" Target="https://www.tandea.se/" TargetMode="External"/><Relationship Id="rId4641" Type="http://schemas.openxmlformats.org/officeDocument/2006/relationships/hyperlink" Target="http://kvarnx.com/" TargetMode="External"/><Relationship Id="rId164" Type="http://schemas.openxmlformats.org/officeDocument/2006/relationships/hyperlink" Target="https://tidskriftenskeppet.se/roliga-aktiviteter-pa-krogar-och-barer-med-slakt-och-vanner/" TargetMode="External"/><Relationship Id="rId7864" Type="http://schemas.openxmlformats.org/officeDocument/2006/relationships/hyperlink" Target="http://svenskiptv.com/" TargetMode="External"/><Relationship Id="rId8915" Type="http://schemas.openxmlformats.org/officeDocument/2006/relationships/hyperlink" Target="https://mynicco.com/" TargetMode="External"/><Relationship Id="rId10845" Type="http://schemas.openxmlformats.org/officeDocument/2006/relationships/hyperlink" Target="https://himala.ai/" TargetMode="External"/><Relationship Id="rId5068" Type="http://schemas.openxmlformats.org/officeDocument/2006/relationships/hyperlink" Target="https://www.imike.se/galler-rot-for-takbyte" TargetMode="External"/><Relationship Id="rId6466" Type="http://schemas.openxmlformats.org/officeDocument/2006/relationships/hyperlink" Target="https://www.rusta.com/se/sv/fritid/husdjur/hund/hundfoder/" TargetMode="External"/><Relationship Id="rId7517" Type="http://schemas.openxmlformats.org/officeDocument/2006/relationships/hyperlink" Target="https://metapress.com/bringing-your-event-to-life-creative-ways-to-make-your-corporate-gathering-unforgettable/" TargetMode="External"/><Relationship Id="rId6119" Type="http://schemas.openxmlformats.org/officeDocument/2006/relationships/hyperlink" Target="http://upplevelse.com/" TargetMode="External"/><Relationship Id="rId9689" Type="http://schemas.openxmlformats.org/officeDocument/2006/relationships/hyperlink" Target="https://www.minifinder.se/" TargetMode="External"/><Relationship Id="rId1678" Type="http://schemas.openxmlformats.org/officeDocument/2006/relationships/hyperlink" Target="http://advancepointcap.com/" TargetMode="External"/><Relationship Id="rId2729" Type="http://schemas.openxmlformats.org/officeDocument/2006/relationships/hyperlink" Target="https://www.omkull.se/ar-solceller-en-smart-investering-i-sverige" TargetMode="External"/><Relationship Id="rId6600" Type="http://schemas.openxmlformats.org/officeDocument/2006/relationships/hyperlink" Target="https://www.cherry.com/sv/casino/jackpotspel" TargetMode="External"/><Relationship Id="rId4151" Type="http://schemas.openxmlformats.org/officeDocument/2006/relationships/hyperlink" Target="https://www.snusnetto.se/tobaksfritt-snus/" TargetMode="External"/><Relationship Id="rId5202" Type="http://schemas.openxmlformats.org/officeDocument/2006/relationships/hyperlink" Target="http://alfa.no/" TargetMode="External"/><Relationship Id="rId7374" Type="http://schemas.openxmlformats.org/officeDocument/2006/relationships/hyperlink" Target="https://inssinosingot.fi/2025/01/digitaalisen-markkinoinnin-roi-ja-myyntisaatavien-tehokas-kotiuttaminen/" TargetMode="External"/><Relationship Id="rId8425" Type="http://schemas.openxmlformats.org/officeDocument/2006/relationships/hyperlink" Target="https://www.chattanoogarehab.com/us/hot-cold/hot-cold-packs" TargetMode="External"/><Relationship Id="rId8772" Type="http://schemas.openxmlformats.org/officeDocument/2006/relationships/hyperlink" Target="http://rusta.se/" TargetMode="External"/><Relationship Id="rId9823" Type="http://schemas.openxmlformats.org/officeDocument/2006/relationships/hyperlink" Target="https://tryggbil.se/" TargetMode="External"/><Relationship Id="rId11753" Type="http://schemas.openxmlformats.org/officeDocument/2006/relationships/hyperlink" Target="https://ridzeal.com/ladies-riding-breeches/" TargetMode="External"/><Relationship Id="rId12804" Type="http://schemas.openxmlformats.org/officeDocument/2006/relationships/hyperlink" Target="https://www.avanza.se/fonder/om-fonden.html/1205492/spets-a" TargetMode="External"/><Relationship Id="rId37" Type="http://schemas.openxmlformats.org/officeDocument/2006/relationships/hyperlink" Target="http://chronos.se/" TargetMode="External"/><Relationship Id="rId1812" Type="http://schemas.openxmlformats.org/officeDocument/2006/relationships/hyperlink" Target="https://lasagne.nu/pubkulturens-hjarta-irlandska-pubar-och-deras-varldsligt-igenkanda-charm/" TargetMode="External"/><Relationship Id="rId7027" Type="http://schemas.openxmlformats.org/officeDocument/2006/relationships/hyperlink" Target="https://pcwelts.de/waermepumpen-einbauen/" TargetMode="External"/><Relationship Id="rId10355" Type="http://schemas.openxmlformats.org/officeDocument/2006/relationships/hyperlink" Target="https://www.dagenshandel.se/lb-article/181802/ratt-belysning-for-ratt-plats-en-guide-till-marknadens-olika-alternativ" TargetMode="External"/><Relationship Id="rId11406" Type="http://schemas.openxmlformats.org/officeDocument/2006/relationships/hyperlink" Target="https://norrkopingextra.se/bostadsforsaljning-pa-gang-har-ar-checklistan-du-behover/" TargetMode="External"/><Relationship Id="rId3984" Type="http://schemas.openxmlformats.org/officeDocument/2006/relationships/hyperlink" Target="https://www.vont.se/to-go" TargetMode="External"/><Relationship Id="rId9199" Type="http://schemas.openxmlformats.org/officeDocument/2006/relationships/hyperlink" Target="https://bolagshistorik.se/att-navigera-i-offentliggorandeprocessen-for-att-lyckas-som-forfattare-i-affarsvarlden/" TargetMode="External"/><Relationship Id="rId10008" Type="http://schemas.openxmlformats.org/officeDocument/2006/relationships/hyperlink" Target="http://lsb.se/" TargetMode="External"/><Relationship Id="rId2586" Type="http://schemas.openxmlformats.org/officeDocument/2006/relationships/hyperlink" Target="http://miamipool.se/" TargetMode="External"/><Relationship Id="rId3637" Type="http://schemas.openxmlformats.org/officeDocument/2006/relationships/hyperlink" Target="https://www.aarep.se/vikten-av-att-ta-en-paus-da-och-da" TargetMode="External"/><Relationship Id="rId558" Type="http://schemas.openxmlformats.org/officeDocument/2006/relationships/hyperlink" Target="https://www.happysocks.com/us/collection/socks-for-men" TargetMode="External"/><Relationship Id="rId1188" Type="http://schemas.openxmlformats.org/officeDocument/2006/relationships/hyperlink" Target="https://kamagraquees.nu/propplosare-en-undersokning-av-dess-funktioner-anvandning-och-fordelar/" TargetMode="External"/><Relationship Id="rId2239" Type="http://schemas.openxmlformats.org/officeDocument/2006/relationships/hyperlink" Target="http://distansinstitutet.se/" TargetMode="External"/><Relationship Id="rId6110" Type="http://schemas.openxmlformats.org/officeDocument/2006/relationships/hyperlink" Target="http://www.kanalgratis.se/sv" TargetMode="External"/><Relationship Id="rId9680" Type="http://schemas.openxmlformats.org/officeDocument/2006/relationships/hyperlink" Target="https://www.videoslots.com/" TargetMode="External"/><Relationship Id="rId8282" Type="http://schemas.openxmlformats.org/officeDocument/2006/relationships/hyperlink" Target="https://www.axofinans.se/lana-pengar/jamfor-lan" TargetMode="External"/><Relationship Id="rId9333" Type="http://schemas.openxmlformats.org/officeDocument/2006/relationships/hyperlink" Target="http://rusta.se/" TargetMode="External"/><Relationship Id="rId11263" Type="http://schemas.openxmlformats.org/officeDocument/2006/relationships/hyperlink" Target="https://www.dieselkraft.se/" TargetMode="External"/><Relationship Id="rId12661" Type="http://schemas.openxmlformats.org/officeDocument/2006/relationships/hyperlink" Target="https://www.saleseffect.se/konsumenternas-krav-forandrar-produktutvecklingen/" TargetMode="External"/><Relationship Id="rId1322" Type="http://schemas.openxmlformats.org/officeDocument/2006/relationships/hyperlink" Target="https://nouveaumodels.se/?p=277" TargetMode="External"/><Relationship Id="rId2720" Type="http://schemas.openxmlformats.org/officeDocument/2006/relationships/hyperlink" Target="https://www.mariatand.se/behandling/tandimplantat-stockholm" TargetMode="External"/><Relationship Id="rId12314" Type="http://schemas.openxmlformats.org/officeDocument/2006/relationships/hyperlink" Target="https://varmlandsbygden.se/partner/reishi-svampen-naturens-adaptogena-elixir-for-halsa-och-valmaende/" TargetMode="External"/><Relationship Id="rId4892" Type="http://schemas.openxmlformats.org/officeDocument/2006/relationships/hyperlink" Target="https://www.djungeltrumman.se/bettingguide-en-introduktion-till-varlden-av-sportsbetting/" TargetMode="External"/><Relationship Id="rId5943" Type="http://schemas.openxmlformats.org/officeDocument/2006/relationships/hyperlink" Target="https://www.lifesciencesweden.se/lb-article/180900/tandvard-som-erbjuder-mer-an-bara-en-rutinundersokning" TargetMode="External"/><Relationship Id="rId2096" Type="http://schemas.openxmlformats.org/officeDocument/2006/relationships/hyperlink" Target="http://foyen.se/" TargetMode="External"/><Relationship Id="rId3494" Type="http://schemas.openxmlformats.org/officeDocument/2006/relationships/hyperlink" Target="https://alfaoutdoor.se/collections/vandringskangor-till-dam" TargetMode="External"/><Relationship Id="rId4545" Type="http://schemas.openxmlformats.org/officeDocument/2006/relationships/hyperlink" Target="http://e-ciggbolaget.se/" TargetMode="External"/><Relationship Id="rId13088" Type="http://schemas.openxmlformats.org/officeDocument/2006/relationships/hyperlink" Target="https://himala.ai/" TargetMode="External"/><Relationship Id="rId3147" Type="http://schemas.openxmlformats.org/officeDocument/2006/relationships/hyperlink" Target="http://fairinvestments.se/" TargetMode="External"/><Relationship Id="rId7768" Type="http://schemas.openxmlformats.org/officeDocument/2006/relationships/hyperlink" Target="https://www.grontsamhallsbyggande.se/2025/02/20/gront-byggande-en-helhetssyn-pa-hallbarhet/" TargetMode="External"/><Relationship Id="rId8819" Type="http://schemas.openxmlformats.org/officeDocument/2006/relationships/hyperlink" Target="https://sahlstenskincare.se/sahlsten_shop/produkt-tag/hypoklorsyra/" TargetMode="External"/><Relationship Id="rId10749" Type="http://schemas.openxmlformats.org/officeDocument/2006/relationships/hyperlink" Target="https://swedenlongstay.se/sv/foretagsbostader" TargetMode="External"/><Relationship Id="rId9190" Type="http://schemas.openxmlformats.org/officeDocument/2006/relationships/hyperlink" Target="https://smartkonstruktion.se/forsakringar-som-skyddar-din-solcellsanlaggning-vid-byggnationer/" TargetMode="External"/><Relationship Id="rId12171" Type="http://schemas.openxmlformats.org/officeDocument/2006/relationships/hyperlink" Target="http://villarelining.se/" TargetMode="External"/><Relationship Id="rId13222" Type="http://schemas.openxmlformats.org/officeDocument/2006/relationships/hyperlink" Target="http://arctic.se/" TargetMode="External"/><Relationship Id="rId2230" Type="http://schemas.openxmlformats.org/officeDocument/2006/relationships/hyperlink" Target="http://distansinstitutet.se/" TargetMode="External"/><Relationship Id="rId202" Type="http://schemas.openxmlformats.org/officeDocument/2006/relationships/hyperlink" Target="https://blueturtle.se/partners/" TargetMode="External"/><Relationship Id="rId5453" Type="http://schemas.openxmlformats.org/officeDocument/2006/relationships/hyperlink" Target="http://e-ciggbolaget.se/" TargetMode="External"/><Relationship Id="rId6504" Type="http://schemas.openxmlformats.org/officeDocument/2006/relationships/hyperlink" Target="https://www.saleseffect.se/sa-okar-du-din-forsaljning-genom-strategiska-investeringar/" TargetMode="External"/><Relationship Id="rId6851" Type="http://schemas.openxmlformats.org/officeDocument/2006/relationships/hyperlink" Target="https://fotbolltransfers.com/nyheter/premier-leaguematcher-under-boxing-day--hojdpunkter-och-speltips/195304" TargetMode="External"/><Relationship Id="rId7902" Type="http://schemas.openxmlformats.org/officeDocument/2006/relationships/hyperlink" Target="https://pedrovazpaulo.com/ai-agents-changing-the-game/" TargetMode="External"/><Relationship Id="rId4055" Type="http://schemas.openxmlformats.org/officeDocument/2006/relationships/hyperlink" Target="http://finansplassen.no/" TargetMode="External"/><Relationship Id="rId5106" Type="http://schemas.openxmlformats.org/officeDocument/2006/relationships/hyperlink" Target="http://tiotak.se/" TargetMode="External"/><Relationship Id="rId7278" Type="http://schemas.openxmlformats.org/officeDocument/2006/relationships/hyperlink" Target="https://www.dagensnaringsliv.se/20250122/276364/7-satt-att-effektivisera-all-admin" TargetMode="External"/><Relationship Id="rId8676" Type="http://schemas.openxmlformats.org/officeDocument/2006/relationships/hyperlink" Target="https://sakraror.se/vara-tjanster/allman-service-vvs/vvs-i-taby/" TargetMode="External"/><Relationship Id="rId9727" Type="http://schemas.openxmlformats.org/officeDocument/2006/relationships/hyperlink" Target="http://yourgild.com/" TargetMode="External"/><Relationship Id="rId11657" Type="http://schemas.openxmlformats.org/officeDocument/2006/relationships/hyperlink" Target="https://bolagsekonomen.se/detta-bor-man-tanka-pa-om-man-ar-intresserad-av-att-borja-investera-i-aktier-och-fonder/" TargetMode="External"/><Relationship Id="rId12708" Type="http://schemas.openxmlformats.org/officeDocument/2006/relationships/hyperlink" Target="https://www.swedoffice.se/kategori/49902-kopieringspapper" TargetMode="External"/><Relationship Id="rId1716" Type="http://schemas.openxmlformats.org/officeDocument/2006/relationships/hyperlink" Target="https://ladycare.se/teknologiska-framsteg-inom-tandvard/" TargetMode="External"/><Relationship Id="rId8329" Type="http://schemas.openxmlformats.org/officeDocument/2006/relationships/hyperlink" Target="https://leaptodigital.com/roofing-crm" TargetMode="External"/><Relationship Id="rId10259" Type="http://schemas.openxmlformats.org/officeDocument/2006/relationships/hyperlink" Target="http://nordicknots.com/" TargetMode="External"/><Relationship Id="rId3888" Type="http://schemas.openxmlformats.org/officeDocument/2006/relationships/hyperlink" Target="https://aaatak.se/" TargetMode="External"/><Relationship Id="rId4939" Type="http://schemas.openxmlformats.org/officeDocument/2006/relationships/hyperlink" Target="https://www.bethard.com/sv/sports" TargetMode="External"/><Relationship Id="rId8810" Type="http://schemas.openxmlformats.org/officeDocument/2006/relationships/hyperlink" Target="http://hund.se/hundgodis" TargetMode="External"/><Relationship Id="rId6361" Type="http://schemas.openxmlformats.org/officeDocument/2006/relationships/hyperlink" Target="https://printler.com/uk/" TargetMode="External"/><Relationship Id="rId7412" Type="http://schemas.openxmlformats.org/officeDocument/2006/relationships/hyperlink" Target="http://mockfjards.se/" TargetMode="External"/><Relationship Id="rId10740" Type="http://schemas.openxmlformats.org/officeDocument/2006/relationships/hyperlink" Target="https://fritidsfavoriter.se/batbatteri-och-dess-betydelse-for-dina-batagarlustar/" TargetMode="External"/><Relationship Id="rId6014" Type="http://schemas.openxmlformats.org/officeDocument/2006/relationships/hyperlink" Target="https://www.kanalgratis.se/sv/photofish-designa-ett-eget-drag" TargetMode="External"/><Relationship Id="rId9584" Type="http://schemas.openxmlformats.org/officeDocument/2006/relationships/hyperlink" Target="https://www.svenskbyggtidning.se/2025/05/27/de-vanligaste-hemmafix-fallorna/" TargetMode="External"/><Relationship Id="rId2971" Type="http://schemas.openxmlformats.org/officeDocument/2006/relationships/hyperlink" Target="https://lundaluppen.se/engangsvapen-n-one-framtidens-e-cigarett/" TargetMode="External"/><Relationship Id="rId8186" Type="http://schemas.openxmlformats.org/officeDocument/2006/relationships/hyperlink" Target="http://tryggbil.se/" TargetMode="External"/><Relationship Id="rId9237" Type="http://schemas.openxmlformats.org/officeDocument/2006/relationships/hyperlink" Target="https://www.rusta.com/sv-se/hem-och-inredning/belysning" TargetMode="External"/><Relationship Id="rId12565" Type="http://schemas.openxmlformats.org/officeDocument/2006/relationships/hyperlink" Target="http://veterinarklinikenbirsta.se/" TargetMode="External"/><Relationship Id="rId943" Type="http://schemas.openxmlformats.org/officeDocument/2006/relationships/hyperlink" Target="https://rehabgrossisten.com/" TargetMode="External"/><Relationship Id="rId1573" Type="http://schemas.openxmlformats.org/officeDocument/2006/relationships/hyperlink" Target="https://gravnorrkoping.se/skadeverkstad-pa-tyreso-din-destination-for-volkswagen-reparationer/" TargetMode="External"/><Relationship Id="rId2624" Type="http://schemas.openxmlformats.org/officeDocument/2006/relationships/hyperlink" Target="https://ibmetall.se/" TargetMode="External"/><Relationship Id="rId11167" Type="http://schemas.openxmlformats.org/officeDocument/2006/relationships/hyperlink" Target="https://conclean.se/produkter/minireningsverk/" TargetMode="External"/><Relationship Id="rId12218" Type="http://schemas.openxmlformats.org/officeDocument/2006/relationships/hyperlink" Target="http://fairinvestments.se/" TargetMode="External"/><Relationship Id="rId1226" Type="http://schemas.openxmlformats.org/officeDocument/2006/relationships/hyperlink" Target="http://alfa.no/" TargetMode="External"/><Relationship Id="rId4796" Type="http://schemas.openxmlformats.org/officeDocument/2006/relationships/hyperlink" Target="https://www.rusta.com/se/sv/hem--inredning/mattor/" TargetMode="External"/><Relationship Id="rId5847" Type="http://schemas.openxmlformats.org/officeDocument/2006/relationships/hyperlink" Target="http://startmotor.se/" TargetMode="External"/><Relationship Id="rId3398" Type="http://schemas.openxmlformats.org/officeDocument/2006/relationships/hyperlink" Target="https://igafnl.com/click?redirect=https%3A%2F%2Fwasila.ae%2Fmr-nicco-pioneering-excellence-in-the-smokeless-tobacco-market%2F&amp;dID=1714064094002&amp;hashId=b78cb3e1291bc980fcc6c4345218eb1c2d376485d4ed39eb3cec89b6edbe128c0b1fcc&amp;linkName=https://wasila.ae/mr-nicco-pioneering-excellence-in-the-smokeless-tobacco-market/" TargetMode="External"/><Relationship Id="rId4449" Type="http://schemas.openxmlformats.org/officeDocument/2006/relationships/hyperlink" Target="https://www.lansfast.se/maklare/sodermanland/trosa/" TargetMode="External"/><Relationship Id="rId8320" Type="http://schemas.openxmlformats.org/officeDocument/2006/relationships/hyperlink" Target="https://baileylineroad.com/7-steps-to-choose-the-right-roofing-contractor/" TargetMode="External"/><Relationship Id="rId10250" Type="http://schemas.openxmlformats.org/officeDocument/2006/relationships/hyperlink" Target="http://nordicknots.com/" TargetMode="External"/><Relationship Id="rId11301" Type="http://schemas.openxmlformats.org/officeDocument/2006/relationships/hyperlink" Target="https://sipski.se/" TargetMode="External"/><Relationship Id="rId2481" Type="http://schemas.openxmlformats.org/officeDocument/2006/relationships/hyperlink" Target="http://e-ciggbolaget.se/" TargetMode="External"/><Relationship Id="rId3532" Type="http://schemas.openxmlformats.org/officeDocument/2006/relationships/hyperlink" Target="https://varmlandsbygden.se/partner/aaa-tak-palitliga-hallbara-taklosningar-i-stockholm/" TargetMode="External"/><Relationship Id="rId4930" Type="http://schemas.openxmlformats.org/officeDocument/2006/relationships/hyperlink" Target="http://svenskaeljouren.se/" TargetMode="External"/><Relationship Id="rId9094" Type="http://schemas.openxmlformats.org/officeDocument/2006/relationships/hyperlink" Target="https://himala.ai/" TargetMode="External"/><Relationship Id="rId12075" Type="http://schemas.openxmlformats.org/officeDocument/2006/relationships/hyperlink" Target="https://www.web-templates.nu/2023/10/20/kontorsmaterial-de-ofta-glomda-hjaltarna-pa-arbetsplatsen/" TargetMode="External"/><Relationship Id="rId13126" Type="http://schemas.openxmlformats.org/officeDocument/2006/relationships/hyperlink" Target="https://midlands-tv.co.uk/8-films-everyone-should-watch-at-least-once/" TargetMode="External"/><Relationship Id="rId453" Type="http://schemas.openxmlformats.org/officeDocument/2006/relationships/hyperlink" Target="http://blugiallo.com/" TargetMode="External"/><Relationship Id="rId1083" Type="http://schemas.openxmlformats.org/officeDocument/2006/relationships/hyperlink" Target="http://alfa.no/" TargetMode="External"/><Relationship Id="rId2134" Type="http://schemas.openxmlformats.org/officeDocument/2006/relationships/hyperlink" Target="https://www.merinfo.se/foretag/Fair-Investments-Sweden-AB-5568169626/2k3576i-kqah" TargetMode="External"/><Relationship Id="rId106" Type="http://schemas.openxmlformats.org/officeDocument/2006/relationships/hyperlink" Target="http://kopbarnvagn.se/" TargetMode="External"/><Relationship Id="rId5357" Type="http://schemas.openxmlformats.org/officeDocument/2006/relationships/hyperlink" Target="https://e-ciggbolaget.se/vitt-snus/" TargetMode="External"/><Relationship Id="rId6755" Type="http://schemas.openxmlformats.org/officeDocument/2006/relationships/hyperlink" Target="https://hemmabyggt.se/akut-elektrikerservice-sa-har-raddar-du-situationen-vid-elproblem/" TargetMode="External"/><Relationship Id="rId7806" Type="http://schemas.openxmlformats.org/officeDocument/2006/relationships/hyperlink" Target="http://tandea.se/tandvard/tandblekning/" TargetMode="External"/><Relationship Id="rId6408" Type="http://schemas.openxmlformats.org/officeDocument/2006/relationships/hyperlink" Target="https://usawire.com/soothe-restore-repeat-how-heat-therapy-can-elevate-your-fitness-routine/" TargetMode="External"/><Relationship Id="rId9978" Type="http://schemas.openxmlformats.org/officeDocument/2006/relationships/hyperlink" Target="http://myownwater.com/" TargetMode="External"/><Relationship Id="rId12959" Type="http://schemas.openxmlformats.org/officeDocument/2006/relationships/hyperlink" Target="https://passioneffect.se/vikten-av-riskfordelning-och-ratt-samarbetspartner/" TargetMode="External"/><Relationship Id="rId1967" Type="http://schemas.openxmlformats.org/officeDocument/2006/relationships/hyperlink" Target="https://www.life-science.se/sadla-om" TargetMode="External"/><Relationship Id="rId4440" Type="http://schemas.openxmlformats.org/officeDocument/2006/relationships/hyperlink" Target="https://www.foyen.se/affarsomraden/fastighetsratt/" TargetMode="External"/><Relationship Id="rId3042" Type="http://schemas.openxmlformats.org/officeDocument/2006/relationships/hyperlink" Target="http://spelklubben.se/" TargetMode="External"/><Relationship Id="rId7663" Type="http://schemas.openxmlformats.org/officeDocument/2006/relationships/hyperlink" Target="https://adventuregurun.se/upplev-skrattens-magi-en-guide-till-standup-komedi-i-sverige/" TargetMode="External"/><Relationship Id="rId8714" Type="http://schemas.openxmlformats.org/officeDocument/2006/relationships/hyperlink" Target="http://tandea.se/" TargetMode="External"/><Relationship Id="rId10991" Type="http://schemas.openxmlformats.org/officeDocument/2006/relationships/hyperlink" Target="https://www.zmarta.se/lana-pengar/privatlan" TargetMode="External"/><Relationship Id="rId6265" Type="http://schemas.openxmlformats.org/officeDocument/2006/relationships/hyperlink" Target="http://kleer.se/" TargetMode="External"/><Relationship Id="rId7316" Type="http://schemas.openxmlformats.org/officeDocument/2006/relationships/hyperlink" Target="https://www.entreprenad.com/lb-article/181172/bygg-dromhemmet-i-skargarden" TargetMode="External"/><Relationship Id="rId10644" Type="http://schemas.openxmlformats.org/officeDocument/2006/relationships/hyperlink" Target="http://turner.fi/" TargetMode="External"/><Relationship Id="rId9488" Type="http://schemas.openxmlformats.org/officeDocument/2006/relationships/hyperlink" Target="https://www.lady-business.at/energieeffizients-moderner-haustechnik/" TargetMode="External"/><Relationship Id="rId2875" Type="http://schemas.openxmlformats.org/officeDocument/2006/relationships/hyperlink" Target="https://e-ciggbolaget.se/e-cigaretter/engangs-vape/panther-bar/?hr-page=%7B%22product_count%22%3A24%7D" TargetMode="External"/><Relationship Id="rId3926" Type="http://schemas.openxmlformats.org/officeDocument/2006/relationships/hyperlink" Target="https://aretrotale.com/en/" TargetMode="External"/><Relationship Id="rId12469" Type="http://schemas.openxmlformats.org/officeDocument/2006/relationships/hyperlink" Target="https://uppsalabostad.se/fair-investments-en-djupdykning-i-framgangsrik-avkastningsstrategi/" TargetMode="External"/><Relationship Id="rId847" Type="http://schemas.openxmlformats.org/officeDocument/2006/relationships/hyperlink" Target="https://toyota-forklifts.se/vara-truckar/plocktruckar/" TargetMode="External"/><Relationship Id="rId1477" Type="http://schemas.openxmlformats.org/officeDocument/2006/relationships/hyperlink" Target="https://www.socialmediamagazine.org/business-loans/" TargetMode="External"/><Relationship Id="rId2528" Type="http://schemas.openxmlformats.org/officeDocument/2006/relationships/hyperlink" Target="http://hemplybalance.com/" TargetMode="External"/><Relationship Id="rId5001" Type="http://schemas.openxmlformats.org/officeDocument/2006/relationships/hyperlink" Target="https://www.purakliniken.se/estetisk-tandvard/skalfasader/" TargetMode="External"/><Relationship Id="rId8571" Type="http://schemas.openxmlformats.org/officeDocument/2006/relationships/hyperlink" Target="http://rusta.se/" TargetMode="External"/><Relationship Id="rId9622" Type="http://schemas.openxmlformats.org/officeDocument/2006/relationships/hyperlink" Target="https://www.mrvegas.com/" TargetMode="External"/><Relationship Id="rId11552" Type="http://schemas.openxmlformats.org/officeDocument/2006/relationships/hyperlink" Target="http://sufracofinebrands.com/" TargetMode="External"/><Relationship Id="rId12950" Type="http://schemas.openxmlformats.org/officeDocument/2006/relationships/hyperlink" Target="https://eventeffect.se/risk-efterlevnad-och-vardering-den-dolda-ekonomin-bakom-motena/" TargetMode="External"/><Relationship Id="rId1611" Type="http://schemas.openxmlformats.org/officeDocument/2006/relationships/hyperlink" Target="http://ritty.se/" TargetMode="External"/><Relationship Id="rId7173" Type="http://schemas.openxmlformats.org/officeDocument/2006/relationships/hyperlink" Target="https://ekstromgaray.se/skicka-in-manus/" TargetMode="External"/><Relationship Id="rId8224" Type="http://schemas.openxmlformats.org/officeDocument/2006/relationships/hyperlink" Target="https://leaptodigital.com/" TargetMode="External"/><Relationship Id="rId10154" Type="http://schemas.openxmlformats.org/officeDocument/2006/relationships/hyperlink" Target="http://chattanoogarehab.com/" TargetMode="External"/><Relationship Id="rId11205" Type="http://schemas.openxmlformats.org/officeDocument/2006/relationships/hyperlink" Target="https://fashionterest.com/tailored-menswear/" TargetMode="External"/><Relationship Id="rId12603" Type="http://schemas.openxmlformats.org/officeDocument/2006/relationships/hyperlink" Target="https://www.megariches.com/sv/" TargetMode="External"/><Relationship Id="rId2385" Type="http://schemas.openxmlformats.org/officeDocument/2006/relationships/hyperlink" Target="https://www.ideum.nu/" TargetMode="External"/><Relationship Id="rId3783" Type="http://schemas.openxmlformats.org/officeDocument/2006/relationships/hyperlink" Target="http://aaatak.se/" TargetMode="External"/><Relationship Id="rId4834" Type="http://schemas.openxmlformats.org/officeDocument/2006/relationships/hyperlink" Target="http://videoslots.com/" TargetMode="External"/><Relationship Id="rId357" Type="http://schemas.openxmlformats.org/officeDocument/2006/relationships/hyperlink" Target="https://sahlstorm.se/sa-kan-man-dra-ner-pa-sin-elforbrukning/" TargetMode="External"/><Relationship Id="rId2038" Type="http://schemas.openxmlformats.org/officeDocument/2006/relationships/hyperlink" Target="https://www.triwa.com/time-for-solar" TargetMode="External"/><Relationship Id="rId3436" Type="http://schemas.openxmlformats.org/officeDocument/2006/relationships/hyperlink" Target="https://ttsab.nu/bygg/" TargetMode="External"/><Relationship Id="rId6659" Type="http://schemas.openxmlformats.org/officeDocument/2006/relationships/hyperlink" Target="http://mariatand.se/" TargetMode="External"/><Relationship Id="rId12460" Type="http://schemas.openxmlformats.org/officeDocument/2006/relationships/hyperlink" Target="https://podradio.nu/fair-investments-etiska-och-hallbara-val-for-en-langsiktig-och-hallbar-framtid/" TargetMode="External"/><Relationship Id="rId8081" Type="http://schemas.openxmlformats.org/officeDocument/2006/relationships/hyperlink" Target="https://www.idrottsplats.se/a/de-100-basta-fotbollsspelarna-genom-tiderna" TargetMode="External"/><Relationship Id="rId9132" Type="http://schemas.openxmlformats.org/officeDocument/2006/relationships/hyperlink" Target="https://plugboxlinux.org/2025/05/21/beyond-the-keyboard-unconventional-trends-in-developer-lifestyles/" TargetMode="External"/><Relationship Id="rId11062" Type="http://schemas.openxmlformats.org/officeDocument/2006/relationships/hyperlink" Target="https://ekonomikunskap.se/fran-styrranta-till-privatlan-sa-paverkas-du/" TargetMode="External"/><Relationship Id="rId12113" Type="http://schemas.openxmlformats.org/officeDocument/2006/relationships/hyperlink" Target="https://aktiefeed.se/robomarkets-revolutionerande-cfd-handel/" TargetMode="External"/><Relationship Id="rId1121" Type="http://schemas.openxmlformats.org/officeDocument/2006/relationships/hyperlink" Target="https://www.happysocks.com/us/collection/dressed" TargetMode="External"/><Relationship Id="rId4691" Type="http://schemas.openxmlformats.org/officeDocument/2006/relationships/hyperlink" Target="http://everynightstudios.com/" TargetMode="External"/><Relationship Id="rId5742" Type="http://schemas.openxmlformats.org/officeDocument/2006/relationships/hyperlink" Target="https://www.spelklubben.se/sv/betting/esports" TargetMode="External"/><Relationship Id="rId3293" Type="http://schemas.openxmlformats.org/officeDocument/2006/relationships/hyperlink" Target="http://distansinstitutet.se/" TargetMode="External"/><Relationship Id="rId4344" Type="http://schemas.openxmlformats.org/officeDocument/2006/relationships/hyperlink" Target="http://spelklubben.se/" TargetMode="External"/><Relationship Id="rId7567" Type="http://schemas.openxmlformats.org/officeDocument/2006/relationships/hyperlink" Target="https://www.cherry.com/sv" TargetMode="External"/><Relationship Id="rId8965" Type="http://schemas.openxmlformats.org/officeDocument/2006/relationships/hyperlink" Target="http://fairinvestments.se/" TargetMode="External"/><Relationship Id="rId10895" Type="http://schemas.openxmlformats.org/officeDocument/2006/relationships/hyperlink" Target="https://www.saleseffect.se/ordning-estetik-och-effektivitet-sa-maximerar-du-din-arbetsplats/" TargetMode="External"/><Relationship Id="rId11946" Type="http://schemas.openxmlformats.org/officeDocument/2006/relationships/hyperlink" Target="https://lemontree.se/tjanster/testautomatisering/" TargetMode="External"/><Relationship Id="rId6169" Type="http://schemas.openxmlformats.org/officeDocument/2006/relationships/hyperlink" Target="https://www.icanrestwhenimdead.com/att-sluta-roka-for-gott" TargetMode="External"/><Relationship Id="rId8618" Type="http://schemas.openxmlformats.org/officeDocument/2006/relationships/hyperlink" Target="https://ekstromgaray.se/skicka-in-manus/" TargetMode="External"/><Relationship Id="rId10548" Type="http://schemas.openxmlformats.org/officeDocument/2006/relationships/hyperlink" Target="http://comfydence.se/" TargetMode="External"/><Relationship Id="rId13021" Type="http://schemas.openxmlformats.org/officeDocument/2006/relationships/hyperlink" Target="https://www.grontsamhallsbyggande.se/2025/10/01/8-saker-smabarnsforaldrar-tipsar-varandra-om-pa-sociala-medier/" TargetMode="External"/><Relationship Id="rId2779" Type="http://schemas.openxmlformats.org/officeDocument/2006/relationships/hyperlink" Target="https://www.lfc.se/nyheter/56126/balansgangen-mellan-underhallning-och-ansvarsfullt-spelande-i-casinospel" TargetMode="External"/><Relationship Id="rId6650" Type="http://schemas.openxmlformats.org/officeDocument/2006/relationships/hyperlink" Target="http://spelklubben.se/" TargetMode="External"/><Relationship Id="rId7701" Type="http://schemas.openxmlformats.org/officeDocument/2006/relationships/hyperlink" Target="http://skidvalla.se/" TargetMode="External"/><Relationship Id="rId5252" Type="http://schemas.openxmlformats.org/officeDocument/2006/relationships/hyperlink" Target="http://cdg.io/" TargetMode="External"/><Relationship Id="rId6303" Type="http://schemas.openxmlformats.org/officeDocument/2006/relationships/hyperlink" Target="https://www.vont.se/vape" TargetMode="External"/><Relationship Id="rId9873" Type="http://schemas.openxmlformats.org/officeDocument/2006/relationships/hyperlink" Target="https://www.food-supply.se/lb-article/181616/de-har-kraven-maste-livsmedel-uppfylla-for-att-fa-saljas-i-sverige" TargetMode="External"/><Relationship Id="rId87" Type="http://schemas.openxmlformats.org/officeDocument/2006/relationships/hyperlink" Target="http://firmify.se/" TargetMode="External"/><Relationship Id="rId8475" Type="http://schemas.openxmlformats.org/officeDocument/2006/relationships/hyperlink" Target="http://svenskiptv.com/" TargetMode="External"/><Relationship Id="rId9526" Type="http://schemas.openxmlformats.org/officeDocument/2006/relationships/hyperlink" Target="http://rusta.se/" TargetMode="External"/><Relationship Id="rId12854" Type="http://schemas.openxmlformats.org/officeDocument/2006/relationships/hyperlink" Target="https://www.myownwater.com/" TargetMode="External"/><Relationship Id="rId1862" Type="http://schemas.openxmlformats.org/officeDocument/2006/relationships/hyperlink" Target="http://alfa.no/" TargetMode="External"/><Relationship Id="rId2913" Type="http://schemas.openxmlformats.org/officeDocument/2006/relationships/hyperlink" Target="https://www.swedoffice.se/" TargetMode="External"/><Relationship Id="rId7077" Type="http://schemas.openxmlformats.org/officeDocument/2006/relationships/hyperlink" Target="https://www.chattanoogarehab.com/us/clinical-electrotherapy/electrical-stimulation" TargetMode="External"/><Relationship Id="rId8128" Type="http://schemas.openxmlformats.org/officeDocument/2006/relationships/hyperlink" Target="https://smartareekonomi.se/investera-langsiktigt-for-hog-avkastning-och-trygghet/" TargetMode="External"/><Relationship Id="rId10058" Type="http://schemas.openxmlformats.org/officeDocument/2006/relationships/hyperlink" Target="https://www.spelklubben.se/sv/casino" TargetMode="External"/><Relationship Id="rId11456" Type="http://schemas.openxmlformats.org/officeDocument/2006/relationships/hyperlink" Target="https://ljusgrossisten.se/" TargetMode="External"/><Relationship Id="rId12507" Type="http://schemas.openxmlformats.org/officeDocument/2006/relationships/hyperlink" Target="http://fairinvestments.se/" TargetMode="External"/><Relationship Id="rId1515" Type="http://schemas.openxmlformats.org/officeDocument/2006/relationships/hyperlink" Target="https://www.beckleyboutique.com/how-to-style-and-wear-socks-like-a-pro/" TargetMode="External"/><Relationship Id="rId11109" Type="http://schemas.openxmlformats.org/officeDocument/2006/relationships/hyperlink" Target="http://videoslots.com/" TargetMode="External"/><Relationship Id="rId3687" Type="http://schemas.openxmlformats.org/officeDocument/2006/relationships/hyperlink" Target="https://ironmanmagazine.se/slagit-ut-en-tand" TargetMode="External"/><Relationship Id="rId4738" Type="http://schemas.openxmlformats.org/officeDocument/2006/relationships/hyperlink" Target="http://fairinvestments.se/" TargetMode="External"/><Relationship Id="rId2289" Type="http://schemas.openxmlformats.org/officeDocument/2006/relationships/hyperlink" Target="https://tiotak.se/" TargetMode="External"/><Relationship Id="rId6160" Type="http://schemas.openxmlformats.org/officeDocument/2006/relationships/hyperlink" Target="https://www.sallsyntadiagnoser.nu/" TargetMode="External"/><Relationship Id="rId7211" Type="http://schemas.openxmlformats.org/officeDocument/2006/relationships/hyperlink" Target="https://nybyggande.se/eljour-i-byggbranschen-vikten-av-dygnet-runt-service/" TargetMode="External"/><Relationship Id="rId2770" Type="http://schemas.openxmlformats.org/officeDocument/2006/relationships/hyperlink" Target="https://regionalista.cl/2024/02/el-auge-de-los-casinos-en-linea-perspectivas-y-desafios-en-chile-y-el-mundo/" TargetMode="External"/><Relationship Id="rId3821" Type="http://schemas.openxmlformats.org/officeDocument/2006/relationships/hyperlink" Target="http://fairinvestments.se/" TargetMode="External"/><Relationship Id="rId9383" Type="http://schemas.openxmlformats.org/officeDocument/2006/relationships/hyperlink" Target="https://www.invozio.com/" TargetMode="External"/><Relationship Id="rId12364" Type="http://schemas.openxmlformats.org/officeDocument/2006/relationships/hyperlink" Target="http://carpcon.se/" TargetMode="External"/><Relationship Id="rId742" Type="http://schemas.openxmlformats.org/officeDocument/2006/relationships/hyperlink" Target="https://finansassistans.se/saker-att-ha-i-atanke-nar-man-funderar-pa-att-kopa-fritidshus/" TargetMode="External"/><Relationship Id="rId1372" Type="http://schemas.openxmlformats.org/officeDocument/2006/relationships/hyperlink" Target="http://fairinvestments.se/" TargetMode="External"/><Relationship Id="rId2423" Type="http://schemas.openxmlformats.org/officeDocument/2006/relationships/hyperlink" Target="http://finansplassen.no/" TargetMode="External"/><Relationship Id="rId9036" Type="http://schemas.openxmlformats.org/officeDocument/2006/relationships/hyperlink" Target="http://mobot.com/" TargetMode="External"/><Relationship Id="rId12017" Type="http://schemas.openxmlformats.org/officeDocument/2006/relationships/hyperlink" Target="https://tidskriftenskeppet.se/att-upptacka-stand-up-komedi-i-stockholm-en-underhallande-upplevelse/" TargetMode="External"/><Relationship Id="rId1025" Type="http://schemas.openxmlformats.org/officeDocument/2006/relationships/hyperlink" Target="https://www.happysocks.com/us/collection/socks-for-men" TargetMode="External"/><Relationship Id="rId4595" Type="http://schemas.openxmlformats.org/officeDocument/2006/relationships/hyperlink" Target="http://spolarent.se/" TargetMode="External"/><Relationship Id="rId5646" Type="http://schemas.openxmlformats.org/officeDocument/2006/relationships/hyperlink" Target="http://spelklubben.se/" TargetMode="External"/><Relationship Id="rId5993" Type="http://schemas.openxmlformats.org/officeDocument/2006/relationships/hyperlink" Target="http://nodepositbonus.cc/" TargetMode="External"/><Relationship Id="rId3197" Type="http://schemas.openxmlformats.org/officeDocument/2006/relationships/hyperlink" Target="https://bergen2017.no/norges-likestillingsutfordring-pa-arbeidsplassen/" TargetMode="External"/><Relationship Id="rId4248" Type="http://schemas.openxmlformats.org/officeDocument/2006/relationships/hyperlink" Target="https://www.mrnicco.com/snus-vs-nicotine-pouches/" TargetMode="External"/><Relationship Id="rId8869" Type="http://schemas.openxmlformats.org/officeDocument/2006/relationships/hyperlink" Target="https://www.transportochlogistik.se/20250428/21125/en-narmare-titt-pa-sveriges-mest-trafikerade-transportleder" TargetMode="External"/><Relationship Id="rId10799" Type="http://schemas.openxmlformats.org/officeDocument/2006/relationships/hyperlink" Target="https://foretagande.se/foretagslan-eller-privatlan-vilket-ska-du-ta" TargetMode="External"/><Relationship Id="rId11100" Type="http://schemas.openxmlformats.org/officeDocument/2006/relationships/hyperlink" Target="http://spelklubben.se/" TargetMode="External"/><Relationship Id="rId1909" Type="http://schemas.openxmlformats.org/officeDocument/2006/relationships/hyperlink" Target="http://tandea.se/" TargetMode="External"/><Relationship Id="rId13272" Type="http://schemas.openxmlformats.org/officeDocument/2006/relationships/hyperlink" Target="https://tryggbil.se/" TargetMode="External"/><Relationship Id="rId2280" Type="http://schemas.openxmlformats.org/officeDocument/2006/relationships/hyperlink" Target="https://www.lansfast.se/maklare/stockholm/taby-danderyd/" TargetMode="External"/><Relationship Id="rId3331" Type="http://schemas.openxmlformats.org/officeDocument/2006/relationships/hyperlink" Target="http://e-ciggbolaget.se/" TargetMode="External"/><Relationship Id="rId7952" Type="http://schemas.openxmlformats.org/officeDocument/2006/relationships/hyperlink" Target="http://vardagsfrid.se/" TargetMode="External"/><Relationship Id="rId252" Type="http://schemas.openxmlformats.org/officeDocument/2006/relationships/hyperlink" Target="https://nyttuniversitet.se/vilka-foremal-kan-det-vara-bra-att-ha-i-en-bostadsforening-eller-ett-grannskap/" TargetMode="External"/><Relationship Id="rId6554" Type="http://schemas.openxmlformats.org/officeDocument/2006/relationships/hyperlink" Target="https://www.elbranschen.nu/" TargetMode="External"/><Relationship Id="rId7605" Type="http://schemas.openxmlformats.org/officeDocument/2006/relationships/hyperlink" Target="https://www.nykommun.se/2025/02/11/vad-ar-skillnaden-pa-en-tandhygienist-och-en-tandlakare/" TargetMode="External"/><Relationship Id="rId10933" Type="http://schemas.openxmlformats.org/officeDocument/2006/relationships/hyperlink" Target="https://willabgarden.de/" TargetMode="External"/><Relationship Id="rId5156" Type="http://schemas.openxmlformats.org/officeDocument/2006/relationships/hyperlink" Target="http://e-ciggbolaget.se/" TargetMode="External"/><Relationship Id="rId6207" Type="http://schemas.openxmlformats.org/officeDocument/2006/relationships/hyperlink" Target="https://no.moyens.net/" TargetMode="External"/><Relationship Id="rId9777" Type="http://schemas.openxmlformats.org/officeDocument/2006/relationships/hyperlink" Target="https://bolagshistorik.se/forenkla-lonehanteringen-med-effektiva-systemlosningar-for-foretag/" TargetMode="External"/><Relationship Id="rId8379" Type="http://schemas.openxmlformats.org/officeDocument/2006/relationships/hyperlink" Target="http://fairinvestments.se/" TargetMode="External"/><Relationship Id="rId12758" Type="http://schemas.openxmlformats.org/officeDocument/2006/relationships/hyperlink" Target="https://www.indoorprofessional.se/" TargetMode="External"/><Relationship Id="rId1766" Type="http://schemas.openxmlformats.org/officeDocument/2006/relationships/hyperlink" Target="https://businessacademy.se/skapa-festlig-stamning-pa-kontoret-juliga-tips-och-kontorsmaterial-for-en-harlig-arbetsmiljo/" TargetMode="External"/><Relationship Id="rId2817" Type="http://schemas.openxmlformats.org/officeDocument/2006/relationships/hyperlink" Target="https://trondheim24.no/nyheter/et-dypdykk-i-alfa-nos-vinterskounivers/" TargetMode="External"/><Relationship Id="rId1419" Type="http://schemas.openxmlformats.org/officeDocument/2006/relationships/hyperlink" Target="https://rehabgrossisten.com/" TargetMode="External"/><Relationship Id="rId4989" Type="http://schemas.openxmlformats.org/officeDocument/2006/relationships/hyperlink" Target="https://www.svt.se/nyheter/ekonomi/darfor-rasar-borsen-ai-hajpen-har-nyktrat-till" TargetMode="External"/><Relationship Id="rId8860" Type="http://schemas.openxmlformats.org/officeDocument/2006/relationships/hyperlink" Target="https://avstarnews.com/5-tips-for-stress-free-summer-travel/" TargetMode="External"/><Relationship Id="rId9911" Type="http://schemas.openxmlformats.org/officeDocument/2006/relationships/hyperlink" Target="http://spelklubben.se/" TargetMode="External"/><Relationship Id="rId10790" Type="http://schemas.openxmlformats.org/officeDocument/2006/relationships/hyperlink" Target="http://indoorprofessional.se/" TargetMode="External"/><Relationship Id="rId11841" Type="http://schemas.openxmlformats.org/officeDocument/2006/relationships/hyperlink" Target="http://askskinfo.com/" TargetMode="External"/><Relationship Id="rId1900" Type="http://schemas.openxmlformats.org/officeDocument/2006/relationships/hyperlink" Target="https://www.mistyann.se/vad-gor-man-inom-hemtjansten" TargetMode="External"/><Relationship Id="rId7462" Type="http://schemas.openxmlformats.org/officeDocument/2006/relationships/hyperlink" Target="http://svenskiptv.com/" TargetMode="External"/><Relationship Id="rId8513" Type="http://schemas.openxmlformats.org/officeDocument/2006/relationships/hyperlink" Target="https://glassfactory.fi/sv/collections/led-mirrors-1" TargetMode="External"/><Relationship Id="rId10443" Type="http://schemas.openxmlformats.org/officeDocument/2006/relationships/hyperlink" Target="http://hund.se/hundgodis" TargetMode="External"/><Relationship Id="rId6064" Type="http://schemas.openxmlformats.org/officeDocument/2006/relationships/hyperlink" Target="http://spelklubben.se/" TargetMode="External"/><Relationship Id="rId7115" Type="http://schemas.openxmlformats.org/officeDocument/2006/relationships/hyperlink" Target="https://tryggbil.se/" TargetMode="External"/><Relationship Id="rId993" Type="http://schemas.openxmlformats.org/officeDocument/2006/relationships/hyperlink" Target="http://blugiallo.com/" TargetMode="External"/><Relationship Id="rId2674" Type="http://schemas.openxmlformats.org/officeDocument/2006/relationships/hyperlink" Target="https://galamagazine.se/aroma-king-den-ultimata-engangsvapen-med-en-varld-av-smak/" TargetMode="External"/><Relationship Id="rId9287" Type="http://schemas.openxmlformats.org/officeDocument/2006/relationships/hyperlink" Target="http://michaelofrisorerna.se/" TargetMode="External"/><Relationship Id="rId12268" Type="http://schemas.openxmlformats.org/officeDocument/2006/relationships/hyperlink" Target="https://ecommunity.se/hur-fungerar-minireningsverk/" TargetMode="External"/><Relationship Id="rId646" Type="http://schemas.openxmlformats.org/officeDocument/2006/relationships/hyperlink" Target="https://www.happysocks.com/us/collection/socks-for-men" TargetMode="External"/><Relationship Id="rId1276" Type="http://schemas.openxmlformats.org/officeDocument/2006/relationships/hyperlink" Target="http://distansinstitutet.se/" TargetMode="External"/><Relationship Id="rId2327" Type="http://schemas.openxmlformats.org/officeDocument/2006/relationships/hyperlink" Target="http://tandea.se/" TargetMode="External"/><Relationship Id="rId3725" Type="http://schemas.openxmlformats.org/officeDocument/2006/relationships/hyperlink" Target="http://spelklubben.se/" TargetMode="External"/><Relationship Id="rId13319" Type="http://schemas.openxmlformats.org/officeDocument/2006/relationships/hyperlink" Target="https://www.growthnavigate.com/how-roofing-crm-software-can-benefit-roof-businesses-both-big-and-small" TargetMode="External"/><Relationship Id="rId5897" Type="http://schemas.openxmlformats.org/officeDocument/2006/relationships/hyperlink" Target="https://beautytube.se/tandblekning-i-stockholm-for-en-stralande-leende/" TargetMode="External"/><Relationship Id="rId6948" Type="http://schemas.openxmlformats.org/officeDocument/2006/relationships/hyperlink" Target="https://www.nyaprojekt.se/2024/12/21/varfor-professionella-rormokare-ar-avgorande-for-nya-byggprojekt/" TargetMode="External"/><Relationship Id="rId4499" Type="http://schemas.openxmlformats.org/officeDocument/2006/relationships/hyperlink" Target="https://serviceteknikerkarlstad.se/vad-ar-vvs-hur-utfors-vanliga-projekt/" TargetMode="External"/><Relationship Id="rId8370" Type="http://schemas.openxmlformats.org/officeDocument/2006/relationships/hyperlink" Target="http://wellio.se/" TargetMode="External"/><Relationship Id="rId9421" Type="http://schemas.openxmlformats.org/officeDocument/2006/relationships/hyperlink" Target="https://www.newst.se/mygg-faglar-och-envis-sol-sa-sover-du-gott-pa-sommaren/" TargetMode="External"/><Relationship Id="rId11351" Type="http://schemas.openxmlformats.org/officeDocument/2006/relationships/hyperlink" Target="https://www.braf&#246;retagsl&#229;n.se/fair-investments-sweden-ab-merinfo-se/" TargetMode="External"/><Relationship Id="rId12402" Type="http://schemas.openxmlformats.org/officeDocument/2006/relationships/hyperlink" Target="http://villarelining.se/" TargetMode="External"/><Relationship Id="rId1410" Type="http://schemas.openxmlformats.org/officeDocument/2006/relationships/hyperlink" Target="https://borsbolag.se/" TargetMode="External"/><Relationship Id="rId4980" Type="http://schemas.openxmlformats.org/officeDocument/2006/relationships/hyperlink" Target="http://snusnetto.se/" TargetMode="External"/><Relationship Id="rId8023" Type="http://schemas.openxmlformats.org/officeDocument/2006/relationships/hyperlink" Target="https://pt-media.org/2025/03/01/miten-ihonhoitotrendit-ovat-muuttuneet-viime-vuosina/" TargetMode="External"/><Relationship Id="rId11004" Type="http://schemas.openxmlformats.org/officeDocument/2006/relationships/hyperlink" Target="http://bethard.com/" TargetMode="External"/><Relationship Id="rId3582" Type="http://schemas.openxmlformats.org/officeDocument/2006/relationships/hyperlink" Target="http://seniorrabatt.se/" TargetMode="External"/><Relationship Id="rId4633" Type="http://schemas.openxmlformats.org/officeDocument/2006/relationships/hyperlink" Target="https://hampabonden.se/" TargetMode="External"/><Relationship Id="rId13176" Type="http://schemas.openxmlformats.org/officeDocument/2006/relationships/hyperlink" Target="https://www.mrvegas.com/sv/the-wheel-of-vegas-info/" TargetMode="External"/><Relationship Id="rId2184" Type="http://schemas.openxmlformats.org/officeDocument/2006/relationships/hyperlink" Target="https://www.artscreen.se/kontorsmaterial-aven-for-konstnarer" TargetMode="External"/><Relationship Id="rId3235" Type="http://schemas.openxmlformats.org/officeDocument/2006/relationships/hyperlink" Target="https://fairinvestments.se/investeringsfilosofi/forvaltning-pension/" TargetMode="External"/><Relationship Id="rId7856" Type="http://schemas.openxmlformats.org/officeDocument/2006/relationships/hyperlink" Target="https://varmlandsbygden.se/partner/materialval-pa-golv-vaggar-och-tak/" TargetMode="External"/><Relationship Id="rId156" Type="http://schemas.openxmlformats.org/officeDocument/2006/relationships/hyperlink" Target="https://www.elmarknad.se/" TargetMode="External"/><Relationship Id="rId6458" Type="http://schemas.openxmlformats.org/officeDocument/2006/relationships/hyperlink" Target="https://everynightstudios.com/" TargetMode="External"/><Relationship Id="rId7509" Type="http://schemas.openxmlformats.org/officeDocument/2006/relationships/hyperlink" Target="https://nordicknots.com/us/rugs" TargetMode="External"/><Relationship Id="rId8907" Type="http://schemas.openxmlformats.org/officeDocument/2006/relationships/hyperlink" Target="http://gonorthshop.com/" TargetMode="External"/><Relationship Id="rId10837" Type="http://schemas.openxmlformats.org/officeDocument/2006/relationships/hyperlink" Target="http://cherry.com/" TargetMode="External"/><Relationship Id="rId13310" Type="http://schemas.openxmlformats.org/officeDocument/2006/relationships/hyperlink" Target="http://spelklubben.se/" TargetMode="External"/><Relationship Id="rId4490" Type="http://schemas.openxmlformats.org/officeDocument/2006/relationships/hyperlink" Target="https://hhbf.se/fordelarna-med-att-ombilda-hyresratter-till-bostadsratter/" TargetMode="External"/><Relationship Id="rId5541" Type="http://schemas.openxmlformats.org/officeDocument/2006/relationships/hyperlink" Target="https://www.technology.org/2024/09/24/the-role-of-technology-in-modern-football/" TargetMode="External"/><Relationship Id="rId3092" Type="http://schemas.openxmlformats.org/officeDocument/2006/relationships/hyperlink" Target="https://gravnorrkoping.se/stockholm-en-stad-av-tidlos-skonhet-modernitet/" TargetMode="External"/><Relationship Id="rId4143" Type="http://schemas.openxmlformats.org/officeDocument/2006/relationships/hyperlink" Target="http://kvarnx.com/" TargetMode="External"/><Relationship Id="rId8764" Type="http://schemas.openxmlformats.org/officeDocument/2006/relationships/hyperlink" Target="https://www.gulavaggen.nu/nyhet/sa-maximerar-du-din-betting-infor-champions-league-finalen/" TargetMode="External"/><Relationship Id="rId9815" Type="http://schemas.openxmlformats.org/officeDocument/2006/relationships/hyperlink" Target="http://tiotak.se/" TargetMode="External"/><Relationship Id="rId10694" Type="http://schemas.openxmlformats.org/officeDocument/2006/relationships/hyperlink" Target="https://www.zmarta.se/lana-pengar" TargetMode="External"/><Relationship Id="rId29" Type="http://schemas.openxmlformats.org/officeDocument/2006/relationships/hyperlink" Target="https://44bars.com/4-things-that-will-elevate-your-wardrobe-in-the-long-term/" TargetMode="External"/><Relationship Id="rId7366" Type="http://schemas.openxmlformats.org/officeDocument/2006/relationships/hyperlink" Target="http://aretrotale.com/" TargetMode="External"/><Relationship Id="rId8417" Type="http://schemas.openxmlformats.org/officeDocument/2006/relationships/hyperlink" Target="http://nettotobak.com/velo/" TargetMode="External"/><Relationship Id="rId10347" Type="http://schemas.openxmlformats.org/officeDocument/2006/relationships/hyperlink" Target="https://stockholms-rorvvs.se/" TargetMode="External"/><Relationship Id="rId11745" Type="http://schemas.openxmlformats.org/officeDocument/2006/relationships/hyperlink" Target="https://yagya.com/" TargetMode="External"/><Relationship Id="rId1804" Type="http://schemas.openxmlformats.org/officeDocument/2006/relationships/hyperlink" Target="https://carpcon.se/fonsterbyte/" TargetMode="External"/><Relationship Id="rId7019" Type="http://schemas.openxmlformats.org/officeDocument/2006/relationships/hyperlink" Target="https://vestas-aktie.dk/index.php/2024/12/12/euroinvestor/" TargetMode="External"/><Relationship Id="rId3976" Type="http://schemas.openxmlformats.org/officeDocument/2006/relationships/hyperlink" Target="https://www.purakliniken.se/" TargetMode="External"/><Relationship Id="rId897" Type="http://schemas.openxmlformats.org/officeDocument/2006/relationships/hyperlink" Target="http://happysocks.com/" TargetMode="External"/><Relationship Id="rId2578" Type="http://schemas.openxmlformats.org/officeDocument/2006/relationships/hyperlink" Target="https://www.modern-myths.com/why-retro-watches-are-a-perfect-fashion-accessory" TargetMode="External"/><Relationship Id="rId3629" Type="http://schemas.openxmlformats.org/officeDocument/2006/relationships/hyperlink" Target="https://www.radio86.se/sakra-ditt-foretags-digitala-tillgangar" TargetMode="External"/><Relationship Id="rId5051" Type="http://schemas.openxmlformats.org/officeDocument/2006/relationships/hyperlink" Target="https://pontonhamnar.se/" TargetMode="External"/><Relationship Id="rId7500" Type="http://schemas.openxmlformats.org/officeDocument/2006/relationships/hyperlink" Target="https://www.godies.fi/" TargetMode="External"/><Relationship Id="rId6102" Type="http://schemas.openxmlformats.org/officeDocument/2006/relationships/hyperlink" Target="https://www.chattanoogarehab.com/us/clinical-electrotherapy/electrical-stimulation" TargetMode="External"/><Relationship Id="rId9672" Type="http://schemas.openxmlformats.org/officeDocument/2006/relationships/hyperlink" Target="http://svenskalasjouren.se/" TargetMode="External"/><Relationship Id="rId12653" Type="http://schemas.openxmlformats.org/officeDocument/2006/relationships/hyperlink" Target="https://www.megariches.com/sv/" TargetMode="External"/><Relationship Id="rId1661" Type="http://schemas.openxmlformats.org/officeDocument/2006/relationships/hyperlink" Target="https://dinenettsider.no/hvordan-impregnere-sko/" TargetMode="External"/><Relationship Id="rId2712" Type="http://schemas.openxmlformats.org/officeDocument/2006/relationships/hyperlink" Target="https://luckycasino.com/fi/" TargetMode="External"/><Relationship Id="rId8274" Type="http://schemas.openxmlformats.org/officeDocument/2006/relationships/hyperlink" Target="https://www.rusta.com/sv-se/hem-och-inredning/belysning" TargetMode="External"/><Relationship Id="rId9325" Type="http://schemas.openxmlformats.org/officeDocument/2006/relationships/hyperlink" Target="https://www.sportochfritidsnyheter.se/20250623/4290/du-har-stugan-grillen-och-kanoten-men-vem-bygger-bryggan" TargetMode="External"/><Relationship Id="rId11255" Type="http://schemas.openxmlformats.org/officeDocument/2006/relationships/hyperlink" Target="https://canvas.yc.edu/eportfolios/18496/Home/A_Guide_to_Purchasing_Auto_Parts_Online" TargetMode="External"/><Relationship Id="rId12306" Type="http://schemas.openxmlformats.org/officeDocument/2006/relationships/hyperlink" Target="http://conclean.se/" TargetMode="External"/><Relationship Id="rId1314" Type="http://schemas.openxmlformats.org/officeDocument/2006/relationships/hyperlink" Target="https://www.robomarkets.com/se/forex-trading/trading/specifications/card/pro-stan/AMZN/" TargetMode="External"/><Relationship Id="rId4884" Type="http://schemas.openxmlformats.org/officeDocument/2006/relationships/hyperlink" Target="https://www.spelklubben.se/sv/" TargetMode="External"/><Relationship Id="rId5935" Type="http://schemas.openxmlformats.org/officeDocument/2006/relationships/hyperlink" Target="https://fairinvestments.se/knowledgebank-post/vad-styr-aktiekursen/" TargetMode="External"/><Relationship Id="rId3486" Type="http://schemas.openxmlformats.org/officeDocument/2006/relationships/hyperlink" Target="http://spelklubben.se/" TargetMode="External"/><Relationship Id="rId4537" Type="http://schemas.openxmlformats.org/officeDocument/2006/relationships/hyperlink" Target="https://uppsalamagicandcomedy.se/regler-lagar-kring-snus-vitt-snus-i-eu/" TargetMode="External"/><Relationship Id="rId20" Type="http://schemas.openxmlformats.org/officeDocument/2006/relationships/hyperlink" Target="https://www.poshbeautyblog.com/travel/2022/10/6/how-to-experience-paradise-destinations-on-a-budget" TargetMode="External"/><Relationship Id="rId2088" Type="http://schemas.openxmlformats.org/officeDocument/2006/relationships/hyperlink" Target="https://triwa.com/" TargetMode="External"/><Relationship Id="rId3139" Type="http://schemas.openxmlformats.org/officeDocument/2006/relationships/hyperlink" Target="https://serviceteknikerkarlstad.se/timra-teknik-service-ab-forstklassiga-bygglosningar-for-moderna-hem/" TargetMode="External"/><Relationship Id="rId7010" Type="http://schemas.openxmlformats.org/officeDocument/2006/relationships/hyperlink" Target="http://myownwater.com/" TargetMode="External"/><Relationship Id="rId9182" Type="http://schemas.openxmlformats.org/officeDocument/2006/relationships/hyperlink" Target="https://www.acnespecialisten.se/perioral-dermatit.php" TargetMode="External"/><Relationship Id="rId3620" Type="http://schemas.openxmlformats.org/officeDocument/2006/relationships/hyperlink" Target="https://www.energieffektivabyggnader.se/" TargetMode="External"/><Relationship Id="rId12163" Type="http://schemas.openxmlformats.org/officeDocument/2006/relationships/hyperlink" Target="https://www.tryggbil.se/" TargetMode="External"/><Relationship Id="rId13214" Type="http://schemas.openxmlformats.org/officeDocument/2006/relationships/hyperlink" Target="https://www.entreprenad.com/lb-article/182047/nagra-vanliga-fallor-i-anlaggningsprojektet-och-hur-de-tapps-till" TargetMode="External"/><Relationship Id="rId541" Type="http://schemas.openxmlformats.org/officeDocument/2006/relationships/hyperlink" Target="http://askskinfo.com/" TargetMode="External"/><Relationship Id="rId1171" Type="http://schemas.openxmlformats.org/officeDocument/2006/relationships/hyperlink" Target="https://www.tandea.se/" TargetMode="External"/><Relationship Id="rId2222" Type="http://schemas.openxmlformats.org/officeDocument/2006/relationships/hyperlink" Target="https://www.cattisb.se/vad-ar-vitt-snus-egentligen" TargetMode="External"/><Relationship Id="rId5792" Type="http://schemas.openxmlformats.org/officeDocument/2006/relationships/hyperlink" Target="https://nem.health/vo2-max-indikator-for-livslangd-och-kardiovaskular-halsa/" TargetMode="External"/><Relationship Id="rId6843" Type="http://schemas.openxmlformats.org/officeDocument/2006/relationships/hyperlink" Target="https://www.startmotor.se/" TargetMode="External"/><Relationship Id="rId4394" Type="http://schemas.openxmlformats.org/officeDocument/2006/relationships/hyperlink" Target="https://livsstilsexperten.se/nyckeln-till-framgangsrika-investeringar-sakerhet-och-avkastning/" TargetMode="External"/><Relationship Id="rId5445" Type="http://schemas.openxmlformats.org/officeDocument/2006/relationships/hyperlink" Target="https://www.vaken.se/en-miniguide-till-hur-ekonomin-fungerar/" TargetMode="External"/><Relationship Id="rId4047" Type="http://schemas.openxmlformats.org/officeDocument/2006/relationships/hyperlink" Target="https://kelleher-international.com/" TargetMode="External"/><Relationship Id="rId8668" Type="http://schemas.openxmlformats.org/officeDocument/2006/relationships/hyperlink" Target="https://industrilinjen.se/stockholms-foretagsklimat-och-dess-mojligheter-for-entreprenorer/" TargetMode="External"/><Relationship Id="rId9719" Type="http://schemas.openxmlformats.org/officeDocument/2006/relationships/hyperlink" Target="https://www.executiveeffect.se/en-oversikt-av-olika-speltyper-inom-casinovarlden/" TargetMode="External"/><Relationship Id="rId11996" Type="http://schemas.openxmlformats.org/officeDocument/2006/relationships/hyperlink" Target="https://livsstilsbloggen.se/att-lyckas-med-halsosamma-livsstilsforandringar-fran-tobaksrokning-till-vaping/" TargetMode="External"/><Relationship Id="rId10598" Type="http://schemas.openxmlformats.org/officeDocument/2006/relationships/hyperlink" Target="https://businesswelt.eu/stressmanagement-techniken-inspiriert-von-der-natur/" TargetMode="External"/><Relationship Id="rId11649" Type="http://schemas.openxmlformats.org/officeDocument/2006/relationships/hyperlink" Target="http://vontabel.com/" TargetMode="External"/><Relationship Id="rId13071" Type="http://schemas.openxmlformats.org/officeDocument/2006/relationships/hyperlink" Target="http://tryggbil.se/" TargetMode="External"/><Relationship Id="rId1708" Type="http://schemas.openxmlformats.org/officeDocument/2006/relationships/hyperlink" Target="https://pontonhamnar.se/produkter/flytbrygga/" TargetMode="External"/><Relationship Id="rId3130" Type="http://schemas.openxmlformats.org/officeDocument/2006/relationships/hyperlink" Target="https://bygghuddinge.se/sundsvall-bergvarme-revolutionerande-uppvarmningslosningar-for-en-hallbar-framtid/" TargetMode="External"/><Relationship Id="rId7751" Type="http://schemas.openxmlformats.org/officeDocument/2006/relationships/hyperlink" Target="http://hajper.com/" TargetMode="External"/><Relationship Id="rId8802" Type="http://schemas.openxmlformats.org/officeDocument/2006/relationships/hyperlink" Target="http://rusta.com/sv-se/hem-och-inredning/mattor" TargetMode="External"/><Relationship Id="rId10732" Type="http://schemas.openxmlformats.org/officeDocument/2006/relationships/hyperlink" Target="https://www.kleer.se/lonesystem/" TargetMode="External"/><Relationship Id="rId6353" Type="http://schemas.openxmlformats.org/officeDocument/2006/relationships/hyperlink" Target="https://www.chattanoogarehab.com/" TargetMode="External"/><Relationship Id="rId7404" Type="http://schemas.openxmlformats.org/officeDocument/2006/relationships/hyperlink" Target="https://www.executiveeffect.se/som-att-foda-tvillingar-eller-traffas-av-blixten-sa-stora-ar-dina-chanser-att-vinna-pa-casino/" TargetMode="External"/><Relationship Id="rId2963" Type="http://schemas.openxmlformats.org/officeDocument/2006/relationships/hyperlink" Target="https://l&#229;nablanco.se/nyheter/konsten-att-fatta-strategiska-ekonomiska-beslut/" TargetMode="External"/><Relationship Id="rId6006" Type="http://schemas.openxmlformats.org/officeDocument/2006/relationships/hyperlink" Target="http://cdg.io/" TargetMode="External"/><Relationship Id="rId9576" Type="http://schemas.openxmlformats.org/officeDocument/2006/relationships/hyperlink" Target="https://www.kingsizemag.se/okategoriserat/casino-lingo-har-ar-orden-du-behover-kunna/" TargetMode="External"/><Relationship Id="rId12557" Type="http://schemas.openxmlformats.org/officeDocument/2006/relationships/hyperlink" Target="https://www.frii.se/forstaelse-av-crm-verktyg-effektiv-hantering-av-kundrelationer/" TargetMode="External"/><Relationship Id="rId935" Type="http://schemas.openxmlformats.org/officeDocument/2006/relationships/hyperlink" Target="https://filstalexpress.de/freizeit/154360/" TargetMode="External"/><Relationship Id="rId1565" Type="http://schemas.openxmlformats.org/officeDocument/2006/relationships/hyperlink" Target="https://distansinstitutet.se/distansutbildningar/ekonomi/" TargetMode="External"/><Relationship Id="rId2616" Type="http://schemas.openxmlformats.org/officeDocument/2006/relationships/hyperlink" Target="http://vont.co/de" TargetMode="External"/><Relationship Id="rId8178" Type="http://schemas.openxmlformats.org/officeDocument/2006/relationships/hyperlink" Target="https://villaprojekt.se/vikten-av-takbyte-pa-maskinhallar-for-battre-skydd-och-funktionalitet/" TargetMode="External"/><Relationship Id="rId9229" Type="http://schemas.openxmlformats.org/officeDocument/2006/relationships/hyperlink" Target="http://rusta.se/" TargetMode="External"/><Relationship Id="rId11159" Type="http://schemas.openxmlformats.org/officeDocument/2006/relationships/hyperlink" Target="http://bigbenstandup.com/" TargetMode="External"/><Relationship Id="rId1218" Type="http://schemas.openxmlformats.org/officeDocument/2006/relationships/hyperlink" Target="https://interiorforyou.se/modern-rorrenovering-med-relining/" TargetMode="External"/><Relationship Id="rId4788" Type="http://schemas.openxmlformats.org/officeDocument/2006/relationships/hyperlink" Target="https://www.businesstomark.com/the-resurgence-of-vintage-fashion/" TargetMode="External"/><Relationship Id="rId5839" Type="http://schemas.openxmlformats.org/officeDocument/2006/relationships/hyperlink" Target="https://aktivaunga.se/vo2-max-allt-du-behover-veta-om-maximal-syreupptagningsformaga/" TargetMode="External"/><Relationship Id="rId7261" Type="http://schemas.openxmlformats.org/officeDocument/2006/relationships/hyperlink" Target="http://mobot.com/" TargetMode="External"/><Relationship Id="rId9710" Type="http://schemas.openxmlformats.org/officeDocument/2006/relationships/hyperlink" Target="https://fragbite.se/all/news/58249/fran-clutch-till-kvitto--sa-far-gamers-betalt-pa-riktigt" TargetMode="External"/><Relationship Id="rId11640" Type="http://schemas.openxmlformats.org/officeDocument/2006/relationships/hyperlink" Target="https://vafo.dk/annoncoerbetaltindhold/3-gode-grunde-til-at-handle-med-aktier" TargetMode="External"/><Relationship Id="rId8312" Type="http://schemas.openxmlformats.org/officeDocument/2006/relationships/hyperlink" Target="http://hund.se/" TargetMode="External"/><Relationship Id="rId10242" Type="http://schemas.openxmlformats.org/officeDocument/2006/relationships/hyperlink" Target="https://www.considerable.com/shockwave-therapy/" TargetMode="External"/><Relationship Id="rId3871" Type="http://schemas.openxmlformats.org/officeDocument/2006/relationships/hyperlink" Target="http://fairinvestments.se/" TargetMode="External"/><Relationship Id="rId4922" Type="http://schemas.openxmlformats.org/officeDocument/2006/relationships/hyperlink" Target="http://bethard.com/" TargetMode="External"/><Relationship Id="rId792" Type="http://schemas.openxmlformats.org/officeDocument/2006/relationships/hyperlink" Target="http://happysocks.com/" TargetMode="External"/><Relationship Id="rId2473" Type="http://schemas.openxmlformats.org/officeDocument/2006/relationships/hyperlink" Target="https://malm&#246;cloud.se/vaporesso-innovativ-ledande-inom-utvecklingen-av-e-cigaretter/" TargetMode="External"/><Relationship Id="rId3524" Type="http://schemas.openxmlformats.org/officeDocument/2006/relationships/hyperlink" Target="https://e-ciggbolaget.se/e-cigaretter/engangs-vape/panther-bar/" TargetMode="External"/><Relationship Id="rId9086" Type="http://schemas.openxmlformats.org/officeDocument/2006/relationships/hyperlink" Target="http://mockfjards.se/" TargetMode="External"/><Relationship Id="rId12067" Type="http://schemas.openxmlformats.org/officeDocument/2006/relationships/hyperlink" Target="https://www.hausbautipps24.de/hausbau/bauweise/klimaschutz/nachhaltigkeit-im-eigenheim-praktische-tipps-fuer-umweltbewusstes-wohnen.html" TargetMode="External"/><Relationship Id="rId13118" Type="http://schemas.openxmlformats.org/officeDocument/2006/relationships/hyperlink" Target="https://golfp&#229;tv.se/blogg/s-byggs-dramat-i-sandning-frn-storfavorit-till-sondagsskrall/" TargetMode="External"/><Relationship Id="rId445" Type="http://schemas.openxmlformats.org/officeDocument/2006/relationships/hyperlink" Target="https://www.newsbreak.com/@kate-westall-1672678/3137303509502-step-up-your-formal-style-the-art-of-selecting-dress-socks" TargetMode="External"/><Relationship Id="rId1075" Type="http://schemas.openxmlformats.org/officeDocument/2006/relationships/hyperlink" Target="https://bygghuddinge.se/maklare-i-nykoping-en-guide-till-fastighetsmarknaden-och-kop-salj-processen/" TargetMode="External"/><Relationship Id="rId2126" Type="http://schemas.openxmlformats.org/officeDocument/2006/relationships/hyperlink" Target="http://distansinstitutet.se/" TargetMode="External"/><Relationship Id="rId5696" Type="http://schemas.openxmlformats.org/officeDocument/2006/relationships/hyperlink" Target="http://zmarta.se/" TargetMode="External"/><Relationship Id="rId6747" Type="http://schemas.openxmlformats.org/officeDocument/2006/relationships/hyperlink" Target="https://arctic.se/se/forsakringslosningar/svensksolenergi/" TargetMode="External"/><Relationship Id="rId4298" Type="http://schemas.openxmlformats.org/officeDocument/2006/relationships/hyperlink" Target="http://snusnetto.se/" TargetMode="External"/><Relationship Id="rId5349" Type="http://schemas.openxmlformats.org/officeDocument/2006/relationships/hyperlink" Target="https://www.bethard.com/sv" TargetMode="External"/><Relationship Id="rId9220" Type="http://schemas.openxmlformats.org/officeDocument/2006/relationships/hyperlink" Target="https://digitalfamilj.se/hundens-plats-i-familjen-och-viktiga-tillbehor-for-ett-lyckligt-liv-tillsammans/" TargetMode="External"/><Relationship Id="rId11150" Type="http://schemas.openxmlformats.org/officeDocument/2006/relationships/hyperlink" Target="http://tiotak.se/" TargetMode="External"/><Relationship Id="rId12201" Type="http://schemas.openxmlformats.org/officeDocument/2006/relationships/hyperlink" Target="http://fairinvestments.se/" TargetMode="External"/><Relationship Id="rId1959" Type="http://schemas.openxmlformats.org/officeDocument/2006/relationships/hyperlink" Target="https://carpcon.se/fonsterbyte/" TargetMode="External"/><Relationship Id="rId5830" Type="http://schemas.openxmlformats.org/officeDocument/2006/relationships/hyperlink" Target="http://lemontree.se/" TargetMode="External"/><Relationship Id="rId3381" Type="http://schemas.openxmlformats.org/officeDocument/2006/relationships/hyperlink" Target="https://www.spelklubben.se/sv/casino" TargetMode="External"/><Relationship Id="rId4432" Type="http://schemas.openxmlformats.org/officeDocument/2006/relationships/hyperlink" Target="http://conclean.se/" TargetMode="External"/><Relationship Id="rId10983" Type="http://schemas.openxmlformats.org/officeDocument/2006/relationships/hyperlink" Target="https://www.mrvegas.com/super" TargetMode="External"/><Relationship Id="rId3034" Type="http://schemas.openxmlformats.org/officeDocument/2006/relationships/hyperlink" Target="https://www.spelklubben.se/sv/casino" TargetMode="External"/><Relationship Id="rId7655" Type="http://schemas.openxmlformats.org/officeDocument/2006/relationships/hyperlink" Target="https://www.purakliniken.se/estetisk-tandvard/skalfasader/" TargetMode="External"/><Relationship Id="rId8706" Type="http://schemas.openxmlformats.org/officeDocument/2006/relationships/hyperlink" Target="https://alltombeauty.se/personlig-service-och-kvalitet-i-hjartat-av-stockholm/" TargetMode="External"/><Relationship Id="rId10636" Type="http://schemas.openxmlformats.org/officeDocument/2006/relationships/hyperlink" Target="http://kruunukaluste.fi/" TargetMode="External"/><Relationship Id="rId6257" Type="http://schemas.openxmlformats.org/officeDocument/2006/relationships/hyperlink" Target="https://herrrummet.se/man-och-deras-volkswagen-en-guide-till-service-och-underhall/" TargetMode="External"/><Relationship Id="rId7308" Type="http://schemas.openxmlformats.org/officeDocument/2006/relationships/hyperlink" Target="http://fairinvestments.se/" TargetMode="External"/><Relationship Id="rId839" Type="http://schemas.openxmlformats.org/officeDocument/2006/relationships/hyperlink" Target="http://happysocks.com/" TargetMode="External"/><Relationship Id="rId1469" Type="http://schemas.openxmlformats.org/officeDocument/2006/relationships/hyperlink" Target="https://advancepointcap.com/auto-repair-loans/" TargetMode="External"/><Relationship Id="rId2867" Type="http://schemas.openxmlformats.org/officeDocument/2006/relationships/hyperlink" Target="http://e-ciggbolaget.se/" TargetMode="External"/><Relationship Id="rId3918" Type="http://schemas.openxmlformats.org/officeDocument/2006/relationships/hyperlink" Target="http://spelklubben.se/" TargetMode="External"/><Relationship Id="rId5340" Type="http://schemas.openxmlformats.org/officeDocument/2006/relationships/hyperlink" Target="https://www.sportsclubeducation.se/" TargetMode="External"/><Relationship Id="rId9961" Type="http://schemas.openxmlformats.org/officeDocument/2006/relationships/hyperlink" Target="https://turner.fi/" TargetMode="External"/><Relationship Id="rId11891" Type="http://schemas.openxmlformats.org/officeDocument/2006/relationships/hyperlink" Target="https://www.democratiefestival.nu/2023/09/25/vapes-en-djupdykning-i-e-cigaretternas-varld/" TargetMode="External"/><Relationship Id="rId12942" Type="http://schemas.openxmlformats.org/officeDocument/2006/relationships/hyperlink" Target="https://wellio.se/" TargetMode="External"/><Relationship Id="rId1950" Type="http://schemas.openxmlformats.org/officeDocument/2006/relationships/hyperlink" Target="https://schjodt.com/expertise/rekonstruktion-insolvens" TargetMode="External"/><Relationship Id="rId8563" Type="http://schemas.openxmlformats.org/officeDocument/2006/relationships/hyperlink" Target="https://whatstrending.com/how-ai-assistants-are-changing-the-workplace/" TargetMode="External"/><Relationship Id="rId9614" Type="http://schemas.openxmlformats.org/officeDocument/2006/relationships/hyperlink" Target="http://mockfjards.se/" TargetMode="External"/><Relationship Id="rId10493" Type="http://schemas.openxmlformats.org/officeDocument/2006/relationships/hyperlink" Target="http://chattanoogarehab.com/" TargetMode="External"/><Relationship Id="rId11544" Type="http://schemas.openxmlformats.org/officeDocument/2006/relationships/hyperlink" Target="https://myaloevera.nu/2022/11/07/den-fula-ankungen-blev-vacker-svan/" TargetMode="External"/><Relationship Id="rId1603" Type="http://schemas.openxmlformats.org/officeDocument/2006/relationships/hyperlink" Target="https://webb-kurser.se/studera-pa-distans-en-omvalvande-utbildningsmetod-i-en-digital-tidsalder/" TargetMode="External"/><Relationship Id="rId7165" Type="http://schemas.openxmlformats.org/officeDocument/2006/relationships/hyperlink" Target="https://www.startmotor.se/kategori/solenoider" TargetMode="External"/><Relationship Id="rId8216" Type="http://schemas.openxmlformats.org/officeDocument/2006/relationships/hyperlink" Target="http://hajper.com/" TargetMode="External"/><Relationship Id="rId10146" Type="http://schemas.openxmlformats.org/officeDocument/2006/relationships/hyperlink" Target="https://www.newst.se/psykologin-bakom-oforglomliga-maltider/" TargetMode="External"/><Relationship Id="rId3775" Type="http://schemas.openxmlformats.org/officeDocument/2006/relationships/hyperlink" Target="https://rolandagius.se/sakerhet-pa-byggarbetsplatser-skydd-och-forebyggande-atgarder/" TargetMode="External"/><Relationship Id="rId4826" Type="http://schemas.openxmlformats.org/officeDocument/2006/relationships/hyperlink" Target="https://www.metrotimes.com/contributor-news/how-ai-assistants-are-replacing-google-for-online-shopping-39720545" TargetMode="External"/><Relationship Id="rId696" Type="http://schemas.openxmlformats.org/officeDocument/2006/relationships/hyperlink" Target="https://www.tastefulspace.com/2023/05/09/how-to-look-rich-on-a-shoestring-budget/" TargetMode="External"/><Relationship Id="rId2377" Type="http://schemas.openxmlformats.org/officeDocument/2006/relationships/hyperlink" Target="http://distansinstitutet.se/" TargetMode="External"/><Relationship Id="rId3428" Type="http://schemas.openxmlformats.org/officeDocument/2006/relationships/hyperlink" Target="http://tiotak.se/" TargetMode="External"/><Relationship Id="rId349" Type="http://schemas.openxmlformats.org/officeDocument/2006/relationships/hyperlink" Target="https://schuck.se/ta-kontroll-over-din-halsa-med-en-halsokontroll/" TargetMode="External"/><Relationship Id="rId6998" Type="http://schemas.openxmlformats.org/officeDocument/2006/relationships/hyperlink" Target="https://thechannelrace.org/why-recovery-is-key-to-athletic-success/" TargetMode="External"/><Relationship Id="rId9471" Type="http://schemas.openxmlformats.org/officeDocument/2006/relationships/hyperlink" Target="https://www.borskollen.se/basta-spelbolag-aktier" TargetMode="External"/><Relationship Id="rId8073" Type="http://schemas.openxmlformats.org/officeDocument/2006/relationships/hyperlink" Target="http://dryft.se/" TargetMode="External"/><Relationship Id="rId9124" Type="http://schemas.openxmlformats.org/officeDocument/2006/relationships/hyperlink" Target="http://yourgild.com/" TargetMode="External"/><Relationship Id="rId12452" Type="http://schemas.openxmlformats.org/officeDocument/2006/relationships/hyperlink" Target="https://www.alvtorpet.se/" TargetMode="External"/><Relationship Id="rId830" Type="http://schemas.openxmlformats.org/officeDocument/2006/relationships/hyperlink" Target="https://www.swedoffice.se/kategori/69604-gaffelparm-plast" TargetMode="External"/><Relationship Id="rId1460" Type="http://schemas.openxmlformats.org/officeDocument/2006/relationships/hyperlink" Target="https://www.lansfast.se/maklare/sodermanland/nykoping/" TargetMode="External"/><Relationship Id="rId2511" Type="http://schemas.openxmlformats.org/officeDocument/2006/relationships/hyperlink" Target="https://distansinstitutet.se/distansutbildningar/pedagogik/vardbitrade/" TargetMode="External"/><Relationship Id="rId11054" Type="http://schemas.openxmlformats.org/officeDocument/2006/relationships/hyperlink" Target="https://muuttohaukat.com/" TargetMode="External"/><Relationship Id="rId12105" Type="http://schemas.openxmlformats.org/officeDocument/2006/relationships/hyperlink" Target="https://www.malmo-bostader.se/2023/10/27/led-listor-ljusrevolutionen-som-anpassar-sig-till-din-kreativitet/" TargetMode="External"/><Relationship Id="rId1113" Type="http://schemas.openxmlformats.org/officeDocument/2006/relationships/hyperlink" Target="http://happysocks.com/" TargetMode="External"/><Relationship Id="rId4683" Type="http://schemas.openxmlformats.org/officeDocument/2006/relationships/hyperlink" Target="https://dogma.nu/solenergi-en-gron-framtid-for-energiproduktion/" TargetMode="External"/><Relationship Id="rId5734" Type="http://schemas.openxmlformats.org/officeDocument/2006/relationships/hyperlink" Target="http://spelklubben.se/" TargetMode="External"/><Relationship Id="rId3285" Type="http://schemas.openxmlformats.org/officeDocument/2006/relationships/hyperlink" Target="https://bettasmart.se/casino/nya-svenska-casinon-2024-framtidens-spelupplevelser/" TargetMode="External"/><Relationship Id="rId4336" Type="http://schemas.openxmlformats.org/officeDocument/2006/relationships/hyperlink" Target="https://www.spelochfilm.se/film-och-online-slots-en-oslagbar-kombo/" TargetMode="External"/><Relationship Id="rId8957" Type="http://schemas.openxmlformats.org/officeDocument/2006/relationships/hyperlink" Target="http://nettotobak.com/velo/" TargetMode="External"/><Relationship Id="rId7559" Type="http://schemas.openxmlformats.org/officeDocument/2006/relationships/hyperlink" Target="http://chattanoogarehab.com/" TargetMode="External"/><Relationship Id="rId10887" Type="http://schemas.openxmlformats.org/officeDocument/2006/relationships/hyperlink" Target="https://passioneffect.se/hur-ser-en-vanlig-arbetsdag-ut-om-tio-ar/" TargetMode="External"/><Relationship Id="rId11938" Type="http://schemas.openxmlformats.org/officeDocument/2006/relationships/hyperlink" Target="http://isakstrafikskola.se/" TargetMode="External"/><Relationship Id="rId13013" Type="http://schemas.openxmlformats.org/officeDocument/2006/relationships/hyperlink" Target="https://umea2014.se/jakt-norrland/" TargetMode="External"/><Relationship Id="rId340" Type="http://schemas.openxmlformats.org/officeDocument/2006/relationships/hyperlink" Target="https://nem.health/" TargetMode="External"/><Relationship Id="rId2021" Type="http://schemas.openxmlformats.org/officeDocument/2006/relationships/hyperlink" Target="http://oconnors.se/" TargetMode="External"/><Relationship Id="rId4193" Type="http://schemas.openxmlformats.org/officeDocument/2006/relationships/hyperlink" Target="http://fairinvestments.se/" TargetMode="External"/><Relationship Id="rId5591" Type="http://schemas.openxmlformats.org/officeDocument/2006/relationships/hyperlink" Target="https://www.rusta.com/se/sv/hem--inredning/mattor/" TargetMode="External"/><Relationship Id="rId6642" Type="http://schemas.openxmlformats.org/officeDocument/2006/relationships/hyperlink" Target="https://ledarsidorna.se/donald-trumps-seger-och-bettingens-betydelse-hur-politisk-betting-speglade-och-paverkade-valet/" TargetMode="External"/><Relationship Id="rId5244" Type="http://schemas.openxmlformats.org/officeDocument/2006/relationships/hyperlink" Target="https://www.cherry.com/sv/play/starburst" TargetMode="External"/><Relationship Id="rId9865" Type="http://schemas.openxmlformats.org/officeDocument/2006/relationships/hyperlink" Target="https://usa.inquirer.net/173676/why-crm-technology-is-making-waves-in-the-roofing-industry" TargetMode="External"/><Relationship Id="rId11795" Type="http://schemas.openxmlformats.org/officeDocument/2006/relationships/hyperlink" Target="http://tiotak.se/" TargetMode="External"/><Relationship Id="rId12846" Type="http://schemas.openxmlformats.org/officeDocument/2006/relationships/hyperlink" Target="https://www.niederlausitz-aktuell.de/niederlausitz-aktuell/themen/ratgeber/301744/secondhand-shoppen-wie-ein-profi-beste-tipps-fuer-exklusive-fundstuecke.html" TargetMode="External"/><Relationship Id="rId79" Type="http://schemas.openxmlformats.org/officeDocument/2006/relationships/hyperlink" Target="https://nem.health/" TargetMode="External"/><Relationship Id="rId1854" Type="http://schemas.openxmlformats.org/officeDocument/2006/relationships/hyperlink" Target="https://bygghuddinge.se/rormokare-och-vvs-byggnadsteknikens-ryggrad/" TargetMode="External"/><Relationship Id="rId2905" Type="http://schemas.openxmlformats.org/officeDocument/2006/relationships/hyperlink" Target="http://finansplassen.no/" TargetMode="External"/><Relationship Id="rId8467" Type="http://schemas.openxmlformats.org/officeDocument/2006/relationships/hyperlink" Target="http://mynicco.com/" TargetMode="External"/><Relationship Id="rId9518" Type="http://schemas.openxmlformats.org/officeDocument/2006/relationships/hyperlink" Target="https://alltsomsker.nu/sveriges-internationella-dressyrframgangar/" TargetMode="External"/><Relationship Id="rId10397" Type="http://schemas.openxmlformats.org/officeDocument/2006/relationships/hyperlink" Target="https://thecastle.nu/vad-hander-bakom-kulisserna-nar-foretaget-gar-som-taget/" TargetMode="External"/><Relationship Id="rId11448" Type="http://schemas.openxmlformats.org/officeDocument/2006/relationships/hyperlink" Target="http://lansfast.se/" TargetMode="External"/><Relationship Id="rId1507" Type="http://schemas.openxmlformats.org/officeDocument/2006/relationships/hyperlink" Target="https://www.happysocks.com/us/collection/socks-for-men" TargetMode="External"/><Relationship Id="rId7069" Type="http://schemas.openxmlformats.org/officeDocument/2006/relationships/hyperlink" Target="https://metapress.com/new-year-new-goals-how-to-plan-for-success-in-2025/" TargetMode="External"/><Relationship Id="rId3679" Type="http://schemas.openxmlformats.org/officeDocument/2006/relationships/hyperlink" Target="https://www.swelarm.se/" TargetMode="External"/><Relationship Id="rId7550" Type="http://schemas.openxmlformats.org/officeDocument/2006/relationships/hyperlink" Target="https://www.chattanoogarehab.com/" TargetMode="External"/><Relationship Id="rId6152" Type="http://schemas.openxmlformats.org/officeDocument/2006/relationships/hyperlink" Target="https://www.cherry.com/sv/welcome-bonus" TargetMode="External"/><Relationship Id="rId7203" Type="http://schemas.openxmlformats.org/officeDocument/2006/relationships/hyperlink" Target="https://tryggbil.se/volkswagen/" TargetMode="External"/><Relationship Id="rId8601" Type="http://schemas.openxmlformats.org/officeDocument/2006/relationships/hyperlink" Target="http://aerius.se/" TargetMode="External"/><Relationship Id="rId10531" Type="http://schemas.openxmlformats.org/officeDocument/2006/relationships/hyperlink" Target="https://tryggbil.se/" TargetMode="External"/><Relationship Id="rId2762" Type="http://schemas.openxmlformats.org/officeDocument/2006/relationships/hyperlink" Target="http://glitnor.com/" TargetMode="External"/><Relationship Id="rId3813" Type="http://schemas.openxmlformats.org/officeDocument/2006/relationships/hyperlink" Target="https://naturensar.se/framtidens-djurhalsa-samarbete-och-innovation/" TargetMode="External"/><Relationship Id="rId9028" Type="http://schemas.openxmlformats.org/officeDocument/2006/relationships/hyperlink" Target="https://www.hemtrevligt.se/hemmetsjournal/partner/grounda-dig-i-hemmet-12-tips/" TargetMode="External"/><Relationship Id="rId9375" Type="http://schemas.openxmlformats.org/officeDocument/2006/relationships/hyperlink" Target="https://www.megariches.com/mobile/" TargetMode="External"/><Relationship Id="rId12356" Type="http://schemas.openxmlformats.org/officeDocument/2006/relationships/hyperlink" Target="http://vont.co/de" TargetMode="External"/><Relationship Id="rId734" Type="http://schemas.openxmlformats.org/officeDocument/2006/relationships/hyperlink" Target="https://www.linkedin.com/company/fair-investments-sweden-ab/?originalSubdomain=se" TargetMode="External"/><Relationship Id="rId1364" Type="http://schemas.openxmlformats.org/officeDocument/2006/relationships/hyperlink" Target="https://www.healthsoothe.com/dental-clinic-expansion-and-medical-practice-loans/" TargetMode="External"/><Relationship Id="rId2415" Type="http://schemas.openxmlformats.org/officeDocument/2006/relationships/hyperlink" Target="http://haxan.se/" TargetMode="External"/><Relationship Id="rId5985" Type="http://schemas.openxmlformats.org/officeDocument/2006/relationships/hyperlink" Target="https://www.thexboxhub.com/creating-your-ideal-gaming-environment-tips-for-comfort-and-focus/" TargetMode="External"/><Relationship Id="rId12009" Type="http://schemas.openxmlformats.org/officeDocument/2006/relationships/hyperlink" Target="https://www.creditsafe.com/dk/da/kredit-risiko/kreditrapporter/kreditvurdering.html" TargetMode="External"/><Relationship Id="rId70" Type="http://schemas.openxmlformats.org/officeDocument/2006/relationships/hyperlink" Target="http://ljusgrossisten.se/" TargetMode="External"/><Relationship Id="rId1017" Type="http://schemas.openxmlformats.org/officeDocument/2006/relationships/hyperlink" Target="http://distansinstitutet.se/" TargetMode="External"/><Relationship Id="rId4587" Type="http://schemas.openxmlformats.org/officeDocument/2006/relationships/hyperlink" Target="http://www.purakliniken.se/" TargetMode="External"/><Relationship Id="rId5638" Type="http://schemas.openxmlformats.org/officeDocument/2006/relationships/hyperlink" Target="https://www.investera-pengar.com/blogg/investera-i-kryptovalutor-vs-aktier-och-fonder-vad-ar-skillnaden/" TargetMode="External"/><Relationship Id="rId3189" Type="http://schemas.openxmlformats.org/officeDocument/2006/relationships/hyperlink" Target="http://fairinvestments.se/" TargetMode="External"/><Relationship Id="rId7060" Type="http://schemas.openxmlformats.org/officeDocument/2006/relationships/hyperlink" Target="https://nothing2hide.net/latest/the-algorithms-of-attraction-can-tech-ever-perfect-the-art-of-matchmaking/" TargetMode="External"/><Relationship Id="rId8111" Type="http://schemas.openxmlformats.org/officeDocument/2006/relationships/hyperlink" Target="https://cdbilvardsprodukter.se/" TargetMode="External"/><Relationship Id="rId10041" Type="http://schemas.openxmlformats.org/officeDocument/2006/relationships/hyperlink" Target="http://nettotobak.com/" TargetMode="External"/><Relationship Id="rId591" Type="http://schemas.openxmlformats.org/officeDocument/2006/relationships/hyperlink" Target="http://villarelining.se/" TargetMode="External"/><Relationship Id="rId2272" Type="http://schemas.openxmlformats.org/officeDocument/2006/relationships/hyperlink" Target="http://lansfast.se/" TargetMode="External"/><Relationship Id="rId3670" Type="http://schemas.openxmlformats.org/officeDocument/2006/relationships/hyperlink" Target="https://www.dombacksmark.se/varfor-maste-man-borsta-tanderna" TargetMode="External"/><Relationship Id="rId4721" Type="http://schemas.openxmlformats.org/officeDocument/2006/relationships/hyperlink" Target="https://www.nyaprojekt.se/2024/07/25/cherry-casino-en-forebild-i-hallbarhet-och-innovation/" TargetMode="External"/><Relationship Id="rId13264" Type="http://schemas.openxmlformats.org/officeDocument/2006/relationships/hyperlink" Target="http://tiotak.se/" TargetMode="External"/><Relationship Id="rId244" Type="http://schemas.openxmlformats.org/officeDocument/2006/relationships/hyperlink" Target="https://eventeffect.se/fa-ditt-skratt-pa-komiska-evenemang-i-stockholm/" TargetMode="External"/><Relationship Id="rId3323" Type="http://schemas.openxmlformats.org/officeDocument/2006/relationships/hyperlink" Target="https://www.mynewsdesk.com/se/visibility-punktum-group/blog_posts/att-foerstaa-laanemarknaden-118475" TargetMode="External"/><Relationship Id="rId6893" Type="http://schemas.openxmlformats.org/officeDocument/2006/relationships/hyperlink" Target="https://www.lfc.se/nyheter/58349/stora-boxing-day-matcher-att-betta-pa" TargetMode="External"/><Relationship Id="rId7944" Type="http://schemas.openxmlformats.org/officeDocument/2006/relationships/hyperlink" Target="http://bergetsro.se/" TargetMode="External"/><Relationship Id="rId10925" Type="http://schemas.openxmlformats.org/officeDocument/2006/relationships/hyperlink" Target="http://technobark.com/" TargetMode="External"/><Relationship Id="rId5495" Type="http://schemas.openxmlformats.org/officeDocument/2006/relationships/hyperlink" Target="http://kamux.fi/" TargetMode="External"/><Relationship Id="rId6546" Type="http://schemas.openxmlformats.org/officeDocument/2006/relationships/hyperlink" Target="http://cwinz.com/" TargetMode="External"/><Relationship Id="rId4097" Type="http://schemas.openxmlformats.org/officeDocument/2006/relationships/hyperlink" Target="http://fairinvestments.se/" TargetMode="External"/><Relationship Id="rId5148" Type="http://schemas.openxmlformats.org/officeDocument/2006/relationships/hyperlink" Target="https://www.hofgeschnatter.de/" TargetMode="External"/><Relationship Id="rId9769" Type="http://schemas.openxmlformats.org/officeDocument/2006/relationships/hyperlink" Target="http://lansfast.se/" TargetMode="External"/><Relationship Id="rId11699" Type="http://schemas.openxmlformats.org/officeDocument/2006/relationships/hyperlink" Target="http://vontabel.com/" TargetMode="External"/><Relationship Id="rId12000" Type="http://schemas.openxmlformats.org/officeDocument/2006/relationships/hyperlink" Target="https://www.foyen.se/affarsomraden/fastighetsratt/" TargetMode="External"/><Relationship Id="rId1758" Type="http://schemas.openxmlformats.org/officeDocument/2006/relationships/hyperlink" Target="https://pluslifestyles.com/benefits-of-solar-watches/" TargetMode="External"/><Relationship Id="rId2809" Type="http://schemas.openxmlformats.org/officeDocument/2006/relationships/hyperlink" Target="https://www.spelklubben.se/" TargetMode="External"/><Relationship Id="rId3180" Type="http://schemas.openxmlformats.org/officeDocument/2006/relationships/hyperlink" Target="http://tandea.se/" TargetMode="External"/><Relationship Id="rId4231" Type="http://schemas.openxmlformats.org/officeDocument/2006/relationships/hyperlink" Target="http://sakraror.se/" TargetMode="External"/><Relationship Id="rId8852" Type="http://schemas.openxmlformats.org/officeDocument/2006/relationships/hyperlink" Target="http://arctic.se/nibe-warmepumpe-versicherung/" TargetMode="External"/><Relationship Id="rId9903" Type="http://schemas.openxmlformats.org/officeDocument/2006/relationships/hyperlink" Target="http://kruunukaluste.fi/" TargetMode="External"/><Relationship Id="rId10782" Type="http://schemas.openxmlformats.org/officeDocument/2006/relationships/hyperlink" Target="http://tandea.se/" TargetMode="External"/><Relationship Id="rId11833" Type="http://schemas.openxmlformats.org/officeDocument/2006/relationships/hyperlink" Target="http://yagya.com/" TargetMode="External"/><Relationship Id="rId6056" Type="http://schemas.openxmlformats.org/officeDocument/2006/relationships/hyperlink" Target="https://www.tidningen.se/annons/ska-torslanda-lyckas-behalla-platsen-i-division-1/" TargetMode="External"/><Relationship Id="rId7454" Type="http://schemas.openxmlformats.org/officeDocument/2006/relationships/hyperlink" Target="https://www.totallystockholm.se/visa-mig-ditt-hem-sa-ska-jag-visa-dig-vem-du-ar-konsten-att-trivas-i-sitt-hem/" TargetMode="External"/><Relationship Id="rId8505" Type="http://schemas.openxmlformats.org/officeDocument/2006/relationships/hyperlink" Target="http://aerius.se/" TargetMode="External"/><Relationship Id="rId10435" Type="http://schemas.openxmlformats.org/officeDocument/2006/relationships/hyperlink" Target="http://michaelofrisorerna.se/" TargetMode="External"/><Relationship Id="rId7107" Type="http://schemas.openxmlformats.org/officeDocument/2006/relationships/hyperlink" Target="https://vapaamieli.fi/miksi-luottovakuutus-on-viisas-valinta/" TargetMode="External"/><Relationship Id="rId985" Type="http://schemas.openxmlformats.org/officeDocument/2006/relationships/hyperlink" Target="https://www.alfa.no/" TargetMode="External"/><Relationship Id="rId2666" Type="http://schemas.openxmlformats.org/officeDocument/2006/relationships/hyperlink" Target="https://www.lansfast.se/maklare/stockholm/taby-danderyd/" TargetMode="External"/><Relationship Id="rId3717" Type="http://schemas.openxmlformats.org/officeDocument/2006/relationships/hyperlink" Target="https://www.casinosnack.com/varfor-spelar-vi-klassiska-casinospel/" TargetMode="External"/><Relationship Id="rId9279" Type="http://schemas.openxmlformats.org/officeDocument/2006/relationships/hyperlink" Target="http://skidvalla.se/" TargetMode="External"/><Relationship Id="rId638" Type="http://schemas.openxmlformats.org/officeDocument/2006/relationships/hyperlink" Target="http://blugiallo.com/" TargetMode="External"/><Relationship Id="rId1268" Type="http://schemas.openxmlformats.org/officeDocument/2006/relationships/hyperlink" Target="https://socialfactory.se/att-forma-framtiden-genom-distansstudier-en-djupdykning-i-att-studera-till-socialpedagog-pa-distans/" TargetMode="External"/><Relationship Id="rId2319" Type="http://schemas.openxmlformats.org/officeDocument/2006/relationships/hyperlink" Target="https://arctic.se/se/forsakringslosningar/svensksolenergi/" TargetMode="External"/><Relationship Id="rId5889" Type="http://schemas.openxmlformats.org/officeDocument/2006/relationships/hyperlink" Target="https://e-ciggbolaget.se/e-cigaretter/engangs-vape/" TargetMode="External"/><Relationship Id="rId9760" Type="http://schemas.openxmlformats.org/officeDocument/2006/relationships/hyperlink" Target="http://arctic.se/" TargetMode="External"/><Relationship Id="rId8362" Type="http://schemas.openxmlformats.org/officeDocument/2006/relationships/hyperlink" Target="https://discountsover60s.co.uk/" TargetMode="External"/><Relationship Id="rId9413" Type="http://schemas.openxmlformats.org/officeDocument/2006/relationships/hyperlink" Target="https://www.videoslots.com/sv/battleofslots-faq/" TargetMode="External"/><Relationship Id="rId11690" Type="http://schemas.openxmlformats.org/officeDocument/2006/relationships/hyperlink" Target="https://sampo-osake.fi/minifutuuri-ja-warrantit-millaisia-mahdollisuuksia-ne-tarjoavat/" TargetMode="External"/><Relationship Id="rId12741" Type="http://schemas.openxmlformats.org/officeDocument/2006/relationships/hyperlink" Target="https://www.michaelofrisorerna.se/ombre-balayage-farg-3/" TargetMode="External"/><Relationship Id="rId2800" Type="http://schemas.openxmlformats.org/officeDocument/2006/relationships/hyperlink" Target="https://www.totallyorebro.se/uncategorized/valkommen-till-spelklubben-ditt-nya-hem-for-spanning-och-underhallning/" TargetMode="External"/><Relationship Id="rId8015" Type="http://schemas.openxmlformats.org/officeDocument/2006/relationships/hyperlink" Target="http://kamux.fi/" TargetMode="External"/><Relationship Id="rId10292" Type="http://schemas.openxmlformats.org/officeDocument/2006/relationships/hyperlink" Target="https://www.startmotor.se/fordon/reservdelar-bat/volvo-penta" TargetMode="External"/><Relationship Id="rId11343" Type="http://schemas.openxmlformats.org/officeDocument/2006/relationships/hyperlink" Target="https://www.linkedin.com/company/fair-investments-sweden-ab?originalSubdomain=se" TargetMode="External"/><Relationship Id="rId1402" Type="http://schemas.openxmlformats.org/officeDocument/2006/relationships/hyperlink" Target="https://www.askskinfo.com/varumarke/skinome" TargetMode="External"/><Relationship Id="rId4972" Type="http://schemas.openxmlformats.org/officeDocument/2006/relationships/hyperlink" Target="https://www.myownwater.com/" TargetMode="External"/><Relationship Id="rId3574" Type="http://schemas.openxmlformats.org/officeDocument/2006/relationships/hyperlink" Target="https://urbanevolution.se/" TargetMode="External"/><Relationship Id="rId4625" Type="http://schemas.openxmlformats.org/officeDocument/2006/relationships/hyperlink" Target="http://kvarnx.com/" TargetMode="External"/><Relationship Id="rId13168" Type="http://schemas.openxmlformats.org/officeDocument/2006/relationships/hyperlink" Target="https://www.tandea.se/kliniker/tandlakare-ostermalm/" TargetMode="External"/><Relationship Id="rId495" Type="http://schemas.openxmlformats.org/officeDocument/2006/relationships/hyperlink" Target="http://chronos.se/" TargetMode="External"/><Relationship Id="rId2176" Type="http://schemas.openxmlformats.org/officeDocument/2006/relationships/hyperlink" Target="https://www.foyen.se/" TargetMode="External"/><Relationship Id="rId3227" Type="http://schemas.openxmlformats.org/officeDocument/2006/relationships/hyperlink" Target="http://distansinstitutet.se/" TargetMode="External"/><Relationship Id="rId6797" Type="http://schemas.openxmlformats.org/officeDocument/2006/relationships/hyperlink" Target="https://passioneffect.se/hur-ett-forbattrat-leende-kan-paverka-ditt-sjalvfortroende-och-din-personliga-utveckling/" TargetMode="External"/><Relationship Id="rId7848" Type="http://schemas.openxmlformats.org/officeDocument/2006/relationships/hyperlink" Target="https://www.spelklubben.se/sv/betting" TargetMode="External"/><Relationship Id="rId148" Type="http://schemas.openxmlformats.org/officeDocument/2006/relationships/hyperlink" Target="https://haxan.se/collections/tarotkort" TargetMode="External"/><Relationship Id="rId5399" Type="http://schemas.openxmlformats.org/officeDocument/2006/relationships/hyperlink" Target="https://www.startmotor.se/kategori/solenoider" TargetMode="External"/><Relationship Id="rId9270" Type="http://schemas.openxmlformats.org/officeDocument/2006/relationships/hyperlink" Target="http://tkw.se/" TargetMode="External"/><Relationship Id="rId10829" Type="http://schemas.openxmlformats.org/officeDocument/2006/relationships/hyperlink" Target="https://tosiasiat.fi/energiatehokkaat-autotallin-ovet-alentavat-lammityskustannuksia/" TargetMode="External"/><Relationship Id="rId12251" Type="http://schemas.openxmlformats.org/officeDocument/2006/relationships/hyperlink" Target="http://triwa.com/" TargetMode="External"/><Relationship Id="rId13302" Type="http://schemas.openxmlformats.org/officeDocument/2006/relationships/hyperlink" Target="http://tkw.se/" TargetMode="External"/><Relationship Id="rId2310" Type="http://schemas.openxmlformats.org/officeDocument/2006/relationships/hyperlink" Target="http://lemontree.se/" TargetMode="External"/><Relationship Id="rId4482" Type="http://schemas.openxmlformats.org/officeDocument/2006/relationships/hyperlink" Target="https://coresys.se/molntjansternas-betydelse-i-dagens-it-webbaserade-infrastruktur/" TargetMode="External"/><Relationship Id="rId5880" Type="http://schemas.openxmlformats.org/officeDocument/2006/relationships/hyperlink" Target="https://www.vont.se/vitt-snus" TargetMode="External"/><Relationship Id="rId6931" Type="http://schemas.openxmlformats.org/officeDocument/2006/relationships/hyperlink" Target="http://svenskafonster.se/trafonster" TargetMode="External"/><Relationship Id="rId3084" Type="http://schemas.openxmlformats.org/officeDocument/2006/relationships/hyperlink" Target="https://awaio.com/" TargetMode="External"/><Relationship Id="rId4135" Type="http://schemas.openxmlformats.org/officeDocument/2006/relationships/hyperlink" Target="http://fairinvestments.se/" TargetMode="External"/><Relationship Id="rId5533" Type="http://schemas.openxmlformats.org/officeDocument/2006/relationships/hyperlink" Target="https://www.wijchensnieuws.nl/Nieuws/158283/maak-uw-woning-in-wijchen-winterklaar.html" TargetMode="External"/><Relationship Id="rId8756" Type="http://schemas.openxmlformats.org/officeDocument/2006/relationships/hyperlink" Target="https://www.spelklubben.se/sv/betting/fotboll/sverige/allsvenskan?tab=liveAndUpcoming" TargetMode="External"/><Relationship Id="rId9807" Type="http://schemas.openxmlformats.org/officeDocument/2006/relationships/hyperlink" Target="https://villahagen.se/laga-priser-pa-kontorsmaterial-for-ditt-hem-och-foretag/" TargetMode="External"/><Relationship Id="rId10686" Type="http://schemas.openxmlformats.org/officeDocument/2006/relationships/hyperlink" Target="https://www.zmarta.se/lana-pengar/privatlan" TargetMode="External"/><Relationship Id="rId11737" Type="http://schemas.openxmlformats.org/officeDocument/2006/relationships/hyperlink" Target="http://yagya.com/" TargetMode="External"/><Relationship Id="rId7358" Type="http://schemas.openxmlformats.org/officeDocument/2006/relationships/hyperlink" Target="https://mynicco.com/" TargetMode="External"/><Relationship Id="rId8409" Type="http://schemas.openxmlformats.org/officeDocument/2006/relationships/hyperlink" Target="http://svenskiptv.com/" TargetMode="External"/><Relationship Id="rId10339" Type="http://schemas.openxmlformats.org/officeDocument/2006/relationships/hyperlink" Target="http://spelklubben.se/" TargetMode="External"/><Relationship Id="rId3968" Type="http://schemas.openxmlformats.org/officeDocument/2006/relationships/hyperlink" Target="http://lansfast.se/" TargetMode="External"/><Relationship Id="rId5" Type="http://schemas.openxmlformats.org/officeDocument/2006/relationships/hyperlink" Target="https://focusera.se/sa-kan-ett-rent-hem-bidra-till-okat-fokus/" TargetMode="External"/><Relationship Id="rId889" Type="http://schemas.openxmlformats.org/officeDocument/2006/relationships/hyperlink" Target="https://www.executiveeffect.se/utforska-vont-se-vapes-innovationer-i-varlden-av-e-cigaretter/" TargetMode="External"/><Relationship Id="rId5390" Type="http://schemas.openxmlformats.org/officeDocument/2006/relationships/hyperlink" Target="https://www.bokensframtid.se/" TargetMode="External"/><Relationship Id="rId6441" Type="http://schemas.openxmlformats.org/officeDocument/2006/relationships/hyperlink" Target="https://www.dagensinfrastruktur.se/2024/11/27/hur-hallbar-infrastruktur-och-ratt-utrustning-starker-hastnaringen/" TargetMode="External"/><Relationship Id="rId10820" Type="http://schemas.openxmlformats.org/officeDocument/2006/relationships/hyperlink" Target="https://muuttohaukat.com/" TargetMode="External"/><Relationship Id="rId5043" Type="http://schemas.openxmlformats.org/officeDocument/2006/relationships/hyperlink" Target="https://www.mrnicco.com/" TargetMode="External"/><Relationship Id="rId12992" Type="http://schemas.openxmlformats.org/officeDocument/2006/relationships/hyperlink" Target="http://dbet.com/" TargetMode="External"/><Relationship Id="rId8266" Type="http://schemas.openxmlformats.org/officeDocument/2006/relationships/hyperlink" Target="http://svenskiptv.com/" TargetMode="External"/><Relationship Id="rId9317" Type="http://schemas.openxmlformats.org/officeDocument/2006/relationships/hyperlink" Target="https://www.lsb.se/samla-lan-och-krediter" TargetMode="External"/><Relationship Id="rId9664" Type="http://schemas.openxmlformats.org/officeDocument/2006/relationships/hyperlink" Target="https://www.dagensfastigheter.se/20250602/12908/dig-som-vill-bo-utanfor-stockholmstullarna-men-behalla-storstadskanslan-da-ska-du-bo" TargetMode="External"/><Relationship Id="rId11594" Type="http://schemas.openxmlformats.org/officeDocument/2006/relationships/hyperlink" Target="https://sufracofinebrands.com/kategori/savon-de-marseille" TargetMode="External"/><Relationship Id="rId12645" Type="http://schemas.openxmlformats.org/officeDocument/2006/relationships/hyperlink" Target="http://fairinvestments.se/" TargetMode="External"/><Relationship Id="rId1653" Type="http://schemas.openxmlformats.org/officeDocument/2006/relationships/hyperlink" Target="https://www.netlands.nu/2023/10/25/vad-innebar-det-att-vara-en-site-reliability-engineer-sre-och-vem-behover-deras-expertis/" TargetMode="External"/><Relationship Id="rId2704" Type="http://schemas.openxmlformats.org/officeDocument/2006/relationships/hyperlink" Target="http://glitnor.com/" TargetMode="External"/><Relationship Id="rId10196" Type="http://schemas.openxmlformats.org/officeDocument/2006/relationships/hyperlink" Target="http://mrvegas.com/" TargetMode="External"/><Relationship Id="rId11247" Type="http://schemas.openxmlformats.org/officeDocument/2006/relationships/hyperlink" Target="https://conclean.se/produkter/minireningsverk/" TargetMode="External"/><Relationship Id="rId1306" Type="http://schemas.openxmlformats.org/officeDocument/2006/relationships/hyperlink" Target="http://advancepointcap.com/" TargetMode="External"/><Relationship Id="rId4876" Type="http://schemas.openxmlformats.org/officeDocument/2006/relationships/hyperlink" Target="https://www.cherry.com/sv" TargetMode="External"/><Relationship Id="rId5927" Type="http://schemas.openxmlformats.org/officeDocument/2006/relationships/hyperlink" Target="http://e-ciggbolaget.se/" TargetMode="External"/><Relationship Id="rId12" Type="http://schemas.openxmlformats.org/officeDocument/2006/relationships/hyperlink" Target="https://ljusgrossisten.se/" TargetMode="External"/><Relationship Id="rId3478" Type="http://schemas.openxmlformats.org/officeDocument/2006/relationships/hyperlink" Target="http://filippa-k.com/se/sv/" TargetMode="External"/><Relationship Id="rId4529" Type="http://schemas.openxmlformats.org/officeDocument/2006/relationships/hyperlink" Target="https://tryggbil.se/volkswagen/" TargetMode="External"/><Relationship Id="rId8400" Type="http://schemas.openxmlformats.org/officeDocument/2006/relationships/hyperlink" Target="http://fairinvestments.se/" TargetMode="External"/><Relationship Id="rId10330" Type="http://schemas.openxmlformats.org/officeDocument/2006/relationships/hyperlink" Target="http://indoorprofessional.se/" TargetMode="External"/><Relationship Id="rId399" Type="http://schemas.openxmlformats.org/officeDocument/2006/relationships/hyperlink" Target="https://chronos.se/" TargetMode="External"/><Relationship Id="rId7002" Type="http://schemas.openxmlformats.org/officeDocument/2006/relationships/hyperlink" Target="https://www.chattanoogarehab.com/" TargetMode="External"/><Relationship Id="rId880" Type="http://schemas.openxmlformats.org/officeDocument/2006/relationships/hyperlink" Target="https://rehabgrossisten.com/" TargetMode="External"/><Relationship Id="rId2561" Type="http://schemas.openxmlformats.org/officeDocument/2006/relationships/hyperlink" Target="https://www.webwill.se/gor-det-mesta-av-livet-medan-du-har-det" TargetMode="External"/><Relationship Id="rId9174" Type="http://schemas.openxmlformats.org/officeDocument/2006/relationships/hyperlink" Target="http://gonorthshop.com/" TargetMode="External"/><Relationship Id="rId12155" Type="http://schemas.openxmlformats.org/officeDocument/2006/relationships/hyperlink" Target="http://tiotak.se/" TargetMode="External"/><Relationship Id="rId533" Type="http://schemas.openxmlformats.org/officeDocument/2006/relationships/hyperlink" Target="https://livsstilsforandringar.se/diabetes-den-mangfacetterade-folksjukdomen/" TargetMode="External"/><Relationship Id="rId1163" Type="http://schemas.openxmlformats.org/officeDocument/2006/relationships/hyperlink" Target="https://www.vont.se/" TargetMode="External"/><Relationship Id="rId2214" Type="http://schemas.openxmlformats.org/officeDocument/2006/relationships/hyperlink" Target="https://www.tarelugnt.se/ett-tandlakarbesok-att-minnas" TargetMode="External"/><Relationship Id="rId3612" Type="http://schemas.openxmlformats.org/officeDocument/2006/relationships/hyperlink" Target="https://www.mariatand.se/" TargetMode="External"/><Relationship Id="rId13206" Type="http://schemas.openxmlformats.org/officeDocument/2006/relationships/hyperlink" Target="https://www.mrvegas.com/welcome-bonus/" TargetMode="External"/><Relationship Id="rId5784" Type="http://schemas.openxmlformats.org/officeDocument/2006/relationships/hyperlink" Target="http://standupsverige.se/" TargetMode="External"/><Relationship Id="rId6835" Type="http://schemas.openxmlformats.org/officeDocument/2006/relationships/hyperlink" Target="http://kanalgratis.se/" TargetMode="External"/><Relationship Id="rId4386" Type="http://schemas.openxmlformats.org/officeDocument/2006/relationships/hyperlink" Target="https://twitter.com/i/flow/login?redirect_after_login=%2FFairInvSwe" TargetMode="External"/><Relationship Id="rId5437" Type="http://schemas.openxmlformats.org/officeDocument/2006/relationships/hyperlink" Target="http://myownwater.com/" TargetMode="External"/><Relationship Id="rId11988" Type="http://schemas.openxmlformats.org/officeDocument/2006/relationships/hyperlink" Target="https://www.spoors.health/" TargetMode="External"/><Relationship Id="rId4039" Type="http://schemas.openxmlformats.org/officeDocument/2006/relationships/hyperlink" Target="https://www.tidernaslandskap.se/maximera-avkastning-utan-hog-risk" TargetMode="External"/><Relationship Id="rId4520" Type="http://schemas.openxmlformats.org/officeDocument/2006/relationships/hyperlink" Target="https://www.tandea.se/tandvard/tandimplantat/" TargetMode="External"/><Relationship Id="rId13063" Type="http://schemas.openxmlformats.org/officeDocument/2006/relationships/hyperlink" Target="https://arverbil.se/checklista-infor-vintern-sa-gor-du-bilen-redo-for-minusgrader/" TargetMode="External"/><Relationship Id="rId390" Type="http://schemas.openxmlformats.org/officeDocument/2006/relationships/hyperlink" Target="https://r1ekonomi.se/bra-rad/bull-bear-certifikat-vad-ar-dessa-och-vilka-anvandningsomraden-finns-det" TargetMode="External"/><Relationship Id="rId2071" Type="http://schemas.openxmlformats.org/officeDocument/2006/relationships/hyperlink" Target="http://distansinstitutet.se/" TargetMode="External"/><Relationship Id="rId3122" Type="http://schemas.openxmlformats.org/officeDocument/2006/relationships/hyperlink" Target="https://tiotak.se/byta-tak-ekonomibyggnad/" TargetMode="External"/><Relationship Id="rId6692" Type="http://schemas.openxmlformats.org/officeDocument/2006/relationships/hyperlink" Target="https://evigliv.se/livsstil-for-seniorer-formaner-och-rabatter-for-ett-aktivt-liv/" TargetMode="External"/><Relationship Id="rId5294" Type="http://schemas.openxmlformats.org/officeDocument/2006/relationships/hyperlink" Target="https://www.hsm2016.se/" TargetMode="External"/><Relationship Id="rId6345" Type="http://schemas.openxmlformats.org/officeDocument/2006/relationships/hyperlink" Target="https://presenttipsaren.nu/presenttips-for-hundalskaren-hundfoder/" TargetMode="External"/><Relationship Id="rId7743" Type="http://schemas.openxmlformats.org/officeDocument/2006/relationships/hyperlink" Target="https://www.lifesciencesweden.se/lb-article/181236/gemene-man-maste-bli-mer-insatt-i-forskningen-med-detsamma" TargetMode="External"/><Relationship Id="rId10724" Type="http://schemas.openxmlformats.org/officeDocument/2006/relationships/hyperlink" Target="https://barabyggare.se/forsakringar-for-solceller-trygga-losningar-for-byggprojekt/" TargetMode="External"/><Relationship Id="rId12896" Type="http://schemas.openxmlformats.org/officeDocument/2006/relationships/hyperlink" Target="https://www.kpopstarz.com/articles/322629/20250922/kpop-takeover-how-seoul-rewired-global-pop-its-fandom-model.htm" TargetMode="External"/><Relationship Id="rId2955" Type="http://schemas.openxmlformats.org/officeDocument/2006/relationships/hyperlink" Target="http://spelklubben.se/" TargetMode="External"/><Relationship Id="rId9568" Type="http://schemas.openxmlformats.org/officeDocument/2006/relationships/hyperlink" Target="https://www.rusta.com/sv-se/fritid/husdjur/hundfoder" TargetMode="External"/><Relationship Id="rId11498" Type="http://schemas.openxmlformats.org/officeDocument/2006/relationships/hyperlink" Target="https://www.robomarkets.com/se/" TargetMode="External"/><Relationship Id="rId12549" Type="http://schemas.openxmlformats.org/officeDocument/2006/relationships/hyperlink" Target="https://www.robomarkets.com/se/" TargetMode="External"/><Relationship Id="rId927" Type="http://schemas.openxmlformats.org/officeDocument/2006/relationships/hyperlink" Target="https://blugiallo.com/tailoring-guides/peak-lapels-vs-notch-lapels-the-guide/" TargetMode="External"/><Relationship Id="rId1557" Type="http://schemas.openxmlformats.org/officeDocument/2006/relationships/hyperlink" Target="https://www.tandea.se/" TargetMode="External"/><Relationship Id="rId2608" Type="http://schemas.openxmlformats.org/officeDocument/2006/relationships/hyperlink" Target="https://rehabgrossisten.com/skydd-bandage/kna/knaskydd/" TargetMode="External"/><Relationship Id="rId4030" Type="http://schemas.openxmlformats.org/officeDocument/2006/relationships/hyperlink" Target="https://www.spelklubben.se/sv/live-casino/roulette" TargetMode="External"/><Relationship Id="rId8651" Type="http://schemas.openxmlformats.org/officeDocument/2006/relationships/hyperlink" Target="https://familjfakta.se/att-valja-ratt-hundfoder-for-din-familjemedlem/" TargetMode="External"/><Relationship Id="rId9702" Type="http://schemas.openxmlformats.org/officeDocument/2006/relationships/hyperlink" Target="https://www.sportochfritidsnyheter.se/20250701/4301/naturlig-energi-i-naturen-kombinera-fjallvandring-och-kosttillskott" TargetMode="External"/><Relationship Id="rId7253" Type="http://schemas.openxmlformats.org/officeDocument/2006/relationships/hyperlink" Target="http://mobot.com/" TargetMode="External"/><Relationship Id="rId8304" Type="http://schemas.openxmlformats.org/officeDocument/2006/relationships/hyperlink" Target="http://spelklubben.se/" TargetMode="External"/><Relationship Id="rId10234" Type="http://schemas.openxmlformats.org/officeDocument/2006/relationships/hyperlink" Target="https://www.hund.se/koppel-selar-och-halsband" TargetMode="External"/><Relationship Id="rId10581" Type="http://schemas.openxmlformats.org/officeDocument/2006/relationships/hyperlink" Target="https://www.myownwater.com/" TargetMode="External"/><Relationship Id="rId11632" Type="http://schemas.openxmlformats.org/officeDocument/2006/relationships/hyperlink" Target="https://pengar.in/" TargetMode="External"/><Relationship Id="rId3863" Type="http://schemas.openxmlformats.org/officeDocument/2006/relationships/hyperlink" Target="https://rabattkodsidor.se/2024/05/28/tekniken-som-forandrar-spelvarlden-fran-digitalt-till-verkligt/" TargetMode="External"/><Relationship Id="rId4914" Type="http://schemas.openxmlformats.org/officeDocument/2006/relationships/hyperlink" Target="https://spelaonline.info/roulette/" TargetMode="External"/><Relationship Id="rId9078" Type="http://schemas.openxmlformats.org/officeDocument/2006/relationships/hyperlink" Target="http://spelklubben.se/" TargetMode="External"/><Relationship Id="rId784" Type="http://schemas.openxmlformats.org/officeDocument/2006/relationships/hyperlink" Target="http://happysocks.com/" TargetMode="External"/><Relationship Id="rId1067" Type="http://schemas.openxmlformats.org/officeDocument/2006/relationships/hyperlink" Target="https://www.happysocks.com/us/collection/dressed" TargetMode="External"/><Relationship Id="rId2465" Type="http://schemas.openxmlformats.org/officeDocument/2006/relationships/hyperlink" Target="https://e-ciggbolaget.se/e-cigaretter/engangs-vape/frunkbar-frozen-strawberry-engangs-vape/" TargetMode="External"/><Relationship Id="rId3516" Type="http://schemas.openxmlformats.org/officeDocument/2006/relationships/hyperlink" Target="http://fairinvestments.se/" TargetMode="External"/><Relationship Id="rId12059" Type="http://schemas.openxmlformats.org/officeDocument/2006/relationships/hyperlink" Target="http://askskinfo.com/" TargetMode="External"/><Relationship Id="rId437" Type="http://schemas.openxmlformats.org/officeDocument/2006/relationships/hyperlink" Target="https://www.happysocks.com/us/collection/socks-for-men" TargetMode="External"/><Relationship Id="rId2118" Type="http://schemas.openxmlformats.org/officeDocument/2006/relationships/hyperlink" Target="https://www.nyhetsbrevskola.se/stod-i-juridiska-fragor" TargetMode="External"/><Relationship Id="rId5688" Type="http://schemas.openxmlformats.org/officeDocument/2006/relationships/hyperlink" Target="https://www.vaken.se/ar-sveriges-entreprenorer-fortfarande-konkurrenskraftiga/" TargetMode="External"/><Relationship Id="rId6739" Type="http://schemas.openxmlformats.org/officeDocument/2006/relationships/hyperlink" Target="http://aerius.se/" TargetMode="External"/><Relationship Id="rId12540" Type="http://schemas.openxmlformats.org/officeDocument/2006/relationships/hyperlink" Target="https://ecommunity.se/upptack-norrlands-skonhet-i-sundsvall/" TargetMode="External"/><Relationship Id="rId8161" Type="http://schemas.openxmlformats.org/officeDocument/2006/relationships/hyperlink" Target="https://beautymama.se/sa-kan-en-halsosam-livsstil-forbattra-din-skonhet/" TargetMode="External"/><Relationship Id="rId9212" Type="http://schemas.openxmlformats.org/officeDocument/2006/relationships/hyperlink" Target="http://fairinvestments.se/" TargetMode="External"/><Relationship Id="rId10091" Type="http://schemas.openxmlformats.org/officeDocument/2006/relationships/hyperlink" Target="https://bokahandyman.se/handyman/" TargetMode="External"/><Relationship Id="rId11142" Type="http://schemas.openxmlformats.org/officeDocument/2006/relationships/hyperlink" Target="https://www.artscreen.se/fa-nytt-liv-i-metaller" TargetMode="External"/><Relationship Id="rId1201" Type="http://schemas.openxmlformats.org/officeDocument/2006/relationships/hyperlink" Target="https://blugiallo.se/herrklader/klader/kostymer/" TargetMode="External"/><Relationship Id="rId4771" Type="http://schemas.openxmlformats.org/officeDocument/2006/relationships/hyperlink" Target="http://startmotor.se/" TargetMode="External"/><Relationship Id="rId3373" Type="http://schemas.openxmlformats.org/officeDocument/2006/relationships/hyperlink" Target="http://spelklubben.se/" TargetMode="External"/><Relationship Id="rId4424" Type="http://schemas.openxmlformats.org/officeDocument/2006/relationships/hyperlink" Target="https://lovelolablog.com/2024/07/19/finding-love-in-the-digital-era-strategies-for-modern-singles/" TargetMode="External"/><Relationship Id="rId5822" Type="http://schemas.openxmlformats.org/officeDocument/2006/relationships/hyperlink" Target="https://byggmester.se/jour-rormokare-snabb-och-effektiv-hjalp-vid-akuta-vvs-problem/" TargetMode="External"/><Relationship Id="rId294" Type="http://schemas.openxmlformats.org/officeDocument/2006/relationships/hyperlink" Target="http://arctic.se/" TargetMode="External"/><Relationship Id="rId3026" Type="http://schemas.openxmlformats.org/officeDocument/2006/relationships/hyperlink" Target="https://roligaste.se/valkommen-till-spelklubben/" TargetMode="External"/><Relationship Id="rId7994" Type="http://schemas.openxmlformats.org/officeDocument/2006/relationships/hyperlink" Target="https://aretrotale.com/" TargetMode="External"/><Relationship Id="rId10975" Type="http://schemas.openxmlformats.org/officeDocument/2006/relationships/hyperlink" Target="http://minifinder.se/" TargetMode="External"/><Relationship Id="rId5198" Type="http://schemas.openxmlformats.org/officeDocument/2006/relationships/hyperlink" Target="https://www.bethard.com/sv" TargetMode="External"/><Relationship Id="rId6596" Type="http://schemas.openxmlformats.org/officeDocument/2006/relationships/hyperlink" Target="https://www.everysport.com/guest-posts/2024-11-21/de-hetaste-matcherna-i-naesta-champions-league-omgang" TargetMode="External"/><Relationship Id="rId7647" Type="http://schemas.openxmlformats.org/officeDocument/2006/relationships/hyperlink" Target="https://dinfamilj.se/hundar-som-en-del-av-familjen-sa-valjer-du-ratt-produkter-for-ditt-fyrbenta-barn/" TargetMode="External"/><Relationship Id="rId10628" Type="http://schemas.openxmlformats.org/officeDocument/2006/relationships/hyperlink" Target="https://www.utdplug.co.uk/vr-headsets-offer-walkthrough-experiences-in-online-casino/" TargetMode="External"/><Relationship Id="rId6249" Type="http://schemas.openxmlformats.org/officeDocument/2006/relationships/hyperlink" Target="https://tiotak.se/byta-tak-maskinhall/" TargetMode="External"/><Relationship Id="rId12050" Type="http://schemas.openxmlformats.org/officeDocument/2006/relationships/hyperlink" Target="http://robomarkets.com/" TargetMode="External"/><Relationship Id="rId13101" Type="http://schemas.openxmlformats.org/officeDocument/2006/relationships/hyperlink" Target="https://www.mrvegas.com/mobile/casino/" TargetMode="External"/><Relationship Id="rId2859" Type="http://schemas.openxmlformats.org/officeDocument/2006/relationships/hyperlink" Target="https://www.webbhotellsrecensioner.se/hur-skiljer-sig-sre-fran-traditionell-systemadministration" TargetMode="External"/><Relationship Id="rId6730" Type="http://schemas.openxmlformats.org/officeDocument/2006/relationships/hyperlink" Target="https://aktivakvinnor.se/skidvalla-nyckeln-till-en-perfekt-skidupplevelse/" TargetMode="External"/><Relationship Id="rId4281" Type="http://schemas.openxmlformats.org/officeDocument/2006/relationships/hyperlink" Target="https://ledkungen.se/collections/led-lister" TargetMode="External"/><Relationship Id="rId5332" Type="http://schemas.openxmlformats.org/officeDocument/2006/relationships/hyperlink" Target="https://kryptokoll.nu/kryptovalutor-och-blockkedjan-grunden-till-decentralisering/" TargetMode="External"/><Relationship Id="rId8555" Type="http://schemas.openxmlformats.org/officeDocument/2006/relationships/hyperlink" Target="http://mynicco.com/" TargetMode="External"/><Relationship Id="rId9606" Type="http://schemas.openxmlformats.org/officeDocument/2006/relationships/hyperlink" Target="https://mockfjards.se/fonster" TargetMode="External"/><Relationship Id="rId9953" Type="http://schemas.openxmlformats.org/officeDocument/2006/relationships/hyperlink" Target="https://www.zmarta.fi/lainaa-rahaa" TargetMode="External"/><Relationship Id="rId11883" Type="http://schemas.openxmlformats.org/officeDocument/2006/relationships/hyperlink" Target="http://pontech.se/" TargetMode="External"/><Relationship Id="rId12934" Type="http://schemas.openxmlformats.org/officeDocument/2006/relationships/hyperlink" Target="http://lsb.se/" TargetMode="External"/><Relationship Id="rId1942" Type="http://schemas.openxmlformats.org/officeDocument/2006/relationships/hyperlink" Target="https://miamipool.se/" TargetMode="External"/><Relationship Id="rId7157" Type="http://schemas.openxmlformats.org/officeDocument/2006/relationships/hyperlink" Target="https://beautyagenten.se/traning-for-skonhet-sa-forbattrar-vo2-max-din-halsa-och-livslangd/" TargetMode="External"/><Relationship Id="rId8208" Type="http://schemas.openxmlformats.org/officeDocument/2006/relationships/hyperlink" Target="https://minakids.se/sakra-och-prisvarda-barnprodukter-for-en-trygg-start-i-livet/" TargetMode="External"/><Relationship Id="rId10485" Type="http://schemas.openxmlformats.org/officeDocument/2006/relationships/hyperlink" Target="https://www.t&#228;nkom.nu/tank-om-sakerhets-trygghetstjanster-inte-fanns/" TargetMode="External"/><Relationship Id="rId11536" Type="http://schemas.openxmlformats.org/officeDocument/2006/relationships/hyperlink" Target="http://sufracofinebrands.com/" TargetMode="External"/><Relationship Id="rId10138" Type="http://schemas.openxmlformats.org/officeDocument/2006/relationships/hyperlink" Target="https://www.rusta.com/sv-se/hem-och-inredning/mattor" TargetMode="External"/><Relationship Id="rId3767" Type="http://schemas.openxmlformats.org/officeDocument/2006/relationships/hyperlink" Target="http://qsundsvall.se/" TargetMode="External"/><Relationship Id="rId4818" Type="http://schemas.openxmlformats.org/officeDocument/2006/relationships/hyperlink" Target="https://kamagraquees.nu/stand-up-i-stockholm-en-humoristisk-resa/" TargetMode="External"/><Relationship Id="rId688" Type="http://schemas.openxmlformats.org/officeDocument/2006/relationships/hyperlink" Target="https://www.tryggbil.se/" TargetMode="External"/><Relationship Id="rId2369" Type="http://schemas.openxmlformats.org/officeDocument/2006/relationships/hyperlink" Target="https://www.animonhus.se/hur-koper-man-en-fastighet" TargetMode="External"/><Relationship Id="rId6240" Type="http://schemas.openxmlformats.org/officeDocument/2006/relationships/hyperlink" Target="https://bolagshistorik.se/effektivt-och-miljovanligt-kontorsarbete-en-guide-till-val-av-kopieringspapper/" TargetMode="External"/><Relationship Id="rId2850" Type="http://schemas.openxmlformats.org/officeDocument/2006/relationships/hyperlink" Target="https://www.djungeltrumman.se/lyxen-av-underhallning-utforska-casinospelen-pa-happycasino/" TargetMode="External"/><Relationship Id="rId9463" Type="http://schemas.openxmlformats.org/officeDocument/2006/relationships/hyperlink" Target="https://www.tandea.se/tandvard/tandblekning/" TargetMode="External"/><Relationship Id="rId11393" Type="http://schemas.openxmlformats.org/officeDocument/2006/relationships/hyperlink" Target="https://serviceteknikerkarlstad.se/stadprodukter-en-omfattande-guide-for-en-renare-bostad/" TargetMode="External"/><Relationship Id="rId12444" Type="http://schemas.openxmlformats.org/officeDocument/2006/relationships/hyperlink" Target="http://fairinvestments.se/" TargetMode="External"/><Relationship Id="rId12791" Type="http://schemas.openxmlformats.org/officeDocument/2006/relationships/hyperlink" Target="http://rusta.se/" TargetMode="External"/><Relationship Id="rId822" Type="http://schemas.openxmlformats.org/officeDocument/2006/relationships/hyperlink" Target="https://blugiallo.se/tagg/brollop/" TargetMode="External"/><Relationship Id="rId1452" Type="http://schemas.openxmlformats.org/officeDocument/2006/relationships/hyperlink" Target="https://www.bedriftsguiden.no/articles/article-17069.htm" TargetMode="External"/><Relationship Id="rId2503" Type="http://schemas.openxmlformats.org/officeDocument/2006/relationships/hyperlink" Target="http://lemontree.se/" TargetMode="External"/><Relationship Id="rId3901" Type="http://schemas.openxmlformats.org/officeDocument/2006/relationships/hyperlink" Target="http://fairinvestments.se/" TargetMode="External"/><Relationship Id="rId8065" Type="http://schemas.openxmlformats.org/officeDocument/2006/relationships/hyperlink" Target="http://nettotobak.com/" TargetMode="External"/><Relationship Id="rId9116" Type="http://schemas.openxmlformats.org/officeDocument/2006/relationships/hyperlink" Target="https://calbizjournal.com/why-solo-workers-face-a-hidden-bureaucracy-when-seeking-basic-protections/" TargetMode="External"/><Relationship Id="rId11046" Type="http://schemas.openxmlformats.org/officeDocument/2006/relationships/hyperlink" Target="https://moneymail.fi/uuden-sukupolven-sijoittajat-nain-saastaminen-muuttuu-suomessa/" TargetMode="External"/><Relationship Id="rId1105" Type="http://schemas.openxmlformats.org/officeDocument/2006/relationships/hyperlink" Target="https://www.tryggbil.se/" TargetMode="External"/><Relationship Id="rId3277" Type="http://schemas.openxmlformats.org/officeDocument/2006/relationships/hyperlink" Target="https://www.spelklubben.se/sv/live-casino" TargetMode="External"/><Relationship Id="rId4675" Type="http://schemas.openxmlformats.org/officeDocument/2006/relationships/hyperlink" Target="http://nettotobak.com/" TargetMode="External"/><Relationship Id="rId5726" Type="http://schemas.openxmlformats.org/officeDocument/2006/relationships/hyperlink" Target="http://snusnetto.se/" TargetMode="External"/><Relationship Id="rId198" Type="http://schemas.openxmlformats.org/officeDocument/2006/relationships/hyperlink" Target="http://haxan.se/" TargetMode="External"/><Relationship Id="rId4328" Type="http://schemas.openxmlformats.org/officeDocument/2006/relationships/hyperlink" Target="https://e-ciggbolaget.se/" TargetMode="External"/><Relationship Id="rId7898" Type="http://schemas.openxmlformats.org/officeDocument/2006/relationships/hyperlink" Target="http://chattanoogarehab.com/" TargetMode="External"/><Relationship Id="rId8949" Type="http://schemas.openxmlformats.org/officeDocument/2006/relationships/hyperlink" Target="https://clearfuze.com/solutions/it-consulting/" TargetMode="External"/><Relationship Id="rId10879" Type="http://schemas.openxmlformats.org/officeDocument/2006/relationships/hyperlink" Target="https://passioneffect.se/ledarskapskultur-moter-kassafloden-sa-frigor-du-tid-pa-arbetsplatsen/" TargetMode="External"/><Relationship Id="rId2360" Type="http://schemas.openxmlformats.org/officeDocument/2006/relationships/hyperlink" Target="https://www.tornedalia.se/privat-reningsverk-for-enskilda-avlopp" TargetMode="External"/><Relationship Id="rId3411" Type="http://schemas.openxmlformats.org/officeDocument/2006/relationships/hyperlink" Target="https://tryggvi.se/" TargetMode="External"/><Relationship Id="rId6981" Type="http://schemas.openxmlformats.org/officeDocument/2006/relationships/hyperlink" Target="http://rusta.se/" TargetMode="External"/><Relationship Id="rId13005" Type="http://schemas.openxmlformats.org/officeDocument/2006/relationships/hyperlink" Target="https://bettingsyndikatet.se/" TargetMode="External"/><Relationship Id="rId332" Type="http://schemas.openxmlformats.org/officeDocument/2006/relationships/hyperlink" Target="https://www.elmarknad.se/elpriser/jamfor-elpriser" TargetMode="External"/><Relationship Id="rId2013" Type="http://schemas.openxmlformats.org/officeDocument/2006/relationships/hyperlink" Target="https://www.kavena.se/" TargetMode="External"/><Relationship Id="rId5583" Type="http://schemas.openxmlformats.org/officeDocument/2006/relationships/hyperlink" Target="http://tryggbil.se/" TargetMode="External"/><Relationship Id="rId6634" Type="http://schemas.openxmlformats.org/officeDocument/2006/relationships/hyperlink" Target="https://www.hund.se/hundgodis" TargetMode="External"/><Relationship Id="rId4185" Type="http://schemas.openxmlformats.org/officeDocument/2006/relationships/hyperlink" Target="https://www.realtid.se/la-reinemannens-solcellsbolag-byter-skal/" TargetMode="External"/><Relationship Id="rId5236" Type="http://schemas.openxmlformats.org/officeDocument/2006/relationships/hyperlink" Target="http://everynightstudios.com/" TargetMode="External"/><Relationship Id="rId9857" Type="http://schemas.openxmlformats.org/officeDocument/2006/relationships/hyperlink" Target="http://dbet.com/" TargetMode="External"/><Relationship Id="rId11787" Type="http://schemas.openxmlformats.org/officeDocument/2006/relationships/hyperlink" Target="http://robomarkets.com/" TargetMode="External"/><Relationship Id="rId12838" Type="http://schemas.openxmlformats.org/officeDocument/2006/relationships/hyperlink" Target="https://www.otsnews.co.uk/innovation-in-nicotine-pouches-whats-next-for-this-smoke-free-nicotine-product/" TargetMode="External"/><Relationship Id="rId1846" Type="http://schemas.openxmlformats.org/officeDocument/2006/relationships/hyperlink" Target="https://bolagshistorik.se/flytbroar-och-vagbrytare-en-harmonisk-samexistens-over-vatten/" TargetMode="External"/><Relationship Id="rId8459" Type="http://schemas.openxmlformats.org/officeDocument/2006/relationships/hyperlink" Target="https://www.sarasotamagazine.com/advantagepoint/2025/03/essentials-for-your-sarasota-beach-trip" TargetMode="External"/><Relationship Id="rId10389" Type="http://schemas.openxmlformats.org/officeDocument/2006/relationships/hyperlink" Target="https://upplevelse.com/presenttips/present-till-pojkvan" TargetMode="External"/><Relationship Id="rId8940" Type="http://schemas.openxmlformats.org/officeDocument/2006/relationships/hyperlink" Target="https://www.filippa-k.com/de/de/damen/bekleidung/hemden" TargetMode="External"/><Relationship Id="rId6491" Type="http://schemas.openxmlformats.org/officeDocument/2006/relationships/hyperlink" Target="http://hund.se/" TargetMode="External"/><Relationship Id="rId7542" Type="http://schemas.openxmlformats.org/officeDocument/2006/relationships/hyperlink" Target="https://www.nordsverige.se/2025-01-31/upplev-sport-pa-hog-niva-under-februari-med-betting-7bcaf" TargetMode="External"/><Relationship Id="rId10523" Type="http://schemas.openxmlformats.org/officeDocument/2006/relationships/hyperlink" Target="http://epidemicsounds.com/" TargetMode="External"/><Relationship Id="rId10870" Type="http://schemas.openxmlformats.org/officeDocument/2006/relationships/hyperlink" Target="http://wellio.se/" TargetMode="External"/><Relationship Id="rId11921" Type="http://schemas.openxmlformats.org/officeDocument/2006/relationships/hyperlink" Target="https://www.ossn.se/2023/09/26/metatrader-4-mt4-en-ledande-plattform-for-online-trading/" TargetMode="External"/><Relationship Id="rId5093" Type="http://schemas.openxmlformats.org/officeDocument/2006/relationships/hyperlink" Target="https://www.jorgenlarsson.nu/saker-och-skalbar-moln-infrastruktur" TargetMode="External"/><Relationship Id="rId6144" Type="http://schemas.openxmlformats.org/officeDocument/2006/relationships/hyperlink" Target="https://euroweeklynews.com/2024/10/27/fashion-with-a-conscience-embracing-vintage-in-a-sustainable-world/" TargetMode="External"/><Relationship Id="rId9367" Type="http://schemas.openxmlformats.org/officeDocument/2006/relationships/hyperlink" Target="http://kungaslottet.se/" TargetMode="External"/><Relationship Id="rId12695" Type="http://schemas.openxmlformats.org/officeDocument/2006/relationships/hyperlink" Target="https://www.startmotor.se/kategori/b%C3%A5tbatteri" TargetMode="External"/><Relationship Id="rId1356" Type="http://schemas.openxmlformats.org/officeDocument/2006/relationships/hyperlink" Target="http://tandea.se/" TargetMode="External"/><Relationship Id="rId2754" Type="http://schemas.openxmlformats.org/officeDocument/2006/relationships/hyperlink" Target="https://www.simmasverige.se/dyk-in-i-nya-mojligheter" TargetMode="External"/><Relationship Id="rId3805" Type="http://schemas.openxmlformats.org/officeDocument/2006/relationships/hyperlink" Target="https://notyfile.se/" TargetMode="External"/><Relationship Id="rId11297" Type="http://schemas.openxmlformats.org/officeDocument/2006/relationships/hyperlink" Target="http://fairinvestments.se/" TargetMode="External"/><Relationship Id="rId12348" Type="http://schemas.openxmlformats.org/officeDocument/2006/relationships/hyperlink" Target="https://fashionisers.com/2024/01/08/timeless-elegance-the-role-of-watches-in-mens-fashion/" TargetMode="External"/><Relationship Id="rId726" Type="http://schemas.openxmlformats.org/officeDocument/2006/relationships/hyperlink" Target="http://sufracofinebrands.com/" TargetMode="External"/><Relationship Id="rId1009" Type="http://schemas.openxmlformats.org/officeDocument/2006/relationships/hyperlink" Target="https://freddielarsson.se/att-studera-administrator-utbildning-pa-distans-byggande-av-effektiva-administrativa-ledare/" TargetMode="External"/><Relationship Id="rId2407" Type="http://schemas.openxmlformats.org/officeDocument/2006/relationships/hyperlink" Target="https://hemplybalance.se/cbd-hampaoljor/" TargetMode="External"/><Relationship Id="rId5977" Type="http://schemas.openxmlformats.org/officeDocument/2006/relationships/hyperlink" Target="http://myownwater.com/" TargetMode="External"/><Relationship Id="rId62" Type="http://schemas.openxmlformats.org/officeDocument/2006/relationships/hyperlink" Target="http://havstomt.se/" TargetMode="External"/><Relationship Id="rId4579" Type="http://schemas.openxmlformats.org/officeDocument/2006/relationships/hyperlink" Target="https://digitaledge.org/the-growing-threat-of-cyberattacks-on-businesses/" TargetMode="External"/><Relationship Id="rId8450" Type="http://schemas.openxmlformats.org/officeDocument/2006/relationships/hyperlink" Target="https://www.thelondoneconomic.com/lifestyle/fashion/the-growth-of-sustainable-fashion-trends-391048/" TargetMode="External"/><Relationship Id="rId9501" Type="http://schemas.openxmlformats.org/officeDocument/2006/relationships/hyperlink" Target="https://www.hajper.com/sv" TargetMode="External"/><Relationship Id="rId10380" Type="http://schemas.openxmlformats.org/officeDocument/2006/relationships/hyperlink" Target="https://www.dbet.com/sports/" TargetMode="External"/><Relationship Id="rId11431" Type="http://schemas.openxmlformats.org/officeDocument/2006/relationships/hyperlink" Target="http://guldkorn.nu/" TargetMode="External"/><Relationship Id="rId7052" Type="http://schemas.openxmlformats.org/officeDocument/2006/relationships/hyperlink" Target="https://www.dailywaffle.co.uk/2024/12/unlocking-your-brains-potential-natural-ways-to-boost-dopamine/" TargetMode="External"/><Relationship Id="rId8103" Type="http://schemas.openxmlformats.org/officeDocument/2006/relationships/hyperlink" Target="http://arctic.se/" TargetMode="External"/><Relationship Id="rId10033" Type="http://schemas.openxmlformats.org/officeDocument/2006/relationships/hyperlink" Target="https://www.di.se/brandstudio/zmarta/sa-kan-du-fa-lika-lag-ranta-som-banktopparna/" TargetMode="External"/><Relationship Id="rId3662" Type="http://schemas.openxmlformats.org/officeDocument/2006/relationships/hyperlink" Target="http://fairinvestments.se/" TargetMode="External"/><Relationship Id="rId4713" Type="http://schemas.openxmlformats.org/officeDocument/2006/relationships/hyperlink" Target="https://tryggbil.se/volkswagen/" TargetMode="External"/><Relationship Id="rId13256" Type="http://schemas.openxmlformats.org/officeDocument/2006/relationships/hyperlink" Target="https://nybyggande.se/professionell-vvs-installation-och-service-i-taby-med-rot-avdrag/" TargetMode="External"/><Relationship Id="rId583" Type="http://schemas.openxmlformats.org/officeDocument/2006/relationships/hyperlink" Target="https://industrimagasinet.se/forberedelser-infor-kommande-byggprojekt/" TargetMode="External"/><Relationship Id="rId2264" Type="http://schemas.openxmlformats.org/officeDocument/2006/relationships/hyperlink" Target="https://ironmanmagazine.se/medicinsk-svamp-for-valmaendet" TargetMode="External"/><Relationship Id="rId3315" Type="http://schemas.openxmlformats.org/officeDocument/2006/relationships/hyperlink" Target="https://finansplassen.no/lan" TargetMode="External"/><Relationship Id="rId236" Type="http://schemas.openxmlformats.org/officeDocument/2006/relationships/hyperlink" Target="https://b&#228;stf&#246;rs&#228;kringar.se/villaforsakring/" TargetMode="External"/><Relationship Id="rId5487" Type="http://schemas.openxmlformats.org/officeDocument/2006/relationships/hyperlink" Target="https://presenttipsaren.nu/presenter-till-vapefantasten-de-basta-smakerna-och-markena/" TargetMode="External"/><Relationship Id="rId6885" Type="http://schemas.openxmlformats.org/officeDocument/2006/relationships/hyperlink" Target="http://cherry.com/" TargetMode="External"/><Relationship Id="rId7936" Type="http://schemas.openxmlformats.org/officeDocument/2006/relationships/hyperlink" Target="https://eventeffect.se/detaljerna-du-inte-far-glomma-nar-du-planerar-ett-event/" TargetMode="External"/><Relationship Id="rId10917" Type="http://schemas.openxmlformats.org/officeDocument/2006/relationships/hyperlink" Target="https://gerweck.net/2025/08/19/everyday-habits-of-wrestlings-top-performers/" TargetMode="External"/><Relationship Id="rId4089" Type="http://schemas.openxmlformats.org/officeDocument/2006/relationships/hyperlink" Target="https://valutor.nu/vad-ar-resecheckar/" TargetMode="External"/><Relationship Id="rId6538" Type="http://schemas.openxmlformats.org/officeDocument/2006/relationships/hyperlink" Target="https://redandwhitemagz.com/building-a-sustainable-and-scalable-business-model-with-smart-it-solutions/" TargetMode="External"/><Relationship Id="rId9011" Type="http://schemas.openxmlformats.org/officeDocument/2006/relationships/hyperlink" Target="https://www.expressen.se/brandstudio/zmarta/okat-intresse-for-lan-nar-rotavdrag-hojs-och-amorteringskrav-sanks/" TargetMode="External"/><Relationship Id="rId1000" Type="http://schemas.openxmlformats.org/officeDocument/2006/relationships/hyperlink" Target="https://hoganassaluhall.se/att-studera-som-loneadministrator-pa-distans-lonekonsult-utbildning-som-nyckel-till-framgang/" TargetMode="External"/><Relationship Id="rId4570" Type="http://schemas.openxmlformats.org/officeDocument/2006/relationships/hyperlink" Target="https://bloggfamiljen.se/energibesparing-med-papptak/" TargetMode="External"/><Relationship Id="rId5621" Type="http://schemas.openxmlformats.org/officeDocument/2006/relationships/hyperlink" Target="http://joureliten.se/" TargetMode="External"/><Relationship Id="rId3172" Type="http://schemas.openxmlformats.org/officeDocument/2006/relationships/hyperlink" Target="https://www.plus46fashion.se/forverkliga-drommen-att-arbeta-med-inredning" TargetMode="External"/><Relationship Id="rId4223" Type="http://schemas.openxmlformats.org/officeDocument/2006/relationships/hyperlink" Target="https://businessforreal.se/" TargetMode="External"/><Relationship Id="rId7793" Type="http://schemas.openxmlformats.org/officeDocument/2006/relationships/hyperlink" Target="https://iptvdansk.com/" TargetMode="External"/><Relationship Id="rId8844" Type="http://schemas.openxmlformats.org/officeDocument/2006/relationships/hyperlink" Target="http://purakliniken.se/" TargetMode="External"/><Relationship Id="rId6395" Type="http://schemas.openxmlformats.org/officeDocument/2006/relationships/hyperlink" Target="https://tech-archive.net/fi/kaytettyjen-autojen-markkinat-ostajan-ehdoilla/" TargetMode="External"/><Relationship Id="rId7446" Type="http://schemas.openxmlformats.org/officeDocument/2006/relationships/hyperlink" Target="http://purakliniken.se/" TargetMode="External"/><Relationship Id="rId10774" Type="http://schemas.openxmlformats.org/officeDocument/2006/relationships/hyperlink" Target="https://damgruppen.se/att-valja-ratt-harfargning-for-din-stil-i-stockholm/" TargetMode="External"/><Relationship Id="rId11825" Type="http://schemas.openxmlformats.org/officeDocument/2006/relationships/hyperlink" Target="https://www.creditsafe.com/dk/da/kredit-risiko/kreditrapporter/kreditvurdering.html" TargetMode="External"/><Relationship Id="rId6048" Type="http://schemas.openxmlformats.org/officeDocument/2006/relationships/hyperlink" Target="https://sakraror.se/" TargetMode="External"/><Relationship Id="rId10427" Type="http://schemas.openxmlformats.org/officeDocument/2006/relationships/hyperlink" Target="http://bergetsro.se/" TargetMode="External"/><Relationship Id="rId12599" Type="http://schemas.openxmlformats.org/officeDocument/2006/relationships/hyperlink" Target="https://norrahalland.se/native/nar-kvalitetstid-blir-vardag-konsten-att-umgaas/49029" TargetMode="External"/><Relationship Id="rId977" Type="http://schemas.openxmlformats.org/officeDocument/2006/relationships/hyperlink" Target="https://eciggshoppen.se/e-cigg-ett-battre-alternativ-till-traditionell-tobaksrokning/" TargetMode="External"/><Relationship Id="rId2658" Type="http://schemas.openxmlformats.org/officeDocument/2006/relationships/hyperlink" Target="https://luckycasino.com/en/" TargetMode="External"/><Relationship Id="rId3709" Type="http://schemas.openxmlformats.org/officeDocument/2006/relationships/hyperlink" Target="http://filippa-k.com/se/sv/" TargetMode="External"/><Relationship Id="rId4080" Type="http://schemas.openxmlformats.org/officeDocument/2006/relationships/hyperlink" Target="https://eventeffect.se/svenska-foretags-investeringar-en-overblick/" TargetMode="External"/><Relationship Id="rId5131" Type="http://schemas.openxmlformats.org/officeDocument/2006/relationships/hyperlink" Target="http://tandea.se/" TargetMode="External"/><Relationship Id="rId9752" Type="http://schemas.openxmlformats.org/officeDocument/2006/relationships/hyperlink" Target="https://www.outdooractive.fi/fi/member/unelma-moekistae-luonnossa-kannattaa/318019812/" TargetMode="External"/><Relationship Id="rId11682" Type="http://schemas.openxmlformats.org/officeDocument/2006/relationships/hyperlink" Target="https://markets.vontobel.com/da-dk/produkter/leverage/bull-bear-certifikater/DE000VV3RRW3" TargetMode="External"/><Relationship Id="rId12733" Type="http://schemas.openxmlformats.org/officeDocument/2006/relationships/hyperlink" Target="http://sesec.se/" TargetMode="External"/><Relationship Id="rId1741" Type="http://schemas.openxmlformats.org/officeDocument/2006/relationships/hyperlink" Target="https://nyheteridag.se/devops-och-framtidens-affarsframgang/" TargetMode="External"/><Relationship Id="rId8354" Type="http://schemas.openxmlformats.org/officeDocument/2006/relationships/hyperlink" Target="http://technobark.com/" TargetMode="External"/><Relationship Id="rId9405" Type="http://schemas.openxmlformats.org/officeDocument/2006/relationships/hyperlink" Target="https://glassfactory.fi/sv/collections/extra-stora-speglar" TargetMode="External"/><Relationship Id="rId10284" Type="http://schemas.openxmlformats.org/officeDocument/2006/relationships/hyperlink" Target="http://rusta.se/" TargetMode="External"/><Relationship Id="rId11335" Type="http://schemas.openxmlformats.org/officeDocument/2006/relationships/hyperlink" Target="http://fairinvestments.se/" TargetMode="External"/><Relationship Id="rId8007" Type="http://schemas.openxmlformats.org/officeDocument/2006/relationships/hyperlink" Target="http://filippa-k.com/se/sv/" TargetMode="External"/><Relationship Id="rId3566" Type="http://schemas.openxmlformats.org/officeDocument/2006/relationships/hyperlink" Target="https://kelleher-international.com/" TargetMode="External"/><Relationship Id="rId4964" Type="http://schemas.openxmlformats.org/officeDocument/2006/relationships/hyperlink" Target="http://aaatak.se/" TargetMode="External"/><Relationship Id="rId487" Type="http://schemas.openxmlformats.org/officeDocument/2006/relationships/hyperlink" Target="https://parkleken.se/" TargetMode="External"/><Relationship Id="rId2168" Type="http://schemas.openxmlformats.org/officeDocument/2006/relationships/hyperlink" Target="http://hvvs.se/" TargetMode="External"/><Relationship Id="rId3219" Type="http://schemas.openxmlformats.org/officeDocument/2006/relationships/hyperlink" Target="https://luckycasino.com/sv/games-lobby/mostPopular" TargetMode="External"/><Relationship Id="rId4617" Type="http://schemas.openxmlformats.org/officeDocument/2006/relationships/hyperlink" Target="http://spelklubben.se/" TargetMode="External"/><Relationship Id="rId6789" Type="http://schemas.openxmlformats.org/officeDocument/2006/relationships/hyperlink" Target="https://www.tigerofsweden.com/se/sv/herr/kostymer/" TargetMode="External"/><Relationship Id="rId12590" Type="http://schemas.openxmlformats.org/officeDocument/2006/relationships/hyperlink" Target="https://www.newst.se/titta-ut-utan-nagon-ser-in-insynsknepen-som-funkar/" TargetMode="External"/><Relationship Id="rId3700" Type="http://schemas.openxmlformats.org/officeDocument/2006/relationships/hyperlink" Target="http://filippa-k.com/se/sv/" TargetMode="External"/><Relationship Id="rId9262" Type="http://schemas.openxmlformats.org/officeDocument/2006/relationships/hyperlink" Target="http://tiotak.se/" TargetMode="External"/><Relationship Id="rId11192" Type="http://schemas.openxmlformats.org/officeDocument/2006/relationships/hyperlink" Target="https://arctic.se/nibewp/" TargetMode="External"/><Relationship Id="rId12243" Type="http://schemas.openxmlformats.org/officeDocument/2006/relationships/hyperlink" Target="https://www.robomarkets.com/se/forex-trading/assets/forex/" TargetMode="External"/><Relationship Id="rId621" Type="http://schemas.openxmlformats.org/officeDocument/2006/relationships/hyperlink" Target="https://blugiallo.com/tailored/overcoat-wool-dark-brown/" TargetMode="External"/><Relationship Id="rId1251" Type="http://schemas.openxmlformats.org/officeDocument/2006/relationships/hyperlink" Target="https://www.happysocks.com/us/collection/socks-for-men" TargetMode="External"/><Relationship Id="rId2302" Type="http://schemas.openxmlformats.org/officeDocument/2006/relationships/hyperlink" Target="https://distansinstitutet.se/" TargetMode="External"/><Relationship Id="rId5872" Type="http://schemas.openxmlformats.org/officeDocument/2006/relationships/hyperlink" Target="https://www.tryggbil.se/" TargetMode="External"/><Relationship Id="rId6923" Type="http://schemas.openxmlformats.org/officeDocument/2006/relationships/hyperlink" Target="http://tandea.se/" TargetMode="External"/><Relationship Id="rId4474" Type="http://schemas.openxmlformats.org/officeDocument/2006/relationships/hyperlink" Target="https://nykonsument.se/innovativa-byggnadsmaterial-som-forandrar-byggindustrin/" TargetMode="External"/><Relationship Id="rId5525" Type="http://schemas.openxmlformats.org/officeDocument/2006/relationships/hyperlink" Target="https://www.startmotor.se/kategori/startmotorer" TargetMode="External"/><Relationship Id="rId3076" Type="http://schemas.openxmlformats.org/officeDocument/2006/relationships/hyperlink" Target="https://bygghuddinge.se/legend-bygg-din-tillforlitliga-partner-for-byggprojekt-i-sundsvall/" TargetMode="External"/><Relationship Id="rId4127" Type="http://schemas.openxmlformats.org/officeDocument/2006/relationships/hyperlink" Target="https://havstomt.se/artiklar/renovering-av-havsnara-fastigheter/" TargetMode="External"/><Relationship Id="rId7697" Type="http://schemas.openxmlformats.org/officeDocument/2006/relationships/hyperlink" Target="https://tryggbil.se/volkswagen/" TargetMode="External"/><Relationship Id="rId6299" Type="http://schemas.openxmlformats.org/officeDocument/2006/relationships/hyperlink" Target="https://hemmabygge.se/byta-tak-pa-maskinhallar-en-guide-till-takunderhall-och-installation/" TargetMode="External"/><Relationship Id="rId8748" Type="http://schemas.openxmlformats.org/officeDocument/2006/relationships/hyperlink" Target="http://spelklubben.se/" TargetMode="External"/><Relationship Id="rId10678" Type="http://schemas.openxmlformats.org/officeDocument/2006/relationships/hyperlink" Target="https://flyttgaranti.se/flytt" TargetMode="External"/><Relationship Id="rId11729" Type="http://schemas.openxmlformats.org/officeDocument/2006/relationships/hyperlink" Target="https://yagya.com/" TargetMode="External"/><Relationship Id="rId13151" Type="http://schemas.openxmlformats.org/officeDocument/2006/relationships/hyperlink" Target="https://supernormal.health/pages/viktnedgang" TargetMode="External"/><Relationship Id="rId131" Type="http://schemas.openxmlformats.org/officeDocument/2006/relationships/hyperlink" Target="https://nem.health/" TargetMode="External"/><Relationship Id="rId3210" Type="http://schemas.openxmlformats.org/officeDocument/2006/relationships/hyperlink" Target="https://fairinvestments.se/finansiell-information/" TargetMode="External"/><Relationship Id="rId6780" Type="http://schemas.openxmlformats.org/officeDocument/2006/relationships/hyperlink" Target="http://fairinvestments.se/" TargetMode="External"/><Relationship Id="rId7831" Type="http://schemas.openxmlformats.org/officeDocument/2006/relationships/hyperlink" Target="https://www.fastighetsmaklarnamnden.se/budgivningsstrategier-vid-bostadskop/" TargetMode="External"/><Relationship Id="rId5382" Type="http://schemas.openxmlformats.org/officeDocument/2006/relationships/hyperlink" Target="https://www.snusnetto.se/velo/" TargetMode="External"/><Relationship Id="rId6433" Type="http://schemas.openxmlformats.org/officeDocument/2006/relationships/hyperlink" Target="https://www.dagensinfrastruktur.se/2024/11/27/den-digitala-infrastrukturens-betydelse/" TargetMode="External"/><Relationship Id="rId10812" Type="http://schemas.openxmlformats.org/officeDocument/2006/relationships/hyperlink" Target="https://www.merinfo.se/foretag/Fair-Investments-Sweden-AB-5568169626/2k3576i-kqah" TargetMode="External"/><Relationship Id="rId1992" Type="http://schemas.openxmlformats.org/officeDocument/2006/relationships/hyperlink" Target="http://fairinvestments.se/" TargetMode="External"/><Relationship Id="rId5035" Type="http://schemas.openxmlformats.org/officeDocument/2006/relationships/hyperlink" Target="http://spelklubben.se/" TargetMode="External"/><Relationship Id="rId9656" Type="http://schemas.openxmlformats.org/officeDocument/2006/relationships/hyperlink" Target="https://mockfjards.se/att-byta-fonster" TargetMode="External"/><Relationship Id="rId12984" Type="http://schemas.openxmlformats.org/officeDocument/2006/relationships/hyperlink" Target="https://www.psykologitest.se/psykisk-ohalsa-okar-i-samhallet-psykologens-tid-ar-nu/" TargetMode="External"/><Relationship Id="rId1645" Type="http://schemas.openxmlformats.org/officeDocument/2006/relationships/hyperlink" Target="https://advancepointcap.com/blog/construction-company-loc/" TargetMode="External"/><Relationship Id="rId8258" Type="http://schemas.openxmlformats.org/officeDocument/2006/relationships/hyperlink" Target="https://www.tv4.se/artikel/3mOXyfBg5B7VZ31WoAb2Zb/fotbollssaesongen-2025-oeverraskar-positivt" TargetMode="External"/><Relationship Id="rId9309" Type="http://schemas.openxmlformats.org/officeDocument/2006/relationships/hyperlink" Target="http://svenskalasjouren.se/" TargetMode="External"/><Relationship Id="rId10188" Type="http://schemas.openxmlformats.org/officeDocument/2006/relationships/hyperlink" Target="https://londoninsider.co.uk/the-important-thing-is-that-the-environment-matches-the-purpose-of-the-meeting/" TargetMode="External"/><Relationship Id="rId11239" Type="http://schemas.openxmlformats.org/officeDocument/2006/relationships/hyperlink" Target="http://conclean.se/" TargetMode="External"/><Relationship Id="rId11586" Type="http://schemas.openxmlformats.org/officeDocument/2006/relationships/hyperlink" Target="http://sufracofinebrands.com/" TargetMode="External"/><Relationship Id="rId12637" Type="http://schemas.openxmlformats.org/officeDocument/2006/relationships/hyperlink" Target="https://passioneffect.se/fa-ditt-kapital-att-vaxa-med-smarta-ekonomiska-beslut/" TargetMode="External"/><Relationship Id="rId4868" Type="http://schemas.openxmlformats.org/officeDocument/2006/relationships/hyperlink" Target="https://hockeyspelet.se/landhockey-i-os-2024-resultat-och-kontroverser/" TargetMode="External"/><Relationship Id="rId5919" Type="http://schemas.openxmlformats.org/officeDocument/2006/relationships/hyperlink" Target="http://hajper.com/" TargetMode="External"/><Relationship Id="rId6290" Type="http://schemas.openxmlformats.org/officeDocument/2006/relationships/hyperlink" Target="https://farmanualen.se/generatorer-och-startmotorer-en-guide-for-man/" TargetMode="External"/><Relationship Id="rId11720" Type="http://schemas.openxmlformats.org/officeDocument/2006/relationships/hyperlink" Target="https://www.adligo.io/sv" TargetMode="External"/><Relationship Id="rId7341" Type="http://schemas.openxmlformats.org/officeDocument/2006/relationships/hyperlink" Target="http://fairinvestments.se/" TargetMode="External"/><Relationship Id="rId10322" Type="http://schemas.openxmlformats.org/officeDocument/2006/relationships/hyperlink" Target="http://tandea.se/" TargetMode="External"/><Relationship Id="rId3951" Type="http://schemas.openxmlformats.org/officeDocument/2006/relationships/hyperlink" Target="https://fluxshop.se/att-passa-in" TargetMode="External"/><Relationship Id="rId12494" Type="http://schemas.openxmlformats.org/officeDocument/2006/relationships/hyperlink" Target="https://www.allabolag.se/5568169626/bokslut" TargetMode="External"/><Relationship Id="rId872" Type="http://schemas.openxmlformats.org/officeDocument/2006/relationships/hyperlink" Target="https://blugiallo.se/tagg/brollop/" TargetMode="External"/><Relationship Id="rId2553" Type="http://schemas.openxmlformats.org/officeDocument/2006/relationships/hyperlink" Target="https://www.theartofthepossible.net/investera-etiskt-och-hallbart" TargetMode="External"/><Relationship Id="rId3604" Type="http://schemas.openxmlformats.org/officeDocument/2006/relationships/hyperlink" Target="https://www.anasayfa.se/varfor-behovs-en-maklare" TargetMode="External"/><Relationship Id="rId9166" Type="http://schemas.openxmlformats.org/officeDocument/2006/relationships/hyperlink" Target="https://katescreativespace.com/family-life-hacks-i-wish-id-known-sooner/" TargetMode="External"/><Relationship Id="rId11096" Type="http://schemas.openxmlformats.org/officeDocument/2006/relationships/hyperlink" Target="https://www.megariches.com/sv/" TargetMode="External"/><Relationship Id="rId12147" Type="http://schemas.openxmlformats.org/officeDocument/2006/relationships/hyperlink" Target="https://businessacademy.se/utmaningar-med-att-vara-arkitekt-en-resa-genom-kreativitet-och-komplexitet/" TargetMode="External"/><Relationship Id="rId525" Type="http://schemas.openxmlformats.org/officeDocument/2006/relationships/hyperlink" Target="https://toyota-forklifts.se/begagnade-truckar/" TargetMode="External"/><Relationship Id="rId1155" Type="http://schemas.openxmlformats.org/officeDocument/2006/relationships/hyperlink" Target="https://lemontree.se/tjanster/testautomatisering/" TargetMode="External"/><Relationship Id="rId2206" Type="http://schemas.openxmlformats.org/officeDocument/2006/relationships/hyperlink" Target="https://www.tarelugnt.se/ett-tandlakarbesok-att-minnas" TargetMode="External"/><Relationship Id="rId5776" Type="http://schemas.openxmlformats.org/officeDocument/2006/relationships/hyperlink" Target="http://bethard.com/" TargetMode="External"/><Relationship Id="rId4378" Type="http://schemas.openxmlformats.org/officeDocument/2006/relationships/hyperlink" Target="http://fairinvestments.se/" TargetMode="External"/><Relationship Id="rId5429" Type="http://schemas.openxmlformats.org/officeDocument/2006/relationships/hyperlink" Target="https://ironmanmagazine.se/" TargetMode="External"/><Relationship Id="rId6827" Type="http://schemas.openxmlformats.org/officeDocument/2006/relationships/hyperlink" Target="https://stryktips.nu/julens-hemliga-fotbollsfest-tre-stryktipsomgangar-pa-nio-dagar/" TargetMode="External"/><Relationship Id="rId9300" Type="http://schemas.openxmlformats.org/officeDocument/2006/relationships/hyperlink" Target="http://sahlstenskincare.se/" TargetMode="External"/><Relationship Id="rId8999" Type="http://schemas.openxmlformats.org/officeDocument/2006/relationships/hyperlink" Target="https://tvohjelmat.com/ihonhoito-julkkisten-suosiossa-trendit-vuonna-2025/" TargetMode="External"/><Relationship Id="rId11230" Type="http://schemas.openxmlformats.org/officeDocument/2006/relationships/hyperlink" Target="http://chronos.se/" TargetMode="External"/><Relationship Id="rId5910" Type="http://schemas.openxmlformats.org/officeDocument/2006/relationships/hyperlink" Target="http://cherry.com/" TargetMode="External"/><Relationship Id="rId3461" Type="http://schemas.openxmlformats.org/officeDocument/2006/relationships/hyperlink" Target="https://conclean.se/produkter/minireningsverk/" TargetMode="External"/><Relationship Id="rId4512" Type="http://schemas.openxmlformats.org/officeDocument/2006/relationships/hyperlink" Target="https://www.startmotor.se/kategori/elmotorer" TargetMode="External"/><Relationship Id="rId13055" Type="http://schemas.openxmlformats.org/officeDocument/2006/relationships/hyperlink" Target="https://leaptodigital.com/" TargetMode="External"/><Relationship Id="rId382" Type="http://schemas.openxmlformats.org/officeDocument/2006/relationships/hyperlink" Target="https://www.swedoffice.se/kategori/49902-kopieringspapp" TargetMode="External"/><Relationship Id="rId2063" Type="http://schemas.openxmlformats.org/officeDocument/2006/relationships/hyperlink" Target="https://www.creditsafe.com/dk/da/kredit-risiko/kreditrapporter/kreditvurdering.html" TargetMode="External"/><Relationship Id="rId3114" Type="http://schemas.openxmlformats.org/officeDocument/2006/relationships/hyperlink" Target="https://notyfile.se/" TargetMode="External"/><Relationship Id="rId6684" Type="http://schemas.openxmlformats.org/officeDocument/2006/relationships/hyperlink" Target="https://www.foyen.se/affarsomraden/tvistlosning/" TargetMode="External"/><Relationship Id="rId7735" Type="http://schemas.openxmlformats.org/officeDocument/2006/relationships/hyperlink" Target="https://www.klamm.de/news/waermepumpen-nachhaltigkeit-toppt-unsicherheiten-52Ne6218.html" TargetMode="External"/><Relationship Id="rId5286" Type="http://schemas.openxmlformats.org/officeDocument/2006/relationships/hyperlink" Target="https://www.myownwater.com/" TargetMode="External"/><Relationship Id="rId6337" Type="http://schemas.openxmlformats.org/officeDocument/2006/relationships/hyperlink" Target="https://www.hund.se/" TargetMode="External"/><Relationship Id="rId10716" Type="http://schemas.openxmlformats.org/officeDocument/2006/relationships/hyperlink" Target="https://www.kungaslottet.se/jackpots/" TargetMode="External"/><Relationship Id="rId12888" Type="http://schemas.openxmlformats.org/officeDocument/2006/relationships/hyperlink" Target="https://esportare.se/ovrigt/har-ar-nagra-ovantade-e-sporter-att-spela-pa/" TargetMode="External"/><Relationship Id="rId1896" Type="http://schemas.openxmlformats.org/officeDocument/2006/relationships/hyperlink" Target="http://tandea.se/" TargetMode="External"/><Relationship Id="rId2947" Type="http://schemas.openxmlformats.org/officeDocument/2006/relationships/hyperlink" Target="http://spelklubben.se/" TargetMode="External"/><Relationship Id="rId919" Type="http://schemas.openxmlformats.org/officeDocument/2006/relationships/hyperlink" Target="http://happysocks.com/" TargetMode="External"/><Relationship Id="rId1549" Type="http://schemas.openxmlformats.org/officeDocument/2006/relationships/hyperlink" Target="http://advancepointcap.com/" TargetMode="External"/><Relationship Id="rId4022" Type="http://schemas.openxmlformats.org/officeDocument/2006/relationships/hyperlink" Target="https://www.annonsparken.se/sa-gar-det-till-att-fa-tandimplantat" TargetMode="External"/><Relationship Id="rId5420" Type="http://schemas.openxmlformats.org/officeDocument/2006/relationships/hyperlink" Target="http://arctic.se/" TargetMode="External"/><Relationship Id="rId8990" Type="http://schemas.openxmlformats.org/officeDocument/2006/relationships/hyperlink" Target="https://ekonomikunskap.se/ekonomiterminologi-for-den-nya-egenforetagaren" TargetMode="External"/><Relationship Id="rId11971" Type="http://schemas.openxmlformats.org/officeDocument/2006/relationships/hyperlink" Target="https://www.reviewgorilla.se/blog/mans-garderob-essentials-allt-du-behover-veta/" TargetMode="External"/><Relationship Id="rId7592" Type="http://schemas.openxmlformats.org/officeDocument/2006/relationships/hyperlink" Target="http://nodepositbonus.cc/" TargetMode="External"/><Relationship Id="rId8643" Type="http://schemas.openxmlformats.org/officeDocument/2006/relationships/hyperlink" Target="https://www.kleer.se/lonesystem/" TargetMode="External"/><Relationship Id="rId10573" Type="http://schemas.openxmlformats.org/officeDocument/2006/relationships/hyperlink" Target="http://aretrotale.com/" TargetMode="External"/><Relationship Id="rId11624" Type="http://schemas.openxmlformats.org/officeDocument/2006/relationships/hyperlink" Target="https://www.vont.se/" TargetMode="External"/><Relationship Id="rId6194" Type="http://schemas.openxmlformats.org/officeDocument/2006/relationships/hyperlink" Target="https://v&#228;lkomstbonusen.se/cherry-casino-recension/" TargetMode="External"/><Relationship Id="rId7245" Type="http://schemas.openxmlformats.org/officeDocument/2006/relationships/hyperlink" Target="https://www.nykommun.se/2025/01/20/sa-fungerar-tandvardsstod-och-hogkostnadsskydd-i-sverige/" TargetMode="External"/><Relationship Id="rId10226" Type="http://schemas.openxmlformats.org/officeDocument/2006/relationships/hyperlink" Target="https://www.chattanoogarehab.com/us/hot-cold/hot-cold-packs" TargetMode="External"/><Relationship Id="rId3855" Type="http://schemas.openxmlformats.org/officeDocument/2006/relationships/hyperlink" Target="http://e-ciggbolaget.se/" TargetMode="External"/><Relationship Id="rId12398" Type="http://schemas.openxmlformats.org/officeDocument/2006/relationships/hyperlink" Target="https://www.tryggbil.se/" TargetMode="External"/><Relationship Id="rId776" Type="http://schemas.openxmlformats.org/officeDocument/2006/relationships/hyperlink" Target="https://citygoldmedia.com/get-the-perfect-summer-look-with-colorful-socks/" TargetMode="External"/><Relationship Id="rId2457" Type="http://schemas.openxmlformats.org/officeDocument/2006/relationships/hyperlink" Target="https://digijuorut.fi/sekalaista/den-sista-resa-viimeinen-matka-dokumenttielokuvassa-ajetaan-autolla-ja-pohditaan-elaman-tarkoitusta/" TargetMode="External"/><Relationship Id="rId3508" Type="http://schemas.openxmlformats.org/officeDocument/2006/relationships/hyperlink" Target="http://dagenshomeopati.se/frunk-bar-revolutionerar-engangs-e-cigarett-industrin/" TargetMode="External"/><Relationship Id="rId4906" Type="http://schemas.openxmlformats.org/officeDocument/2006/relationships/hyperlink" Target="http://snuset.se/" TargetMode="External"/><Relationship Id="rId429" Type="http://schemas.openxmlformats.org/officeDocument/2006/relationships/hyperlink" Target="https://www.vont.se/product/vont-to-go-blue-raspberry-sw" TargetMode="External"/><Relationship Id="rId1059" Type="http://schemas.openxmlformats.org/officeDocument/2006/relationships/hyperlink" Target="https://schjodt.com/expertise/rekonstruktion-insolvens" TargetMode="External"/><Relationship Id="rId8153" Type="http://schemas.openxmlformats.org/officeDocument/2006/relationships/hyperlink" Target="https://nybyggdahus.se/sa-valjer-du-ratt-belysning-for-ditt-hem/" TargetMode="External"/><Relationship Id="rId9551" Type="http://schemas.openxmlformats.org/officeDocument/2006/relationships/hyperlink" Target="http://hajper.com/" TargetMode="External"/><Relationship Id="rId11481" Type="http://schemas.openxmlformats.org/officeDocument/2006/relationships/hyperlink" Target="https://dinlokalabokhandel.se/lev-ett-halsosammare-liv/" TargetMode="External"/><Relationship Id="rId12532" Type="http://schemas.openxmlformats.org/officeDocument/2006/relationships/hyperlink" Target="https://renbyggbransch.nu/hogkvalitativa-byggprojekt-helhetslosningar-som-inkluderar-el-vvs-malning-plattsattning/" TargetMode="External"/><Relationship Id="rId910" Type="http://schemas.openxmlformats.org/officeDocument/2006/relationships/hyperlink" Target="http://askskinfo.com/" TargetMode="External"/><Relationship Id="rId1540" Type="http://schemas.openxmlformats.org/officeDocument/2006/relationships/hyperlink" Target="http://happysocks.com/" TargetMode="External"/><Relationship Id="rId9204" Type="http://schemas.openxmlformats.org/officeDocument/2006/relationships/hyperlink" Target="http://fairinvestments.se/" TargetMode="External"/><Relationship Id="rId10083" Type="http://schemas.openxmlformats.org/officeDocument/2006/relationships/hyperlink" Target="http://fairinvestments.se/" TargetMode="External"/><Relationship Id="rId11134" Type="http://schemas.openxmlformats.org/officeDocument/2006/relationships/hyperlink" Target="https://www.indoorprofessional.se/" TargetMode="External"/><Relationship Id="rId4763" Type="http://schemas.openxmlformats.org/officeDocument/2006/relationships/hyperlink" Target="https://www.svenskbyggtidning.se/2024/07/25/kvalitetssakring-i-byggbranschen-metoder-for-att-sakerstalla-hallbara-och-palitliga-byggprojekt/" TargetMode="External"/><Relationship Id="rId5814" Type="http://schemas.openxmlformats.org/officeDocument/2006/relationships/hyperlink" Target="https://www.skraphamtarna.se/priser-privat/" TargetMode="External"/><Relationship Id="rId3365" Type="http://schemas.openxmlformats.org/officeDocument/2006/relationships/hyperlink" Target="https://www.filippa-k.com/se/sv/dam/ready-to-wear/skjortor-blusar" TargetMode="External"/><Relationship Id="rId4416" Type="http://schemas.openxmlformats.org/officeDocument/2006/relationships/hyperlink" Target="https://www.tandea.se/" TargetMode="External"/><Relationship Id="rId7986" Type="http://schemas.openxmlformats.org/officeDocument/2006/relationships/hyperlink" Target="https://iptvdansk.com/" TargetMode="External"/><Relationship Id="rId286" Type="http://schemas.openxmlformats.org/officeDocument/2006/relationships/hyperlink" Target="http://chronos.se/" TargetMode="External"/><Relationship Id="rId3018" Type="http://schemas.openxmlformats.org/officeDocument/2006/relationships/hyperlink" Target="https://alfaoutdoor.se/collections/fritidsskor-herr" TargetMode="External"/><Relationship Id="rId6588" Type="http://schemas.openxmlformats.org/officeDocument/2006/relationships/hyperlink" Target="http://kanalgratis.se/" TargetMode="External"/><Relationship Id="rId7639" Type="http://schemas.openxmlformats.org/officeDocument/2006/relationships/hyperlink" Target="https://ekstromgaray.se/skicka-in-manus/" TargetMode="External"/><Relationship Id="rId10967" Type="http://schemas.openxmlformats.org/officeDocument/2006/relationships/hyperlink" Target="https://www.smallarupproret.se/tystare-firanden-tryggare-tassar/" TargetMode="External"/><Relationship Id="rId9061" Type="http://schemas.openxmlformats.org/officeDocument/2006/relationships/hyperlink" Target="https://alxmedia.se/film/skrackfilm/" TargetMode="External"/><Relationship Id="rId420" Type="http://schemas.openxmlformats.org/officeDocument/2006/relationships/hyperlink" Target="https://tiotak.se/" TargetMode="External"/><Relationship Id="rId1050" Type="http://schemas.openxmlformats.org/officeDocument/2006/relationships/hyperlink" Target="http://lemontree.se/" TargetMode="External"/><Relationship Id="rId2101" Type="http://schemas.openxmlformats.org/officeDocument/2006/relationships/hyperlink" Target="https://rehabgrossisten.com/skydd-bandage/kna/knaskydd/" TargetMode="External"/><Relationship Id="rId12042" Type="http://schemas.openxmlformats.org/officeDocument/2006/relationships/hyperlink" Target="http://vont.co/de" TargetMode="External"/><Relationship Id="rId5671" Type="http://schemas.openxmlformats.org/officeDocument/2006/relationships/hyperlink" Target="http://kvarnx.com/" TargetMode="External"/><Relationship Id="rId6722" Type="http://schemas.openxmlformats.org/officeDocument/2006/relationships/hyperlink" Target="http://everynightstudios.com/" TargetMode="External"/><Relationship Id="rId4273" Type="http://schemas.openxmlformats.org/officeDocument/2006/relationships/hyperlink" Target="http://storgruppen.se/" TargetMode="External"/><Relationship Id="rId5324" Type="http://schemas.openxmlformats.org/officeDocument/2006/relationships/hyperlink" Target="https://www.zmarta.se/el" TargetMode="External"/><Relationship Id="rId8894" Type="http://schemas.openxmlformats.org/officeDocument/2006/relationships/hyperlink" Target="https://ng.se/artiklar/de-popularaste-husdjuren-2025-vilken-passar-din-livsstil" TargetMode="External"/><Relationship Id="rId9945" Type="http://schemas.openxmlformats.org/officeDocument/2006/relationships/hyperlink" Target="https://www.mrvegas.com/sv/" TargetMode="External"/><Relationship Id="rId1934" Type="http://schemas.openxmlformats.org/officeDocument/2006/relationships/hyperlink" Target="http://schjodt.com/" TargetMode="External"/><Relationship Id="rId7496" Type="http://schemas.openxmlformats.org/officeDocument/2006/relationships/hyperlink" Target="https://www.totallyorebro.se/uncategorized/hur-ser-det-ut-med-snusandet-i-orebro/" TargetMode="External"/><Relationship Id="rId8547" Type="http://schemas.openxmlformats.org/officeDocument/2006/relationships/hyperlink" Target="https://outletsuomi.com/yha-useammat-ostavat-ja-myyvat-autoja-verkossa/" TargetMode="External"/><Relationship Id="rId10477" Type="http://schemas.openxmlformats.org/officeDocument/2006/relationships/hyperlink" Target="http://hajper.com/" TargetMode="External"/><Relationship Id="rId11528" Type="http://schemas.openxmlformats.org/officeDocument/2006/relationships/hyperlink" Target="https://sufracofinebrands.com/kategori/varumarken-compagnie-de-provence" TargetMode="External"/><Relationship Id="rId11875" Type="http://schemas.openxmlformats.org/officeDocument/2006/relationships/hyperlink" Target="https://www.onion.nu/2023/09/25/allt-du-behover-veta-om-att-ha-en-jordbruksfastighet/" TargetMode="External"/><Relationship Id="rId12926" Type="http://schemas.openxmlformats.org/officeDocument/2006/relationships/hyperlink" Target="https://villalivet.se/allmant/vardagslogistik-i-gotet/" TargetMode="External"/><Relationship Id="rId6098" Type="http://schemas.openxmlformats.org/officeDocument/2006/relationships/hyperlink" Target="http://bbml.se/" TargetMode="External"/><Relationship Id="rId7149" Type="http://schemas.openxmlformats.org/officeDocument/2006/relationships/hyperlink" Target="https://bygginformation.se/jour-eliten-akut-rormokartjanster-for-byggprojekt/" TargetMode="External"/><Relationship Id="rId3759" Type="http://schemas.openxmlformats.org/officeDocument/2006/relationships/hyperlink" Target="http://carpcon.se/" TargetMode="External"/><Relationship Id="rId5181" Type="http://schemas.openxmlformats.org/officeDocument/2006/relationships/hyperlink" Target="https://www.bandyrapport.nu/" TargetMode="External"/><Relationship Id="rId6232" Type="http://schemas.openxmlformats.org/officeDocument/2006/relationships/hyperlink" Target="https://mittlillahus.se/maklarens-guide-till-bostadsformedling-i-trosa/" TargetMode="External"/><Relationship Id="rId7630" Type="http://schemas.openxmlformats.org/officeDocument/2006/relationships/hyperlink" Target="https://cdbilvardsprodukter.se/" TargetMode="External"/><Relationship Id="rId10611" Type="http://schemas.openxmlformats.org/officeDocument/2006/relationships/hyperlink" Target="https://www.megariches.com/" TargetMode="External"/><Relationship Id="rId12783" Type="http://schemas.openxmlformats.org/officeDocument/2006/relationships/hyperlink" Target="https://battreaffarer.nu/foretagande/foretagskultur/" TargetMode="External"/><Relationship Id="rId1791" Type="http://schemas.openxmlformats.org/officeDocument/2006/relationships/hyperlink" Target="https://serviceteknikerkarlstad.se/klassisk-arkitektur-i-stockholm-en-fusion-av-tidlos-skonhet-och-modern-funktion/" TargetMode="External"/><Relationship Id="rId2842" Type="http://schemas.openxmlformats.org/officeDocument/2006/relationships/hyperlink" Target="https://www.merinfo.se/foretag/Fair-Investments-Sweden-AB-5568169626/2k3576i-kqah" TargetMode="External"/><Relationship Id="rId9455" Type="http://schemas.openxmlformats.org/officeDocument/2006/relationships/hyperlink" Target="https://filmeye.se/4-kanda-filmlocations-som-ar-varda-ett-besok/" TargetMode="External"/><Relationship Id="rId11385" Type="http://schemas.openxmlformats.org/officeDocument/2006/relationships/hyperlink" Target="https://haxan.se/products/haxan-universalpasta" TargetMode="External"/><Relationship Id="rId12436" Type="http://schemas.openxmlformats.org/officeDocument/2006/relationships/hyperlink" Target="https://grimetonradio.se/utforskning-av-alvtorpet-en-skatt-i-centrala-solleftea/" TargetMode="External"/><Relationship Id="rId814" Type="http://schemas.openxmlformats.org/officeDocument/2006/relationships/hyperlink" Target="http://www.adligo.io/" TargetMode="External"/><Relationship Id="rId1444" Type="http://schemas.openxmlformats.org/officeDocument/2006/relationships/hyperlink" Target="https://advancepointcap.com/blog/same-day-smb-loan/" TargetMode="External"/><Relationship Id="rId8057" Type="http://schemas.openxmlformats.org/officeDocument/2006/relationships/hyperlink" Target="https://ng.se/artiklar/kan-du-leva-pa-att-skriva-sanningens-siffror" TargetMode="External"/><Relationship Id="rId9108" Type="http://schemas.openxmlformats.org/officeDocument/2006/relationships/hyperlink" Target="https://leaptodigital.com/roofing-crm" TargetMode="External"/><Relationship Id="rId11038" Type="http://schemas.openxmlformats.org/officeDocument/2006/relationships/hyperlink" Target="https://turner.fi/" TargetMode="External"/><Relationship Id="rId4667" Type="http://schemas.openxmlformats.org/officeDocument/2006/relationships/hyperlink" Target="https://www.kingsizemag.se/okategoriserat/den-digitala-revolutionen-musik-spel-och-underhallning-pa-cherry-casino/" TargetMode="External"/><Relationship Id="rId5718" Type="http://schemas.openxmlformats.org/officeDocument/2006/relationships/hyperlink" Target="https://win.gg/news/games-to-watch-this-autumn-winter/" TargetMode="External"/><Relationship Id="rId3269" Type="http://schemas.openxmlformats.org/officeDocument/2006/relationships/hyperlink" Target="https://www.allabolag.se/5568169626/bokslut" TargetMode="External"/><Relationship Id="rId7140" Type="http://schemas.openxmlformats.org/officeDocument/2006/relationships/hyperlink" Target="https://digitalfamilj.se/hundar-som-en-del-av-familjen-varfor-hundfoder-ar-viktigt-for-din-fyrbenta-van/" TargetMode="External"/><Relationship Id="rId10121" Type="http://schemas.openxmlformats.org/officeDocument/2006/relationships/hyperlink" Target="http://rusta.se/" TargetMode="External"/><Relationship Id="rId3750" Type="http://schemas.openxmlformats.org/officeDocument/2006/relationships/hyperlink" Target="http://fairinvestments.se/" TargetMode="External"/><Relationship Id="rId4801" Type="http://schemas.openxmlformats.org/officeDocument/2006/relationships/hyperlink" Target="http://kvarnx.com/" TargetMode="External"/><Relationship Id="rId12293" Type="http://schemas.openxmlformats.org/officeDocument/2006/relationships/hyperlink" Target="https://podradio.nu/metatrader-4-en-nodvandig-plattform-for-svenska-traders/" TargetMode="External"/><Relationship Id="rId671" Type="http://schemas.openxmlformats.org/officeDocument/2006/relationships/hyperlink" Target="http://happysocks.com/" TargetMode="External"/><Relationship Id="rId2352" Type="http://schemas.openxmlformats.org/officeDocument/2006/relationships/hyperlink" Target="https://finansplassen.no/lan" TargetMode="External"/><Relationship Id="rId3403" Type="http://schemas.openxmlformats.org/officeDocument/2006/relationships/hyperlink" Target="https://restate.se/ombildning-till-bostadsratt/" TargetMode="External"/><Relationship Id="rId6973" Type="http://schemas.openxmlformats.org/officeDocument/2006/relationships/hyperlink" Target="http://mockfjards.se/" TargetMode="External"/><Relationship Id="rId324" Type="http://schemas.openxmlformats.org/officeDocument/2006/relationships/hyperlink" Target="http://haxan.se/" TargetMode="External"/><Relationship Id="rId2005" Type="http://schemas.openxmlformats.org/officeDocument/2006/relationships/hyperlink" Target="https://lemontree.se/" TargetMode="External"/><Relationship Id="rId5575" Type="http://schemas.openxmlformats.org/officeDocument/2006/relationships/hyperlink" Target="https://komponenthus.com/2024/09/28/sa-forlanger-du-livslangden-pa-din-skrivare-med-ratt-kopieringspapper/" TargetMode="External"/><Relationship Id="rId6626" Type="http://schemas.openxmlformats.org/officeDocument/2006/relationships/hyperlink" Target="http://fairinvestments.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347"/>
  <sheetViews>
    <sheetView tabSelected="1" zoomScaleNormal="100" workbookViewId="0">
      <pane ySplit="1" topLeftCell="A2" activePane="bottomLeft" state="frozen"/>
      <selection pane="bottomLeft" activeCell="H2" sqref="H2"/>
    </sheetView>
  </sheetViews>
  <sheetFormatPr defaultColWidth="12.59765625" defaultRowHeight="15.75" customHeight="1"/>
  <cols>
    <col min="1" max="1" width="29.59765625" customWidth="1"/>
    <col min="2" max="2" width="19" hidden="1" customWidth="1"/>
    <col min="3" max="3" width="82.6640625" customWidth="1"/>
    <col min="4" max="4" width="53.86328125" customWidth="1"/>
    <col min="5" max="6" width="30.86328125" customWidth="1"/>
    <col min="7" max="7" width="14.86328125" customWidth="1"/>
    <col min="8" max="8" width="17.265625" bestFit="1" customWidth="1"/>
    <col min="9" max="9" width="15.3984375" customWidth="1"/>
  </cols>
  <sheetData>
    <row r="1" spans="1:9" ht="13.5">
      <c r="A1" s="379" t="s">
        <v>8057</v>
      </c>
      <c r="B1" s="1" t="s">
        <v>0</v>
      </c>
      <c r="C1" s="379" t="s">
        <v>8052</v>
      </c>
      <c r="D1" s="379" t="s">
        <v>8054</v>
      </c>
      <c r="E1" s="379" t="s">
        <v>8053</v>
      </c>
      <c r="F1" s="381" t="s">
        <v>6651</v>
      </c>
      <c r="G1" s="379" t="s">
        <v>8056</v>
      </c>
      <c r="H1" s="379" t="s">
        <v>8058</v>
      </c>
      <c r="I1" s="379" t="s">
        <v>8055</v>
      </c>
    </row>
    <row r="2" spans="1:9" ht="13.5">
      <c r="A2" s="2" t="s">
        <v>1</v>
      </c>
      <c r="B2" s="3" t="str">
        <f ca="1">IFERROR(__xludf.DUMMYFUNCTION("REGEXEXTRACT(C2, ""https?:\/\/(?:.*\.)*(.+\..+?)\/"")"),"medialvagledning.com")</f>
        <v>medialvagledning.com</v>
      </c>
      <c r="C2" s="4" t="s">
        <v>2</v>
      </c>
      <c r="D2" s="380" t="s">
        <v>3</v>
      </c>
      <c r="E2" s="5" t="s">
        <v>6</v>
      </c>
      <c r="F2" s="5" t="str">
        <f>A2</f>
        <v>haxan.se</v>
      </c>
      <c r="G2" s="5" t="s">
        <v>4</v>
      </c>
      <c r="H2" s="5" t="s">
        <v>5</v>
      </c>
      <c r="I2" s="6">
        <v>44806</v>
      </c>
    </row>
    <row r="3" spans="1:9" ht="13.5">
      <c r="A3" s="2" t="s">
        <v>1</v>
      </c>
      <c r="B3" s="3" t="str">
        <f ca="1">IFERROR(__xludf.DUMMYFUNCTION("REGEXEXTRACT(C3, ""https?:\/\/(?:.*\.)*(.+\..+?)\/"")"),"focusera.se")</f>
        <v>focusera.se</v>
      </c>
      <c r="C3" s="4" t="s">
        <v>7</v>
      </c>
      <c r="D3" s="4" t="s">
        <v>3</v>
      </c>
      <c r="E3" s="5" t="s">
        <v>8</v>
      </c>
      <c r="F3" s="5" t="str">
        <f t="shared" ref="F3:F66" si="0">A3</f>
        <v>haxan.se</v>
      </c>
      <c r="G3" s="5" t="s">
        <v>4</v>
      </c>
      <c r="H3" s="5" t="s">
        <v>5</v>
      </c>
      <c r="I3" s="6">
        <v>44822</v>
      </c>
    </row>
    <row r="4" spans="1:9" ht="13.5">
      <c r="A4" s="2" t="s">
        <v>1</v>
      </c>
      <c r="B4" s="3" t="str">
        <f ca="1">IFERROR(__xludf.DUMMYFUNCTION("REGEXEXTRACT(C4, ""https?:\/\/(?:.*\.)*(.+\..+?)\/"")"),"industritorget.se")</f>
        <v>industritorget.se</v>
      </c>
      <c r="C4" s="4" t="s">
        <v>9</v>
      </c>
      <c r="D4" s="4" t="s">
        <v>3</v>
      </c>
      <c r="E4" s="378" t="s">
        <v>10</v>
      </c>
      <c r="F4" s="5" t="str">
        <f t="shared" si="0"/>
        <v>haxan.se</v>
      </c>
      <c r="G4" s="5" t="s">
        <v>4</v>
      </c>
      <c r="H4" s="5" t="s">
        <v>5</v>
      </c>
      <c r="I4" s="6">
        <v>44831</v>
      </c>
    </row>
    <row r="5" spans="1:9" ht="13.5">
      <c r="A5" s="2" t="s">
        <v>11</v>
      </c>
      <c r="B5" s="3" t="str">
        <f ca="1">IFERROR(__xludf.DUMMYFUNCTION("REGEXEXTRACT(C5, ""https?:\/\/(?:.*\.)*(.+\..+?)\/"")"),"marketingmartin.se")</f>
        <v>marketingmartin.se</v>
      </c>
      <c r="C5" s="4" t="s">
        <v>12</v>
      </c>
      <c r="D5" s="4" t="s">
        <v>13</v>
      </c>
      <c r="E5" s="5" t="s">
        <v>14</v>
      </c>
      <c r="F5" s="5" t="str">
        <f t="shared" si="0"/>
        <v>ljusgrossisten.se</v>
      </c>
      <c r="G5" s="5" t="s">
        <v>4</v>
      </c>
      <c r="H5" s="5" t="s">
        <v>5</v>
      </c>
      <c r="I5" s="6">
        <v>44837</v>
      </c>
    </row>
    <row r="6" spans="1:9" ht="13.5">
      <c r="A6" s="2" t="s">
        <v>1</v>
      </c>
      <c r="B6" s="3" t="str">
        <f ca="1">IFERROR(__xludf.DUMMYFUNCTION("REGEXEXTRACT(C6, ""https?:\/\/(?:.*\.)*(.+\..+?)\/"")"),"eventeffect.se")</f>
        <v>eventeffect.se</v>
      </c>
      <c r="C6" s="4" t="s">
        <v>15</v>
      </c>
      <c r="D6" s="4" t="s">
        <v>3</v>
      </c>
      <c r="E6" s="5" t="s">
        <v>10</v>
      </c>
      <c r="F6" s="5" t="str">
        <f t="shared" si="0"/>
        <v>haxan.se</v>
      </c>
      <c r="G6" s="5" t="s">
        <v>4</v>
      </c>
      <c r="H6" s="5" t="s">
        <v>5</v>
      </c>
      <c r="I6" s="6">
        <v>44839</v>
      </c>
    </row>
    <row r="7" spans="1:9" ht="13.5">
      <c r="A7" s="2" t="s">
        <v>16</v>
      </c>
      <c r="B7" s="3" t="str">
        <f ca="1">IFERROR(__xludf.DUMMYFUNCTION("REGEXEXTRACT(C7, ""https?:\/\/(?:.*\.)*(.+\..+?)\/"")"),"executiveeffect.se")</f>
        <v>executiveeffect.se</v>
      </c>
      <c r="C7" s="4" t="s">
        <v>17</v>
      </c>
      <c r="D7" s="4" t="s">
        <v>18</v>
      </c>
      <c r="E7" s="5" t="s">
        <v>19</v>
      </c>
      <c r="F7" s="5" t="str">
        <f t="shared" si="0"/>
        <v>chronos.se</v>
      </c>
      <c r="G7" s="5" t="s">
        <v>4</v>
      </c>
      <c r="H7" s="5" t="s">
        <v>5</v>
      </c>
      <c r="I7" s="6">
        <v>44840</v>
      </c>
    </row>
    <row r="8" spans="1:9" ht="13.5">
      <c r="A8" s="2" t="s">
        <v>20</v>
      </c>
      <c r="B8" s="3" t="str">
        <f ca="1">IFERROR(__xludf.DUMMYFUNCTION("REGEXEXTRACT(C8, ""https?:\/\/(?:.*\.)*(.+\..+?)\/"")"),"poshbeautyblog.com")</f>
        <v>poshbeautyblog.com</v>
      </c>
      <c r="C8" s="4" t="s">
        <v>21</v>
      </c>
      <c r="D8" s="4" t="s">
        <v>22</v>
      </c>
      <c r="E8" s="5" t="s">
        <v>24</v>
      </c>
      <c r="F8" s="5" t="str">
        <f t="shared" si="0"/>
        <v>blugiallo.com</v>
      </c>
      <c r="G8" s="5" t="s">
        <v>4</v>
      </c>
      <c r="H8" s="5" t="s">
        <v>23</v>
      </c>
      <c r="I8" s="6">
        <v>44841</v>
      </c>
    </row>
    <row r="9" spans="1:9" ht="13.5">
      <c r="A9" s="2" t="s">
        <v>1</v>
      </c>
      <c r="B9" s="3" t="str">
        <f ca="1">IFERROR(__xludf.DUMMYFUNCTION("REGEXEXTRACT(C9, ""https?:\/\/(?:.*\.)*(.+\..+?)\/"")"),"savethefuture.se")</f>
        <v>savethefuture.se</v>
      </c>
      <c r="C9" s="4" t="s">
        <v>25</v>
      </c>
      <c r="D9" s="4" t="s">
        <v>3</v>
      </c>
      <c r="E9" s="5" t="s">
        <v>10</v>
      </c>
      <c r="F9" s="5" t="str">
        <f t="shared" si="0"/>
        <v>haxan.se</v>
      </c>
      <c r="G9" s="5" t="s">
        <v>4</v>
      </c>
      <c r="H9" s="5" t="s">
        <v>5</v>
      </c>
      <c r="I9" s="6">
        <v>44843</v>
      </c>
    </row>
    <row r="10" spans="1:9" ht="13.5">
      <c r="A10" s="2" t="s">
        <v>16</v>
      </c>
      <c r="B10" s="3" t="str">
        <f ca="1">IFERROR(__xludf.DUMMYFUNCTION("REGEXEXTRACT(C10, ""https?:\/\/(?:.*\.)*(.+\..+?)\/"")"),"digitalhalsan.nu")</f>
        <v>digitalhalsan.nu</v>
      </c>
      <c r="C10" s="4" t="s">
        <v>26</v>
      </c>
      <c r="D10" s="4" t="s">
        <v>18</v>
      </c>
      <c r="E10" s="5" t="s">
        <v>27</v>
      </c>
      <c r="F10" s="5" t="str">
        <f t="shared" si="0"/>
        <v>chronos.se</v>
      </c>
      <c r="G10" s="5" t="s">
        <v>4</v>
      </c>
      <c r="H10" s="5" t="s">
        <v>5</v>
      </c>
      <c r="I10" s="6">
        <v>44844</v>
      </c>
    </row>
    <row r="11" spans="1:9" ht="13.5">
      <c r="A11" s="2" t="s">
        <v>20</v>
      </c>
      <c r="B11" s="3" t="str">
        <f ca="1">IFERROR(__xludf.DUMMYFUNCTION("REGEXEXTRACT(C11, ""https?:\/\/(?:.*\.)*(.+\..+?)\/"")"),"44bars.com")</f>
        <v>44bars.com</v>
      </c>
      <c r="C11" s="4" t="s">
        <v>28</v>
      </c>
      <c r="D11" s="4" t="s">
        <v>29</v>
      </c>
      <c r="E11" s="5" t="s">
        <v>30</v>
      </c>
      <c r="F11" s="5" t="str">
        <f t="shared" si="0"/>
        <v>blugiallo.com</v>
      </c>
      <c r="G11" s="5" t="s">
        <v>4</v>
      </c>
      <c r="H11" s="5" t="s">
        <v>23</v>
      </c>
      <c r="I11" s="6">
        <v>44845</v>
      </c>
    </row>
    <row r="12" spans="1:9" ht="13.5">
      <c r="A12" s="7" t="s">
        <v>31</v>
      </c>
      <c r="B12" s="3" t="str">
        <f ca="1">IFERROR(__xludf.DUMMYFUNCTION("REGEXEXTRACT(C12, ""https?:\/\/(?:.*\.)*(.+\..+?)\/"")"),"#N/A")</f>
        <v>#N/A</v>
      </c>
      <c r="C12" s="8" t="s">
        <v>32</v>
      </c>
      <c r="D12" s="4" t="s">
        <v>33</v>
      </c>
      <c r="E12" s="9" t="s">
        <v>33</v>
      </c>
      <c r="F12" s="5" t="str">
        <f t="shared" si="0"/>
        <v>bästförsäkringar.se</v>
      </c>
      <c r="G12" s="5" t="s">
        <v>34</v>
      </c>
      <c r="H12" s="5" t="s">
        <v>5</v>
      </c>
      <c r="I12" s="6">
        <v>44845</v>
      </c>
    </row>
    <row r="13" spans="1:9" ht="13.5">
      <c r="A13" s="7" t="s">
        <v>31</v>
      </c>
      <c r="B13" s="3" t="str">
        <f ca="1">IFERROR(__xludf.DUMMYFUNCTION("REGEXEXTRACT(C13, ""https?:\/\/(?:.*\.)*(.+\..+?)\/"")"),"brafiler.se")</f>
        <v>brafiler.se</v>
      </c>
      <c r="C13" s="4" t="s">
        <v>35</v>
      </c>
      <c r="D13" s="5" t="s">
        <v>36</v>
      </c>
      <c r="E13" s="5" t="s">
        <v>37</v>
      </c>
      <c r="F13" s="5" t="str">
        <f t="shared" si="0"/>
        <v>bästförsäkringar.se</v>
      </c>
      <c r="G13" s="5" t="s">
        <v>34</v>
      </c>
      <c r="H13" s="5" t="s">
        <v>5</v>
      </c>
      <c r="I13" s="6">
        <v>44846</v>
      </c>
    </row>
    <row r="14" spans="1:9" ht="13.5">
      <c r="A14" s="7" t="s">
        <v>31</v>
      </c>
      <c r="B14" s="3" t="str">
        <f ca="1">IFERROR(__xludf.DUMMYFUNCTION("REGEXEXTRACT(C14, ""https?:\/\/(?:.*\.)*(.+\..+?)\/"")"),"svenskpress.se")</f>
        <v>svenskpress.se</v>
      </c>
      <c r="C14" s="4" t="s">
        <v>38</v>
      </c>
      <c r="D14" s="4" t="s">
        <v>39</v>
      </c>
      <c r="E14" s="5" t="s">
        <v>40</v>
      </c>
      <c r="F14" s="5" t="str">
        <f t="shared" si="0"/>
        <v>bästförsäkringar.se</v>
      </c>
      <c r="G14" s="5" t="s">
        <v>4</v>
      </c>
      <c r="H14" s="5" t="s">
        <v>5</v>
      </c>
      <c r="I14" s="6">
        <v>44847</v>
      </c>
    </row>
    <row r="15" spans="1:9" ht="13.5">
      <c r="A15" s="2" t="s">
        <v>16</v>
      </c>
      <c r="B15" s="3" t="str">
        <f ca="1">IFERROR(__xludf.DUMMYFUNCTION("REGEXEXTRACT(C15, ""https?:\/\/(?:.*\.)*(.+\..+?)\/"")"),"jetshopfree.se")</f>
        <v>jetshopfree.se</v>
      </c>
      <c r="C15" s="4" t="s">
        <v>41</v>
      </c>
      <c r="D15" s="4" t="s">
        <v>18</v>
      </c>
      <c r="E15" s="5" t="s">
        <v>42</v>
      </c>
      <c r="F15" s="5" t="str">
        <f t="shared" si="0"/>
        <v>chronos.se</v>
      </c>
      <c r="G15" s="5" t="s">
        <v>4</v>
      </c>
      <c r="H15" s="5" t="s">
        <v>5</v>
      </c>
      <c r="I15" s="6">
        <v>44848</v>
      </c>
    </row>
    <row r="16" spans="1:9" ht="13.5">
      <c r="A16" s="2" t="s">
        <v>43</v>
      </c>
      <c r="B16" s="3" t="str">
        <f ca="1">IFERROR(__xludf.DUMMYFUNCTION("REGEXEXTRACT(C16, ""https?:\/\/(?:.*\.)*(.+\..+?)\/"")"),"havstomt.se")</f>
        <v>havstomt.se</v>
      </c>
      <c r="C16" s="4" t="s">
        <v>44</v>
      </c>
      <c r="D16" s="4" t="s">
        <v>45</v>
      </c>
      <c r="E16" s="5" t="s">
        <v>46</v>
      </c>
      <c r="F16" s="5" t="str">
        <f t="shared" si="0"/>
        <v>elenkelt.se</v>
      </c>
      <c r="G16" s="5" t="s">
        <v>34</v>
      </c>
      <c r="H16" s="5" t="s">
        <v>5</v>
      </c>
      <c r="I16" s="6">
        <v>44848</v>
      </c>
    </row>
    <row r="17" spans="1:9" ht="13.5">
      <c r="A17" s="2" t="s">
        <v>1</v>
      </c>
      <c r="B17" s="3" t="str">
        <f ca="1">IFERROR(__xludf.DUMMYFUNCTION("REGEXEXTRACT(C17, ""https?:\/\/(?:.*\.)*(.+\..+?)\/"")"),"frii.se")</f>
        <v>frii.se</v>
      </c>
      <c r="C17" s="4" t="s">
        <v>47</v>
      </c>
      <c r="D17" s="4" t="s">
        <v>48</v>
      </c>
      <c r="E17" s="5" t="s">
        <v>49</v>
      </c>
      <c r="F17" s="5" t="str">
        <f t="shared" si="0"/>
        <v>haxan.se</v>
      </c>
      <c r="G17" s="5" t="s">
        <v>4</v>
      </c>
      <c r="H17" s="5" t="s">
        <v>5</v>
      </c>
      <c r="I17" s="6">
        <v>44848</v>
      </c>
    </row>
    <row r="18" spans="1:9" ht="13.5">
      <c r="A18" s="2" t="s">
        <v>11</v>
      </c>
      <c r="B18" s="3" t="str">
        <f ca="1">IFERROR(__xludf.DUMMYFUNCTION("REGEXEXTRACT(C18, ""https?:\/\/(?:.*\.)*(.+\..+?)\/"")"),"totallyorebro.se")</f>
        <v>totallyorebro.se</v>
      </c>
      <c r="C18" s="4" t="s">
        <v>50</v>
      </c>
      <c r="D18" s="4" t="s">
        <v>51</v>
      </c>
      <c r="E18" s="5" t="s">
        <v>52</v>
      </c>
      <c r="F18" s="5" t="str">
        <f t="shared" si="0"/>
        <v>ljusgrossisten.se</v>
      </c>
      <c r="G18" s="5" t="s">
        <v>4</v>
      </c>
      <c r="H18" s="5" t="s">
        <v>5</v>
      </c>
      <c r="I18" s="6">
        <v>44850</v>
      </c>
    </row>
    <row r="19" spans="1:9" ht="13.5">
      <c r="A19" s="2" t="s">
        <v>16</v>
      </c>
      <c r="B19" s="3" t="str">
        <f ca="1">IFERROR(__xludf.DUMMYFUNCTION("REGEXEXTRACT(C19, ""https?:\/\/(?:.*\.)*(.+\..+?)\/"")"),"medtechmagazine.se")</f>
        <v>medtechmagazine.se</v>
      </c>
      <c r="C19" s="4" t="s">
        <v>53</v>
      </c>
      <c r="D19" s="4" t="s">
        <v>18</v>
      </c>
      <c r="E19" s="5" t="s">
        <v>42</v>
      </c>
      <c r="F19" s="5" t="str">
        <f t="shared" si="0"/>
        <v>chronos.se</v>
      </c>
      <c r="G19" s="5" t="s">
        <v>4</v>
      </c>
      <c r="H19" s="5" t="s">
        <v>5</v>
      </c>
      <c r="I19" s="6">
        <v>44852</v>
      </c>
    </row>
    <row r="20" spans="1:9" ht="13.5">
      <c r="A20" s="2" t="s">
        <v>43</v>
      </c>
      <c r="B20" s="3" t="str">
        <f ca="1">IFERROR(__xludf.DUMMYFUNCTION("REGEXEXTRACT(C20, ""https?:\/\/(?:.*\.)*(.+\..+?)\/"")"),"eventeffect.se")</f>
        <v>eventeffect.se</v>
      </c>
      <c r="C20" s="4" t="s">
        <v>54</v>
      </c>
      <c r="D20" s="4" t="s">
        <v>45</v>
      </c>
      <c r="E20" s="5" t="s">
        <v>55</v>
      </c>
      <c r="F20" s="5" t="str">
        <f t="shared" si="0"/>
        <v>elenkelt.se</v>
      </c>
      <c r="G20" s="5" t="s">
        <v>4</v>
      </c>
      <c r="H20" s="5" t="s">
        <v>5</v>
      </c>
      <c r="I20" s="6">
        <v>44852</v>
      </c>
    </row>
    <row r="21" spans="1:9" ht="13.5">
      <c r="A21" s="2" t="s">
        <v>20</v>
      </c>
      <c r="B21" s="3" t="str">
        <f ca="1">IFERROR(__xludf.DUMMYFUNCTION("REGEXEXTRACT(C21, ""https?:\/\/(?:.*\.)*(.+\..+?)\/"")"),"talentedladiesclub.com")</f>
        <v>talentedladiesclub.com</v>
      </c>
      <c r="C21" s="4" t="s">
        <v>56</v>
      </c>
      <c r="D21" s="4" t="s">
        <v>57</v>
      </c>
      <c r="E21" s="9" t="s">
        <v>57</v>
      </c>
      <c r="F21" s="5" t="str">
        <f t="shared" si="0"/>
        <v>blugiallo.com</v>
      </c>
      <c r="G21" s="5" t="s">
        <v>4</v>
      </c>
      <c r="H21" s="5" t="s">
        <v>23</v>
      </c>
      <c r="I21" s="6">
        <v>44854</v>
      </c>
    </row>
    <row r="22" spans="1:9" ht="13.5">
      <c r="A22" s="7" t="s">
        <v>31</v>
      </c>
      <c r="B22" s="3" t="str">
        <f ca="1">IFERROR(__xludf.DUMMYFUNCTION("REGEXEXTRACT(C22, ""https?:\/\/(?:.*\.)*(.+\..+?)\/"")"),"tidskriftenskeppet.se")</f>
        <v>tidskriftenskeppet.se</v>
      </c>
      <c r="C22" s="4" t="s">
        <v>58</v>
      </c>
      <c r="D22" s="4" t="s">
        <v>39</v>
      </c>
      <c r="E22" s="5" t="s">
        <v>59</v>
      </c>
      <c r="F22" s="5" t="str">
        <f t="shared" si="0"/>
        <v>bästförsäkringar.se</v>
      </c>
      <c r="G22" s="5" t="s">
        <v>4</v>
      </c>
      <c r="H22" s="5" t="s">
        <v>5</v>
      </c>
      <c r="I22" s="6">
        <v>44854</v>
      </c>
    </row>
    <row r="23" spans="1:9" ht="13.5">
      <c r="A23" s="2" t="s">
        <v>1</v>
      </c>
      <c r="B23" s="3" t="str">
        <f ca="1">IFERROR(__xludf.DUMMYFUNCTION("REGEXEXTRACT(C23, ""https?:\/\/(?:.*\.)*(.+\..+?)\/"")"),"#N/A")</f>
        <v>#N/A</v>
      </c>
      <c r="C23" s="8" t="s">
        <v>60</v>
      </c>
      <c r="D23" s="4" t="s">
        <v>3</v>
      </c>
      <c r="E23" s="5" t="s">
        <v>61</v>
      </c>
      <c r="F23" s="5" t="str">
        <f t="shared" si="0"/>
        <v>haxan.se</v>
      </c>
      <c r="G23" s="5" t="s">
        <v>34</v>
      </c>
      <c r="H23" s="5" t="s">
        <v>5</v>
      </c>
      <c r="I23" s="6">
        <v>44854</v>
      </c>
    </row>
    <row r="24" spans="1:9" ht="13.5">
      <c r="A24" s="2" t="s">
        <v>16</v>
      </c>
      <c r="B24" s="3" t="str">
        <f ca="1">IFERROR(__xludf.DUMMYFUNCTION("REGEXEXTRACT(C24, ""https?:\/\/(?:.*\.)*(.+\..+?)\/"")"),"halmstadextra.se")</f>
        <v>halmstadextra.se</v>
      </c>
      <c r="C24" s="4" t="s">
        <v>62</v>
      </c>
      <c r="D24" s="4" t="s">
        <v>18</v>
      </c>
      <c r="E24" s="5" t="s">
        <v>42</v>
      </c>
      <c r="F24" s="5" t="str">
        <f t="shared" si="0"/>
        <v>chronos.se</v>
      </c>
      <c r="G24" s="5" t="s">
        <v>4</v>
      </c>
      <c r="H24" s="5" t="s">
        <v>5</v>
      </c>
      <c r="I24" s="6">
        <v>44858</v>
      </c>
    </row>
    <row r="25" spans="1:9" ht="13.5">
      <c r="A25" s="2" t="s">
        <v>1</v>
      </c>
      <c r="B25" s="3" t="str">
        <f ca="1">IFERROR(__xludf.DUMMYFUNCTION("REGEXEXTRACT(C25, ""https?:\/\/(?:.*\.)*(.+\..+?)\/"")"),"#N/A")</f>
        <v>#N/A</v>
      </c>
      <c r="C25" s="4" t="s">
        <v>63</v>
      </c>
      <c r="D25" s="4" t="s">
        <v>3</v>
      </c>
      <c r="E25" s="5" t="s">
        <v>10</v>
      </c>
      <c r="F25" s="5" t="str">
        <f t="shared" si="0"/>
        <v>haxan.se</v>
      </c>
      <c r="G25" s="5" t="s">
        <v>34</v>
      </c>
      <c r="H25" s="5" t="s">
        <v>5</v>
      </c>
      <c r="I25" s="6">
        <v>44858</v>
      </c>
    </row>
    <row r="26" spans="1:9" ht="13.5">
      <c r="A26" s="2" t="s">
        <v>11</v>
      </c>
      <c r="B26" s="3" t="str">
        <f ca="1">IFERROR(__xludf.DUMMYFUNCTION("REGEXEXTRACT(C26, ""https?:\/\/(?:.*\.)*(.+\..+?)\/"")"),"goteborgextra.se")</f>
        <v>goteborgextra.se</v>
      </c>
      <c r="C26" s="4" t="s">
        <v>64</v>
      </c>
      <c r="D26" s="4" t="s">
        <v>13</v>
      </c>
      <c r="E26" s="5" t="s">
        <v>14</v>
      </c>
      <c r="F26" s="5" t="str">
        <f t="shared" si="0"/>
        <v>ljusgrossisten.se</v>
      </c>
      <c r="G26" s="5" t="s">
        <v>4</v>
      </c>
      <c r="H26" s="5" t="s">
        <v>5</v>
      </c>
      <c r="I26" s="6">
        <v>44860</v>
      </c>
    </row>
    <row r="27" spans="1:9" ht="13.5">
      <c r="A27" s="7" t="s">
        <v>31</v>
      </c>
      <c r="B27" s="3" t="str">
        <f ca="1">IFERROR(__xludf.DUMMYFUNCTION("REGEXEXTRACT(C27, ""https?:\/\/(?:.*\.)*(.+\..+?)\/"")"),"hustillsalu.se")</f>
        <v>hustillsalu.se</v>
      </c>
      <c r="C27" s="4" t="s">
        <v>65</v>
      </c>
      <c r="D27" s="4" t="s">
        <v>39</v>
      </c>
      <c r="E27" s="5" t="s">
        <v>59</v>
      </c>
      <c r="F27" s="5" t="str">
        <f t="shared" si="0"/>
        <v>bästförsäkringar.se</v>
      </c>
      <c r="G27" s="5" t="s">
        <v>34</v>
      </c>
      <c r="H27" s="5" t="s">
        <v>5</v>
      </c>
      <c r="I27" s="6">
        <v>44866</v>
      </c>
    </row>
    <row r="28" spans="1:9" ht="13.5">
      <c r="A28" s="2" t="s">
        <v>16</v>
      </c>
      <c r="B28" s="3" t="str">
        <f ca="1">IFERROR(__xludf.DUMMYFUNCTION("REGEXEXTRACT(C28, ""https?:\/\/(?:.*\.)*(.+\..+?)\/"")"),"tvillingsajten.se")</f>
        <v>tvillingsajten.se</v>
      </c>
      <c r="C28" s="4" t="s">
        <v>66</v>
      </c>
      <c r="D28" s="4" t="s">
        <v>18</v>
      </c>
      <c r="E28" s="5" t="s">
        <v>42</v>
      </c>
      <c r="F28" s="5" t="str">
        <f t="shared" si="0"/>
        <v>chronos.se</v>
      </c>
      <c r="G28" s="5" t="s">
        <v>4</v>
      </c>
      <c r="H28" s="5" t="s">
        <v>5</v>
      </c>
      <c r="I28" s="6">
        <v>44866</v>
      </c>
    </row>
    <row r="29" spans="1:9" ht="13.5">
      <c r="A29" s="7" t="s">
        <v>67</v>
      </c>
      <c r="B29" s="3" t="str">
        <f ca="1">IFERROR(__xludf.DUMMYFUNCTION("REGEXEXTRACT(C29, ""https?:\/\/(?:.*\.)*(.+\..+?)\/"")"),"vasterasextra.se")</f>
        <v>vasterasextra.se</v>
      </c>
      <c r="C29" s="4" t="s">
        <v>68</v>
      </c>
      <c r="D29" s="4" t="s">
        <v>69</v>
      </c>
      <c r="E29" s="5" t="s">
        <v>70</v>
      </c>
      <c r="F29" s="5" t="str">
        <f t="shared" si="0"/>
        <v>nem.health</v>
      </c>
      <c r="G29" s="5" t="s">
        <v>4</v>
      </c>
      <c r="H29" s="5" t="s">
        <v>5</v>
      </c>
      <c r="I29" s="6">
        <v>44866</v>
      </c>
    </row>
    <row r="30" spans="1:9" ht="13.5">
      <c r="A30" s="2" t="s">
        <v>20</v>
      </c>
      <c r="B30" s="3" t="str">
        <f ca="1">IFERROR(__xludf.DUMMYFUNCTION("REGEXEXTRACT(C30, ""https?:\/\/(?:.*\.)*(.+\..+?)\/"")"),"allnewsmagazine.com")</f>
        <v>allnewsmagazine.com</v>
      </c>
      <c r="C30" s="4" t="s">
        <v>71</v>
      </c>
      <c r="D30" s="4" t="s">
        <v>29</v>
      </c>
      <c r="E30" s="5" t="s">
        <v>72</v>
      </c>
      <c r="F30" s="5" t="str">
        <f t="shared" si="0"/>
        <v>blugiallo.com</v>
      </c>
      <c r="G30" s="5" t="s">
        <v>4</v>
      </c>
      <c r="H30" s="5" t="s">
        <v>23</v>
      </c>
      <c r="I30" s="6">
        <v>44868</v>
      </c>
    </row>
    <row r="31" spans="1:9" ht="13.5">
      <c r="A31" s="2" t="s">
        <v>20</v>
      </c>
      <c r="B31" s="3" t="str">
        <f ca="1">IFERROR(__xludf.DUMMYFUNCTION("REGEXEXTRACT(C31, ""https?:\/\/(?:.*\.)*(.+\..+?)\/"")"),"elleblonde.com")</f>
        <v>elleblonde.com</v>
      </c>
      <c r="C31" s="4" t="s">
        <v>73</v>
      </c>
      <c r="D31" s="4" t="s">
        <v>29</v>
      </c>
      <c r="E31" s="9" t="s">
        <v>29</v>
      </c>
      <c r="F31" s="5" t="str">
        <f t="shared" si="0"/>
        <v>blugiallo.com</v>
      </c>
      <c r="G31" s="5" t="s">
        <v>4</v>
      </c>
      <c r="H31" s="5" t="s">
        <v>23</v>
      </c>
      <c r="I31" s="6">
        <v>44869</v>
      </c>
    </row>
    <row r="32" spans="1:9" ht="13.5">
      <c r="A32" s="7" t="s">
        <v>31</v>
      </c>
      <c r="B32" s="3" t="str">
        <f ca="1">IFERROR(__xludf.DUMMYFUNCTION("REGEXEXTRACT(C32, ""https?:\/\/(?:.*\.)*(.+\..+?)\/"")"),"#N/A")</f>
        <v>#N/A</v>
      </c>
      <c r="C32" s="8" t="s">
        <v>74</v>
      </c>
      <c r="D32" s="4" t="s">
        <v>33</v>
      </c>
      <c r="E32" s="5" t="s">
        <v>75</v>
      </c>
      <c r="F32" s="5" t="str">
        <f t="shared" si="0"/>
        <v>bästförsäkringar.se</v>
      </c>
      <c r="G32" s="5" t="s">
        <v>34</v>
      </c>
      <c r="H32" s="5" t="s">
        <v>5</v>
      </c>
      <c r="I32" s="6">
        <v>44869</v>
      </c>
    </row>
    <row r="33" spans="1:9" ht="13.5">
      <c r="A33" s="2" t="s">
        <v>1</v>
      </c>
      <c r="B33" s="3" t="str">
        <f ca="1">IFERROR(__xludf.DUMMYFUNCTION("REGEXEXTRACT(C33, ""https?:\/\/(?:.*\.)*(.+\..+?)\/"")"),"#N/A")</f>
        <v>#N/A</v>
      </c>
      <c r="C33" s="4" t="s">
        <v>76</v>
      </c>
      <c r="D33" s="4" t="s">
        <v>48</v>
      </c>
      <c r="E33" s="5" t="s">
        <v>77</v>
      </c>
      <c r="F33" s="5" t="str">
        <f t="shared" si="0"/>
        <v>haxan.se</v>
      </c>
      <c r="G33" s="5" t="s">
        <v>34</v>
      </c>
      <c r="H33" s="5" t="s">
        <v>5</v>
      </c>
      <c r="I33" s="6">
        <v>44869</v>
      </c>
    </row>
    <row r="34" spans="1:9" ht="13.5">
      <c r="A34" s="2" t="s">
        <v>11</v>
      </c>
      <c r="B34" s="3" t="str">
        <f ca="1">IFERROR(__xludf.DUMMYFUNCTION("REGEXEXTRACT(C34, ""https?:\/\/(?:.*\.)*(.+\..+?)\/"")"),"#N/A")</f>
        <v>#N/A</v>
      </c>
      <c r="C34" s="8" t="s">
        <v>78</v>
      </c>
      <c r="D34" s="4" t="s">
        <v>13</v>
      </c>
      <c r="E34" s="5" t="s">
        <v>14</v>
      </c>
      <c r="F34" s="5" t="str">
        <f t="shared" si="0"/>
        <v>ljusgrossisten.se</v>
      </c>
      <c r="G34" s="5" t="s">
        <v>34</v>
      </c>
      <c r="H34" s="5" t="s">
        <v>5</v>
      </c>
      <c r="I34" s="6">
        <v>44869</v>
      </c>
    </row>
    <row r="35" spans="1:9" ht="13.5">
      <c r="A35" s="7" t="s">
        <v>67</v>
      </c>
      <c r="B35" s="3" t="str">
        <f ca="1">IFERROR(__xludf.DUMMYFUNCTION("REGEXEXTRACT(C35, ""https?:\/\/(?:.*\.)*(.+\..+?)\/"")"),"#N/A")</f>
        <v>#N/A</v>
      </c>
      <c r="C35" s="8" t="s">
        <v>79</v>
      </c>
      <c r="D35" s="4" t="s">
        <v>69</v>
      </c>
      <c r="E35" s="5" t="s">
        <v>70</v>
      </c>
      <c r="F35" s="5" t="str">
        <f t="shared" si="0"/>
        <v>nem.health</v>
      </c>
      <c r="G35" s="5" t="s">
        <v>34</v>
      </c>
      <c r="H35" s="5" t="s">
        <v>5</v>
      </c>
      <c r="I35" s="6">
        <v>44869</v>
      </c>
    </row>
    <row r="36" spans="1:9" ht="13.5">
      <c r="A36" s="7" t="s">
        <v>31</v>
      </c>
      <c r="B36" s="3" t="str">
        <f ca="1">IFERROR(__xludf.DUMMYFUNCTION("REGEXEXTRACT(C36, ""https?:\/\/(?:.*\.)*(.+\..+?)\/"")"),"lyckoklovern.se")</f>
        <v>lyckoklovern.se</v>
      </c>
      <c r="C36" s="4" t="s">
        <v>80</v>
      </c>
      <c r="D36" s="4" t="s">
        <v>81</v>
      </c>
      <c r="E36" s="5" t="s">
        <v>82</v>
      </c>
      <c r="F36" s="5" t="str">
        <f t="shared" si="0"/>
        <v>bästförsäkringar.se</v>
      </c>
      <c r="G36" s="5" t="s">
        <v>4</v>
      </c>
      <c r="H36" s="5" t="s">
        <v>5</v>
      </c>
      <c r="I36" s="6">
        <v>44873</v>
      </c>
    </row>
    <row r="37" spans="1:9" ht="13.5">
      <c r="A37" s="2" t="s">
        <v>11</v>
      </c>
      <c r="B37" s="3" t="str">
        <f ca="1">IFERROR(__xludf.DUMMYFUNCTION("REGEXEXTRACT(C37, ""https?:\/\/(?:.*\.)*(.+\..+?)\/"")"),"hustillsalu.se")</f>
        <v>hustillsalu.se</v>
      </c>
      <c r="C37" s="4" t="s">
        <v>65</v>
      </c>
      <c r="D37" s="4" t="s">
        <v>11</v>
      </c>
      <c r="E37" s="5" t="s">
        <v>14</v>
      </c>
      <c r="F37" s="5" t="str">
        <f t="shared" si="0"/>
        <v>ljusgrossisten.se</v>
      </c>
      <c r="G37" s="5" t="s">
        <v>4</v>
      </c>
      <c r="H37" s="5" t="s">
        <v>5</v>
      </c>
      <c r="I37" s="6">
        <v>44875</v>
      </c>
    </row>
    <row r="38" spans="1:9" ht="13.5">
      <c r="A38" s="7" t="s">
        <v>31</v>
      </c>
      <c r="B38" s="3" t="str">
        <f ca="1">IFERROR(__xludf.DUMMYFUNCTION("REGEXEXTRACT(C38, ""https?:\/\/(?:.*\.)*(.+\..+?)\/"")"),"r1ekonomi.se")</f>
        <v>r1ekonomi.se</v>
      </c>
      <c r="C38" s="4" t="s">
        <v>83</v>
      </c>
      <c r="D38" s="4" t="s">
        <v>33</v>
      </c>
      <c r="E38" s="5" t="s">
        <v>31</v>
      </c>
      <c r="F38" s="5" t="str">
        <f t="shared" si="0"/>
        <v>bästförsäkringar.se</v>
      </c>
      <c r="G38" s="5" t="s">
        <v>4</v>
      </c>
      <c r="H38" s="5" t="s">
        <v>5</v>
      </c>
      <c r="I38" s="6">
        <v>44876</v>
      </c>
    </row>
    <row r="39" spans="1:9" ht="13.5">
      <c r="A39" s="7" t="s">
        <v>67</v>
      </c>
      <c r="B39" s="3" t="str">
        <f ca="1">IFERROR(__xludf.DUMMYFUNCTION("REGEXEXTRACT(C39, ""https?:\/\/(?:.*\.)*(.+\..+?)\/"")"),"malmflod.se")</f>
        <v>malmflod.se</v>
      </c>
      <c r="C39" s="4" t="s">
        <v>84</v>
      </c>
      <c r="D39" s="4" t="s">
        <v>69</v>
      </c>
      <c r="E39" s="5" t="s">
        <v>85</v>
      </c>
      <c r="F39" s="5" t="str">
        <f t="shared" si="0"/>
        <v>nem.health</v>
      </c>
      <c r="G39" s="5" t="s">
        <v>4</v>
      </c>
      <c r="H39" s="5" t="s">
        <v>5</v>
      </c>
      <c r="I39" s="6">
        <v>44876</v>
      </c>
    </row>
    <row r="40" spans="1:9" ht="13.5">
      <c r="A40" s="2" t="s">
        <v>86</v>
      </c>
      <c r="B40" s="3" t="str">
        <f ca="1">IFERROR(__xludf.DUMMYFUNCTION("REGEXEXTRACT(C40, ""https?:\/\/(?:.*\.)*(.+\..+?)\/"")"),"babyblogg.se")</f>
        <v>babyblogg.se</v>
      </c>
      <c r="C40" s="4" t="s">
        <v>87</v>
      </c>
      <c r="D40" s="4" t="s">
        <v>88</v>
      </c>
      <c r="E40" s="5" t="s">
        <v>89</v>
      </c>
      <c r="F40" s="5" t="str">
        <f t="shared" si="0"/>
        <v>kopbarnvagn.se</v>
      </c>
      <c r="G40" s="5" t="s">
        <v>4</v>
      </c>
      <c r="H40" s="5" t="s">
        <v>5</v>
      </c>
      <c r="I40" s="6">
        <v>44882</v>
      </c>
    </row>
    <row r="41" spans="1:9" ht="13.5">
      <c r="A41" s="2" t="s">
        <v>16</v>
      </c>
      <c r="B41" s="3" t="str">
        <f ca="1">IFERROR(__xludf.DUMMYFUNCTION("REGEXEXTRACT(C41, ""https?:\/\/(?:.*\.)*(.+\..+?)\/"")"),"modernalivet.se")</f>
        <v>modernalivet.se</v>
      </c>
      <c r="C41" s="4" t="s">
        <v>90</v>
      </c>
      <c r="D41" s="4" t="s">
        <v>91</v>
      </c>
      <c r="E41" s="5" t="s">
        <v>92</v>
      </c>
      <c r="F41" s="5" t="str">
        <f t="shared" si="0"/>
        <v>chronos.se</v>
      </c>
      <c r="G41" s="5" t="s">
        <v>4</v>
      </c>
      <c r="H41" s="5" t="s">
        <v>5</v>
      </c>
      <c r="I41" s="6">
        <v>44883</v>
      </c>
    </row>
    <row r="42" spans="1:9" ht="13.5">
      <c r="A42" s="2" t="s">
        <v>1</v>
      </c>
      <c r="B42" s="3" t="str">
        <f ca="1">IFERROR(__xludf.DUMMYFUNCTION("REGEXEXTRACT(C42, ""https?:\/\/(?:.*\.)*(.+\..+?)\/"")"),"stilero.se")</f>
        <v>stilero.se</v>
      </c>
      <c r="C42" s="4" t="s">
        <v>93</v>
      </c>
      <c r="D42" s="4" t="s">
        <v>3</v>
      </c>
      <c r="E42" s="5" t="s">
        <v>10</v>
      </c>
      <c r="F42" s="5" t="str">
        <f t="shared" si="0"/>
        <v>haxan.se</v>
      </c>
      <c r="G42" s="5" t="s">
        <v>94</v>
      </c>
      <c r="H42" s="5" t="s">
        <v>5</v>
      </c>
      <c r="I42" s="6">
        <v>44883</v>
      </c>
    </row>
    <row r="43" spans="1:9" ht="13.5">
      <c r="A43" s="2" t="s">
        <v>86</v>
      </c>
      <c r="B43" s="3" t="str">
        <f ca="1">IFERROR(__xludf.DUMMYFUNCTION("REGEXEXTRACT(C43, ""https?:\/\/(?:.*\.)*(.+\..+?)\/"")"),"syskonvagn.nu")</f>
        <v>syskonvagn.nu</v>
      </c>
      <c r="C43" s="4" t="s">
        <v>95</v>
      </c>
      <c r="D43" s="4" t="s">
        <v>96</v>
      </c>
      <c r="E43" s="5" t="s">
        <v>97</v>
      </c>
      <c r="F43" s="5" t="str">
        <f t="shared" si="0"/>
        <v>kopbarnvagn.se</v>
      </c>
      <c r="G43" s="5" t="s">
        <v>34</v>
      </c>
      <c r="H43" s="5" t="s">
        <v>5</v>
      </c>
      <c r="I43" s="6">
        <v>44883</v>
      </c>
    </row>
    <row r="44" spans="1:9" ht="13.5">
      <c r="A44" s="7" t="s">
        <v>67</v>
      </c>
      <c r="B44" s="3" t="str">
        <f ca="1">IFERROR(__xludf.DUMMYFUNCTION("REGEXEXTRACT(C44, ""https?:\/\/(?:.*\.)*(.+\..+?)\/"")"),"fashionablefit.net")</f>
        <v>fashionablefit.net</v>
      </c>
      <c r="C44" s="4" t="s">
        <v>98</v>
      </c>
      <c r="D44" s="4" t="s">
        <v>69</v>
      </c>
      <c r="E44" s="5" t="s">
        <v>99</v>
      </c>
      <c r="F44" s="5" t="str">
        <f t="shared" si="0"/>
        <v>nem.health</v>
      </c>
      <c r="G44" s="5" t="s">
        <v>34</v>
      </c>
      <c r="H44" s="5" t="s">
        <v>5</v>
      </c>
      <c r="I44" s="6">
        <v>44883</v>
      </c>
    </row>
    <row r="45" spans="1:9" ht="13.5">
      <c r="A45" s="2" t="s">
        <v>100</v>
      </c>
      <c r="B45" s="3" t="str">
        <f ca="1">IFERROR(__xludf.DUMMYFUNCTION("REGEXEXTRACT(C45, ""https?:\/\/(?:.*\.)*(.+\..+?)\/"")"),"isla.se")</f>
        <v>isla.se</v>
      </c>
      <c r="C45" s="4" t="s">
        <v>101</v>
      </c>
      <c r="D45" s="4" t="s">
        <v>102</v>
      </c>
      <c r="E45" s="5" t="s">
        <v>103</v>
      </c>
      <c r="F45" s="5" t="str">
        <f t="shared" si="0"/>
        <v>bigbenstandup.com</v>
      </c>
      <c r="G45" s="5" t="s">
        <v>4</v>
      </c>
      <c r="H45" s="5" t="s">
        <v>5</v>
      </c>
      <c r="I45" s="6">
        <v>44888</v>
      </c>
    </row>
    <row r="46" spans="1:9" ht="13.5">
      <c r="A46" s="2" t="s">
        <v>20</v>
      </c>
      <c r="B46" s="3" t="str">
        <f ca="1">IFERROR(__xludf.DUMMYFUNCTION("REGEXEXTRACT(C46, ""https?:\/\/(?:.*\.)*(.+\..+?)\/"")"),"menshairstylesx.com")</f>
        <v>menshairstylesx.com</v>
      </c>
      <c r="C46" s="4" t="s">
        <v>104</v>
      </c>
      <c r="D46" s="4" t="s">
        <v>57</v>
      </c>
      <c r="E46" s="9" t="s">
        <v>57</v>
      </c>
      <c r="F46" s="5" t="str">
        <f t="shared" si="0"/>
        <v>blugiallo.com</v>
      </c>
      <c r="G46" s="5" t="s">
        <v>4</v>
      </c>
      <c r="H46" s="5" t="s">
        <v>23</v>
      </c>
      <c r="I46" s="6">
        <v>44888</v>
      </c>
    </row>
    <row r="47" spans="1:9" ht="13.5">
      <c r="A47" s="2" t="s">
        <v>11</v>
      </c>
      <c r="B47" s="3" t="str">
        <f ca="1">IFERROR(__xludf.DUMMYFUNCTION("REGEXEXTRACT(C47, ""https?:\/\/(?:.*\.)*(.+\..+?)\/"")"),"playhd.se")</f>
        <v>playhd.se</v>
      </c>
      <c r="C47" s="4" t="s">
        <v>105</v>
      </c>
      <c r="D47" s="4" t="s">
        <v>106</v>
      </c>
      <c r="E47" s="5" t="s">
        <v>107</v>
      </c>
      <c r="F47" s="5" t="str">
        <f t="shared" si="0"/>
        <v>ljusgrossisten.se</v>
      </c>
      <c r="G47" s="5" t="s">
        <v>4</v>
      </c>
      <c r="H47" s="5" t="s">
        <v>5</v>
      </c>
      <c r="I47" s="6">
        <v>44888</v>
      </c>
    </row>
    <row r="48" spans="1:9" ht="13.5">
      <c r="A48" s="7" t="s">
        <v>67</v>
      </c>
      <c r="B48" s="3" t="str">
        <f ca="1">IFERROR(__xludf.DUMMYFUNCTION("REGEXEXTRACT(C48, ""https?:\/\/(?:.*\.)*(.+\..+?)\/"")"),"tidskriftenskeppet.se")</f>
        <v>tidskriftenskeppet.se</v>
      </c>
      <c r="C48" s="4" t="s">
        <v>108</v>
      </c>
      <c r="D48" s="4" t="s">
        <v>69</v>
      </c>
      <c r="E48" s="9" t="s">
        <v>69</v>
      </c>
      <c r="F48" s="5" t="str">
        <f t="shared" si="0"/>
        <v>nem.health</v>
      </c>
      <c r="G48" s="5" t="s">
        <v>4</v>
      </c>
      <c r="H48" s="5" t="s">
        <v>5</v>
      </c>
      <c r="I48" s="6">
        <v>44888</v>
      </c>
    </row>
    <row r="49" spans="1:9" ht="13.5">
      <c r="A49" s="2" t="s">
        <v>16</v>
      </c>
      <c r="B49" s="3" t="str">
        <f ca="1">IFERROR(__xludf.DUMMYFUNCTION("REGEXEXTRACT(C49, ""https?:\/\/(?:.*\.)*(.+\..+?)\/"")"),"laxrecept.se")</f>
        <v>laxrecept.se</v>
      </c>
      <c r="C49" s="4" t="s">
        <v>109</v>
      </c>
      <c r="D49" s="4" t="s">
        <v>110</v>
      </c>
      <c r="E49" s="5" t="s">
        <v>111</v>
      </c>
      <c r="F49" s="5" t="str">
        <f t="shared" si="0"/>
        <v>chronos.se</v>
      </c>
      <c r="G49" s="5" t="s">
        <v>4</v>
      </c>
      <c r="H49" s="5" t="s">
        <v>5</v>
      </c>
      <c r="I49" s="6">
        <v>44889</v>
      </c>
    </row>
    <row r="50" spans="1:9" ht="13.5">
      <c r="A50" s="2" t="s">
        <v>20</v>
      </c>
      <c r="B50" s="3" t="str">
        <f ca="1">IFERROR(__xludf.DUMMYFUNCTION("REGEXEXTRACT(C50, ""https?:\/\/(?:.*\.)*(.+\..+?)\/"")"),"co.uk")</f>
        <v>co.uk</v>
      </c>
      <c r="C50" s="4" t="s">
        <v>112</v>
      </c>
      <c r="D50" s="4" t="s">
        <v>113</v>
      </c>
      <c r="E50" s="5" t="s">
        <v>114</v>
      </c>
      <c r="F50" s="5" t="str">
        <f t="shared" si="0"/>
        <v>blugiallo.com</v>
      </c>
      <c r="G50" s="5" t="s">
        <v>4</v>
      </c>
      <c r="H50" s="5" t="s">
        <v>23</v>
      </c>
      <c r="I50" s="6">
        <v>44890</v>
      </c>
    </row>
    <row r="51" spans="1:9" ht="13.5">
      <c r="A51" s="2" t="s">
        <v>86</v>
      </c>
      <c r="B51" s="3" t="str">
        <f ca="1">IFERROR(__xludf.DUMMYFUNCTION("REGEXEXTRACT(C51, ""https?:\/\/(?:.*\.)*(.+\..+?)\/"")"),"parkleken.se")</f>
        <v>parkleken.se</v>
      </c>
      <c r="C51" s="4" t="s">
        <v>115</v>
      </c>
      <c r="D51" s="4" t="s">
        <v>88</v>
      </c>
      <c r="E51" s="5" t="s">
        <v>97</v>
      </c>
      <c r="F51" s="5" t="str">
        <f t="shared" si="0"/>
        <v>kopbarnvagn.se</v>
      </c>
      <c r="G51" s="5" t="s">
        <v>34</v>
      </c>
      <c r="H51" s="5" t="s">
        <v>5</v>
      </c>
      <c r="I51" s="6">
        <v>44890</v>
      </c>
    </row>
    <row r="52" spans="1:9" ht="13.5">
      <c r="A52" s="7" t="s">
        <v>31</v>
      </c>
      <c r="B52" s="3" t="str">
        <f ca="1">IFERROR(__xludf.DUMMYFUNCTION("REGEXEXTRACT(C52, ""https?:\/\/(?:.*\.)*(.+\..+?)\/"")"),"revrise.se")</f>
        <v>revrise.se</v>
      </c>
      <c r="C52" s="4" t="s">
        <v>116</v>
      </c>
      <c r="D52" s="4" t="s">
        <v>117</v>
      </c>
      <c r="E52" s="5" t="s">
        <v>118</v>
      </c>
      <c r="F52" s="5" t="str">
        <f t="shared" si="0"/>
        <v>bästförsäkringar.se</v>
      </c>
      <c r="G52" s="5" t="s">
        <v>4</v>
      </c>
      <c r="H52" s="5" t="s">
        <v>5</v>
      </c>
      <c r="I52" s="6">
        <v>44892</v>
      </c>
    </row>
    <row r="53" spans="1:9" ht="13.5">
      <c r="A53" s="7" t="s">
        <v>31</v>
      </c>
      <c r="B53" s="3" t="str">
        <f ca="1">IFERROR(__xludf.DUMMYFUNCTION("REGEXEXTRACT(C53, ""https?:\/\/(?:.*\.)*(.+\..+?)\/"")"),"#N/A")</f>
        <v>#N/A</v>
      </c>
      <c r="C53" s="8" t="s">
        <v>119</v>
      </c>
      <c r="D53" s="4" t="s">
        <v>120</v>
      </c>
      <c r="E53" s="5" t="s">
        <v>121</v>
      </c>
      <c r="F53" s="5" t="str">
        <f t="shared" si="0"/>
        <v>bästförsäkringar.se</v>
      </c>
      <c r="G53" s="5" t="s">
        <v>34</v>
      </c>
      <c r="H53" s="5" t="s">
        <v>5</v>
      </c>
      <c r="I53" s="6">
        <v>44893</v>
      </c>
    </row>
    <row r="54" spans="1:9" ht="13.5">
      <c r="A54" s="2" t="s">
        <v>1</v>
      </c>
      <c r="B54" s="3" t="str">
        <f ca="1">IFERROR(__xludf.DUMMYFUNCTION("REGEXEXTRACT(C54, ""https?:\/\/(?:.*\.)*(.+\..+?)\/"")"),"missli.se")</f>
        <v>missli.se</v>
      </c>
      <c r="C54" s="4" t="s">
        <v>122</v>
      </c>
      <c r="D54" s="4" t="s">
        <v>123</v>
      </c>
      <c r="E54" s="5" t="s">
        <v>124</v>
      </c>
      <c r="F54" s="5" t="str">
        <f t="shared" si="0"/>
        <v>haxan.se</v>
      </c>
      <c r="G54" s="5" t="s">
        <v>34</v>
      </c>
      <c r="H54" s="5" t="s">
        <v>5</v>
      </c>
      <c r="I54" s="6">
        <v>44894</v>
      </c>
    </row>
    <row r="55" spans="1:9" ht="13.5">
      <c r="A55" s="7" t="s">
        <v>31</v>
      </c>
      <c r="B55" s="3" t="str">
        <f ca="1">IFERROR(__xludf.DUMMYFUNCTION("REGEXEXTRACT(C55, ""https?:\/\/(?:.*\.)*(.+\..+?)\/"")"),"andrashop.se")</f>
        <v>andrashop.se</v>
      </c>
      <c r="C55" s="4" t="s">
        <v>125</v>
      </c>
      <c r="D55" s="4" t="s">
        <v>81</v>
      </c>
      <c r="E55" s="5" t="s">
        <v>126</v>
      </c>
      <c r="F55" s="5" t="str">
        <f t="shared" si="0"/>
        <v>bästförsäkringar.se</v>
      </c>
      <c r="G55" s="5" t="s">
        <v>94</v>
      </c>
      <c r="H55" s="5" t="s">
        <v>5</v>
      </c>
      <c r="I55" s="6">
        <v>44895</v>
      </c>
    </row>
    <row r="56" spans="1:9" ht="13.5">
      <c r="A56" s="2" t="s">
        <v>11</v>
      </c>
      <c r="B56" s="3" t="str">
        <f ca="1">IFERROR(__xludf.DUMMYFUNCTION("REGEXEXTRACT(C56, ""https?:\/\/(?:.*\.)*(.+\..+?)\/"")"),"stilero.se")</f>
        <v>stilero.se</v>
      </c>
      <c r="C56" s="4" t="s">
        <v>127</v>
      </c>
      <c r="D56" s="4" t="s">
        <v>13</v>
      </c>
      <c r="E56" s="5" t="s">
        <v>14</v>
      </c>
      <c r="F56" s="5" t="str">
        <f t="shared" si="0"/>
        <v>ljusgrossisten.se</v>
      </c>
      <c r="G56" s="5" t="s">
        <v>4</v>
      </c>
      <c r="H56" s="5" t="s">
        <v>5</v>
      </c>
      <c r="I56" s="6">
        <v>44895</v>
      </c>
    </row>
    <row r="57" spans="1:9" ht="13.5">
      <c r="A57" s="2" t="s">
        <v>128</v>
      </c>
      <c r="B57" s="3" t="str">
        <f ca="1">IFERROR(__xludf.DUMMYFUNCTION("REGEXEXTRACT(C57, ""https?:\/\/(?:.*\.)*(.+\..+?)\/"")"),"hustillsalu.se")</f>
        <v>hustillsalu.se</v>
      </c>
      <c r="C57" s="4" t="s">
        <v>65</v>
      </c>
      <c r="D57" s="4" t="s">
        <v>129</v>
      </c>
      <c r="E57" s="5" t="s">
        <v>130</v>
      </c>
      <c r="F57" s="5" t="str">
        <f t="shared" si="0"/>
        <v>elmarknad.se</v>
      </c>
      <c r="G57" s="5" t="s">
        <v>34</v>
      </c>
      <c r="H57" s="5" t="s">
        <v>5</v>
      </c>
      <c r="I57" s="6">
        <v>44896</v>
      </c>
    </row>
    <row r="58" spans="1:9" ht="13.5">
      <c r="A58" s="2" t="s">
        <v>86</v>
      </c>
      <c r="B58" s="3" t="str">
        <f ca="1">IFERROR(__xludf.DUMMYFUNCTION("REGEXEXTRACT(C58, ""https?:\/\/(?:.*\.)*(.+\..+?)\/"")"),"stilero.se")</f>
        <v>stilero.se</v>
      </c>
      <c r="C58" s="4" t="s">
        <v>131</v>
      </c>
      <c r="D58" s="4" t="s">
        <v>88</v>
      </c>
      <c r="E58" s="5" t="s">
        <v>132</v>
      </c>
      <c r="F58" s="5" t="str">
        <f t="shared" si="0"/>
        <v>kopbarnvagn.se</v>
      </c>
      <c r="G58" s="5" t="s">
        <v>4</v>
      </c>
      <c r="H58" s="5" t="s">
        <v>5</v>
      </c>
      <c r="I58" s="6">
        <v>44896</v>
      </c>
    </row>
    <row r="59" spans="1:9" ht="13.5">
      <c r="A59" s="2" t="s">
        <v>86</v>
      </c>
      <c r="B59" s="3" t="str">
        <f ca="1">IFERROR(__xludf.DUMMYFUNCTION("REGEXEXTRACT(C59, ""https?:\/\/(?:.*\.)*(.+\..+?)\/"")"),"sipski.se")</f>
        <v>sipski.se</v>
      </c>
      <c r="C59" s="4" t="s">
        <v>133</v>
      </c>
      <c r="D59" s="4" t="s">
        <v>134</v>
      </c>
      <c r="E59" s="5" t="s">
        <v>135</v>
      </c>
      <c r="F59" s="5" t="str">
        <f t="shared" si="0"/>
        <v>kopbarnvagn.se</v>
      </c>
      <c r="G59" s="5" t="s">
        <v>34</v>
      </c>
      <c r="H59" s="5" t="s">
        <v>5</v>
      </c>
      <c r="I59" s="6">
        <v>44898</v>
      </c>
    </row>
    <row r="60" spans="1:9" ht="13.5">
      <c r="A60" s="2" t="s">
        <v>100</v>
      </c>
      <c r="B60" s="3" t="str">
        <f ca="1">IFERROR(__xludf.DUMMYFUNCTION("REGEXEXTRACT(C60, ""https?:\/\/(?:.*\.)*(.+\..+?)\/"")"),"tidskriftenskeppet.se")</f>
        <v>tidskriftenskeppet.se</v>
      </c>
      <c r="C60" s="4" t="s">
        <v>136</v>
      </c>
      <c r="D60" s="4" t="s">
        <v>102</v>
      </c>
      <c r="E60" s="5" t="s">
        <v>137</v>
      </c>
      <c r="F60" s="5" t="str">
        <f t="shared" si="0"/>
        <v>bigbenstandup.com</v>
      </c>
      <c r="G60" s="5" t="s">
        <v>4</v>
      </c>
      <c r="H60" s="5" t="s">
        <v>5</v>
      </c>
      <c r="I60" s="6">
        <v>44900</v>
      </c>
    </row>
    <row r="61" spans="1:9" ht="13.5">
      <c r="A61" s="2" t="s">
        <v>1</v>
      </c>
      <c r="B61" s="3" t="str">
        <f ca="1">IFERROR(__xludf.DUMMYFUNCTION("REGEXEXTRACT(C61, ""https?:\/\/(?:.*\.)*(.+\..+?)\/"")"),"veckodag.nu")</f>
        <v>veckodag.nu</v>
      </c>
      <c r="C61" s="4" t="s">
        <v>138</v>
      </c>
      <c r="D61" s="4" t="s">
        <v>123</v>
      </c>
      <c r="E61" s="5" t="s">
        <v>124</v>
      </c>
      <c r="F61" s="5" t="str">
        <f t="shared" si="0"/>
        <v>haxan.se</v>
      </c>
      <c r="G61" s="5" t="s">
        <v>4</v>
      </c>
      <c r="H61" s="5" t="s">
        <v>5</v>
      </c>
      <c r="I61" s="6">
        <v>44902</v>
      </c>
    </row>
    <row r="62" spans="1:9" ht="13.5">
      <c r="A62" s="2" t="s">
        <v>86</v>
      </c>
      <c r="B62" s="3" t="str">
        <f ca="1">IFERROR(__xludf.DUMMYFUNCTION("REGEXEXTRACT(C62, ""https?:\/\/(?:.*\.)*(.+\..+?)\/"")"),"barnfota.se")</f>
        <v>barnfota.se</v>
      </c>
      <c r="C62" s="4" t="s">
        <v>139</v>
      </c>
      <c r="D62" s="4" t="s">
        <v>88</v>
      </c>
      <c r="E62" s="5" t="s">
        <v>140</v>
      </c>
      <c r="F62" s="5" t="str">
        <f t="shared" si="0"/>
        <v>kopbarnvagn.se</v>
      </c>
      <c r="G62" s="5" t="s">
        <v>4</v>
      </c>
      <c r="H62" s="5" t="s">
        <v>5</v>
      </c>
      <c r="I62" s="6">
        <v>44902</v>
      </c>
    </row>
    <row r="63" spans="1:9" ht="13.5">
      <c r="A63" s="7" t="s">
        <v>67</v>
      </c>
      <c r="B63" s="3" t="str">
        <f ca="1">IFERROR(__xludf.DUMMYFUNCTION("REGEXEXTRACT(C63, ""https?:\/\/(?:.*\.)*(.+\..+?)\/"")"),"sipski.se")</f>
        <v>sipski.se</v>
      </c>
      <c r="C63" s="4" t="s">
        <v>141</v>
      </c>
      <c r="D63" s="4" t="s">
        <v>69</v>
      </c>
      <c r="E63" s="5" t="s">
        <v>142</v>
      </c>
      <c r="F63" s="5" t="str">
        <f t="shared" si="0"/>
        <v>nem.health</v>
      </c>
      <c r="G63" s="5" t="s">
        <v>4</v>
      </c>
      <c r="H63" s="5" t="s">
        <v>5</v>
      </c>
      <c r="I63" s="6">
        <v>44904</v>
      </c>
    </row>
    <row r="64" spans="1:9" ht="13.5">
      <c r="A64" s="2" t="s">
        <v>16</v>
      </c>
      <c r="B64" s="3" t="str">
        <f ca="1">IFERROR(__xludf.DUMMYFUNCTION("REGEXEXTRACT(C64, ""https?:\/\/(?:.*\.)*(.+\..+?)\/"")"),"frii.se")</f>
        <v>frii.se</v>
      </c>
      <c r="C64" s="4" t="s">
        <v>143</v>
      </c>
      <c r="D64" s="4" t="s">
        <v>18</v>
      </c>
      <c r="E64" s="5" t="s">
        <v>144</v>
      </c>
      <c r="F64" s="5" t="str">
        <f t="shared" si="0"/>
        <v>chronos.se</v>
      </c>
      <c r="G64" s="5" t="s">
        <v>4</v>
      </c>
      <c r="H64" s="5" t="s">
        <v>5</v>
      </c>
      <c r="I64" s="6">
        <v>44906</v>
      </c>
    </row>
    <row r="65" spans="1:9" ht="13.5">
      <c r="A65" s="2" t="s">
        <v>128</v>
      </c>
      <c r="B65" s="3" t="str">
        <f ca="1">IFERROR(__xludf.DUMMYFUNCTION("REGEXEXTRACT(C65, ""https?:\/\/(?:.*\.)*(.+\..+?)\/"")"),"eventeffect.se")</f>
        <v>eventeffect.se</v>
      </c>
      <c r="C65" s="4" t="s">
        <v>145</v>
      </c>
      <c r="D65" s="4" t="s">
        <v>129</v>
      </c>
      <c r="E65" s="5" t="s">
        <v>146</v>
      </c>
      <c r="F65" s="5" t="str">
        <f t="shared" si="0"/>
        <v>elmarknad.se</v>
      </c>
      <c r="G65" s="5" t="s">
        <v>4</v>
      </c>
      <c r="H65" s="5" t="s">
        <v>5</v>
      </c>
      <c r="I65" s="6">
        <v>44906</v>
      </c>
    </row>
    <row r="66" spans="1:9" ht="13.5">
      <c r="A66" s="2" t="s">
        <v>128</v>
      </c>
      <c r="B66" s="3" t="str">
        <f ca="1">IFERROR(__xludf.DUMMYFUNCTION("REGEXEXTRACT(C66, ""https?:\/\/(?:.*\.)*(.+\..+?)\/"")"),"frii.se")</f>
        <v>frii.se</v>
      </c>
      <c r="C66" s="4" t="s">
        <v>147</v>
      </c>
      <c r="D66" s="4" t="s">
        <v>129</v>
      </c>
      <c r="E66" s="5" t="s">
        <v>148</v>
      </c>
      <c r="F66" s="5" t="str">
        <f t="shared" si="0"/>
        <v>elmarknad.se</v>
      </c>
      <c r="G66" s="5" t="s">
        <v>4</v>
      </c>
      <c r="H66" s="5" t="s">
        <v>5</v>
      </c>
      <c r="I66" s="6">
        <v>44909</v>
      </c>
    </row>
    <row r="67" spans="1:9" ht="13.5">
      <c r="A67" s="2" t="s">
        <v>100</v>
      </c>
      <c r="B67" s="3" t="str">
        <f ca="1">IFERROR(__xludf.DUMMYFUNCTION("REGEXEXTRACT(C67, ""https?:\/\/(?:.*\.)*(.+\..+?)\/"")"),"frii.se")</f>
        <v>frii.se</v>
      </c>
      <c r="C67" s="4" t="s">
        <v>149</v>
      </c>
      <c r="D67" s="4" t="s">
        <v>102</v>
      </c>
      <c r="E67" s="5" t="s">
        <v>103</v>
      </c>
      <c r="F67" s="5" t="str">
        <f t="shared" ref="F67:F130" si="1">A67</f>
        <v>bigbenstandup.com</v>
      </c>
      <c r="G67" s="5" t="s">
        <v>4</v>
      </c>
      <c r="H67" s="5" t="s">
        <v>5</v>
      </c>
      <c r="I67" s="6">
        <v>44910</v>
      </c>
    </row>
    <row r="68" spans="1:9" ht="13.5">
      <c r="A68" s="2" t="s">
        <v>86</v>
      </c>
      <c r="B68" s="3" t="str">
        <f ca="1">IFERROR(__xludf.DUMMYFUNCTION("REGEXEXTRACT(C68, ""https?:\/\/(?:.*\.)*(.+\..+?)\/"")"),"xn--barnhrnan-47a.se")</f>
        <v>xn--barnhrnan-47a.se</v>
      </c>
      <c r="C68" s="4" t="s">
        <v>150</v>
      </c>
      <c r="D68" s="4" t="s">
        <v>88</v>
      </c>
      <c r="E68" s="5" t="s">
        <v>151</v>
      </c>
      <c r="F68" s="5" t="str">
        <f t="shared" si="1"/>
        <v>kopbarnvagn.se</v>
      </c>
      <c r="G68" s="5" t="s">
        <v>34</v>
      </c>
      <c r="H68" s="5" t="s">
        <v>5</v>
      </c>
      <c r="I68" s="6">
        <v>44910</v>
      </c>
    </row>
    <row r="69" spans="1:9" ht="13.5">
      <c r="A69" s="2" t="s">
        <v>86</v>
      </c>
      <c r="B69" s="3" t="str">
        <f ca="1">IFERROR(__xludf.DUMMYFUNCTION("REGEXEXTRACT(C69, ""https?:\/\/(?:.*\.)*(.+\..+?)\/"")"),"carolinkonig.se")</f>
        <v>carolinkonig.se</v>
      </c>
      <c r="C69" s="4" t="s">
        <v>152</v>
      </c>
      <c r="D69" s="4" t="s">
        <v>152</v>
      </c>
      <c r="E69" s="5" t="s">
        <v>153</v>
      </c>
      <c r="F69" s="5" t="str">
        <f t="shared" si="1"/>
        <v>kopbarnvagn.se</v>
      </c>
      <c r="G69" s="5" t="s">
        <v>4</v>
      </c>
      <c r="H69" s="5" t="s">
        <v>5</v>
      </c>
      <c r="I69" s="6">
        <v>44911</v>
      </c>
    </row>
    <row r="70" spans="1:9" ht="13.5">
      <c r="A70" s="2" t="s">
        <v>11</v>
      </c>
      <c r="B70" s="3" t="str">
        <f ca="1">IFERROR(__xludf.DUMMYFUNCTION("REGEXEXTRACT(C70, ""https?:\/\/(?:.*\.)*(.+\..+?)\/"")"),"sipski.se")</f>
        <v>sipski.se</v>
      </c>
      <c r="C70" s="4" t="s">
        <v>133</v>
      </c>
      <c r="D70" s="4" t="s">
        <v>13</v>
      </c>
      <c r="E70" s="5" t="s">
        <v>14</v>
      </c>
      <c r="F70" s="5" t="str">
        <f t="shared" si="1"/>
        <v>ljusgrossisten.se</v>
      </c>
      <c r="G70" s="5" t="s">
        <v>34</v>
      </c>
      <c r="H70" s="5" t="s">
        <v>5</v>
      </c>
      <c r="I70" s="6">
        <v>44914</v>
      </c>
    </row>
    <row r="71" spans="1:9" ht="13.5">
      <c r="A71" s="2" t="s">
        <v>16</v>
      </c>
      <c r="B71" s="3" t="str">
        <f ca="1">IFERROR(__xludf.DUMMYFUNCTION("REGEXEXTRACT(C71, ""https?:\/\/(?:.*\.)*(.+\..+?)\/"")"),"#N/A")</f>
        <v>#N/A</v>
      </c>
      <c r="C71" s="4" t="s">
        <v>154</v>
      </c>
      <c r="D71" s="4" t="s">
        <v>18</v>
      </c>
      <c r="E71" s="5" t="s">
        <v>42</v>
      </c>
      <c r="F71" s="5" t="str">
        <f t="shared" si="1"/>
        <v>chronos.se</v>
      </c>
      <c r="G71" s="5" t="s">
        <v>4</v>
      </c>
      <c r="H71" s="5" t="s">
        <v>5</v>
      </c>
      <c r="I71" s="6">
        <v>44916</v>
      </c>
    </row>
    <row r="72" spans="1:9" ht="13.5">
      <c r="A72" s="2" t="s">
        <v>1</v>
      </c>
      <c r="B72" s="3" t="str">
        <f ca="1">IFERROR(__xludf.DUMMYFUNCTION("REGEXEXTRACT(C72, ""https?:\/\/(?:.*\.)*(.+\..+?)\/"")"),"zelium.se")</f>
        <v>zelium.se</v>
      </c>
      <c r="C72" s="4" t="s">
        <v>155</v>
      </c>
      <c r="D72" s="8" t="s">
        <v>3</v>
      </c>
      <c r="E72" s="5" t="s">
        <v>10</v>
      </c>
      <c r="F72" s="5" t="str">
        <f t="shared" si="1"/>
        <v>haxan.se</v>
      </c>
      <c r="G72" s="5" t="s">
        <v>4</v>
      </c>
      <c r="H72" s="5" t="s">
        <v>5</v>
      </c>
      <c r="I72" s="6">
        <v>44917</v>
      </c>
    </row>
    <row r="73" spans="1:9" ht="13.5">
      <c r="A73" s="2" t="s">
        <v>156</v>
      </c>
      <c r="B73" s="3" t="str">
        <f ca="1">IFERROR(__xludf.DUMMYFUNCTION("REGEXEXTRACT(C73, ""https?:\/\/(?:.*\.)*(.+\..+?)\/"")"),"blueturtle.se")</f>
        <v>blueturtle.se</v>
      </c>
      <c r="C73" s="4" t="s">
        <v>157</v>
      </c>
      <c r="D73" s="4" t="s">
        <v>158</v>
      </c>
      <c r="E73" s="5" t="s">
        <v>159</v>
      </c>
      <c r="F73" s="5" t="str">
        <f t="shared" si="1"/>
        <v>askskinfo.com</v>
      </c>
      <c r="G73" s="5" t="s">
        <v>94</v>
      </c>
      <c r="H73" s="5" t="s">
        <v>5</v>
      </c>
      <c r="I73" s="6">
        <v>44917</v>
      </c>
    </row>
    <row r="74" spans="1:9" ht="13.5">
      <c r="A74" s="2" t="s">
        <v>86</v>
      </c>
      <c r="B74" s="3" t="str">
        <f ca="1">IFERROR(__xludf.DUMMYFUNCTION("REGEXEXTRACT(C74, ""https?:\/\/(?:.*\.)*(.+\..+?)\/"")"),"andrashop.se")</f>
        <v>andrashop.se</v>
      </c>
      <c r="C74" s="4" t="s">
        <v>160</v>
      </c>
      <c r="D74" s="4" t="s">
        <v>161</v>
      </c>
      <c r="E74" s="5" t="s">
        <v>162</v>
      </c>
      <c r="F74" s="5" t="str">
        <f t="shared" si="1"/>
        <v>kopbarnvagn.se</v>
      </c>
      <c r="G74" s="5" t="s">
        <v>4</v>
      </c>
      <c r="H74" s="5" t="s">
        <v>5</v>
      </c>
      <c r="I74" s="6">
        <v>44922</v>
      </c>
    </row>
    <row r="75" spans="1:9" ht="13.5">
      <c r="A75" s="2" t="s">
        <v>20</v>
      </c>
      <c r="B75" s="3" t="str">
        <f ca="1">IFERROR(__xludf.DUMMYFUNCTION("REGEXEXTRACT(C75, ""https?:\/\/(?:.*\.)*(.+\..+?)\/"")"),"publicistpaper.com")</f>
        <v>publicistpaper.com</v>
      </c>
      <c r="C75" s="4" t="s">
        <v>163</v>
      </c>
      <c r="D75" s="4" t="s">
        <v>57</v>
      </c>
      <c r="E75" s="9" t="s">
        <v>57</v>
      </c>
      <c r="F75" s="5" t="str">
        <f t="shared" si="1"/>
        <v>blugiallo.com</v>
      </c>
      <c r="G75" s="5"/>
      <c r="H75" s="5" t="s">
        <v>23</v>
      </c>
      <c r="I75" s="6">
        <v>44923</v>
      </c>
    </row>
    <row r="76" spans="1:9" ht="13.5">
      <c r="A76" s="2" t="s">
        <v>156</v>
      </c>
      <c r="B76" s="3" t="str">
        <f ca="1">IFERROR(__xludf.DUMMYFUNCTION("REGEXEXTRACT(C76, ""https?:\/\/(?:.*\.)*(.+\..+?)\/"")"),"andrashop.se")</f>
        <v>andrashop.se</v>
      </c>
      <c r="C76" s="4" t="s">
        <v>164</v>
      </c>
      <c r="D76" s="4" t="s">
        <v>165</v>
      </c>
      <c r="E76" s="5" t="s">
        <v>166</v>
      </c>
      <c r="F76" s="5" t="str">
        <f t="shared" si="1"/>
        <v>askskinfo.com</v>
      </c>
      <c r="G76" s="5" t="s">
        <v>4</v>
      </c>
      <c r="H76" s="5" t="s">
        <v>5</v>
      </c>
      <c r="I76" s="6">
        <v>44923</v>
      </c>
    </row>
    <row r="77" spans="1:9" ht="13.5">
      <c r="A77" s="2" t="s">
        <v>1</v>
      </c>
      <c r="B77" s="3" t="str">
        <f ca="1">IFERROR(__xludf.DUMMYFUNCTION("REGEXEXTRACT(C77, ""https?:\/\/(?:.*\.)*(.+\..+?)\/"")"),"andrashop.se")</f>
        <v>andrashop.se</v>
      </c>
      <c r="C77" s="4" t="s">
        <v>167</v>
      </c>
      <c r="D77" s="4" t="s">
        <v>3</v>
      </c>
      <c r="E77" s="5" t="s">
        <v>10</v>
      </c>
      <c r="F77" s="5" t="str">
        <f t="shared" si="1"/>
        <v>haxan.se</v>
      </c>
      <c r="G77" s="5" t="s">
        <v>4</v>
      </c>
      <c r="H77" s="5" t="s">
        <v>5</v>
      </c>
      <c r="I77" s="6">
        <v>44925</v>
      </c>
    </row>
    <row r="78" spans="1:9" ht="13.5">
      <c r="A78" s="2" t="s">
        <v>11</v>
      </c>
      <c r="B78" s="3" t="str">
        <f ca="1">IFERROR(__xludf.DUMMYFUNCTION("REGEXEXTRACT(C78, ""https?:\/\/(?:.*\.)*(.+\..+?)\/"")"),"freddielarsson.se")</f>
        <v>freddielarsson.se</v>
      </c>
      <c r="C78" s="4" t="s">
        <v>168</v>
      </c>
      <c r="D78" s="4" t="s">
        <v>169</v>
      </c>
      <c r="E78" s="5" t="s">
        <v>170</v>
      </c>
      <c r="F78" s="5" t="str">
        <f t="shared" si="1"/>
        <v>ljusgrossisten.se</v>
      </c>
      <c r="G78" s="5" t="s">
        <v>4</v>
      </c>
      <c r="H78" s="5" t="s">
        <v>5</v>
      </c>
      <c r="I78" s="6">
        <v>44925</v>
      </c>
    </row>
    <row r="79" spans="1:9" ht="13.5">
      <c r="A79" s="2" t="s">
        <v>171</v>
      </c>
      <c r="B79" s="3" t="str">
        <f ca="1">IFERROR(__xludf.DUMMYFUNCTION("REGEXEXTRACT(C79, ""https?:\/\/(?:.*\.)*(.+\..+?)\/"")"),"traningskort.se")</f>
        <v>traningskort.se</v>
      </c>
      <c r="C79" s="4" t="s">
        <v>172</v>
      </c>
      <c r="D79" s="4" t="s">
        <v>173</v>
      </c>
      <c r="E79" s="5" t="s">
        <v>174</v>
      </c>
      <c r="F79" s="5" t="str">
        <f t="shared" si="1"/>
        <v>arctic.se</v>
      </c>
      <c r="G79" s="5" t="s">
        <v>4</v>
      </c>
      <c r="H79" s="5" t="s">
        <v>5</v>
      </c>
      <c r="I79" s="6">
        <v>44928</v>
      </c>
    </row>
    <row r="80" spans="1:9" ht="13.5">
      <c r="A80" s="2" t="s">
        <v>128</v>
      </c>
      <c r="B80" s="3" t="str">
        <f ca="1">IFERROR(__xludf.DUMMYFUNCTION("REGEXEXTRACT(C80, ""https?:\/\/(?:.*\.)*(.+\..+?)\/"")"),"uppsalabostad.se")</f>
        <v>uppsalabostad.se</v>
      </c>
      <c r="C80" s="4" t="s">
        <v>175</v>
      </c>
      <c r="D80" s="4" t="s">
        <v>176</v>
      </c>
      <c r="E80" s="5" t="s">
        <v>177</v>
      </c>
      <c r="F80" s="5" t="str">
        <f t="shared" si="1"/>
        <v>elmarknad.se</v>
      </c>
      <c r="G80" s="5" t="s">
        <v>34</v>
      </c>
      <c r="H80" s="5" t="s">
        <v>5</v>
      </c>
      <c r="I80" s="6">
        <v>44935</v>
      </c>
    </row>
    <row r="81" spans="1:9" ht="13.5">
      <c r="A81" s="2" t="s">
        <v>11</v>
      </c>
      <c r="B81" s="3" t="str">
        <f ca="1">IFERROR(__xludf.DUMMYFUNCTION("REGEXEXTRACT(C81, ""https?:\/\/(?:.*\.)*(.+\..+?)\/"")"),"frii.se")</f>
        <v>frii.se</v>
      </c>
      <c r="C81" s="4" t="s">
        <v>178</v>
      </c>
      <c r="D81" s="4" t="s">
        <v>13</v>
      </c>
      <c r="E81" s="5" t="s">
        <v>179</v>
      </c>
      <c r="F81" s="5" t="str">
        <f t="shared" si="1"/>
        <v>ljusgrossisten.se</v>
      </c>
      <c r="G81" s="5" t="s">
        <v>4</v>
      </c>
      <c r="H81" s="5" t="s">
        <v>5</v>
      </c>
      <c r="I81" s="6">
        <v>44935</v>
      </c>
    </row>
    <row r="82" spans="1:9" ht="13.5">
      <c r="A82" s="2" t="s">
        <v>156</v>
      </c>
      <c r="B82" s="3" t="str">
        <f ca="1">IFERROR(__xludf.DUMMYFUNCTION("REGEXEXTRACT(C82, ""https?:\/\/(?:.*\.)*(.+\..+?)\/"")"),"frii.se")</f>
        <v>frii.se</v>
      </c>
      <c r="C82" s="4" t="s">
        <v>180</v>
      </c>
      <c r="D82" s="4" t="s">
        <v>181</v>
      </c>
      <c r="E82" s="5" t="s">
        <v>182</v>
      </c>
      <c r="F82" s="5" t="str">
        <f t="shared" si="1"/>
        <v>askskinfo.com</v>
      </c>
      <c r="G82" s="5" t="s">
        <v>4</v>
      </c>
      <c r="H82" s="5" t="s">
        <v>5</v>
      </c>
      <c r="I82" s="6">
        <v>44935</v>
      </c>
    </row>
    <row r="83" spans="1:9" ht="13.5">
      <c r="A83" s="2" t="s">
        <v>16</v>
      </c>
      <c r="B83" s="3" t="str">
        <f ca="1">IFERROR(__xludf.DUMMYFUNCTION("REGEXEXTRACT(C83, ""https?:\/\/(?:.*\.)*(.+\..+?)\/"")"),"guldkorn.nu")</f>
        <v>guldkorn.nu</v>
      </c>
      <c r="C83" s="4" t="s">
        <v>183</v>
      </c>
      <c r="D83" s="4" t="s">
        <v>110</v>
      </c>
      <c r="E83" s="5" t="s">
        <v>184</v>
      </c>
      <c r="F83" s="5" t="str">
        <f t="shared" si="1"/>
        <v>chronos.se</v>
      </c>
      <c r="G83" s="5" t="s">
        <v>4</v>
      </c>
      <c r="H83" s="5" t="s">
        <v>5</v>
      </c>
      <c r="I83" s="6">
        <v>44937</v>
      </c>
    </row>
    <row r="84" spans="1:9" ht="13.5">
      <c r="A84" s="7" t="s">
        <v>31</v>
      </c>
      <c r="B84" s="3" t="str">
        <f ca="1">IFERROR(__xludf.DUMMYFUNCTION("REGEXEXTRACT(C84, ""https?:\/\/(?:.*\.)*(.+\..+?)\/"")"),"uppsalabostad.se")</f>
        <v>uppsalabostad.se</v>
      </c>
      <c r="C84" s="4" t="s">
        <v>175</v>
      </c>
      <c r="D84" s="4" t="s">
        <v>81</v>
      </c>
      <c r="E84" s="5" t="s">
        <v>185</v>
      </c>
      <c r="F84" s="5" t="str">
        <f t="shared" si="1"/>
        <v>bästförsäkringar.se</v>
      </c>
      <c r="G84" s="5" t="s">
        <v>4</v>
      </c>
      <c r="H84" s="5" t="s">
        <v>5</v>
      </c>
      <c r="I84" s="6">
        <v>44938</v>
      </c>
    </row>
    <row r="85" spans="1:9" ht="13.5">
      <c r="A85" s="2" t="s">
        <v>20</v>
      </c>
      <c r="B85" s="3" t="str">
        <f ca="1">IFERROR(__xludf.DUMMYFUNCTION("REGEXEXTRACT(C85, ""https?:\/\/(?:.*\.)*(.+\..+?)\/"")"),"looksgud.com")</f>
        <v>looksgud.com</v>
      </c>
      <c r="C85" s="4" t="s">
        <v>186</v>
      </c>
      <c r="D85" s="4" t="s">
        <v>57</v>
      </c>
      <c r="E85" s="5" t="s">
        <v>187</v>
      </c>
      <c r="F85" s="5" t="str">
        <f t="shared" si="1"/>
        <v>blugiallo.com</v>
      </c>
      <c r="G85" s="5" t="s">
        <v>4</v>
      </c>
      <c r="H85" s="5" t="s">
        <v>23</v>
      </c>
      <c r="I85" s="6">
        <v>44939</v>
      </c>
    </row>
    <row r="86" spans="1:9" ht="13.5">
      <c r="A86" s="2" t="s">
        <v>171</v>
      </c>
      <c r="B86" s="3" t="str">
        <f ca="1">IFERROR(__xludf.DUMMYFUNCTION("REGEXEXTRACT(C86, ""https?:\/\/(?:.*\.)*(.+\..+?)\/"")"),"poolstart.se")</f>
        <v>poolstart.se</v>
      </c>
      <c r="C86" s="4" t="s">
        <v>188</v>
      </c>
      <c r="D86" s="4" t="s">
        <v>173</v>
      </c>
      <c r="E86" s="5" t="s">
        <v>174</v>
      </c>
      <c r="F86" s="5" t="str">
        <f t="shared" si="1"/>
        <v>arctic.se</v>
      </c>
      <c r="G86" s="5" t="s">
        <v>4</v>
      </c>
      <c r="H86" s="5" t="s">
        <v>5</v>
      </c>
      <c r="I86" s="6">
        <v>44942</v>
      </c>
    </row>
    <row r="87" spans="1:9" ht="13.5">
      <c r="A87" s="2" t="s">
        <v>100</v>
      </c>
      <c r="B87" s="3" t="str">
        <f ca="1">IFERROR(__xludf.DUMMYFUNCTION("REGEXEXTRACT(C87, ""https?:\/\/(?:.*\.)*(.+\..+?)\/"")"),"eventeffect.se")</f>
        <v>eventeffect.se</v>
      </c>
      <c r="C87" s="4" t="s">
        <v>189</v>
      </c>
      <c r="D87" s="4" t="s">
        <v>102</v>
      </c>
      <c r="E87" s="5" t="s">
        <v>190</v>
      </c>
      <c r="F87" s="5" t="str">
        <f t="shared" si="1"/>
        <v>bigbenstandup.com</v>
      </c>
      <c r="G87" s="5" t="s">
        <v>4</v>
      </c>
      <c r="H87" s="5" t="s">
        <v>5</v>
      </c>
      <c r="I87" s="6">
        <v>44942</v>
      </c>
    </row>
    <row r="88" spans="1:9" ht="13.5">
      <c r="A88" s="2" t="s">
        <v>1</v>
      </c>
      <c r="B88" s="3" t="str">
        <f ca="1">IFERROR(__xludf.DUMMYFUNCTION("REGEXEXTRACT(C88, ""https?:\/\/(?:.*\.)*(.+\..+?)\/"")"),"poolstart.se")</f>
        <v>poolstart.se</v>
      </c>
      <c r="C88" s="4" t="s">
        <v>191</v>
      </c>
      <c r="D88" s="4" t="s">
        <v>192</v>
      </c>
      <c r="E88" s="5" t="s">
        <v>193</v>
      </c>
      <c r="F88" s="5" t="str">
        <f t="shared" si="1"/>
        <v>haxan.se</v>
      </c>
      <c r="G88" s="5" t="s">
        <v>4</v>
      </c>
      <c r="H88" s="5" t="s">
        <v>5</v>
      </c>
      <c r="I88" s="6">
        <v>44942</v>
      </c>
    </row>
    <row r="89" spans="1:9" ht="13.5">
      <c r="A89" s="7" t="s">
        <v>67</v>
      </c>
      <c r="B89" s="3" t="str">
        <f ca="1">IFERROR(__xludf.DUMMYFUNCTION("REGEXEXTRACT(C89, ""https?:\/\/(?:.*\.)*(.+\..+?)\/"")"),"guldkorn.nu")</f>
        <v>guldkorn.nu</v>
      </c>
      <c r="C89" s="4" t="s">
        <v>194</v>
      </c>
      <c r="D89" s="4" t="s">
        <v>69</v>
      </c>
      <c r="E89" s="5" t="s">
        <v>195</v>
      </c>
      <c r="F89" s="5" t="str">
        <f t="shared" si="1"/>
        <v>nem.health</v>
      </c>
      <c r="G89" s="5" t="s">
        <v>4</v>
      </c>
      <c r="H89" s="5" t="s">
        <v>5</v>
      </c>
      <c r="I89" s="6">
        <v>44942</v>
      </c>
    </row>
    <row r="90" spans="1:9" ht="13.5">
      <c r="A90" s="2" t="s">
        <v>171</v>
      </c>
      <c r="B90" s="3" t="str">
        <f ca="1">IFERROR(__xludf.DUMMYFUNCTION("REGEXEXTRACT(C90, ""https?:\/\/(?:.*\.)*(.+\..+?)\/"")"),"nyttuniversitet.se")</f>
        <v>nyttuniversitet.se</v>
      </c>
      <c r="C90" s="4" t="s">
        <v>196</v>
      </c>
      <c r="D90" s="4" t="s">
        <v>173</v>
      </c>
      <c r="E90" s="5" t="s">
        <v>174</v>
      </c>
      <c r="F90" s="5" t="str">
        <f t="shared" si="1"/>
        <v>arctic.se</v>
      </c>
      <c r="G90" s="5" t="s">
        <v>4</v>
      </c>
      <c r="H90" s="5" t="s">
        <v>5</v>
      </c>
      <c r="I90" s="6">
        <v>44946</v>
      </c>
    </row>
    <row r="91" spans="1:9" ht="13.5">
      <c r="A91" s="2" t="s">
        <v>100</v>
      </c>
      <c r="B91" s="3" t="str">
        <f ca="1">IFERROR(__xludf.DUMMYFUNCTION("REGEXEXTRACT(C91, ""https?:\/\/(?:.*\.)*(.+\..+?)\/"")"),"galamagazine.se")</f>
        <v>galamagazine.se</v>
      </c>
      <c r="C91" s="4" t="s">
        <v>197</v>
      </c>
      <c r="D91" s="4" t="s">
        <v>102</v>
      </c>
      <c r="E91" s="5" t="s">
        <v>103</v>
      </c>
      <c r="F91" s="5" t="str">
        <f t="shared" si="1"/>
        <v>bigbenstandup.com</v>
      </c>
      <c r="G91" s="5" t="s">
        <v>4</v>
      </c>
      <c r="H91" s="5" t="s">
        <v>5</v>
      </c>
      <c r="I91" s="6">
        <v>44946</v>
      </c>
    </row>
    <row r="92" spans="1:9" ht="13.5">
      <c r="A92" s="7" t="s">
        <v>31</v>
      </c>
      <c r="B92" s="3" t="str">
        <f ca="1">IFERROR(__xludf.DUMMYFUNCTION("REGEXEXTRACT(C92, ""https?:\/\/(?:.*\.)*(.+\..+?)\/"")"),"galamagazine.se")</f>
        <v>galamagazine.se</v>
      </c>
      <c r="C92" s="4" t="s">
        <v>198</v>
      </c>
      <c r="D92" s="4" t="s">
        <v>81</v>
      </c>
      <c r="E92" s="5" t="s">
        <v>126</v>
      </c>
      <c r="F92" s="5" t="str">
        <f t="shared" si="1"/>
        <v>bästförsäkringar.se</v>
      </c>
      <c r="G92" s="5" t="s">
        <v>4</v>
      </c>
      <c r="H92" s="5" t="s">
        <v>5</v>
      </c>
      <c r="I92" s="6">
        <v>44946</v>
      </c>
    </row>
    <row r="93" spans="1:9" ht="13.5">
      <c r="A93" s="2" t="s">
        <v>16</v>
      </c>
      <c r="B93" s="3" t="str">
        <f ca="1">IFERROR(__xludf.DUMMYFUNCTION("REGEXEXTRACT(C93, ""https?:\/\/(?:.*\.)*(.+\..+?)\/"")"),"parkleken.se")</f>
        <v>parkleken.se</v>
      </c>
      <c r="C93" s="4" t="s">
        <v>199</v>
      </c>
      <c r="D93" s="4" t="s">
        <v>110</v>
      </c>
      <c r="E93" s="5" t="s">
        <v>111</v>
      </c>
      <c r="F93" s="5" t="str">
        <f t="shared" si="1"/>
        <v>chronos.se</v>
      </c>
      <c r="G93" s="5" t="s">
        <v>4</v>
      </c>
      <c r="H93" s="5" t="s">
        <v>5</v>
      </c>
      <c r="I93" s="6">
        <v>44946</v>
      </c>
    </row>
    <row r="94" spans="1:9" ht="13.5">
      <c r="A94" s="2" t="s">
        <v>128</v>
      </c>
      <c r="B94" s="3" t="str">
        <f ca="1">IFERROR(__xludf.DUMMYFUNCTION("REGEXEXTRACT(C94, ""https?:\/\/(?:.*\.)*(.+\..+?)\/"")"),"swedenvirtualreality.se")</f>
        <v>swedenvirtualreality.se</v>
      </c>
      <c r="C94" s="4" t="s">
        <v>200</v>
      </c>
      <c r="D94" s="4" t="s">
        <v>176</v>
      </c>
      <c r="E94" s="5" t="s">
        <v>201</v>
      </c>
      <c r="F94" s="5" t="str">
        <f t="shared" si="1"/>
        <v>elmarknad.se</v>
      </c>
      <c r="G94" s="5" t="s">
        <v>4</v>
      </c>
      <c r="H94" s="5" t="s">
        <v>5</v>
      </c>
      <c r="I94" s="6">
        <v>44946</v>
      </c>
    </row>
    <row r="95" spans="1:9" ht="13.5">
      <c r="A95" s="2" t="s">
        <v>16</v>
      </c>
      <c r="B95" s="3" t="str">
        <f ca="1">IFERROR(__xludf.DUMMYFUNCTION("REGEXEXTRACT(C95, ""https?:\/\/(?:.*\.)*(.+\..+?)\/"")"),"healthyliving.se")</f>
        <v>healthyliving.se</v>
      </c>
      <c r="C95" s="4" t="s">
        <v>202</v>
      </c>
      <c r="D95" s="4" t="s">
        <v>18</v>
      </c>
      <c r="E95" s="5" t="s">
        <v>42</v>
      </c>
      <c r="F95" s="5" t="str">
        <f t="shared" si="1"/>
        <v>chronos.se</v>
      </c>
      <c r="G95" s="5" t="s">
        <v>4</v>
      </c>
      <c r="H95" s="5" t="s">
        <v>5</v>
      </c>
      <c r="I95" s="6">
        <v>44948</v>
      </c>
    </row>
    <row r="96" spans="1:9" ht="13.5">
      <c r="A96" s="2" t="s">
        <v>128</v>
      </c>
      <c r="B96" s="3" t="str">
        <f ca="1">IFERROR(__xludf.DUMMYFUNCTION("REGEXEXTRACT(C96, ""https?:\/\/(?:.*\.)*(.+\..+?)\/"")"),"savethefuture.se")</f>
        <v>savethefuture.se</v>
      </c>
      <c r="C96" s="4" t="s">
        <v>203</v>
      </c>
      <c r="D96" s="4" t="s">
        <v>129</v>
      </c>
      <c r="E96" s="5" t="s">
        <v>204</v>
      </c>
      <c r="F96" s="5" t="str">
        <f t="shared" si="1"/>
        <v>elmarknad.se</v>
      </c>
      <c r="G96" s="5" t="s">
        <v>4</v>
      </c>
      <c r="H96" s="5" t="s">
        <v>5</v>
      </c>
      <c r="I96" s="6">
        <v>44948</v>
      </c>
    </row>
    <row r="97" spans="1:9" ht="13.5">
      <c r="A97" s="2" t="s">
        <v>156</v>
      </c>
      <c r="B97" s="3" t="str">
        <f ca="1">IFERROR(__xludf.DUMMYFUNCTION("REGEXEXTRACT(C97, ""https?:\/\/(?:.*\.)*(.+\..+?)\/"")"),"traningskort.se")</f>
        <v>traningskort.se</v>
      </c>
      <c r="C97" s="4" t="s">
        <v>172</v>
      </c>
      <c r="D97" s="4" t="s">
        <v>205</v>
      </c>
      <c r="E97" s="5" t="s">
        <v>206</v>
      </c>
      <c r="F97" s="5" t="str">
        <f t="shared" si="1"/>
        <v>askskinfo.com</v>
      </c>
      <c r="G97" s="5" t="s">
        <v>34</v>
      </c>
      <c r="H97" s="5" t="s">
        <v>5</v>
      </c>
      <c r="I97" s="6">
        <v>44948</v>
      </c>
    </row>
    <row r="98" spans="1:9" ht="13.5">
      <c r="A98" s="2" t="s">
        <v>1</v>
      </c>
      <c r="B98" s="3" t="str">
        <f ca="1">IFERROR(__xludf.DUMMYFUNCTION("REGEXEXTRACT(C98, ""https?:\/\/(?:.*\.)*(.+\..+?)\/"")"),"brandskor.se")</f>
        <v>brandskor.se</v>
      </c>
      <c r="C98" s="4" t="s">
        <v>207</v>
      </c>
      <c r="D98" s="4" t="s">
        <v>3</v>
      </c>
      <c r="E98" s="5" t="s">
        <v>208</v>
      </c>
      <c r="F98" s="5" t="str">
        <f t="shared" si="1"/>
        <v>haxan.se</v>
      </c>
      <c r="G98" s="5" t="s">
        <v>4</v>
      </c>
      <c r="H98" s="5" t="s">
        <v>5</v>
      </c>
      <c r="I98" s="6">
        <v>44949</v>
      </c>
    </row>
    <row r="99" spans="1:9" ht="13.5">
      <c r="A99" s="2" t="s">
        <v>86</v>
      </c>
      <c r="B99" s="3" t="str">
        <f ca="1">IFERROR(__xludf.DUMMYFUNCTION("REGEXEXTRACT(C99, ""https?:\/\/(?:.*\.)*(.+\..+?)\/"")"),"bloggfamiljen.se")</f>
        <v>bloggfamiljen.se</v>
      </c>
      <c r="C99" s="4" t="s">
        <v>209</v>
      </c>
      <c r="D99" s="4" t="s">
        <v>88</v>
      </c>
      <c r="E99" s="5" t="s">
        <v>97</v>
      </c>
      <c r="F99" s="5" t="str">
        <f t="shared" si="1"/>
        <v>kopbarnvagn.se</v>
      </c>
      <c r="G99" s="5" t="s">
        <v>4</v>
      </c>
      <c r="H99" s="5" t="s">
        <v>5</v>
      </c>
      <c r="I99" s="6">
        <v>44949</v>
      </c>
    </row>
    <row r="100" spans="1:9" ht="13.5">
      <c r="A100" s="2" t="s">
        <v>156</v>
      </c>
      <c r="B100" s="3" t="str">
        <f ca="1">IFERROR(__xludf.DUMMYFUNCTION("REGEXEXTRACT(C100, ""https?:\/\/(?:.*\.)*(.+\..+?)\/"")"),"isla.se")</f>
        <v>isla.se</v>
      </c>
      <c r="C100" s="4" t="s">
        <v>210</v>
      </c>
      <c r="D100" s="4" t="s">
        <v>211</v>
      </c>
      <c r="E100" s="5" t="s">
        <v>212</v>
      </c>
      <c r="F100" s="5" t="str">
        <f t="shared" si="1"/>
        <v>askskinfo.com</v>
      </c>
      <c r="G100" s="5" t="s">
        <v>4</v>
      </c>
      <c r="H100" s="5" t="s">
        <v>5</v>
      </c>
      <c r="I100" s="6">
        <v>44950</v>
      </c>
    </row>
    <row r="101" spans="1:9" ht="13.5">
      <c r="A101" s="2" t="s">
        <v>20</v>
      </c>
      <c r="B101" s="3" t="str">
        <f ca="1">IFERROR(__xludf.DUMMYFUNCTION("REGEXEXTRACT(C101, ""https?:\/\/(?:.*\.)*(.+\..+?)\/"")"),"fashiondioxide.com")</f>
        <v>fashiondioxide.com</v>
      </c>
      <c r="C101" s="4" t="s">
        <v>213</v>
      </c>
      <c r="D101" s="4" t="s">
        <v>29</v>
      </c>
      <c r="E101" s="5" t="s">
        <v>72</v>
      </c>
      <c r="F101" s="5" t="str">
        <f t="shared" si="1"/>
        <v>blugiallo.com</v>
      </c>
      <c r="G101" s="5" t="s">
        <v>4</v>
      </c>
      <c r="H101" s="5" t="s">
        <v>23</v>
      </c>
      <c r="I101" s="6">
        <v>44951</v>
      </c>
    </row>
    <row r="102" spans="1:9" ht="13.5">
      <c r="A102" s="2" t="s">
        <v>16</v>
      </c>
      <c r="B102" s="3" t="str">
        <f ca="1">IFERROR(__xludf.DUMMYFUNCTION("REGEXEXTRACT(C102, ""https?:\/\/(?:.*\.)*(.+\..+?)\/"")"),"brandskor.se")</f>
        <v>brandskor.se</v>
      </c>
      <c r="C102" s="4" t="s">
        <v>214</v>
      </c>
      <c r="D102" s="4" t="s">
        <v>110</v>
      </c>
      <c r="E102" s="5" t="s">
        <v>215</v>
      </c>
      <c r="F102" s="5" t="str">
        <f t="shared" si="1"/>
        <v>chronos.se</v>
      </c>
      <c r="G102" s="5" t="s">
        <v>4</v>
      </c>
      <c r="H102" s="5" t="s">
        <v>5</v>
      </c>
      <c r="I102" s="6">
        <v>44952</v>
      </c>
    </row>
    <row r="103" spans="1:9" ht="13.5">
      <c r="A103" s="2" t="s">
        <v>1</v>
      </c>
      <c r="B103" s="3" t="str">
        <f ca="1">IFERROR(__xludf.DUMMYFUNCTION("REGEXEXTRACT(C103, ""https?:\/\/(?:.*\.)*(.+\..+?)\/"")"),"healthyliving.se")</f>
        <v>healthyliving.se</v>
      </c>
      <c r="C103" s="4" t="s">
        <v>216</v>
      </c>
      <c r="D103" s="4" t="s">
        <v>3</v>
      </c>
      <c r="E103" s="5" t="s">
        <v>10</v>
      </c>
      <c r="F103" s="5" t="str">
        <f t="shared" si="1"/>
        <v>haxan.se</v>
      </c>
      <c r="G103" s="5" t="s">
        <v>4</v>
      </c>
      <c r="H103" s="5" t="s">
        <v>5</v>
      </c>
      <c r="I103" s="6">
        <v>44953</v>
      </c>
    </row>
    <row r="104" spans="1:9" ht="13.5">
      <c r="A104" s="7" t="s">
        <v>67</v>
      </c>
      <c r="B104" s="3" t="str">
        <f ca="1">IFERROR(__xludf.DUMMYFUNCTION("REGEXEXTRACT(C104, ""https?:\/\/(?:.*\.)*(.+\..+?)\/"")"),"brandskor.se")</f>
        <v>brandskor.se</v>
      </c>
      <c r="C104" s="4" t="s">
        <v>217</v>
      </c>
      <c r="D104" s="4" t="s">
        <v>69</v>
      </c>
      <c r="E104" s="5" t="s">
        <v>99</v>
      </c>
      <c r="F104" s="5" t="str">
        <f t="shared" si="1"/>
        <v>nem.health</v>
      </c>
      <c r="G104" s="5" t="s">
        <v>4</v>
      </c>
      <c r="H104" s="5" t="s">
        <v>5</v>
      </c>
      <c r="I104" s="6">
        <v>44956</v>
      </c>
    </row>
    <row r="105" spans="1:9" ht="13.5">
      <c r="A105" s="2" t="s">
        <v>171</v>
      </c>
      <c r="B105" s="3" t="str">
        <f ca="1">IFERROR(__xludf.DUMMYFUNCTION("REGEXEXTRACT(C105, ""https?:\/\/(?:.*\.)*(.+\..+?)\/"")"),"fashionablefit.net")</f>
        <v>fashionablefit.net</v>
      </c>
      <c r="C105" s="4" t="s">
        <v>98</v>
      </c>
      <c r="D105" s="4" t="s">
        <v>173</v>
      </c>
      <c r="E105" s="5" t="s">
        <v>218</v>
      </c>
      <c r="F105" s="5" t="str">
        <f t="shared" si="1"/>
        <v>arctic.se</v>
      </c>
      <c r="G105" s="5" t="s">
        <v>4</v>
      </c>
      <c r="H105" s="5" t="s">
        <v>5</v>
      </c>
      <c r="I105" s="6">
        <v>44957</v>
      </c>
    </row>
    <row r="106" spans="1:9" ht="13.5">
      <c r="A106" s="2" t="s">
        <v>1</v>
      </c>
      <c r="B106" s="3" t="str">
        <f ca="1">IFERROR(__xludf.DUMMYFUNCTION("REGEXEXTRACT(C106, ""https?:\/\/(?:.*\.)*(.+\..+?)\/"")"),"laxrecept.se")</f>
        <v>laxrecept.se</v>
      </c>
      <c r="C106" s="4" t="s">
        <v>219</v>
      </c>
      <c r="D106" s="4" t="s">
        <v>220</v>
      </c>
      <c r="E106" s="5" t="s">
        <v>221</v>
      </c>
      <c r="F106" s="5" t="str">
        <f t="shared" si="1"/>
        <v>haxan.se</v>
      </c>
      <c r="G106" s="5" t="s">
        <v>4</v>
      </c>
      <c r="H106" s="5" t="s">
        <v>5</v>
      </c>
      <c r="I106" s="6">
        <v>44957</v>
      </c>
    </row>
    <row r="107" spans="1:9" ht="13.5">
      <c r="A107" s="2" t="s">
        <v>86</v>
      </c>
      <c r="B107" s="3" t="str">
        <f ca="1">IFERROR(__xludf.DUMMYFUNCTION("REGEXEXTRACT(C107, ""https?:\/\/(?:.*\.)*(.+\..+?)\/"")"),"virensbabysim.se")</f>
        <v>virensbabysim.se</v>
      </c>
      <c r="C107" s="4" t="s">
        <v>222</v>
      </c>
      <c r="D107" s="4" t="s">
        <v>88</v>
      </c>
      <c r="E107" s="5" t="s">
        <v>89</v>
      </c>
      <c r="F107" s="5" t="str">
        <f t="shared" si="1"/>
        <v>kopbarnvagn.se</v>
      </c>
      <c r="G107" s="5" t="s">
        <v>4</v>
      </c>
      <c r="H107" s="5" t="s">
        <v>5</v>
      </c>
      <c r="I107" s="6">
        <v>44957</v>
      </c>
    </row>
    <row r="108" spans="1:9" ht="13.5">
      <c r="A108" s="2" t="s">
        <v>156</v>
      </c>
      <c r="B108" s="3" t="str">
        <f ca="1">IFERROR(__xludf.DUMMYFUNCTION("REGEXEXTRACT(C108, ""https?:\/\/(?:.*\.)*(.+\..+?)\/"")"),"poolstart.se")</f>
        <v>poolstart.se</v>
      </c>
      <c r="C108" s="4" t="s">
        <v>223</v>
      </c>
      <c r="D108" s="4" t="s">
        <v>158</v>
      </c>
      <c r="E108" s="5" t="s">
        <v>159</v>
      </c>
      <c r="F108" s="5" t="str">
        <f t="shared" si="1"/>
        <v>askskinfo.com</v>
      </c>
      <c r="G108" s="5" t="s">
        <v>4</v>
      </c>
      <c r="H108" s="5" t="s">
        <v>5</v>
      </c>
      <c r="I108" s="6">
        <v>44957</v>
      </c>
    </row>
    <row r="109" spans="1:9" ht="13.5">
      <c r="A109" s="7" t="s">
        <v>224</v>
      </c>
      <c r="B109" s="3" t="str">
        <f ca="1">IFERROR(__xludf.DUMMYFUNCTION("REGEXEXTRACT(C109, ""https?:\/\/(?:.*\.)*(.+\..+?)\/"")"),"industritorget.se")</f>
        <v>industritorget.se</v>
      </c>
      <c r="C109" s="8" t="s">
        <v>225</v>
      </c>
      <c r="D109" s="4" t="s">
        <v>226</v>
      </c>
      <c r="E109" s="10" t="s">
        <v>227</v>
      </c>
      <c r="F109" s="5" t="str">
        <f t="shared" si="1"/>
        <v>swedoffice</v>
      </c>
      <c r="G109" s="5" t="s">
        <v>4</v>
      </c>
      <c r="H109" s="5" t="s">
        <v>5</v>
      </c>
      <c r="I109" s="6">
        <v>44965</v>
      </c>
    </row>
    <row r="110" spans="1:9" ht="13.5">
      <c r="A110" s="2" t="s">
        <v>156</v>
      </c>
      <c r="B110" s="3" t="str">
        <f ca="1">IFERROR(__xludf.DUMMYFUNCTION("REGEXEXTRACT(C110, ""https?:\/\/(?:.*\.)*(.+\..+?)\/"")"),"guldkorn.nu")</f>
        <v>guldkorn.nu</v>
      </c>
      <c r="C110" s="4" t="s">
        <v>228</v>
      </c>
      <c r="D110" s="4" t="s">
        <v>158</v>
      </c>
      <c r="E110" s="5" t="s">
        <v>159</v>
      </c>
      <c r="F110" s="5" t="str">
        <f t="shared" si="1"/>
        <v>askskinfo.com</v>
      </c>
      <c r="G110" s="5" t="s">
        <v>4</v>
      </c>
      <c r="H110" s="5" t="s">
        <v>5</v>
      </c>
      <c r="I110" s="6">
        <v>44965</v>
      </c>
    </row>
    <row r="111" spans="1:9" ht="13.5">
      <c r="A111" s="7" t="s">
        <v>31</v>
      </c>
      <c r="B111" s="3" t="str">
        <f ca="1">IFERROR(__xludf.DUMMYFUNCTION("REGEXEXTRACT(C111, ""https?:\/\/(?:.*\.)*(.+\..+?)\/"")"),"stilero.se")</f>
        <v>stilero.se</v>
      </c>
      <c r="C111" s="4" t="s">
        <v>229</v>
      </c>
      <c r="D111" s="4" t="s">
        <v>81</v>
      </c>
      <c r="E111" s="5" t="s">
        <v>230</v>
      </c>
      <c r="F111" s="5" t="str">
        <f t="shared" si="1"/>
        <v>bästförsäkringar.se</v>
      </c>
      <c r="G111" s="5" t="s">
        <v>4</v>
      </c>
      <c r="H111" s="5" t="s">
        <v>5</v>
      </c>
      <c r="I111" s="6">
        <v>44970</v>
      </c>
    </row>
    <row r="112" spans="1:9" ht="13.5">
      <c r="A112" s="2" t="s">
        <v>128</v>
      </c>
      <c r="B112" s="3" t="str">
        <f ca="1">IFERROR(__xludf.DUMMYFUNCTION("REGEXEXTRACT(C112, ""https?:\/\/(?:.*\.)*(.+\..+?)\/"")"),"goteborgextra.se")</f>
        <v>goteborgextra.se</v>
      </c>
      <c r="C112" s="4" t="s">
        <v>231</v>
      </c>
      <c r="D112" s="4" t="s">
        <v>129</v>
      </c>
      <c r="E112" s="5" t="s">
        <v>232</v>
      </c>
      <c r="F112" s="5" t="str">
        <f t="shared" si="1"/>
        <v>elmarknad.se</v>
      </c>
      <c r="G112" s="5" t="s">
        <v>4</v>
      </c>
      <c r="H112" s="5" t="s">
        <v>5</v>
      </c>
      <c r="I112" s="6">
        <v>44972</v>
      </c>
    </row>
    <row r="113" spans="1:9" ht="13.5">
      <c r="A113" s="2" t="s">
        <v>171</v>
      </c>
      <c r="B113" s="3" t="str">
        <f ca="1">IFERROR(__xludf.DUMMYFUNCTION("REGEXEXTRACT(C113, ""https?:\/\/(?:.*\.)*(.+\..+?)\/"")"),"industrimagasinet.se")</f>
        <v>industrimagasinet.se</v>
      </c>
      <c r="C113" s="4" t="s">
        <v>233</v>
      </c>
      <c r="D113" s="4" t="s">
        <v>173</v>
      </c>
      <c r="E113" s="5" t="s">
        <v>234</v>
      </c>
      <c r="F113" s="5" t="str">
        <f t="shared" si="1"/>
        <v>arctic.se</v>
      </c>
      <c r="G113" s="5" t="s">
        <v>4</v>
      </c>
      <c r="H113" s="5" t="s">
        <v>5</v>
      </c>
      <c r="I113" s="6">
        <v>44974</v>
      </c>
    </row>
    <row r="114" spans="1:9" ht="13.5">
      <c r="A114" s="2" t="s">
        <v>100</v>
      </c>
      <c r="B114" s="3" t="str">
        <f ca="1">IFERROR(__xludf.DUMMYFUNCTION("REGEXEXTRACT(C114, ""https?:\/\/(?:.*\.)*(.+\..+?)\/"")"),"stockholmextra.se")</f>
        <v>stockholmextra.se</v>
      </c>
      <c r="C114" s="4" t="s">
        <v>235</v>
      </c>
      <c r="D114" s="8" t="s">
        <v>102</v>
      </c>
      <c r="E114" s="5" t="s">
        <v>236</v>
      </c>
      <c r="F114" s="5" t="str">
        <f t="shared" si="1"/>
        <v>bigbenstandup.com</v>
      </c>
      <c r="G114" s="5" t="s">
        <v>4</v>
      </c>
      <c r="H114" s="5" t="s">
        <v>5</v>
      </c>
      <c r="I114" s="6">
        <v>44974</v>
      </c>
    </row>
    <row r="115" spans="1:9" ht="13.5">
      <c r="A115" s="7" t="s">
        <v>31</v>
      </c>
      <c r="B115" s="3" t="str">
        <f ca="1">IFERROR(__xludf.DUMMYFUNCTION("REGEXEXTRACT(C115, ""https?:\/\/(?:.*\.)*(.+\..+?)\/"")"),"smartkonstruktion.se")</f>
        <v>smartkonstruktion.se</v>
      </c>
      <c r="C115" s="4" t="s">
        <v>237</v>
      </c>
      <c r="D115" s="4" t="s">
        <v>81</v>
      </c>
      <c r="E115" s="5" t="s">
        <v>238</v>
      </c>
      <c r="F115" s="5" t="str">
        <f t="shared" si="1"/>
        <v>bästförsäkringar.se</v>
      </c>
      <c r="G115" s="5" t="s">
        <v>4</v>
      </c>
      <c r="H115" s="5" t="s">
        <v>5</v>
      </c>
      <c r="I115" s="6">
        <v>44974</v>
      </c>
    </row>
    <row r="116" spans="1:9" ht="13.5">
      <c r="A116" s="2" t="s">
        <v>1</v>
      </c>
      <c r="B116" s="3" t="str">
        <f ca="1">IFERROR(__xludf.DUMMYFUNCTION("REGEXEXTRACT(C116, ""https?:\/\/(?:.*\.)*(.+\..+?)\/"")"),"egenvilla.se")</f>
        <v>egenvilla.se</v>
      </c>
      <c r="C116" s="4" t="s">
        <v>239</v>
      </c>
      <c r="D116" s="4" t="s">
        <v>3</v>
      </c>
      <c r="E116" s="5" t="s">
        <v>240</v>
      </c>
      <c r="F116" s="5" t="str">
        <f t="shared" si="1"/>
        <v>haxan.se</v>
      </c>
      <c r="G116" s="5" t="s">
        <v>4</v>
      </c>
      <c r="H116" s="5" t="s">
        <v>5</v>
      </c>
      <c r="I116" s="6">
        <v>44974</v>
      </c>
    </row>
    <row r="117" spans="1:9" ht="13.5">
      <c r="A117" s="2" t="s">
        <v>16</v>
      </c>
      <c r="B117" s="3" t="str">
        <f ca="1">IFERROR(__xludf.DUMMYFUNCTION("REGEXEXTRACT(C117, ""https?:\/\/(?:.*\.)*(.+\..+?)\/"")"),"livsbanken.se")</f>
        <v>livsbanken.se</v>
      </c>
      <c r="C117" s="4" t="s">
        <v>241</v>
      </c>
      <c r="D117" s="4" t="s">
        <v>110</v>
      </c>
      <c r="E117" s="5" t="s">
        <v>242</v>
      </c>
      <c r="F117" s="5" t="str">
        <f t="shared" si="1"/>
        <v>chronos.se</v>
      </c>
      <c r="G117" s="5" t="s">
        <v>4</v>
      </c>
      <c r="H117" s="5" t="s">
        <v>5</v>
      </c>
      <c r="I117" s="6">
        <v>44977</v>
      </c>
    </row>
    <row r="118" spans="1:9" ht="13.5">
      <c r="A118" s="2" t="s">
        <v>128</v>
      </c>
      <c r="B118" s="3" t="str">
        <f ca="1">IFERROR(__xludf.DUMMYFUNCTION("REGEXEXTRACT(C118, ""https?:\/\/(?:.*\.)*(.+\..+?)\/"")"),"smartkonstruktion.se")</f>
        <v>smartkonstruktion.se</v>
      </c>
      <c r="C118" s="4" t="s">
        <v>243</v>
      </c>
      <c r="D118" s="4" t="s">
        <v>176</v>
      </c>
      <c r="E118" s="5" t="s">
        <v>244</v>
      </c>
      <c r="F118" s="5" t="str">
        <f t="shared" si="1"/>
        <v>elmarknad.se</v>
      </c>
      <c r="G118" s="5" t="s">
        <v>4</v>
      </c>
      <c r="H118" s="5" t="s">
        <v>5</v>
      </c>
      <c r="I118" s="6">
        <v>44977</v>
      </c>
    </row>
    <row r="119" spans="1:9" ht="13.5">
      <c r="A119" s="2" t="s">
        <v>1</v>
      </c>
      <c r="B119" s="3" t="str">
        <f ca="1">IFERROR(__xludf.DUMMYFUNCTION("REGEXEXTRACT(C119, ""https?:\/\/(?:.*\.)*(.+\..+?)\/"")"),"alltombeauty.se")</f>
        <v>alltombeauty.se</v>
      </c>
      <c r="C119" s="4" t="s">
        <v>245</v>
      </c>
      <c r="D119" s="4" t="s">
        <v>3</v>
      </c>
      <c r="E119" s="5" t="s">
        <v>246</v>
      </c>
      <c r="F119" s="5" t="str">
        <f t="shared" si="1"/>
        <v>haxan.se</v>
      </c>
      <c r="G119" s="5" t="s">
        <v>4</v>
      </c>
      <c r="H119" s="5" t="s">
        <v>5</v>
      </c>
      <c r="I119" s="6">
        <v>44977</v>
      </c>
    </row>
    <row r="120" spans="1:9" ht="13.5">
      <c r="A120" s="2" t="s">
        <v>86</v>
      </c>
      <c r="B120" s="3" t="str">
        <f ca="1">IFERROR(__xludf.DUMMYFUNCTION("REGEXEXTRACT(C120, ""https?:\/\/(?:.*\.)*(.+\..+?)\/"")"),"barnmagasinet.se")</f>
        <v>barnmagasinet.se</v>
      </c>
      <c r="C120" s="4" t="s">
        <v>247</v>
      </c>
      <c r="D120" s="4" t="s">
        <v>161</v>
      </c>
      <c r="E120" s="5" t="s">
        <v>248</v>
      </c>
      <c r="F120" s="5" t="str">
        <f t="shared" si="1"/>
        <v>kopbarnvagn.se</v>
      </c>
      <c r="G120" s="5" t="s">
        <v>4</v>
      </c>
      <c r="H120" s="5" t="s">
        <v>5</v>
      </c>
      <c r="I120" s="6">
        <v>44977</v>
      </c>
    </row>
    <row r="121" spans="1:9" ht="13.5">
      <c r="A121" s="7" t="s">
        <v>67</v>
      </c>
      <c r="B121" s="3" t="str">
        <f ca="1">IFERROR(__xludf.DUMMYFUNCTION("REGEXEXTRACT(C121, ""https?:\/\/(?:.*\.)*(.+\..+?)\/"")"),"alltombeauty.se")</f>
        <v>alltombeauty.se</v>
      </c>
      <c r="C121" s="4" t="s">
        <v>249</v>
      </c>
      <c r="D121" s="4" t="s">
        <v>69</v>
      </c>
      <c r="E121" s="5" t="s">
        <v>250</v>
      </c>
      <c r="F121" s="5" t="str">
        <f t="shared" si="1"/>
        <v>nem.health</v>
      </c>
      <c r="G121" s="5" t="s">
        <v>4</v>
      </c>
      <c r="H121" s="5" t="s">
        <v>5</v>
      </c>
      <c r="I121" s="6">
        <v>44977</v>
      </c>
    </row>
    <row r="122" spans="1:9" ht="13.5">
      <c r="A122" s="2" t="s">
        <v>86</v>
      </c>
      <c r="B122" s="3" t="str">
        <f ca="1">IFERROR(__xludf.DUMMYFUNCTION("REGEXEXTRACT(C122, ""https?:\/\/(?:.*\.)*(.+\..+?)\/"")"),"alltombarnfamiljen.se")</f>
        <v>alltombarnfamiljen.se</v>
      </c>
      <c r="C122" s="4" t="s">
        <v>251</v>
      </c>
      <c r="D122" s="4" t="s">
        <v>252</v>
      </c>
      <c r="E122" s="5" t="s">
        <v>253</v>
      </c>
      <c r="F122" s="5" t="str">
        <f t="shared" si="1"/>
        <v>kopbarnvagn.se</v>
      </c>
      <c r="G122" s="5" t="s">
        <v>4</v>
      </c>
      <c r="H122" s="5" t="s">
        <v>5</v>
      </c>
      <c r="I122" s="6">
        <v>44978</v>
      </c>
    </row>
    <row r="123" spans="1:9" ht="13.5">
      <c r="A123" s="7" t="s">
        <v>31</v>
      </c>
      <c r="B123" s="3" t="str">
        <f ca="1">IFERROR(__xludf.DUMMYFUNCTION("REGEXEXTRACT(C123, ""https?:\/\/(?:.*\.)*(.+\..+?)\/"")"),"egenvilla.se")</f>
        <v>egenvilla.se</v>
      </c>
      <c r="C123" s="4" t="s">
        <v>254</v>
      </c>
      <c r="D123" s="4" t="s">
        <v>33</v>
      </c>
      <c r="E123" s="5" t="s">
        <v>255</v>
      </c>
      <c r="F123" s="5" t="str">
        <f t="shared" si="1"/>
        <v>bästförsäkringar.se</v>
      </c>
      <c r="G123" s="5" t="s">
        <v>4</v>
      </c>
      <c r="H123" s="5" t="s">
        <v>5</v>
      </c>
      <c r="I123" s="6">
        <v>44981</v>
      </c>
    </row>
    <row r="124" spans="1:9" ht="13.5">
      <c r="A124" s="2" t="s">
        <v>1</v>
      </c>
      <c r="B124" s="3" t="str">
        <f ca="1">IFERROR(__xludf.DUMMYFUNCTION("REGEXEXTRACT(C124, ""https?:\/\/(?:.*\.)*(.+\..+?)\/"")"),"livsstilsforandringar.se")</f>
        <v>livsstilsforandringar.se</v>
      </c>
      <c r="C124" s="4" t="s">
        <v>256</v>
      </c>
      <c r="D124" s="4" t="s">
        <v>123</v>
      </c>
      <c r="E124" s="5" t="s">
        <v>257</v>
      </c>
      <c r="F124" s="5" t="str">
        <f t="shared" si="1"/>
        <v>haxan.se</v>
      </c>
      <c r="G124" s="5" t="s">
        <v>4</v>
      </c>
      <c r="H124" s="5" t="s">
        <v>5</v>
      </c>
      <c r="I124" s="6">
        <v>44981</v>
      </c>
    </row>
    <row r="125" spans="1:9" ht="13.5">
      <c r="A125" s="7" t="s">
        <v>67</v>
      </c>
      <c r="B125" s="3" t="str">
        <f ca="1">IFERROR(__xludf.DUMMYFUNCTION("REGEXEXTRACT(C125, ""https?:\/\/(?:.*\.)*(.+\..+?)\/"")"),"schuck.se")</f>
        <v>schuck.se</v>
      </c>
      <c r="C125" s="11" t="s">
        <v>258</v>
      </c>
      <c r="D125" s="4" t="s">
        <v>69</v>
      </c>
      <c r="E125" s="5" t="s">
        <v>259</v>
      </c>
      <c r="F125" s="5" t="str">
        <f t="shared" si="1"/>
        <v>nem.health</v>
      </c>
      <c r="G125" s="5" t="s">
        <v>4</v>
      </c>
      <c r="H125" s="5" t="s">
        <v>5</v>
      </c>
      <c r="I125" s="6">
        <v>44995</v>
      </c>
    </row>
    <row r="126" spans="1:9" ht="13.5">
      <c r="A126" s="2" t="s">
        <v>171</v>
      </c>
      <c r="B126" s="3" t="str">
        <f ca="1">IFERROR(__xludf.DUMMYFUNCTION("REGEXEXTRACT(C126, ""https?:\/\/(?:.*\.)*(.+\..+?)\/"")"),"addis-techblog.de")</f>
        <v>addis-techblog.de</v>
      </c>
      <c r="C126" s="4" t="s">
        <v>260</v>
      </c>
      <c r="D126" s="4" t="s">
        <v>261</v>
      </c>
      <c r="E126" s="12" t="s">
        <v>263</v>
      </c>
      <c r="F126" s="5" t="str">
        <f t="shared" si="1"/>
        <v>arctic.se</v>
      </c>
      <c r="G126" s="5" t="s">
        <v>4</v>
      </c>
      <c r="H126" s="5" t="s">
        <v>262</v>
      </c>
      <c r="I126" s="6">
        <v>44999</v>
      </c>
    </row>
    <row r="127" spans="1:9" ht="13.5">
      <c r="A127" s="7" t="s">
        <v>264</v>
      </c>
      <c r="B127" s="3" t="str">
        <f ca="1">IFERROR(__xludf.DUMMYFUNCTION("REGEXEXTRACT(C127, ""https?:\/\/(?:.*\.)*(.+\..+?)\/"")"),"aktieskole.com")</f>
        <v>aktieskole.com</v>
      </c>
      <c r="C127" s="4" t="s">
        <v>265</v>
      </c>
      <c r="D127" s="4" t="s">
        <v>266</v>
      </c>
      <c r="E127" s="5" t="s">
        <v>268</v>
      </c>
      <c r="F127" s="5" t="str">
        <f t="shared" si="1"/>
        <v>creditsafe.se</v>
      </c>
      <c r="G127" s="5" t="s">
        <v>4</v>
      </c>
      <c r="H127" s="5" t="s">
        <v>267</v>
      </c>
      <c r="I127" s="6">
        <v>44999</v>
      </c>
    </row>
    <row r="128" spans="1:9" ht="13.5">
      <c r="A128" s="2" t="s">
        <v>128</v>
      </c>
      <c r="B128" s="3" t="str">
        <f ca="1">IFERROR(__xludf.DUMMYFUNCTION("REGEXEXTRACT(C128, ""https?:\/\/(?:.*\.)*(.+\..+?)\/"")"),"sahlstorm.se")</f>
        <v>sahlstorm.se</v>
      </c>
      <c r="C128" s="4" t="s">
        <v>269</v>
      </c>
      <c r="D128" s="4" t="s">
        <v>270</v>
      </c>
      <c r="E128" s="5" t="s">
        <v>271</v>
      </c>
      <c r="F128" s="5" t="str">
        <f t="shared" si="1"/>
        <v>elmarknad.se</v>
      </c>
      <c r="G128" s="5" t="s">
        <v>4</v>
      </c>
      <c r="H128" s="5" t="s">
        <v>5</v>
      </c>
      <c r="I128" s="6">
        <v>44999</v>
      </c>
    </row>
    <row r="129" spans="1:9" ht="13.5">
      <c r="A129" s="2" t="s">
        <v>272</v>
      </c>
      <c r="B129" s="3" t="str">
        <f ca="1">IFERROR(__xludf.DUMMYFUNCTION("REGEXEXTRACT(C129, ""https?:\/\/(?:.*\.)*(.+\..+?)\/"")"),"tidskriftenskeppet.se")</f>
        <v>tidskriftenskeppet.se</v>
      </c>
      <c r="C129" s="8" t="s">
        <v>273</v>
      </c>
      <c r="D129" s="13" t="s">
        <v>274</v>
      </c>
      <c r="E129" s="5" t="s">
        <v>275</v>
      </c>
      <c r="F129" s="5" t="str">
        <f t="shared" si="1"/>
        <v>schjodt.com</v>
      </c>
      <c r="G129" s="5" t="s">
        <v>4</v>
      </c>
      <c r="H129" s="5" t="s">
        <v>5</v>
      </c>
      <c r="I129" s="6">
        <v>44999</v>
      </c>
    </row>
    <row r="130" spans="1:9" ht="13.5">
      <c r="A130" s="7" t="s">
        <v>224</v>
      </c>
      <c r="B130" s="3" t="str">
        <f ca="1">IFERROR(__xludf.DUMMYFUNCTION("REGEXEXTRACT(C130, ""https?:\/\/(?:.*\.)*(.+\..+?)\/"")"),"tidskriftenskeppet.se")</f>
        <v>tidskriftenskeppet.se</v>
      </c>
      <c r="C130" s="8" t="s">
        <v>276</v>
      </c>
      <c r="D130" s="4" t="s">
        <v>226</v>
      </c>
      <c r="E130" s="5" t="s">
        <v>227</v>
      </c>
      <c r="F130" s="5" t="str">
        <f t="shared" si="1"/>
        <v>swedoffice</v>
      </c>
      <c r="G130" s="5" t="s">
        <v>4</v>
      </c>
      <c r="H130" s="5" t="s">
        <v>5</v>
      </c>
      <c r="I130" s="6">
        <v>44999</v>
      </c>
    </row>
    <row r="131" spans="1:9" ht="13.5">
      <c r="A131" s="2" t="s">
        <v>277</v>
      </c>
      <c r="B131" s="3" t="str">
        <f ca="1">IFERROR(__xludf.DUMMYFUNCTION("REGEXEXTRACT(C131, ""https?:\/\/(?:.*\.)*(.+\..+?)\/"")"),"businessmanualen.se")</f>
        <v>businessmanualen.se</v>
      </c>
      <c r="C131" s="4" t="s">
        <v>278</v>
      </c>
      <c r="D131" s="4" t="s">
        <v>279</v>
      </c>
      <c r="E131" s="5" t="s">
        <v>280</v>
      </c>
      <c r="F131" s="5" t="str">
        <f t="shared" ref="F131:F194" si="2">A131</f>
        <v>toyota-forklifts.se</v>
      </c>
      <c r="G131" s="5" t="s">
        <v>4</v>
      </c>
      <c r="H131" s="5" t="s">
        <v>5</v>
      </c>
      <c r="I131" s="6">
        <v>44999</v>
      </c>
    </row>
    <row r="132" spans="1:9" ht="13.5">
      <c r="A132" s="7" t="s">
        <v>264</v>
      </c>
      <c r="B132" s="3" t="str">
        <f ca="1">IFERROR(__xludf.DUMMYFUNCTION("REGEXEXTRACT(C132, ""https?:\/\/(?:.*\.)*(.+\..+?)\/"")"),"mandemagasinet.dk")</f>
        <v>mandemagasinet.dk</v>
      </c>
      <c r="C132" s="4" t="s">
        <v>281</v>
      </c>
      <c r="D132" s="4" t="s">
        <v>266</v>
      </c>
      <c r="E132" s="5" t="s">
        <v>268</v>
      </c>
      <c r="F132" s="5" t="str">
        <f t="shared" si="2"/>
        <v>creditsafe.se</v>
      </c>
      <c r="G132" s="5" t="s">
        <v>4</v>
      </c>
      <c r="H132" s="5" t="s">
        <v>267</v>
      </c>
      <c r="I132" s="6">
        <v>45000</v>
      </c>
    </row>
    <row r="133" spans="1:9" ht="13.5">
      <c r="A133" s="2" t="s">
        <v>1</v>
      </c>
      <c r="B133" s="3" t="str">
        <f ca="1">IFERROR(__xludf.DUMMYFUNCTION("REGEXEXTRACT(C133, ""https?:\/\/(?:.*\.)*(.+\..+?)\/"")"),"stockholmextra.se")</f>
        <v>stockholmextra.se</v>
      </c>
      <c r="C133" s="4" t="s">
        <v>282</v>
      </c>
      <c r="D133" s="4" t="s">
        <v>3</v>
      </c>
      <c r="E133" s="5" t="s">
        <v>283</v>
      </c>
      <c r="F133" s="5" t="str">
        <f t="shared" si="2"/>
        <v>haxan.se</v>
      </c>
      <c r="G133" s="5" t="s">
        <v>4</v>
      </c>
      <c r="H133" s="5" t="s">
        <v>5</v>
      </c>
      <c r="I133" s="6">
        <v>45000</v>
      </c>
    </row>
    <row r="134" spans="1:9" ht="13.5">
      <c r="A134" s="2" t="s">
        <v>86</v>
      </c>
      <c r="B134" s="3" t="str">
        <f ca="1">IFERROR(__xludf.DUMMYFUNCTION("REGEXEXTRACT(C134, ""https?:\/\/(?:.*\.)*(.+\..+?)\/"")"),"dambloggen.se")</f>
        <v>dambloggen.se</v>
      </c>
      <c r="C134" s="4" t="s">
        <v>284</v>
      </c>
      <c r="D134" s="4" t="s">
        <v>161</v>
      </c>
      <c r="E134" s="5" t="s">
        <v>248</v>
      </c>
      <c r="F134" s="5" t="str">
        <f t="shared" si="2"/>
        <v>kopbarnvagn.se</v>
      </c>
      <c r="G134" s="5" t="s">
        <v>4</v>
      </c>
      <c r="H134" s="5" t="s">
        <v>5</v>
      </c>
      <c r="I134" s="6">
        <v>45000</v>
      </c>
    </row>
    <row r="135" spans="1:9" ht="13.5">
      <c r="A135" s="2" t="s">
        <v>86</v>
      </c>
      <c r="B135" s="3" t="str">
        <f ca="1">IFERROR(__xludf.DUMMYFUNCTION("REGEXEXTRACT(C135, ""https?:\/\/(?:.*\.)*(.+\..+?)\/"")"),"kvinnan.se")</f>
        <v>kvinnan.se</v>
      </c>
      <c r="C135" s="4" t="s">
        <v>285</v>
      </c>
      <c r="D135" s="4" t="s">
        <v>88</v>
      </c>
      <c r="E135" s="5" t="s">
        <v>286</v>
      </c>
      <c r="F135" s="5" t="str">
        <f t="shared" si="2"/>
        <v>kopbarnvagn.se</v>
      </c>
      <c r="G135" s="5" t="s">
        <v>4</v>
      </c>
      <c r="H135" s="5" t="s">
        <v>5</v>
      </c>
      <c r="I135" s="6">
        <v>45000</v>
      </c>
    </row>
    <row r="136" spans="1:9" ht="13.5">
      <c r="A136" s="2" t="s">
        <v>272</v>
      </c>
      <c r="B136" s="3" t="str">
        <f ca="1">IFERROR(__xludf.DUMMYFUNCTION("REGEXEXTRACT(C136, ""https?:\/\/(?:.*\.)*(.+\..+?)\/"")"),"businessmanualen.se")</f>
        <v>businessmanualen.se</v>
      </c>
      <c r="C136" s="4" t="s">
        <v>287</v>
      </c>
      <c r="D136" s="13" t="s">
        <v>274</v>
      </c>
      <c r="E136" s="5" t="s">
        <v>288</v>
      </c>
      <c r="F136" s="5" t="str">
        <f t="shared" si="2"/>
        <v>schjodt.com</v>
      </c>
      <c r="G136" s="5" t="s">
        <v>4</v>
      </c>
      <c r="H136" s="5" t="s">
        <v>5</v>
      </c>
      <c r="I136" s="6">
        <v>45000</v>
      </c>
    </row>
    <row r="137" spans="1:9" ht="13.5">
      <c r="A137" s="7" t="s">
        <v>224</v>
      </c>
      <c r="B137" s="3" t="str">
        <f ca="1">IFERROR(__xludf.DUMMYFUNCTION("REGEXEXTRACT(C137, ""https?:\/\/(?:.*\.)*(.+\..+?)\/"")"),"ngweb.se")</f>
        <v>ngweb.se</v>
      </c>
      <c r="C137" s="4" t="s">
        <v>289</v>
      </c>
      <c r="D137" s="4" t="s">
        <v>290</v>
      </c>
      <c r="E137" s="5" t="s">
        <v>291</v>
      </c>
      <c r="F137" s="5" t="str">
        <f t="shared" si="2"/>
        <v>swedoffice</v>
      </c>
      <c r="G137" s="5" t="s">
        <v>4</v>
      </c>
      <c r="H137" s="5" t="s">
        <v>5</v>
      </c>
      <c r="I137" s="6">
        <v>45000</v>
      </c>
    </row>
    <row r="138" spans="1:9" ht="13.5">
      <c r="A138" s="2" t="s">
        <v>277</v>
      </c>
      <c r="B138" s="3" t="str">
        <f ca="1">IFERROR(__xludf.DUMMYFUNCTION("REGEXEXTRACT(C138, ""https?:\/\/(?:.*\.)*(.+\..+?)\/"")"),"direktbygg.se")</f>
        <v>direktbygg.se</v>
      </c>
      <c r="C138" s="4" t="s">
        <v>292</v>
      </c>
      <c r="D138" s="4" t="s">
        <v>293</v>
      </c>
      <c r="E138" s="5" t="s">
        <v>294</v>
      </c>
      <c r="F138" s="5" t="str">
        <f t="shared" si="2"/>
        <v>toyota-forklifts.se</v>
      </c>
      <c r="G138" s="5" t="s">
        <v>4</v>
      </c>
      <c r="H138" s="5" t="s">
        <v>5</v>
      </c>
      <c r="I138" s="6">
        <v>45000</v>
      </c>
    </row>
    <row r="139" spans="1:9" ht="13.5">
      <c r="A139" s="2" t="s">
        <v>295</v>
      </c>
      <c r="B139" s="3" t="str">
        <f ca="1">IFERROR(__xludf.DUMMYFUNCTION("REGEXEXTRACT(C139, ""https?:\/\/(?:.*\.)*(.+\..+?)\/"")"),"businessmanualen.se")</f>
        <v>businessmanualen.se</v>
      </c>
      <c r="C139" s="14" t="s">
        <v>296</v>
      </c>
      <c r="D139" s="4" t="s">
        <v>297</v>
      </c>
      <c r="E139" s="5" t="s">
        <v>298</v>
      </c>
      <c r="F139" s="5" t="str">
        <f t="shared" si="2"/>
        <v>vontabel.com</v>
      </c>
      <c r="G139" s="5" t="s">
        <v>4</v>
      </c>
      <c r="H139" s="5" t="s">
        <v>5</v>
      </c>
      <c r="I139" s="6">
        <v>45000</v>
      </c>
    </row>
    <row r="140" spans="1:9" ht="13.5">
      <c r="A140" s="2" t="s">
        <v>295</v>
      </c>
      <c r="B140" s="3" t="str">
        <f ca="1">IFERROR(__xludf.DUMMYFUNCTION("REGEXEXTRACT(C140, ""https?:\/\/(?:.*\.)*(.+\..+?)\/"")"),"r1ekonomi.se")</f>
        <v>r1ekonomi.se</v>
      </c>
      <c r="C140" s="4" t="s">
        <v>299</v>
      </c>
      <c r="D140" s="4" t="s">
        <v>300</v>
      </c>
      <c r="E140" s="5" t="s">
        <v>301</v>
      </c>
      <c r="F140" s="5" t="str">
        <f t="shared" si="2"/>
        <v>vontabel.com</v>
      </c>
      <c r="G140" s="5" t="s">
        <v>4</v>
      </c>
      <c r="H140" s="5" t="s">
        <v>5</v>
      </c>
      <c r="I140" s="6">
        <v>45000</v>
      </c>
    </row>
    <row r="141" spans="1:9" ht="13.5">
      <c r="A141" s="2" t="s">
        <v>156</v>
      </c>
      <c r="B141" s="3" t="str">
        <f ca="1">IFERROR(__xludf.DUMMYFUNCTION("REGEXEXTRACT(C141, ""https?:\/\/(?:.*\.)*(.+\..+?)\/"")"),"frii.se")</f>
        <v>frii.se</v>
      </c>
      <c r="C141" s="4" t="s">
        <v>302</v>
      </c>
      <c r="D141" s="4" t="s">
        <v>303</v>
      </c>
      <c r="E141" s="5" t="s">
        <v>159</v>
      </c>
      <c r="F141" s="5" t="str">
        <f t="shared" si="2"/>
        <v>askskinfo.com</v>
      </c>
      <c r="G141" s="5" t="s">
        <v>4</v>
      </c>
      <c r="H141" s="5" t="s">
        <v>5</v>
      </c>
      <c r="I141" s="6">
        <v>45000</v>
      </c>
    </row>
    <row r="142" spans="1:9" ht="13.5">
      <c r="A142" s="7" t="s">
        <v>31</v>
      </c>
      <c r="B142" s="3" t="str">
        <f ca="1">IFERROR(__xludf.DUMMYFUNCTION("REGEXEXTRACT(C142, ""https?:\/\/(?:.*\.)*(.+\..+?)\/"")"),"villaprojekt.se")</f>
        <v>villaprojekt.se</v>
      </c>
      <c r="C142" s="4" t="s">
        <v>304</v>
      </c>
      <c r="D142" s="4" t="s">
        <v>81</v>
      </c>
      <c r="E142" s="5" t="s">
        <v>305</v>
      </c>
      <c r="F142" s="5" t="str">
        <f t="shared" si="2"/>
        <v>bästförsäkringar.se</v>
      </c>
      <c r="G142" s="5" t="s">
        <v>4</v>
      </c>
      <c r="H142" s="5" t="s">
        <v>5</v>
      </c>
      <c r="I142" s="6">
        <v>45001</v>
      </c>
    </row>
    <row r="143" spans="1:9" ht="13.5">
      <c r="A143" s="2" t="s">
        <v>16</v>
      </c>
      <c r="B143" s="3" t="str">
        <f ca="1">IFERROR(__xludf.DUMMYFUNCTION("REGEXEXTRACT(C143, ""https?:\/\/(?:.*\.)*(.+\..+?)\/"")"),"livsstilsexperten.se")</f>
        <v>livsstilsexperten.se</v>
      </c>
      <c r="C143" s="4" t="s">
        <v>306</v>
      </c>
      <c r="D143" s="4" t="s">
        <v>18</v>
      </c>
      <c r="E143" s="5" t="s">
        <v>307</v>
      </c>
      <c r="F143" s="5" t="str">
        <f t="shared" si="2"/>
        <v>chronos.se</v>
      </c>
      <c r="G143" s="5" t="s">
        <v>4</v>
      </c>
      <c r="H143" s="5" t="s">
        <v>5</v>
      </c>
      <c r="I143" s="6">
        <v>45001</v>
      </c>
    </row>
    <row r="144" spans="1:9" ht="13.5">
      <c r="A144" s="2" t="s">
        <v>308</v>
      </c>
      <c r="B144" s="3" t="str">
        <f ca="1">IFERROR(__xludf.DUMMYFUNCTION("REGEXEXTRACT(C144, ""https?:\/\/(?:.*\.)*(.+\..+?)\/"")"),"dagenshus.se")</f>
        <v>dagenshus.se</v>
      </c>
      <c r="C144" s="4" t="s">
        <v>309</v>
      </c>
      <c r="D144" s="4" t="s">
        <v>310</v>
      </c>
      <c r="E144" s="5" t="s">
        <v>311</v>
      </c>
      <c r="F144" s="5" t="str">
        <f t="shared" si="2"/>
        <v>lansfast.se</v>
      </c>
      <c r="G144" s="5" t="s">
        <v>4</v>
      </c>
      <c r="H144" s="5" t="s">
        <v>5</v>
      </c>
      <c r="I144" s="6">
        <v>45002</v>
      </c>
    </row>
    <row r="145" spans="1:9" ht="13.5">
      <c r="A145" s="2" t="s">
        <v>312</v>
      </c>
      <c r="B145" s="3" t="str">
        <f ca="1">IFERROR(__xludf.DUMMYFUNCTION("REGEXEXTRACT(C145, ""https?:\/\/(?:.*\.)*(.+\..+?)\/"")"),"frii.se")</f>
        <v>frii.se</v>
      </c>
      <c r="C145" s="4" t="s">
        <v>313</v>
      </c>
      <c r="D145" s="4" t="s">
        <v>314</v>
      </c>
      <c r="E145" s="5" t="s">
        <v>315</v>
      </c>
      <c r="F145" s="5" t="str">
        <f t="shared" si="2"/>
        <v>sufracofinebrands.com</v>
      </c>
      <c r="G145" s="5" t="s">
        <v>4</v>
      </c>
      <c r="H145" s="5" t="s">
        <v>5</v>
      </c>
      <c r="I145" s="6">
        <v>45002</v>
      </c>
    </row>
    <row r="146" spans="1:9" ht="13.5">
      <c r="A146" s="2" t="s">
        <v>156</v>
      </c>
      <c r="B146" s="3" t="str">
        <f ca="1">IFERROR(__xludf.DUMMYFUNCTION("REGEXEXTRACT(C146, ""https?:\/\/(?:.*\.)*(.+\..+?)\/"")"),"beautytube.se")</f>
        <v>beautytube.se</v>
      </c>
      <c r="C146" s="4" t="s">
        <v>316</v>
      </c>
      <c r="D146" s="4" t="s">
        <v>317</v>
      </c>
      <c r="E146" s="5" t="s">
        <v>318</v>
      </c>
      <c r="F146" s="5" t="str">
        <f t="shared" si="2"/>
        <v>askskinfo.com</v>
      </c>
      <c r="G146" s="5" t="s">
        <v>4</v>
      </c>
      <c r="H146" s="5" t="s">
        <v>5</v>
      </c>
      <c r="I146" s="6">
        <v>45002</v>
      </c>
    </row>
    <row r="147" spans="1:9" ht="13.5">
      <c r="A147" s="2" t="s">
        <v>128</v>
      </c>
      <c r="B147" s="3" t="str">
        <f ca="1">IFERROR(__xludf.DUMMYFUNCTION("REGEXEXTRACT(C147, ""https?:\/\/(?:.*\.)*(.+\..+?)\/"")"),"bygg-appen.se")</f>
        <v>bygg-appen.se</v>
      </c>
      <c r="C147" s="4" t="s">
        <v>319</v>
      </c>
      <c r="D147" s="15" t="s">
        <v>129</v>
      </c>
      <c r="E147" s="5" t="s">
        <v>320</v>
      </c>
      <c r="F147" s="5" t="str">
        <f t="shared" si="2"/>
        <v>elmarknad.se</v>
      </c>
      <c r="G147" s="5" t="s">
        <v>4</v>
      </c>
      <c r="H147" s="5" t="s">
        <v>5</v>
      </c>
      <c r="I147" s="6">
        <v>45003</v>
      </c>
    </row>
    <row r="148" spans="1:9" ht="13.5">
      <c r="A148" s="2" t="s">
        <v>20</v>
      </c>
      <c r="B148" s="3" t="str">
        <f ca="1">IFERROR(__xludf.DUMMYFUNCTION("REGEXEXTRACT(C148, ""https?:\/\/(?:.*\.)*(.+\..+?)\/"")"),"expensive-world.com")</f>
        <v>expensive-world.com</v>
      </c>
      <c r="C148" s="4" t="s">
        <v>321</v>
      </c>
      <c r="D148" s="4" t="s">
        <v>322</v>
      </c>
      <c r="E148" s="5" t="s">
        <v>323</v>
      </c>
      <c r="F148" s="5" t="str">
        <f t="shared" si="2"/>
        <v>blugiallo.com</v>
      </c>
      <c r="G148" s="5" t="s">
        <v>4</v>
      </c>
      <c r="H148" s="5" t="s">
        <v>23</v>
      </c>
      <c r="I148" s="6">
        <v>45005</v>
      </c>
    </row>
    <row r="149" spans="1:9" ht="13.5">
      <c r="A149" s="2" t="s">
        <v>1</v>
      </c>
      <c r="B149" s="3" t="str">
        <f ca="1">IFERROR(__xludf.DUMMYFUNCTION("REGEXEXTRACT(C149, ""https?:\/\/(?:.*\.)*(.+\..+?)\/"")"),"romeoojulia.se")</f>
        <v>romeoojulia.se</v>
      </c>
      <c r="C149" s="14" t="s">
        <v>324</v>
      </c>
      <c r="D149" s="13" t="s">
        <v>3</v>
      </c>
      <c r="E149" s="5" t="s">
        <v>283</v>
      </c>
      <c r="F149" s="5" t="str">
        <f t="shared" si="2"/>
        <v>haxan.se</v>
      </c>
      <c r="G149" s="5" t="s">
        <v>4</v>
      </c>
      <c r="H149" s="5" t="s">
        <v>5</v>
      </c>
      <c r="I149" s="6">
        <v>45005</v>
      </c>
    </row>
    <row r="150" spans="1:9" ht="13.5">
      <c r="A150" s="2" t="s">
        <v>325</v>
      </c>
      <c r="B150" s="3" t="str">
        <f ca="1">IFERROR(__xludf.DUMMYFUNCTION("REGEXEXTRACT(C150, ""https?:\/\/(?:.*\.)*(.+\..+?)\/"")"),"bygg-appen.se")</f>
        <v>bygg-appen.se</v>
      </c>
      <c r="C150" s="4" t="s">
        <v>326</v>
      </c>
      <c r="D150" s="4" t="s">
        <v>327</v>
      </c>
      <c r="E150" s="5" t="s">
        <v>328</v>
      </c>
      <c r="F150" s="5" t="str">
        <f t="shared" si="2"/>
        <v>tiotak.se</v>
      </c>
      <c r="G150" s="5" t="s">
        <v>4</v>
      </c>
      <c r="H150" s="5" t="s">
        <v>5</v>
      </c>
      <c r="I150" s="6">
        <v>45005</v>
      </c>
    </row>
    <row r="151" spans="1:9" ht="13.5">
      <c r="A151" s="7" t="s">
        <v>329</v>
      </c>
      <c r="B151" s="3" t="str">
        <f ca="1">IFERROR(__xludf.DUMMYFUNCTION("REGEXEXTRACT(C151, ""https?:\/\/(?:.*\.)*(.+\..+?)\/"")"),"forfest.se")</f>
        <v>forfest.se</v>
      </c>
      <c r="C151" s="4" t="s">
        <v>330</v>
      </c>
      <c r="D151" s="4" t="s">
        <v>331</v>
      </c>
      <c r="E151" s="5" t="s">
        <v>332</v>
      </c>
      <c r="F151" s="5" t="str">
        <f t="shared" si="2"/>
        <v>vont</v>
      </c>
      <c r="G151" s="5" t="s">
        <v>4</v>
      </c>
      <c r="H151" s="5" t="s">
        <v>5</v>
      </c>
      <c r="I151" s="6">
        <v>45006</v>
      </c>
    </row>
    <row r="152" spans="1:9" ht="13.5">
      <c r="A152" s="2" t="s">
        <v>128</v>
      </c>
      <c r="B152" s="3"/>
      <c r="C152" s="4" t="s">
        <v>333</v>
      </c>
      <c r="D152" s="4" t="s">
        <v>334</v>
      </c>
      <c r="E152" s="5" t="s">
        <v>335</v>
      </c>
      <c r="F152" s="5" t="str">
        <f t="shared" si="2"/>
        <v>elmarknad.se</v>
      </c>
      <c r="G152" s="5" t="s">
        <v>4</v>
      </c>
      <c r="H152" s="5" t="s">
        <v>5</v>
      </c>
      <c r="I152" s="6">
        <v>45008</v>
      </c>
    </row>
    <row r="153" spans="1:9" ht="13.5">
      <c r="A153" s="16" t="s">
        <v>224</v>
      </c>
      <c r="B153" s="3"/>
      <c r="C153" s="4" t="s">
        <v>336</v>
      </c>
      <c r="D153" s="4" t="s">
        <v>337</v>
      </c>
      <c r="E153" s="5" t="s">
        <v>338</v>
      </c>
      <c r="F153" s="5" t="str">
        <f t="shared" si="2"/>
        <v>swedoffice</v>
      </c>
      <c r="G153" s="5" t="s">
        <v>4</v>
      </c>
      <c r="H153" s="5" t="s">
        <v>5</v>
      </c>
      <c r="I153" s="6">
        <v>45008</v>
      </c>
    </row>
    <row r="154" spans="1:9" ht="13.5">
      <c r="A154" s="16" t="s">
        <v>329</v>
      </c>
      <c r="B154" s="3"/>
      <c r="C154" s="4" t="s">
        <v>339</v>
      </c>
      <c r="D154" s="4" t="s">
        <v>340</v>
      </c>
      <c r="E154" s="5" t="s">
        <v>341</v>
      </c>
      <c r="F154" s="5" t="str">
        <f t="shared" si="2"/>
        <v>vont</v>
      </c>
      <c r="G154" s="5" t="s">
        <v>4</v>
      </c>
      <c r="H154" s="5" t="s">
        <v>5</v>
      </c>
      <c r="I154" s="6">
        <v>45013</v>
      </c>
    </row>
    <row r="155" spans="1:9" ht="13.5">
      <c r="A155" s="2" t="s">
        <v>342</v>
      </c>
      <c r="B155" s="3" t="str">
        <f ca="1">IFERROR(__xludf.DUMMYFUNCTION("REGEXEXTRACT(C155, ""https?:\/\/(?:.*\.)*(.+\..+?)\/"")"),"calbizjournal.com")</f>
        <v>calbizjournal.com</v>
      </c>
      <c r="C155" s="4" t="s">
        <v>343</v>
      </c>
      <c r="D155" s="4" t="s">
        <v>344</v>
      </c>
      <c r="E155" s="5" t="s">
        <v>346</v>
      </c>
      <c r="F155" s="5" t="str">
        <f t="shared" si="2"/>
        <v>advancepointcap.com</v>
      </c>
      <c r="G155" s="5" t="s">
        <v>4</v>
      </c>
      <c r="H155" s="5" t="s">
        <v>345</v>
      </c>
      <c r="I155" s="6">
        <v>45017</v>
      </c>
    </row>
    <row r="156" spans="1:9" ht="13.5">
      <c r="A156" s="7" t="s">
        <v>329</v>
      </c>
      <c r="B156" s="3" t="str">
        <f ca="1">IFERROR(__xludf.DUMMYFUNCTION("REGEXEXTRACT(C156, ""https?:\/\/(?:.*\.)*(.+\..+?)\/"")"),"veckodag.nu")</f>
        <v>veckodag.nu</v>
      </c>
      <c r="C156" s="4" t="s">
        <v>347</v>
      </c>
      <c r="D156" s="4" t="s">
        <v>331</v>
      </c>
      <c r="E156" s="5" t="s">
        <v>332</v>
      </c>
      <c r="F156" s="5" t="str">
        <f t="shared" si="2"/>
        <v>vont</v>
      </c>
      <c r="G156" s="5" t="s">
        <v>34</v>
      </c>
      <c r="H156" s="5" t="s">
        <v>5</v>
      </c>
      <c r="I156" s="6">
        <v>45019</v>
      </c>
    </row>
    <row r="157" spans="1:9" ht="13.5">
      <c r="A157" s="2" t="s">
        <v>348</v>
      </c>
      <c r="B157" s="3" t="str">
        <f ca="1">IFERROR(__xludf.DUMMYFUNCTION("REGEXEXTRACT(C157, ""https?:\/\/(?:.*\.)*(.+\..+?)\/"")"),"publicistpaper.com")</f>
        <v>publicistpaper.com</v>
      </c>
      <c r="C157" s="4" t="s">
        <v>349</v>
      </c>
      <c r="D157" s="4" t="s">
        <v>350</v>
      </c>
      <c r="E157" s="5" t="s">
        <v>351</v>
      </c>
      <c r="F157" s="5" t="str">
        <f t="shared" si="2"/>
        <v>happysocks.com</v>
      </c>
      <c r="G157" s="5" t="s">
        <v>4</v>
      </c>
      <c r="H157" s="5" t="s">
        <v>345</v>
      </c>
      <c r="I157" s="6">
        <v>45020</v>
      </c>
    </row>
    <row r="158" spans="1:9" ht="13.5">
      <c r="A158" s="2" t="s">
        <v>348</v>
      </c>
      <c r="B158" s="3" t="str">
        <f ca="1">IFERROR(__xludf.DUMMYFUNCTION("REGEXEXTRACT(C158, ""https?:\/\/(?:.*\.)*(.+\..+?)\/"")"),"ridzeal.com")</f>
        <v>ridzeal.com</v>
      </c>
      <c r="C158" s="4" t="s">
        <v>352</v>
      </c>
      <c r="D158" s="4" t="s">
        <v>353</v>
      </c>
      <c r="E158" s="5" t="s">
        <v>354</v>
      </c>
      <c r="F158" s="5" t="str">
        <f t="shared" si="2"/>
        <v>happysocks.com</v>
      </c>
      <c r="G158" s="5" t="s">
        <v>4</v>
      </c>
      <c r="H158" s="5" t="s">
        <v>345</v>
      </c>
      <c r="I158" s="6">
        <v>45020</v>
      </c>
    </row>
    <row r="159" spans="1:9" ht="13.5">
      <c r="A159" s="2" t="s">
        <v>348</v>
      </c>
      <c r="B159" s="3" t="str">
        <f ca="1">IFERROR(__xludf.DUMMYFUNCTION("REGEXEXTRACT(C159, ""https?:\/\/(?:.*\.)*(.+\..+?)\/"")"),"bytevarsity.com")</f>
        <v>bytevarsity.com</v>
      </c>
      <c r="C159" s="4" t="s">
        <v>355</v>
      </c>
      <c r="D159" s="4" t="s">
        <v>350</v>
      </c>
      <c r="E159" s="5" t="s">
        <v>356</v>
      </c>
      <c r="F159" s="5" t="str">
        <f t="shared" si="2"/>
        <v>happysocks.com</v>
      </c>
      <c r="G159" s="5" t="s">
        <v>4</v>
      </c>
      <c r="H159" s="5" t="s">
        <v>345</v>
      </c>
      <c r="I159" s="6">
        <v>45020</v>
      </c>
    </row>
    <row r="160" spans="1:9" ht="13.5">
      <c r="A160" s="2" t="s">
        <v>348</v>
      </c>
      <c r="B160" s="3" t="str">
        <f ca="1">IFERROR(__xludf.DUMMYFUNCTION("REGEXEXTRACT(C160, ""https?:\/\/(?:.*\.)*(.+\..+?)\/"")"),"newsbreak.com")</f>
        <v>newsbreak.com</v>
      </c>
      <c r="C160" s="4" t="s">
        <v>357</v>
      </c>
      <c r="D160" s="4" t="s">
        <v>357</v>
      </c>
      <c r="E160" s="5" t="s">
        <v>358</v>
      </c>
      <c r="F160" s="5" t="str">
        <f t="shared" si="2"/>
        <v>happysocks.com</v>
      </c>
      <c r="G160" s="5" t="s">
        <v>4</v>
      </c>
      <c r="H160" s="5" t="s">
        <v>345</v>
      </c>
      <c r="I160" s="6">
        <v>45020</v>
      </c>
    </row>
    <row r="161" spans="1:9" ht="13.5">
      <c r="A161" s="2" t="s">
        <v>342</v>
      </c>
      <c r="B161" s="3" t="str">
        <f ca="1">IFERROR(__xludf.DUMMYFUNCTION("REGEXEXTRACT(C161, ""https?:\/\/(?:.*\.)*(.+\..+?)\/"")"),"sflcn.com")</f>
        <v>sflcn.com</v>
      </c>
      <c r="C161" s="4" t="s">
        <v>359</v>
      </c>
      <c r="D161" s="4" t="s">
        <v>360</v>
      </c>
      <c r="E161" s="5" t="s">
        <v>361</v>
      </c>
      <c r="F161" s="5" t="str">
        <f t="shared" si="2"/>
        <v>advancepointcap.com</v>
      </c>
      <c r="G161" s="5" t="s">
        <v>4</v>
      </c>
      <c r="H161" s="5" t="s">
        <v>345</v>
      </c>
      <c r="I161" s="6">
        <v>45020</v>
      </c>
    </row>
    <row r="162" spans="1:9" ht="13.5">
      <c r="A162" s="2" t="s">
        <v>325</v>
      </c>
      <c r="B162" s="3" t="str">
        <f ca="1">IFERROR(__xludf.DUMMYFUNCTION("REGEXEXTRACT(C162, ""https?:\/\/(?:.*\.)*(.+\..+?)\/"")"),"poolstart.se")</f>
        <v>poolstart.se</v>
      </c>
      <c r="C162" s="4" t="s">
        <v>188</v>
      </c>
      <c r="D162" s="17" t="s">
        <v>325</v>
      </c>
      <c r="E162" s="5" t="s">
        <v>328</v>
      </c>
      <c r="F162" s="5" t="str">
        <f t="shared" si="2"/>
        <v>tiotak.se</v>
      </c>
      <c r="G162" s="5" t="s">
        <v>34</v>
      </c>
      <c r="H162" s="5" t="s">
        <v>5</v>
      </c>
      <c r="I162" s="6">
        <v>45021</v>
      </c>
    </row>
    <row r="163" spans="1:9" ht="13.5">
      <c r="A163" s="2" t="s">
        <v>20</v>
      </c>
      <c r="B163" s="3" t="str">
        <f ca="1">IFERROR(__xludf.DUMMYFUNCTION("REGEXEXTRACT(C163, ""https?:\/\/(?:.*\.)*(.+\..+?)\/"")"),"ecommunity.se")</f>
        <v>ecommunity.se</v>
      </c>
      <c r="C163" s="4" t="s">
        <v>362</v>
      </c>
      <c r="D163" s="4" t="s">
        <v>363</v>
      </c>
      <c r="E163" s="5" t="s">
        <v>364</v>
      </c>
      <c r="F163" s="5" t="str">
        <f t="shared" si="2"/>
        <v>blugiallo.com</v>
      </c>
      <c r="G163" s="5" t="s">
        <v>4</v>
      </c>
      <c r="H163" s="5" t="s">
        <v>5</v>
      </c>
      <c r="I163" s="6">
        <v>45022</v>
      </c>
    </row>
    <row r="164" spans="1:9" ht="13.5">
      <c r="A164" s="2" t="s">
        <v>86</v>
      </c>
      <c r="B164" s="3" t="str">
        <f ca="1">IFERROR(__xludf.DUMMYFUNCTION("REGEXEXTRACT(C164, ""https?:\/\/(?:.*\.)*(.+\..+?)\/"")"),"ecommunity.se")</f>
        <v>ecommunity.se</v>
      </c>
      <c r="C164" s="4" t="s">
        <v>365</v>
      </c>
      <c r="D164" s="4" t="s">
        <v>88</v>
      </c>
      <c r="E164" s="5" t="s">
        <v>366</v>
      </c>
      <c r="F164" s="5" t="str">
        <f t="shared" si="2"/>
        <v>kopbarnvagn.se</v>
      </c>
      <c r="G164" s="5" t="s">
        <v>4</v>
      </c>
      <c r="H164" s="5" t="s">
        <v>5</v>
      </c>
      <c r="I164" s="6">
        <v>45022</v>
      </c>
    </row>
    <row r="165" spans="1:9" ht="13.5">
      <c r="A165" s="7" t="s">
        <v>224</v>
      </c>
      <c r="B165" s="3" t="str">
        <f ca="1">IFERROR(__xludf.DUMMYFUNCTION("REGEXEXTRACT(C165, ""https?:\/\/(?:.*\.)*(.+\..+?)\/"")"),"ecommunity.se")</f>
        <v>ecommunity.se</v>
      </c>
      <c r="C165" s="4" t="s">
        <v>367</v>
      </c>
      <c r="D165" s="4" t="s">
        <v>226</v>
      </c>
      <c r="E165" s="5" t="s">
        <v>368</v>
      </c>
      <c r="F165" s="5" t="str">
        <f t="shared" si="2"/>
        <v>swedoffice</v>
      </c>
      <c r="G165" s="5" t="s">
        <v>4</v>
      </c>
      <c r="H165" s="5" t="s">
        <v>5</v>
      </c>
      <c r="I165" s="6">
        <v>45022</v>
      </c>
    </row>
    <row r="166" spans="1:9" ht="13.5">
      <c r="A166" s="7" t="s">
        <v>329</v>
      </c>
      <c r="B166" s="3" t="str">
        <f ca="1">IFERROR(__xludf.DUMMYFUNCTION("REGEXEXTRACT(C166, ""https?:\/\/(?:.*\.)*(.+\..+?)\/"")"),"hemstart.se")</f>
        <v>hemstart.se</v>
      </c>
      <c r="C166" s="4" t="s">
        <v>369</v>
      </c>
      <c r="D166" s="4" t="s">
        <v>331</v>
      </c>
      <c r="E166" s="5" t="s">
        <v>332</v>
      </c>
      <c r="F166" s="5" t="str">
        <f t="shared" si="2"/>
        <v>vont</v>
      </c>
      <c r="G166" s="5" t="s">
        <v>4</v>
      </c>
      <c r="H166" s="5" t="s">
        <v>5</v>
      </c>
      <c r="I166" s="6">
        <v>45024</v>
      </c>
    </row>
    <row r="167" spans="1:9" ht="13.5">
      <c r="A167" s="2" t="s">
        <v>20</v>
      </c>
      <c r="B167" s="3" t="str">
        <f ca="1">IFERROR(__xludf.DUMMYFUNCTION("REGEXEXTRACT(C167, ""https?:\/\/(?:.*\.)*(.+\..+?)\/"")"),"executiveeffect.se")</f>
        <v>executiveeffect.se</v>
      </c>
      <c r="C167" s="4" t="s">
        <v>370</v>
      </c>
      <c r="D167" s="4" t="s">
        <v>363</v>
      </c>
      <c r="E167" s="5" t="s">
        <v>371</v>
      </c>
      <c r="F167" s="5" t="str">
        <f t="shared" si="2"/>
        <v>blugiallo.com</v>
      </c>
      <c r="G167" s="5" t="s">
        <v>4</v>
      </c>
      <c r="H167" s="5" t="s">
        <v>5</v>
      </c>
      <c r="I167" s="6">
        <v>45027</v>
      </c>
    </row>
    <row r="168" spans="1:9" ht="13.5">
      <c r="A168" s="7" t="s">
        <v>224</v>
      </c>
      <c r="B168" s="3" t="str">
        <f ca="1">IFERROR(__xludf.DUMMYFUNCTION("REGEXEXTRACT(C168, ""https?:\/\/(?:.*\.)*(.+\..+?)\/"")"),"eventeffect.se")</f>
        <v>eventeffect.se</v>
      </c>
      <c r="C168" s="4" t="s">
        <v>372</v>
      </c>
      <c r="D168" s="4" t="s">
        <v>226</v>
      </c>
      <c r="E168" s="5" t="s">
        <v>373</v>
      </c>
      <c r="F168" s="5" t="str">
        <f t="shared" si="2"/>
        <v>swedoffice</v>
      </c>
      <c r="G168" s="5" t="s">
        <v>4</v>
      </c>
      <c r="H168" s="5" t="s">
        <v>5</v>
      </c>
      <c r="I168" s="6">
        <v>45027</v>
      </c>
    </row>
    <row r="169" spans="1:9" ht="13.5">
      <c r="A169" s="2" t="s">
        <v>16</v>
      </c>
      <c r="B169" s="3" t="str">
        <f ca="1">IFERROR(__xludf.DUMMYFUNCTION("REGEXEXTRACT(C169, ""https?:\/\/(?:.*\.)*(.+\..+?)\/"")"),"ecommunity.se")</f>
        <v>ecommunity.se</v>
      </c>
      <c r="C169" s="18" t="s">
        <v>374</v>
      </c>
      <c r="D169" s="4" t="s">
        <v>91</v>
      </c>
      <c r="E169" s="5" t="s">
        <v>375</v>
      </c>
      <c r="F169" s="5" t="str">
        <f t="shared" si="2"/>
        <v>chronos.se</v>
      </c>
      <c r="G169" s="5" t="s">
        <v>4</v>
      </c>
      <c r="H169" s="5" t="s">
        <v>5</v>
      </c>
      <c r="I169" s="6">
        <v>45028</v>
      </c>
    </row>
    <row r="170" spans="1:9" ht="13.5">
      <c r="A170" s="2" t="s">
        <v>1</v>
      </c>
      <c r="B170" s="3" t="str">
        <f ca="1">IFERROR(__xludf.DUMMYFUNCTION("REGEXEXTRACT(C170, ""https?:\/\/(?:.*\.)*(.+\..+?)\/"")"),"ecommunity.se")</f>
        <v>ecommunity.se</v>
      </c>
      <c r="C170" s="4" t="s">
        <v>376</v>
      </c>
      <c r="D170" s="8" t="s">
        <v>192</v>
      </c>
      <c r="E170" s="5" t="s">
        <v>377</v>
      </c>
      <c r="F170" s="5" t="str">
        <f t="shared" si="2"/>
        <v>haxan.se</v>
      </c>
      <c r="G170" s="5" t="s">
        <v>4</v>
      </c>
      <c r="H170" s="5" t="s">
        <v>5</v>
      </c>
      <c r="I170" s="6">
        <v>45028</v>
      </c>
    </row>
    <row r="171" spans="1:9" ht="13.5">
      <c r="A171" s="2" t="s">
        <v>312</v>
      </c>
      <c r="B171" s="3" t="str">
        <f ca="1">IFERROR(__xludf.DUMMYFUNCTION("REGEXEXTRACT(C171, ""https?:\/\/(?:.*\.)*(.+\..+?)\/"")"),"ecommunity.se")</f>
        <v>ecommunity.se</v>
      </c>
      <c r="C171" s="4" t="s">
        <v>378</v>
      </c>
      <c r="D171" s="4" t="s">
        <v>379</v>
      </c>
      <c r="E171" s="5" t="s">
        <v>315</v>
      </c>
      <c r="F171" s="5" t="str">
        <f t="shared" si="2"/>
        <v>sufracofinebrands.com</v>
      </c>
      <c r="G171" s="5" t="s">
        <v>4</v>
      </c>
      <c r="H171" s="5" t="s">
        <v>5</v>
      </c>
      <c r="I171" s="6">
        <v>45028</v>
      </c>
    </row>
    <row r="172" spans="1:9" ht="13.5">
      <c r="A172" s="2" t="s">
        <v>295</v>
      </c>
      <c r="B172" s="3" t="str">
        <f ca="1">IFERROR(__xludf.DUMMYFUNCTION("REGEXEXTRACT(C172, ""https?:\/\/(?:.*\.)*(.+\..+?)\/"")"),"ranaposten.no")</f>
        <v>ranaposten.no</v>
      </c>
      <c r="C172" s="13" t="s">
        <v>380</v>
      </c>
      <c r="D172" s="4" t="s">
        <v>381</v>
      </c>
      <c r="E172" s="5" t="s">
        <v>383</v>
      </c>
      <c r="F172" s="5" t="str">
        <f t="shared" si="2"/>
        <v>vontabel.com</v>
      </c>
      <c r="G172" s="5" t="s">
        <v>4</v>
      </c>
      <c r="H172" s="5" t="s">
        <v>382</v>
      </c>
      <c r="I172" s="6">
        <v>45028</v>
      </c>
    </row>
    <row r="173" spans="1:9" ht="13.5">
      <c r="A173" s="2" t="s">
        <v>156</v>
      </c>
      <c r="B173" s="3" t="str">
        <f ca="1">IFERROR(__xludf.DUMMYFUNCTION("REGEXEXTRACT(C173, ""https?:\/\/(?:.*\.)*(.+\..+?)\/"")"),"ecommunity.se")</f>
        <v>ecommunity.se</v>
      </c>
      <c r="C173" s="4" t="s">
        <v>384</v>
      </c>
      <c r="D173" s="4" t="s">
        <v>303</v>
      </c>
      <c r="E173" s="5" t="s">
        <v>385</v>
      </c>
      <c r="F173" s="5" t="str">
        <f t="shared" si="2"/>
        <v>askskinfo.com</v>
      </c>
      <c r="G173" s="5" t="s">
        <v>4</v>
      </c>
      <c r="H173" s="5" t="s">
        <v>5</v>
      </c>
      <c r="I173" s="6">
        <v>45028</v>
      </c>
    </row>
    <row r="174" spans="1:9" ht="13.5">
      <c r="A174" s="7" t="s">
        <v>386</v>
      </c>
      <c r="B174" s="3" t="str">
        <f ca="1">IFERROR(__xludf.DUMMYFUNCTION("REGEXEXTRACT(C174, ""https?:\/\/(?:.*\.)*(.+\..+?)\/"")"),"savethefuture.se")</f>
        <v>savethefuture.se</v>
      </c>
      <c r="C174" s="19" t="s">
        <v>387</v>
      </c>
      <c r="D174" s="20" t="s">
        <v>388</v>
      </c>
      <c r="E174" s="5" t="s">
        <v>389</v>
      </c>
      <c r="F174" s="5" t="str">
        <f t="shared" si="2"/>
        <v>pontech</v>
      </c>
      <c r="G174" s="5" t="s">
        <v>4</v>
      </c>
      <c r="H174" s="5" t="s">
        <v>5</v>
      </c>
      <c r="I174" s="6">
        <v>45029</v>
      </c>
    </row>
    <row r="175" spans="1:9" ht="13.5">
      <c r="A175" s="7" t="s">
        <v>329</v>
      </c>
      <c r="B175" s="3" t="str">
        <f ca="1">IFERROR(__xludf.DUMMYFUNCTION("REGEXEXTRACT(C175, ""https?:\/\/(?:.*\.)*(.+\..+?)\/"")"),"executiveeffect.se")</f>
        <v>executiveeffect.se</v>
      </c>
      <c r="C175" s="8" t="s">
        <v>390</v>
      </c>
      <c r="D175" s="4" t="s">
        <v>331</v>
      </c>
      <c r="E175" s="5" t="s">
        <v>391</v>
      </c>
      <c r="F175" s="5" t="str">
        <f t="shared" si="2"/>
        <v>vont</v>
      </c>
      <c r="G175" s="5" t="s">
        <v>4</v>
      </c>
      <c r="H175" s="5" t="s">
        <v>5</v>
      </c>
      <c r="I175" s="6">
        <v>45029</v>
      </c>
    </row>
    <row r="176" spans="1:9" ht="13.5">
      <c r="A176" s="7" t="s">
        <v>329</v>
      </c>
      <c r="B176" s="3" t="str">
        <f ca="1">IFERROR(__xludf.DUMMYFUNCTION("REGEXEXTRACT(C176, ""https?:\/\/(?:.*\.)*(.+\..+?)\/"")"),"parkleken.se")</f>
        <v>parkleken.se</v>
      </c>
      <c r="C176" s="4" t="s">
        <v>392</v>
      </c>
      <c r="D176" s="4" t="s">
        <v>331</v>
      </c>
      <c r="E176" s="5" t="s">
        <v>393</v>
      </c>
      <c r="F176" s="5" t="str">
        <f t="shared" si="2"/>
        <v>vont</v>
      </c>
      <c r="G176" s="5" t="s">
        <v>4</v>
      </c>
      <c r="H176" s="5" t="s">
        <v>5</v>
      </c>
      <c r="I176" s="6">
        <v>45029</v>
      </c>
    </row>
    <row r="177" spans="1:9" ht="13.5">
      <c r="A177" s="2" t="s">
        <v>394</v>
      </c>
      <c r="B177" s="3" t="str">
        <f ca="1">IFERROR(__xludf.DUMMYFUNCTION("REGEXEXTRACT(C177, ""https?:\/\/(?:.*\.)*(.+\..+?)\/"")"),"eventeffect.se")</f>
        <v>eventeffect.se</v>
      </c>
      <c r="C177" s="4" t="s">
        <v>395</v>
      </c>
      <c r="D177" s="4" t="s">
        <v>396</v>
      </c>
      <c r="E177" s="5" t="s">
        <v>397</v>
      </c>
      <c r="F177" s="5" t="str">
        <f t="shared" si="2"/>
        <v>www.adligo.io</v>
      </c>
      <c r="G177" s="5" t="s">
        <v>4</v>
      </c>
      <c r="H177" s="5" t="s">
        <v>5</v>
      </c>
      <c r="I177" s="6">
        <v>45029</v>
      </c>
    </row>
    <row r="178" spans="1:9" ht="13.5">
      <c r="A178" s="2" t="s">
        <v>20</v>
      </c>
      <c r="B178" s="3" t="str">
        <f ca="1">IFERROR(__xludf.DUMMYFUNCTION("REGEXEXTRACT(C178, ""https?:\/\/(?:.*\.)*(.+\..+?)\/"")"),"fibre2fashion.com")</f>
        <v>fibre2fashion.com</v>
      </c>
      <c r="C178" s="4" t="s">
        <v>398</v>
      </c>
      <c r="D178" s="4" t="s">
        <v>322</v>
      </c>
      <c r="E178" s="5" t="s">
        <v>399</v>
      </c>
      <c r="F178" s="5" t="str">
        <f t="shared" si="2"/>
        <v>blugiallo.com</v>
      </c>
      <c r="G178" s="5" t="s">
        <v>4</v>
      </c>
      <c r="H178" s="5" t="s">
        <v>5</v>
      </c>
      <c r="I178" s="6">
        <v>45030</v>
      </c>
    </row>
    <row r="179" spans="1:9" ht="13.5">
      <c r="A179" s="2" t="s">
        <v>16</v>
      </c>
      <c r="B179" s="3" t="str">
        <f ca="1">IFERROR(__xludf.DUMMYFUNCTION("REGEXEXTRACT(C179, ""https?:\/\/(?:.*\.)*(.+\..+?)\/"")"),"lifestylebloggen.se")</f>
        <v>lifestylebloggen.se</v>
      </c>
      <c r="C179" s="4" t="s">
        <v>400</v>
      </c>
      <c r="D179" s="13" t="s">
        <v>110</v>
      </c>
      <c r="E179" s="5" t="s">
        <v>401</v>
      </c>
      <c r="F179" s="5" t="str">
        <f t="shared" si="2"/>
        <v>chronos.se</v>
      </c>
      <c r="G179" s="5" t="s">
        <v>4</v>
      </c>
      <c r="H179" s="5" t="s">
        <v>5</v>
      </c>
      <c r="I179" s="6">
        <v>45030</v>
      </c>
    </row>
    <row r="180" spans="1:9" ht="13.5">
      <c r="A180" s="2" t="s">
        <v>264</v>
      </c>
      <c r="B180" s="3" t="str">
        <f ca="1">IFERROR(__xludf.DUMMYFUNCTION("REGEXEXTRACT(C180, ""https?:\/\/(?:.*\.)*(.+\..+?)\/"")"),"pengeskole.dk")</f>
        <v>pengeskole.dk</v>
      </c>
      <c r="C180" s="4" t="s">
        <v>402</v>
      </c>
      <c r="D180" s="4" t="s">
        <v>266</v>
      </c>
      <c r="E180" s="5" t="s">
        <v>268</v>
      </c>
      <c r="F180" s="5" t="str">
        <f t="shared" si="2"/>
        <v>creditsafe.se</v>
      </c>
      <c r="G180" s="5" t="s">
        <v>4</v>
      </c>
      <c r="H180" s="5" t="s">
        <v>267</v>
      </c>
      <c r="I180" s="6">
        <v>45030</v>
      </c>
    </row>
    <row r="181" spans="1:9" ht="13.5">
      <c r="A181" s="2" t="s">
        <v>86</v>
      </c>
      <c r="B181" s="3" t="str">
        <f ca="1">IFERROR(__xludf.DUMMYFUNCTION("REGEXEXTRACT(C181, ""https?:\/\/(?:.*\.)*(.+\..+?)\/"")"),"konsumtionen.se")</f>
        <v>konsumtionen.se</v>
      </c>
      <c r="C181" s="4" t="s">
        <v>403</v>
      </c>
      <c r="D181" s="4" t="s">
        <v>404</v>
      </c>
      <c r="E181" s="5" t="s">
        <v>132</v>
      </c>
      <c r="F181" s="5" t="str">
        <f t="shared" si="2"/>
        <v>kopbarnvagn.se</v>
      </c>
      <c r="G181" s="5" t="s">
        <v>4</v>
      </c>
      <c r="H181" s="5" t="s">
        <v>5</v>
      </c>
      <c r="I181" s="6">
        <v>45030</v>
      </c>
    </row>
    <row r="182" spans="1:9" ht="13.5">
      <c r="A182" s="2" t="s">
        <v>405</v>
      </c>
      <c r="B182" s="3" t="str">
        <f ca="1">IFERROR(__xludf.DUMMYFUNCTION("REGEXEXTRACT(C182, ""https?:\/\/(?:.*\.)*(.+\..+?)\/"")"),"openinfo.se")</f>
        <v>openinfo.se</v>
      </c>
      <c r="C182" s="4" t="s">
        <v>406</v>
      </c>
      <c r="D182" s="4" t="s">
        <v>407</v>
      </c>
      <c r="E182" s="5" t="s">
        <v>408</v>
      </c>
      <c r="F182" s="5" t="str">
        <f t="shared" si="2"/>
        <v>rehabgrossisten.com</v>
      </c>
      <c r="G182" s="5" t="s">
        <v>4</v>
      </c>
      <c r="H182" s="5" t="s">
        <v>5</v>
      </c>
      <c r="I182" s="6">
        <v>45030</v>
      </c>
    </row>
    <row r="183" spans="1:9" ht="13.5">
      <c r="A183" s="2" t="s">
        <v>272</v>
      </c>
      <c r="B183" s="3" t="str">
        <f ca="1">IFERROR(__xludf.DUMMYFUNCTION("REGEXEXTRACT(C183, ""https?:\/\/(?:.*\.)*(.+\..+?)\/"")"),"dinfinans.se")</f>
        <v>dinfinans.se</v>
      </c>
      <c r="C183" s="4" t="s">
        <v>409</v>
      </c>
      <c r="D183" s="13" t="s">
        <v>274</v>
      </c>
      <c r="E183" s="5" t="s">
        <v>410</v>
      </c>
      <c r="F183" s="5" t="str">
        <f t="shared" si="2"/>
        <v>schjodt.com</v>
      </c>
      <c r="G183" s="5" t="s">
        <v>4</v>
      </c>
      <c r="H183" s="5" t="s">
        <v>5</v>
      </c>
      <c r="I183" s="6">
        <v>45030</v>
      </c>
    </row>
    <row r="184" spans="1:9" ht="13.5">
      <c r="A184" s="2" t="s">
        <v>272</v>
      </c>
      <c r="B184" s="3" t="str">
        <f ca="1">IFERROR(__xludf.DUMMYFUNCTION("REGEXEXTRACT(C184, ""https?:\/\/(?:.*\.)*(.+\..+?)\/"")"),"valutacentralen.se")</f>
        <v>valutacentralen.se</v>
      </c>
      <c r="C184" s="4" t="s">
        <v>411</v>
      </c>
      <c r="D184" s="13" t="s">
        <v>274</v>
      </c>
      <c r="E184" s="13" t="s">
        <v>274</v>
      </c>
      <c r="F184" s="5" t="str">
        <f t="shared" si="2"/>
        <v>schjodt.com</v>
      </c>
      <c r="G184" s="5" t="s">
        <v>4</v>
      </c>
      <c r="H184" s="5" t="s">
        <v>5</v>
      </c>
      <c r="I184" s="6">
        <v>45030</v>
      </c>
    </row>
    <row r="185" spans="1:9" ht="13.5">
      <c r="A185" s="2" t="s">
        <v>272</v>
      </c>
      <c r="B185" s="3" t="str">
        <f ca="1">IFERROR(__xludf.DUMMYFUNCTION("REGEXEXTRACT(C185, ""https?:\/\/(?:.*\.)*(.+\..+?)\/"")"),"pengar.in")</f>
        <v>pengar.in</v>
      </c>
      <c r="C185" s="4" t="s">
        <v>412</v>
      </c>
      <c r="D185" s="13" t="s">
        <v>274</v>
      </c>
      <c r="E185" s="5" t="s">
        <v>413</v>
      </c>
      <c r="F185" s="5" t="str">
        <f t="shared" si="2"/>
        <v>schjodt.com</v>
      </c>
      <c r="G185" s="5" t="s">
        <v>4</v>
      </c>
      <c r="H185" s="5" t="s">
        <v>5</v>
      </c>
      <c r="I185" s="6">
        <v>45030</v>
      </c>
    </row>
    <row r="186" spans="1:9" ht="13.5">
      <c r="A186" s="7" t="s">
        <v>224</v>
      </c>
      <c r="B186" s="3" t="str">
        <f ca="1">IFERROR(__xludf.DUMMYFUNCTION("REGEXEXTRACT(C186, ""https?:\/\/(?:.*\.)*(.+\..+?)\/"")"),"ekonomiboken.se")</f>
        <v>ekonomiboken.se</v>
      </c>
      <c r="C186" s="4" t="s">
        <v>414</v>
      </c>
      <c r="D186" s="4" t="s">
        <v>226</v>
      </c>
      <c r="E186" s="21" t="s">
        <v>368</v>
      </c>
      <c r="F186" s="5" t="str">
        <f t="shared" si="2"/>
        <v>swedoffice</v>
      </c>
      <c r="G186" s="5" t="s">
        <v>4</v>
      </c>
      <c r="H186" s="5" t="s">
        <v>5</v>
      </c>
      <c r="I186" s="6">
        <v>45030</v>
      </c>
    </row>
    <row r="187" spans="1:9" ht="13.5">
      <c r="A187" s="7" t="s">
        <v>224</v>
      </c>
      <c r="B187" s="3" t="str">
        <f ca="1">IFERROR(__xludf.DUMMYFUNCTION("REGEXEXTRACT(C187, ""https?:\/\/(?:.*\.)*(.+\..+?)\/"")"),"industrimagasinet.se")</f>
        <v>industrimagasinet.se</v>
      </c>
      <c r="C187" s="4" t="s">
        <v>415</v>
      </c>
      <c r="D187" s="4" t="s">
        <v>337</v>
      </c>
      <c r="E187" s="5" t="s">
        <v>416</v>
      </c>
      <c r="F187" s="5" t="str">
        <f t="shared" si="2"/>
        <v>swedoffice</v>
      </c>
      <c r="G187" s="5" t="s">
        <v>4</v>
      </c>
      <c r="H187" s="5" t="s">
        <v>5</v>
      </c>
      <c r="I187" s="6">
        <v>45030</v>
      </c>
    </row>
    <row r="188" spans="1:9" ht="13.5">
      <c r="A188" s="7" t="s">
        <v>224</v>
      </c>
      <c r="B188" s="3" t="str">
        <f ca="1">IFERROR(__xludf.DUMMYFUNCTION("REGEXEXTRACT(C188, ""https?:\/\/(?:.*\.)*(.+\..+?)\/"")"),"bolagsekonomen.se")</f>
        <v>bolagsekonomen.se</v>
      </c>
      <c r="C188" s="4" t="s">
        <v>417</v>
      </c>
      <c r="D188" s="4" t="s">
        <v>290</v>
      </c>
      <c r="E188" s="5" t="s">
        <v>418</v>
      </c>
      <c r="F188" s="5" t="str">
        <f t="shared" si="2"/>
        <v>swedoffice</v>
      </c>
      <c r="G188" s="5" t="s">
        <v>4</v>
      </c>
      <c r="H188" s="5" t="s">
        <v>5</v>
      </c>
      <c r="I188" s="6">
        <v>45030</v>
      </c>
    </row>
    <row r="189" spans="1:9" ht="13.5">
      <c r="A189" s="2" t="s">
        <v>277</v>
      </c>
      <c r="B189" s="3" t="str">
        <f ca="1">IFERROR(__xludf.DUMMYFUNCTION("REGEXEXTRACT(C189, ""https?:\/\/(?:.*\.)*(.+\..+?)\/"")"),"byggavilla.se")</f>
        <v>byggavilla.se</v>
      </c>
      <c r="C189" s="4" t="s">
        <v>419</v>
      </c>
      <c r="D189" s="4" t="s">
        <v>420</v>
      </c>
      <c r="E189" s="5" t="s">
        <v>421</v>
      </c>
      <c r="F189" s="5" t="str">
        <f t="shared" si="2"/>
        <v>toyota-forklifts.se</v>
      </c>
      <c r="G189" s="5" t="s">
        <v>4</v>
      </c>
      <c r="H189" s="5" t="s">
        <v>5</v>
      </c>
      <c r="I189" s="6">
        <v>45030</v>
      </c>
    </row>
    <row r="190" spans="1:9" ht="13.5">
      <c r="A190" s="2" t="s">
        <v>277</v>
      </c>
      <c r="B190" s="3" t="str">
        <f ca="1">IFERROR(__xludf.DUMMYFUNCTION("REGEXEXTRACT(C190, ""https?:\/\/(?:.*\.)*(.+\..+?)\/"")"),"bossingsbilservice.se")</f>
        <v>bossingsbilservice.se</v>
      </c>
      <c r="C190" s="4" t="s">
        <v>422</v>
      </c>
      <c r="D190" s="4" t="s">
        <v>279</v>
      </c>
      <c r="E190" s="5" t="s">
        <v>423</v>
      </c>
      <c r="F190" s="5" t="str">
        <f t="shared" si="2"/>
        <v>toyota-forklifts.se</v>
      </c>
      <c r="G190" s="5" t="s">
        <v>4</v>
      </c>
      <c r="H190" s="5" t="s">
        <v>5</v>
      </c>
      <c r="I190" s="6">
        <v>45030</v>
      </c>
    </row>
    <row r="191" spans="1:9" ht="13.5">
      <c r="A191" s="2" t="s">
        <v>277</v>
      </c>
      <c r="B191" s="3" t="str">
        <f ca="1">IFERROR(__xludf.DUMMYFUNCTION("REGEXEXTRACT(C191, ""https?:\/\/(?:.*\.)*(.+\..+?)\/"")"),"bareblog.se")</f>
        <v>bareblog.se</v>
      </c>
      <c r="C191" s="4" t="s">
        <v>424</v>
      </c>
      <c r="D191" s="4" t="s">
        <v>293</v>
      </c>
      <c r="E191" s="5" t="s">
        <v>294</v>
      </c>
      <c r="F191" s="5" t="str">
        <f t="shared" si="2"/>
        <v>toyota-forklifts.se</v>
      </c>
      <c r="G191" s="5" t="s">
        <v>4</v>
      </c>
      <c r="H191" s="5" t="s">
        <v>5</v>
      </c>
      <c r="I191" s="6">
        <v>45030</v>
      </c>
    </row>
    <row r="192" spans="1:9" ht="13.5">
      <c r="A192" s="2" t="s">
        <v>16</v>
      </c>
      <c r="B192" s="3" t="str">
        <f ca="1">IFERROR(__xludf.DUMMYFUNCTION("REGEXEXTRACT(C192, ""https?:\/\/(?:.*\.)*(.+\..+?)\/"")"),"livsstilsforandringar.se")</f>
        <v>livsstilsforandringar.se</v>
      </c>
      <c r="C192" s="4" t="s">
        <v>425</v>
      </c>
      <c r="D192" s="13" t="s">
        <v>110</v>
      </c>
      <c r="E192" s="5" t="s">
        <v>215</v>
      </c>
      <c r="F192" s="5" t="str">
        <f t="shared" si="2"/>
        <v>chronos.se</v>
      </c>
      <c r="G192" s="5" t="s">
        <v>4</v>
      </c>
      <c r="H192" s="5" t="s">
        <v>5</v>
      </c>
      <c r="I192" s="6">
        <v>45031</v>
      </c>
    </row>
    <row r="193" spans="1:9" ht="13.5">
      <c r="A193" s="7" t="s">
        <v>67</v>
      </c>
      <c r="B193" s="3" t="str">
        <f ca="1">IFERROR(__xludf.DUMMYFUNCTION("REGEXEXTRACT(C193, ""https?:\/\/(?:.*\.)*(.+\..+?)\/"")"),"livsstilsforandringar.se")</f>
        <v>livsstilsforandringar.se</v>
      </c>
      <c r="C193" s="4" t="s">
        <v>426</v>
      </c>
      <c r="D193" s="4" t="s">
        <v>69</v>
      </c>
      <c r="E193" s="5" t="s">
        <v>427</v>
      </c>
      <c r="F193" s="5" t="str">
        <f t="shared" si="2"/>
        <v>nem.health</v>
      </c>
      <c r="G193" s="5" t="s">
        <v>4</v>
      </c>
      <c r="H193" s="5" t="s">
        <v>5</v>
      </c>
      <c r="I193" s="6">
        <v>45031</v>
      </c>
    </row>
    <row r="194" spans="1:9" ht="13.5">
      <c r="A194" s="7" t="s">
        <v>386</v>
      </c>
      <c r="B194" s="3" t="str">
        <f ca="1">IFERROR(__xludf.DUMMYFUNCTION("REGEXEXTRACT(C194, ""https?:\/\/(?:.*\.)*(.+\..+?)\/"")"),"savethefuture.se")</f>
        <v>savethefuture.se</v>
      </c>
      <c r="C194" s="19" t="s">
        <v>428</v>
      </c>
      <c r="D194" s="20" t="s">
        <v>429</v>
      </c>
      <c r="E194" s="5" t="s">
        <v>389</v>
      </c>
      <c r="F194" s="5" t="str">
        <f t="shared" si="2"/>
        <v>pontech</v>
      </c>
      <c r="G194" s="5" t="s">
        <v>4</v>
      </c>
      <c r="H194" s="5" t="s">
        <v>5</v>
      </c>
      <c r="I194" s="6">
        <v>45033</v>
      </c>
    </row>
    <row r="195" spans="1:9" ht="13.5">
      <c r="A195" s="7" t="s">
        <v>224</v>
      </c>
      <c r="B195" s="3" t="str">
        <f ca="1">IFERROR(__xludf.DUMMYFUNCTION("REGEXEXTRACT(C195, ""https?:\/\/(?:.*\.)*(.+\..+?)\/"")"),"stilero.se")</f>
        <v>stilero.se</v>
      </c>
      <c r="C195" s="4" t="s">
        <v>430</v>
      </c>
      <c r="D195" s="4" t="s">
        <v>431</v>
      </c>
      <c r="E195" s="5" t="s">
        <v>338</v>
      </c>
      <c r="F195" s="5" t="str">
        <f t="shared" ref="F195:F258" si="3">A195</f>
        <v>swedoffice</v>
      </c>
      <c r="G195" s="5" t="s">
        <v>4</v>
      </c>
      <c r="H195" s="5" t="s">
        <v>5</v>
      </c>
      <c r="I195" s="6">
        <v>45034</v>
      </c>
    </row>
    <row r="196" spans="1:9" ht="13.5">
      <c r="A196" s="2" t="s">
        <v>156</v>
      </c>
      <c r="B196" s="3" t="str">
        <f ca="1">IFERROR(__xludf.DUMMYFUNCTION("REGEXEXTRACT(C196, ""https?:\/\/(?:.*\.)*(.+\..+?)\/"")"),"ladytalk.se")</f>
        <v>ladytalk.se</v>
      </c>
      <c r="C196" s="4" t="s">
        <v>432</v>
      </c>
      <c r="D196" s="4" t="s">
        <v>317</v>
      </c>
      <c r="E196" s="5" t="s">
        <v>318</v>
      </c>
      <c r="F196" s="5" t="str">
        <f t="shared" si="3"/>
        <v>askskinfo.com</v>
      </c>
      <c r="G196" s="5" t="s">
        <v>4</v>
      </c>
      <c r="H196" s="5" t="s">
        <v>5</v>
      </c>
      <c r="I196" s="6">
        <v>45035</v>
      </c>
    </row>
    <row r="197" spans="1:9" ht="13.5">
      <c r="A197" s="2" t="s">
        <v>16</v>
      </c>
      <c r="B197" s="3" t="str">
        <f ca="1">IFERROR(__xludf.DUMMYFUNCTION("REGEXEXTRACT(C197, ""https?:\/\/(?:.*\.)*(.+\..+?)\/"")"),"livsstilsbloggen.se")</f>
        <v>livsstilsbloggen.se</v>
      </c>
      <c r="C197" s="4" t="s">
        <v>433</v>
      </c>
      <c r="D197" s="4" t="s">
        <v>18</v>
      </c>
      <c r="E197" s="5" t="s">
        <v>307</v>
      </c>
      <c r="F197" s="5" t="str">
        <f t="shared" si="3"/>
        <v>chronos.se</v>
      </c>
      <c r="G197" s="5" t="s">
        <v>4</v>
      </c>
      <c r="H197" s="5" t="s">
        <v>5</v>
      </c>
      <c r="I197" s="6">
        <v>45035</v>
      </c>
    </row>
    <row r="198" spans="1:9" ht="13.5">
      <c r="A198" s="2" t="s">
        <v>128</v>
      </c>
      <c r="B198" s="3" t="str">
        <f ca="1">IFERROR(__xludf.DUMMYFUNCTION("REGEXEXTRACT(C198, ""https?:\/\/(?:.*\.)*(.+\..+?)\/"")"),"industrilinjen.se")</f>
        <v>industrilinjen.se</v>
      </c>
      <c r="C198" s="4" t="s">
        <v>434</v>
      </c>
      <c r="D198" s="4" t="s">
        <v>270</v>
      </c>
      <c r="E198" s="5" t="s">
        <v>271</v>
      </c>
      <c r="F198" s="5" t="str">
        <f t="shared" si="3"/>
        <v>elmarknad.se</v>
      </c>
      <c r="G198" s="5" t="s">
        <v>4</v>
      </c>
      <c r="H198" s="5" t="s">
        <v>5</v>
      </c>
      <c r="I198" s="6">
        <v>45035</v>
      </c>
    </row>
    <row r="199" spans="1:9" ht="13.5">
      <c r="A199" s="2" t="s">
        <v>435</v>
      </c>
      <c r="B199" s="3" t="str">
        <f ca="1">IFERROR(__xludf.DUMMYFUNCTION("REGEXEXTRACT(C199, ""https?:\/\/(?:.*\.)*(.+\..+?)\/"")"),"dinfinans.se")</f>
        <v>dinfinans.se</v>
      </c>
      <c r="C199" s="4" t="s">
        <v>436</v>
      </c>
      <c r="D199" s="4" t="s">
        <v>437</v>
      </c>
      <c r="E199" s="5" t="s">
        <v>438</v>
      </c>
      <c r="F199" s="5" t="str">
        <f t="shared" si="3"/>
        <v>fairinvestments.se</v>
      </c>
      <c r="G199" s="5" t="s">
        <v>4</v>
      </c>
      <c r="H199" s="5" t="s">
        <v>5</v>
      </c>
      <c r="I199" s="6">
        <v>45035</v>
      </c>
    </row>
    <row r="200" spans="1:9" ht="13.5">
      <c r="A200" s="2" t="s">
        <v>348</v>
      </c>
      <c r="B200" s="3" t="str">
        <f ca="1">IFERROR(__xludf.DUMMYFUNCTION("REGEXEXTRACT(C200, ""https?:\/\/(?:.*\.)*(.+\..+?)\/"")"),"godfatherstyle.com")</f>
        <v>godfatherstyle.com</v>
      </c>
      <c r="C200" s="4" t="s">
        <v>439</v>
      </c>
      <c r="D200" s="4" t="s">
        <v>350</v>
      </c>
      <c r="E200" s="5" t="s">
        <v>440</v>
      </c>
      <c r="F200" s="5" t="str">
        <f t="shared" si="3"/>
        <v>happysocks.com</v>
      </c>
      <c r="G200" s="5" t="s">
        <v>4</v>
      </c>
      <c r="H200" s="5" t="s">
        <v>345</v>
      </c>
      <c r="I200" s="6">
        <v>45035</v>
      </c>
    </row>
    <row r="201" spans="1:9" ht="13.5">
      <c r="A201" s="2" t="s">
        <v>348</v>
      </c>
      <c r="B201" s="3" t="str">
        <f ca="1">IFERROR(__xludf.DUMMYFUNCTION("REGEXEXTRACT(C201, ""https?:\/\/(?:.*\.)*(.+\..+?)\/"")"),"44bars.com")</f>
        <v>44bars.com</v>
      </c>
      <c r="C201" s="4" t="s">
        <v>441</v>
      </c>
      <c r="D201" s="4" t="s">
        <v>350</v>
      </c>
      <c r="E201" s="5" t="s">
        <v>442</v>
      </c>
      <c r="F201" s="5" t="str">
        <f t="shared" si="3"/>
        <v>happysocks.com</v>
      </c>
      <c r="G201" s="5" t="s">
        <v>4</v>
      </c>
      <c r="H201" s="5" t="s">
        <v>345</v>
      </c>
      <c r="I201" s="6">
        <v>45035</v>
      </c>
    </row>
    <row r="202" spans="1:9" ht="13.5">
      <c r="A202" s="2" t="s">
        <v>1</v>
      </c>
      <c r="B202" s="3" t="str">
        <f ca="1">IFERROR(__xludf.DUMMYFUNCTION("REGEXEXTRACT(C202, ""https?:\/\/(?:.*\.)*(.+\..+?)\/"")"),"gladafamiljer.se")</f>
        <v>gladafamiljer.se</v>
      </c>
      <c r="C202" s="4" t="s">
        <v>443</v>
      </c>
      <c r="D202" s="4" t="s">
        <v>3</v>
      </c>
      <c r="E202" s="5" t="s">
        <v>283</v>
      </c>
      <c r="F202" s="5" t="str">
        <f t="shared" si="3"/>
        <v>haxan.se</v>
      </c>
      <c r="G202" s="5" t="s">
        <v>4</v>
      </c>
      <c r="H202" s="5" t="s">
        <v>5</v>
      </c>
      <c r="I202" s="6">
        <v>45035</v>
      </c>
    </row>
    <row r="203" spans="1:9" ht="13.5">
      <c r="A203" s="2" t="s">
        <v>86</v>
      </c>
      <c r="B203" s="3" t="str">
        <f ca="1">IFERROR(__xludf.DUMMYFUNCTION("REGEXEXTRACT(C203, ""https?:\/\/(?:.*\.)*(.+\..+?)\/"")"),"flerbarnsmamman.se")</f>
        <v>flerbarnsmamman.se</v>
      </c>
      <c r="C203" s="4" t="s">
        <v>444</v>
      </c>
      <c r="D203" s="4" t="s">
        <v>445</v>
      </c>
      <c r="E203" s="5" t="s">
        <v>446</v>
      </c>
      <c r="F203" s="5" t="str">
        <f t="shared" si="3"/>
        <v>kopbarnvagn.se</v>
      </c>
      <c r="G203" s="5" t="s">
        <v>4</v>
      </c>
      <c r="H203" s="5" t="s">
        <v>5</v>
      </c>
      <c r="I203" s="6">
        <v>45035</v>
      </c>
    </row>
    <row r="204" spans="1:9" ht="13.5">
      <c r="A204" s="2" t="s">
        <v>308</v>
      </c>
      <c r="B204" s="3" t="str">
        <f ca="1">IFERROR(__xludf.DUMMYFUNCTION("REGEXEXTRACT(C204, ""https?:\/\/(?:.*\.)*(.+\..+?)\/"")"),"nordicinvestor.se")</f>
        <v>nordicinvestor.se</v>
      </c>
      <c r="C204" s="4" t="s">
        <v>447</v>
      </c>
      <c r="D204" s="4" t="s">
        <v>310</v>
      </c>
      <c r="E204" s="5" t="s">
        <v>448</v>
      </c>
      <c r="F204" s="5" t="str">
        <f t="shared" si="3"/>
        <v>lansfast.se</v>
      </c>
      <c r="G204" s="5" t="s">
        <v>4</v>
      </c>
      <c r="H204" s="5" t="s">
        <v>5</v>
      </c>
      <c r="I204" s="6">
        <v>45035</v>
      </c>
    </row>
    <row r="205" spans="1:9" ht="13.5">
      <c r="A205" s="2" t="s">
        <v>308</v>
      </c>
      <c r="B205" s="3" t="str">
        <f ca="1">IFERROR(__xludf.DUMMYFUNCTION("REGEXEXTRACT(C205, ""https?:\/\/(?:.*\.)*(.+\..+?)\/"")"),"dindromvilla.se")</f>
        <v>dindromvilla.se</v>
      </c>
      <c r="C205" s="4" t="s">
        <v>449</v>
      </c>
      <c r="D205" s="4" t="s">
        <v>310</v>
      </c>
      <c r="E205" s="5" t="s">
        <v>450</v>
      </c>
      <c r="F205" s="5" t="str">
        <f t="shared" si="3"/>
        <v>lansfast.se</v>
      </c>
      <c r="G205" s="5" t="s">
        <v>4</v>
      </c>
      <c r="H205" s="5" t="s">
        <v>5</v>
      </c>
      <c r="I205" s="6">
        <v>45035</v>
      </c>
    </row>
    <row r="206" spans="1:9" ht="13.5">
      <c r="A206" s="2" t="s">
        <v>386</v>
      </c>
      <c r="B206" s="3" t="str">
        <f ca="1">IFERROR(__xludf.DUMMYFUNCTION("REGEXEXTRACT(C206, ""https?:\/\/(?:.*\.)*(.+\..+?)\/"")"),"emmabodagranit.se")</f>
        <v>emmabodagranit.se</v>
      </c>
      <c r="C206" s="4" t="s">
        <v>451</v>
      </c>
      <c r="D206" s="4" t="s">
        <v>452</v>
      </c>
      <c r="E206" s="5" t="s">
        <v>453</v>
      </c>
      <c r="F206" s="5" t="str">
        <f t="shared" si="3"/>
        <v>pontech</v>
      </c>
      <c r="G206" s="5" t="s">
        <v>4</v>
      </c>
      <c r="H206" s="5" t="s">
        <v>5</v>
      </c>
      <c r="I206" s="6">
        <v>45035</v>
      </c>
    </row>
    <row r="207" spans="1:9" ht="13.5">
      <c r="A207" s="2" t="s">
        <v>405</v>
      </c>
      <c r="B207" s="3" t="str">
        <f ca="1">IFERROR(__xludf.DUMMYFUNCTION("REGEXEXTRACT(C207, ""https?:\/\/(?:.*\.)*(.+\..+?)\/"")"),"andrashop.se")</f>
        <v>andrashop.se</v>
      </c>
      <c r="C207" s="4" t="s">
        <v>454</v>
      </c>
      <c r="D207" s="4" t="s">
        <v>455</v>
      </c>
      <c r="E207" s="5" t="s">
        <v>456</v>
      </c>
      <c r="F207" s="5" t="str">
        <f t="shared" si="3"/>
        <v>rehabgrossisten.com</v>
      </c>
      <c r="G207" s="5" t="s">
        <v>4</v>
      </c>
      <c r="H207" s="5" t="s">
        <v>5</v>
      </c>
      <c r="I207" s="6">
        <v>45035</v>
      </c>
    </row>
    <row r="208" spans="1:9" ht="13.5">
      <c r="A208" s="2" t="s">
        <v>312</v>
      </c>
      <c r="B208" s="3" t="str">
        <f ca="1">IFERROR(__xludf.DUMMYFUNCTION("REGEXEXTRACT(C208, ""https?:\/\/(?:.*\.)*(.+\..+?)\/"")"),"flerbarnsmamman.se")</f>
        <v>flerbarnsmamman.se</v>
      </c>
      <c r="C208" s="4" t="s">
        <v>457</v>
      </c>
      <c r="D208" s="4" t="s">
        <v>458</v>
      </c>
      <c r="E208" s="5" t="s">
        <v>459</v>
      </c>
      <c r="F208" s="5" t="str">
        <f t="shared" si="3"/>
        <v>sufracofinebrands.com</v>
      </c>
      <c r="G208" s="5" t="s">
        <v>4</v>
      </c>
      <c r="H208" s="5" t="s">
        <v>5</v>
      </c>
      <c r="I208" s="6">
        <v>45035</v>
      </c>
    </row>
    <row r="209" spans="1:9" ht="13.5">
      <c r="A209" s="7" t="s">
        <v>224</v>
      </c>
      <c r="B209" s="3" t="str">
        <f ca="1">IFERROR(__xludf.DUMMYFUNCTION("REGEXEXTRACT(C209, ""https?:\/\/(?:.*\.)*(.+\..+?)\/"")"),"andrashop.se")</f>
        <v>andrashop.se</v>
      </c>
      <c r="C209" s="4" t="s">
        <v>460</v>
      </c>
      <c r="D209" s="4" t="s">
        <v>461</v>
      </c>
      <c r="E209" s="5" t="s">
        <v>291</v>
      </c>
      <c r="F209" s="5" t="str">
        <f t="shared" si="3"/>
        <v>swedoffice</v>
      </c>
      <c r="G209" s="5" t="s">
        <v>4</v>
      </c>
      <c r="H209" s="5" t="s">
        <v>5</v>
      </c>
      <c r="I209" s="6">
        <v>45035</v>
      </c>
    </row>
    <row r="210" spans="1:9" ht="13.5">
      <c r="A210" s="2" t="s">
        <v>325</v>
      </c>
      <c r="B210" s="3" t="str">
        <f ca="1">IFERROR(__xludf.DUMMYFUNCTION("REGEXEXTRACT(C210, ""https?:\/\/(?:.*\.)*(.+\..+?)\/"")"),"industrimagasinet.se")</f>
        <v>industrimagasinet.se</v>
      </c>
      <c r="C210" s="4" t="s">
        <v>462</v>
      </c>
      <c r="D210" s="4" t="s">
        <v>327</v>
      </c>
      <c r="E210" s="5" t="s">
        <v>463</v>
      </c>
      <c r="F210" s="5" t="str">
        <f t="shared" si="3"/>
        <v>tiotak.se</v>
      </c>
      <c r="G210" s="5" t="s">
        <v>4</v>
      </c>
      <c r="H210" s="5" t="s">
        <v>5</v>
      </c>
      <c r="I210" s="6">
        <v>45035</v>
      </c>
    </row>
    <row r="211" spans="1:9" ht="13.5">
      <c r="A211" s="2" t="s">
        <v>464</v>
      </c>
      <c r="B211" s="3" t="str">
        <f ca="1">IFERROR(__xludf.DUMMYFUNCTION("REGEXEXTRACT(C211, ""https?:\/\/(?:.*\.)*(.+\..+?)\/"")"),"dindromvilla.se")</f>
        <v>dindromvilla.se</v>
      </c>
      <c r="C211" s="4" t="s">
        <v>465</v>
      </c>
      <c r="D211" s="4" t="s">
        <v>466</v>
      </c>
      <c r="E211" s="5" t="s">
        <v>467</v>
      </c>
      <c r="F211" s="5" t="str">
        <f t="shared" si="3"/>
        <v>villarelining.se</v>
      </c>
      <c r="G211" s="5" t="s">
        <v>4</v>
      </c>
      <c r="H211" s="5" t="s">
        <v>5</v>
      </c>
      <c r="I211" s="6">
        <v>45035</v>
      </c>
    </row>
    <row r="212" spans="1:9" ht="13.5">
      <c r="A212" s="2" t="s">
        <v>464</v>
      </c>
      <c r="B212" s="3" t="str">
        <f ca="1">IFERROR(__xludf.DUMMYFUNCTION("REGEXEXTRACT(C212, ""https?:\/\/(?:.*\.)*(.+\..+?)\/"")"),"byggmester.se")</f>
        <v>byggmester.se</v>
      </c>
      <c r="C212" s="4" t="s">
        <v>468</v>
      </c>
      <c r="D212" s="4" t="s">
        <v>466</v>
      </c>
      <c r="E212" s="5" t="s">
        <v>467</v>
      </c>
      <c r="F212" s="5" t="str">
        <f t="shared" si="3"/>
        <v>villarelining.se</v>
      </c>
      <c r="G212" s="5" t="s">
        <v>4</v>
      </c>
      <c r="H212" s="5" t="s">
        <v>5</v>
      </c>
      <c r="I212" s="6">
        <v>45035</v>
      </c>
    </row>
    <row r="213" spans="1:9" ht="13.5">
      <c r="A213" s="2" t="s">
        <v>464</v>
      </c>
      <c r="B213" s="3" t="str">
        <f ca="1">IFERROR(__xludf.DUMMYFUNCTION("REGEXEXTRACT(C213, ""https?:\/\/(?:.*\.)*(.+\..+?)\/"")"),"stilero.se")</f>
        <v>stilero.se</v>
      </c>
      <c r="C213" s="4" t="s">
        <v>469</v>
      </c>
      <c r="D213" s="4" t="s">
        <v>466</v>
      </c>
      <c r="E213" s="5" t="s">
        <v>470</v>
      </c>
      <c r="F213" s="5" t="str">
        <f t="shared" si="3"/>
        <v>villarelining.se</v>
      </c>
      <c r="G213" s="5" t="s">
        <v>4</v>
      </c>
      <c r="H213" s="5" t="s">
        <v>5</v>
      </c>
      <c r="I213" s="6">
        <v>45035</v>
      </c>
    </row>
    <row r="214" spans="1:9" ht="13.5">
      <c r="A214" s="7" t="s">
        <v>329</v>
      </c>
      <c r="B214" s="3" t="str">
        <f ca="1">IFERROR(__xludf.DUMMYFUNCTION("REGEXEXTRACT(C214, ""https?:\/\/(?:.*\.)*(.+\..+?)\/"")"),"roligapresenttips.se")</f>
        <v>roligapresenttips.se</v>
      </c>
      <c r="C214" s="4" t="s">
        <v>471</v>
      </c>
      <c r="D214" s="4" t="s">
        <v>472</v>
      </c>
      <c r="E214" s="5" t="s">
        <v>473</v>
      </c>
      <c r="F214" s="5" t="str">
        <f t="shared" si="3"/>
        <v>vont</v>
      </c>
      <c r="G214" s="5" t="s">
        <v>4</v>
      </c>
      <c r="H214" s="5" t="s">
        <v>5</v>
      </c>
      <c r="I214" s="6">
        <v>45035</v>
      </c>
    </row>
    <row r="215" spans="1:9" ht="13.5">
      <c r="A215" s="7" t="s">
        <v>329</v>
      </c>
      <c r="B215" s="3" t="str">
        <f ca="1">IFERROR(__xludf.DUMMYFUNCTION("REGEXEXTRACT(C215, ""https?:\/\/(?:.*\.)*(.+\..+?)\/"")"),"billigpresent.se")</f>
        <v>billigpresent.se</v>
      </c>
      <c r="C215" s="4" t="s">
        <v>474</v>
      </c>
      <c r="D215" s="4" t="s">
        <v>331</v>
      </c>
      <c r="E215" s="5" t="s">
        <v>332</v>
      </c>
      <c r="F215" s="5" t="str">
        <f t="shared" si="3"/>
        <v>vont</v>
      </c>
      <c r="G215" s="5" t="s">
        <v>4</v>
      </c>
      <c r="H215" s="5" t="s">
        <v>5</v>
      </c>
      <c r="I215" s="6">
        <v>45035</v>
      </c>
    </row>
    <row r="216" spans="1:9" ht="13.5">
      <c r="A216" s="7" t="s">
        <v>329</v>
      </c>
      <c r="B216" s="3" t="str">
        <f ca="1">IFERROR(__xludf.DUMMYFUNCTION("REGEXEXTRACT(C216, ""https?:\/\/(?:.*\.)*(.+\..+?)\/"")"),"herrtidningar.se")</f>
        <v>herrtidningar.se</v>
      </c>
      <c r="C216" s="4" t="s">
        <v>475</v>
      </c>
      <c r="D216" s="4" t="s">
        <v>331</v>
      </c>
      <c r="E216" s="5" t="s">
        <v>332</v>
      </c>
      <c r="F216" s="5" t="str">
        <f t="shared" si="3"/>
        <v>vont</v>
      </c>
      <c r="G216" s="5" t="s">
        <v>4</v>
      </c>
      <c r="H216" s="5" t="s">
        <v>5</v>
      </c>
      <c r="I216" s="6">
        <v>45035</v>
      </c>
    </row>
    <row r="217" spans="1:9" ht="13.5">
      <c r="A217" s="2" t="s">
        <v>435</v>
      </c>
      <c r="B217" s="3" t="str">
        <f ca="1">IFERROR(__xludf.DUMMYFUNCTION("REGEXEXTRACT(C217, ""https?:\/\/(?:.*\.)*(.+\..+?)\/"")"),"finansassistans.se")</f>
        <v>finansassistans.se</v>
      </c>
      <c r="C217" s="4" t="s">
        <v>476</v>
      </c>
      <c r="D217" s="4" t="s">
        <v>437</v>
      </c>
      <c r="E217" s="5" t="s">
        <v>438</v>
      </c>
      <c r="F217" s="5" t="str">
        <f t="shared" si="3"/>
        <v>fairinvestments.se</v>
      </c>
      <c r="G217" s="5" t="s">
        <v>4</v>
      </c>
      <c r="H217" s="5" t="s">
        <v>5</v>
      </c>
      <c r="I217" s="6">
        <v>45035</v>
      </c>
    </row>
    <row r="218" spans="1:9" ht="13.5">
      <c r="A218" s="2" t="s">
        <v>295</v>
      </c>
      <c r="B218" s="3" t="str">
        <f ca="1">IFERROR(__xludf.DUMMYFUNCTION("REGEXEXTRACT(C218, ""https?:\/\/(?:.*\.)*(.+\..+?)\/"")"),"smartfinansiering.se")</f>
        <v>smartfinansiering.se</v>
      </c>
      <c r="C218" s="4" t="s">
        <v>477</v>
      </c>
      <c r="D218" s="4" t="s">
        <v>478</v>
      </c>
      <c r="E218" s="5" t="s">
        <v>438</v>
      </c>
      <c r="F218" s="5" t="str">
        <f t="shared" si="3"/>
        <v>vontabel.com</v>
      </c>
      <c r="G218" s="5" t="s">
        <v>4</v>
      </c>
      <c r="H218" s="5" t="s">
        <v>5</v>
      </c>
      <c r="I218" s="6">
        <v>45035</v>
      </c>
    </row>
    <row r="219" spans="1:9" ht="13.5">
      <c r="A219" s="2" t="s">
        <v>156</v>
      </c>
      <c r="B219" s="3" t="str">
        <f ca="1">IFERROR(__xludf.DUMMYFUNCTION("REGEXEXTRACT(C219, ""https?:\/\/(?:.*\.)*(.+\..+?)\/"")"),"blommar.nu")</f>
        <v>blommar.nu</v>
      </c>
      <c r="C219" s="4" t="s">
        <v>479</v>
      </c>
      <c r="D219" s="4" t="s">
        <v>480</v>
      </c>
      <c r="E219" s="5" t="s">
        <v>481</v>
      </c>
      <c r="F219" s="5" t="str">
        <f t="shared" si="3"/>
        <v>askskinfo.com</v>
      </c>
      <c r="G219" s="5" t="s">
        <v>4</v>
      </c>
      <c r="H219" s="5" t="s">
        <v>5</v>
      </c>
      <c r="I219" s="6">
        <v>45035</v>
      </c>
    </row>
    <row r="220" spans="1:9" ht="13.5">
      <c r="A220" s="2" t="s">
        <v>348</v>
      </c>
      <c r="B220" s="3" t="str">
        <f ca="1">IFERROR(__xludf.DUMMYFUNCTION("REGEXEXTRACT(C220, ""https?:\/\/(?:.*\.)*(.+\..+?)\/"")"),"thearcadiaonline.com")</f>
        <v>thearcadiaonline.com</v>
      </c>
      <c r="C220" s="4" t="s">
        <v>482</v>
      </c>
      <c r="D220" s="4" t="s">
        <v>350</v>
      </c>
      <c r="E220" s="5" t="s">
        <v>483</v>
      </c>
      <c r="F220" s="5" t="str">
        <f t="shared" si="3"/>
        <v>happysocks.com</v>
      </c>
      <c r="G220" s="5" t="s">
        <v>4</v>
      </c>
      <c r="H220" s="5" t="s">
        <v>345</v>
      </c>
      <c r="I220" s="6">
        <v>45036</v>
      </c>
    </row>
    <row r="221" spans="1:9" ht="13.5">
      <c r="A221" s="2" t="s">
        <v>325</v>
      </c>
      <c r="B221" s="3" t="str">
        <f ca="1">IFERROR(__xludf.DUMMYFUNCTION("REGEXEXTRACT(C221, ""https?:\/\/(?:.*\.)*(.+\..+?)\/"")"),"emmabodagranit.se")</f>
        <v>emmabodagranit.se</v>
      </c>
      <c r="C221" s="4" t="s">
        <v>484</v>
      </c>
      <c r="D221" s="4" t="s">
        <v>327</v>
      </c>
      <c r="E221" s="5" t="s">
        <v>463</v>
      </c>
      <c r="F221" s="5" t="str">
        <f t="shared" si="3"/>
        <v>tiotak.se</v>
      </c>
      <c r="G221" s="5" t="s">
        <v>4</v>
      </c>
      <c r="H221" s="5" t="s">
        <v>5</v>
      </c>
      <c r="I221" s="6">
        <v>45036</v>
      </c>
    </row>
    <row r="222" spans="1:9" ht="13.5">
      <c r="A222" s="2" t="s">
        <v>171</v>
      </c>
      <c r="B222" s="3" t="str">
        <f ca="1">IFERROR(__xludf.DUMMYFUNCTION("REGEXEXTRACT(C222, ""https?:\/\/(?:.*\.)*(.+\..+?)\/"")"),"mainfranken24.de")</f>
        <v>mainfranken24.de</v>
      </c>
      <c r="C222" s="4" t="s">
        <v>485</v>
      </c>
      <c r="D222" s="4" t="s">
        <v>486</v>
      </c>
      <c r="E222" s="9" t="s">
        <v>487</v>
      </c>
      <c r="F222" s="5" t="str">
        <f t="shared" si="3"/>
        <v>arctic.se</v>
      </c>
      <c r="G222" s="5" t="s">
        <v>4</v>
      </c>
      <c r="H222" s="5" t="s">
        <v>262</v>
      </c>
      <c r="I222" s="6">
        <v>45037</v>
      </c>
    </row>
    <row r="223" spans="1:9" ht="13.5">
      <c r="A223" s="2" t="s">
        <v>20</v>
      </c>
      <c r="B223" s="3" t="str">
        <f ca="1">IFERROR(__xludf.DUMMYFUNCTION("REGEXEXTRACT(C223, ""https?:\/\/(?:.*\.)*(.+\..+?)\/"")"),"vivaglammagazine.com")</f>
        <v>vivaglammagazine.com</v>
      </c>
      <c r="C223" s="4" t="s">
        <v>488</v>
      </c>
      <c r="D223" s="4" t="s">
        <v>489</v>
      </c>
      <c r="E223" s="5" t="s">
        <v>490</v>
      </c>
      <c r="F223" s="5" t="str">
        <f t="shared" si="3"/>
        <v>blugiallo.com</v>
      </c>
      <c r="G223" s="5" t="s">
        <v>4</v>
      </c>
      <c r="H223" s="5" t="s">
        <v>345</v>
      </c>
      <c r="I223" s="6">
        <v>45037</v>
      </c>
    </row>
    <row r="224" spans="1:9" ht="13.5">
      <c r="A224" s="2" t="s">
        <v>348</v>
      </c>
      <c r="B224" s="3" t="str">
        <f ca="1">IFERROR(__xludf.DUMMYFUNCTION("REGEXEXTRACT(C224, ""https?:\/\/(?:.*\.)*(.+\..+?)\/"")"),"poshbeautyblog.com")</f>
        <v>poshbeautyblog.com</v>
      </c>
      <c r="C224" s="4" t="s">
        <v>491</v>
      </c>
      <c r="D224" s="8" t="s">
        <v>492</v>
      </c>
      <c r="E224" s="5" t="s">
        <v>493</v>
      </c>
      <c r="F224" s="5" t="str">
        <f t="shared" si="3"/>
        <v>happysocks.com</v>
      </c>
      <c r="G224" s="5" t="s">
        <v>4</v>
      </c>
      <c r="H224" s="5" t="s">
        <v>345</v>
      </c>
      <c r="I224" s="6">
        <v>45037</v>
      </c>
    </row>
    <row r="225" spans="1:9" ht="13.5">
      <c r="A225" s="2" t="s">
        <v>86</v>
      </c>
      <c r="B225" s="3" t="str">
        <f ca="1">IFERROR(__xludf.DUMMYFUNCTION("REGEXEXTRACT(C225, ""https?:\/\/(?:.*\.)*(.+\..+?)\/"")"),"fashionbloggers.se")</f>
        <v>fashionbloggers.se</v>
      </c>
      <c r="C225" s="4" t="s">
        <v>494</v>
      </c>
      <c r="D225" s="4" t="s">
        <v>88</v>
      </c>
      <c r="E225" s="5" t="s">
        <v>140</v>
      </c>
      <c r="F225" s="5" t="str">
        <f t="shared" si="3"/>
        <v>kopbarnvagn.se</v>
      </c>
      <c r="G225" s="5" t="s">
        <v>4</v>
      </c>
      <c r="H225" s="5" t="s">
        <v>5</v>
      </c>
      <c r="I225" s="6">
        <v>45037</v>
      </c>
    </row>
    <row r="226" spans="1:9" ht="13.5">
      <c r="A226" s="2" t="s">
        <v>325</v>
      </c>
      <c r="B226" s="3" t="str">
        <f ca="1">IFERROR(__xludf.DUMMYFUNCTION("REGEXEXTRACT(C226, ""https?:\/\/(?:.*\.)*(.+\..+?)\/"")"),"seblogg.se")</f>
        <v>seblogg.se</v>
      </c>
      <c r="C226" s="4" t="s">
        <v>495</v>
      </c>
      <c r="D226" s="4" t="s">
        <v>327</v>
      </c>
      <c r="E226" s="5" t="s">
        <v>463</v>
      </c>
      <c r="F226" s="5" t="str">
        <f t="shared" si="3"/>
        <v>tiotak.se</v>
      </c>
      <c r="G226" s="5" t="s">
        <v>4</v>
      </c>
      <c r="H226" s="5" t="s">
        <v>5</v>
      </c>
      <c r="I226" s="6">
        <v>45037</v>
      </c>
    </row>
    <row r="227" spans="1:9" ht="13.5">
      <c r="A227" s="2" t="s">
        <v>295</v>
      </c>
      <c r="B227" s="3" t="str">
        <f ca="1">IFERROR(__xludf.DUMMYFUNCTION("REGEXEXTRACT(C227, ""https?:\/\/(?:.*\.)*(.+\..+?)\/"")"),"aksjeskole.com")</f>
        <v>aksjeskole.com</v>
      </c>
      <c r="C227" s="8" t="s">
        <v>496</v>
      </c>
      <c r="D227" s="4" t="s">
        <v>497</v>
      </c>
      <c r="E227" s="9" t="s">
        <v>497</v>
      </c>
      <c r="F227" s="5" t="str">
        <f t="shared" si="3"/>
        <v>vontabel.com</v>
      </c>
      <c r="G227" s="5" t="s">
        <v>4</v>
      </c>
      <c r="H227" s="5" t="s">
        <v>382</v>
      </c>
      <c r="I227" s="6">
        <v>45037</v>
      </c>
    </row>
    <row r="228" spans="1:9" ht="13.5">
      <c r="A228" s="2" t="s">
        <v>171</v>
      </c>
      <c r="B228" s="3" t="str">
        <f ca="1">IFERROR(__xludf.DUMMYFUNCTION("REGEXEXTRACT(C228, ""https?:\/\/(?:.*\.)*(.+\..+?)\/"")"),"fla.de")</f>
        <v>fla.de</v>
      </c>
      <c r="C228" s="4" t="s">
        <v>498</v>
      </c>
      <c r="D228" s="4" t="s">
        <v>486</v>
      </c>
      <c r="E228" s="5" t="s">
        <v>499</v>
      </c>
      <c r="F228" s="5" t="str">
        <f t="shared" si="3"/>
        <v>arctic.se</v>
      </c>
      <c r="G228" s="5" t="s">
        <v>4</v>
      </c>
      <c r="H228" s="5" t="s">
        <v>262</v>
      </c>
      <c r="I228" s="6">
        <v>45040</v>
      </c>
    </row>
    <row r="229" spans="1:9" ht="13.5">
      <c r="A229" s="2" t="s">
        <v>20</v>
      </c>
      <c r="B229" s="3" t="str">
        <f ca="1">IFERROR(__xludf.DUMMYFUNCTION("REGEXEXTRACT(C229, ""https?:\/\/(?:.*\.)*(.+\..+?)\/"")"),"flushthefashion.com")</f>
        <v>flushthefashion.com</v>
      </c>
      <c r="C229" s="4" t="s">
        <v>500</v>
      </c>
      <c r="D229" s="4" t="s">
        <v>501</v>
      </c>
      <c r="E229" s="5" t="s">
        <v>502</v>
      </c>
      <c r="F229" s="5" t="str">
        <f t="shared" si="3"/>
        <v>blugiallo.com</v>
      </c>
      <c r="G229" s="5" t="s">
        <v>4</v>
      </c>
      <c r="H229" s="5" t="s">
        <v>345</v>
      </c>
      <c r="I229" s="6">
        <v>45040</v>
      </c>
    </row>
    <row r="230" spans="1:9" ht="13.5">
      <c r="A230" s="2" t="s">
        <v>348</v>
      </c>
      <c r="B230" s="3" t="str">
        <f ca="1">IFERROR(__xludf.DUMMYFUNCTION("REGEXEXTRACT(C230, ""https?:\/\/(?:.*\.)*(.+\..+?)\/"")"),"catwalkyourself.com")</f>
        <v>catwalkyourself.com</v>
      </c>
      <c r="C230" s="8" t="s">
        <v>503</v>
      </c>
      <c r="D230" s="4" t="s">
        <v>353</v>
      </c>
      <c r="E230" s="5" t="s">
        <v>354</v>
      </c>
      <c r="F230" s="5" t="str">
        <f t="shared" si="3"/>
        <v>happysocks.com</v>
      </c>
      <c r="G230" s="5" t="s">
        <v>4</v>
      </c>
      <c r="H230" s="5" t="s">
        <v>345</v>
      </c>
      <c r="I230" s="6">
        <v>45040</v>
      </c>
    </row>
    <row r="231" spans="1:9" ht="13.5">
      <c r="A231" s="2" t="s">
        <v>348</v>
      </c>
      <c r="B231" s="3" t="str">
        <f ca="1">IFERROR(__xludf.DUMMYFUNCTION("REGEXEXTRACT(C231, ""https?:\/\/(?:.*\.)*(.+\..+?)\/"")"),"voguefreaks.com")</f>
        <v>voguefreaks.com</v>
      </c>
      <c r="C231" s="4" t="s">
        <v>504</v>
      </c>
      <c r="D231" s="4" t="s">
        <v>350</v>
      </c>
      <c r="E231" s="5" t="s">
        <v>505</v>
      </c>
      <c r="F231" s="5" t="str">
        <f t="shared" si="3"/>
        <v>happysocks.com</v>
      </c>
      <c r="G231" s="5" t="s">
        <v>4</v>
      </c>
      <c r="H231" s="5" t="s">
        <v>345</v>
      </c>
      <c r="I231" s="6">
        <v>45040</v>
      </c>
    </row>
    <row r="232" spans="1:9" ht="13.5">
      <c r="A232" s="2" t="s">
        <v>348</v>
      </c>
      <c r="B232" s="3" t="str">
        <f ca="1">IFERROR(__xludf.DUMMYFUNCTION("REGEXEXTRACT(C232, ""https?:\/\/(?:.*\.)*(.+\..+?)\/"")"),"fashiongonerogue.com")</f>
        <v>fashiongonerogue.com</v>
      </c>
      <c r="C232" s="4" t="s">
        <v>506</v>
      </c>
      <c r="D232" s="4" t="s">
        <v>350</v>
      </c>
      <c r="E232" s="5" t="s">
        <v>507</v>
      </c>
      <c r="F232" s="5" t="str">
        <f t="shared" si="3"/>
        <v>happysocks.com</v>
      </c>
      <c r="G232" s="5" t="s">
        <v>4</v>
      </c>
      <c r="H232" s="5" t="s">
        <v>345</v>
      </c>
      <c r="I232" s="6">
        <v>45040</v>
      </c>
    </row>
    <row r="233" spans="1:9" ht="13.5">
      <c r="A233" s="2" t="s">
        <v>348</v>
      </c>
      <c r="B233" s="3" t="str">
        <f ca="1">IFERROR(__xludf.DUMMYFUNCTION("REGEXEXTRACT(C233, ""https?:\/\/(?:.*\.)*(.+\..+?)\/"")"),"barbiesbeautybits.com")</f>
        <v>barbiesbeautybits.com</v>
      </c>
      <c r="C233" s="4" t="s">
        <v>508</v>
      </c>
      <c r="D233" s="8" t="s">
        <v>509</v>
      </c>
      <c r="E233" s="5" t="s">
        <v>510</v>
      </c>
      <c r="F233" s="5" t="str">
        <f t="shared" si="3"/>
        <v>happysocks.com</v>
      </c>
      <c r="G233" s="5" t="s">
        <v>4</v>
      </c>
      <c r="H233" s="5" t="s">
        <v>345</v>
      </c>
      <c r="I233" s="6">
        <v>45040</v>
      </c>
    </row>
    <row r="234" spans="1:9" ht="13.5">
      <c r="A234" s="2" t="s">
        <v>348</v>
      </c>
      <c r="B234" s="3" t="str">
        <f ca="1">IFERROR(__xludf.DUMMYFUNCTION("REGEXEXTRACT(C234, ""https?:\/\/(?:.*\.)*(.+\..+?)\/"")"),"cultedge.com")</f>
        <v>cultedge.com</v>
      </c>
      <c r="C234" s="4" t="s">
        <v>511</v>
      </c>
      <c r="D234" s="4" t="s">
        <v>350</v>
      </c>
      <c r="E234" s="5" t="s">
        <v>512</v>
      </c>
      <c r="F234" s="5" t="str">
        <f t="shared" si="3"/>
        <v>happysocks.com</v>
      </c>
      <c r="G234" s="5" t="s">
        <v>4</v>
      </c>
      <c r="H234" s="5" t="s">
        <v>345</v>
      </c>
      <c r="I234" s="6">
        <v>45041</v>
      </c>
    </row>
    <row r="235" spans="1:9" ht="13.5">
      <c r="A235" s="2" t="s">
        <v>264</v>
      </c>
      <c r="B235" s="3" t="str">
        <f ca="1">IFERROR(__xludf.DUMMYFUNCTION("REGEXEXTRACT(C235, ""https?:\/\/(?:.*\.)*(.+\..+?)\/"")"),"faa.dk")</f>
        <v>faa.dk</v>
      </c>
      <c r="C235" s="4" t="s">
        <v>513</v>
      </c>
      <c r="D235" s="4" t="s">
        <v>266</v>
      </c>
      <c r="E235" s="5" t="s">
        <v>514</v>
      </c>
      <c r="F235" s="5" t="str">
        <f t="shared" si="3"/>
        <v>creditsafe.se</v>
      </c>
      <c r="G235" s="5" t="s">
        <v>4</v>
      </c>
      <c r="H235" s="5" t="s">
        <v>267</v>
      </c>
      <c r="I235" s="6">
        <v>45042</v>
      </c>
    </row>
    <row r="236" spans="1:9" ht="13.5">
      <c r="A236" s="2" t="s">
        <v>348</v>
      </c>
      <c r="B236" s="3" t="str">
        <f ca="1">IFERROR(__xludf.DUMMYFUNCTION("REGEXEXTRACT(C236, ""https?:\/\/(?:.*\.)*(.+\..+?)\/"")"),"fashionterest.com")</f>
        <v>fashionterest.com</v>
      </c>
      <c r="C236" s="4" t="s">
        <v>515</v>
      </c>
      <c r="D236" s="4" t="s">
        <v>492</v>
      </c>
      <c r="E236" s="5" t="s">
        <v>358</v>
      </c>
      <c r="F236" s="5" t="str">
        <f t="shared" si="3"/>
        <v>happysocks.com</v>
      </c>
      <c r="G236" s="5" t="s">
        <v>4</v>
      </c>
      <c r="H236" s="5" t="s">
        <v>345</v>
      </c>
      <c r="I236" s="6">
        <v>45042</v>
      </c>
    </row>
    <row r="237" spans="1:9" ht="13.5">
      <c r="A237" s="2" t="s">
        <v>435</v>
      </c>
      <c r="B237" s="3" t="str">
        <f ca="1">IFERROR(__xludf.DUMMYFUNCTION("REGEXEXTRACT(C237, ""https?:\/\/(?:.*\.)*(.+\..+?)\/"")"),"viekonomi.se")</f>
        <v>viekonomi.se</v>
      </c>
      <c r="C237" s="4" t="s">
        <v>516</v>
      </c>
      <c r="D237" s="4" t="s">
        <v>517</v>
      </c>
      <c r="E237" s="5" t="s">
        <v>438</v>
      </c>
      <c r="F237" s="5" t="str">
        <f t="shared" si="3"/>
        <v>fairinvestments.se</v>
      </c>
      <c r="G237" s="5" t="s">
        <v>94</v>
      </c>
      <c r="H237" s="5" t="s">
        <v>5</v>
      </c>
      <c r="I237" s="6">
        <v>45043</v>
      </c>
    </row>
    <row r="238" spans="1:9" ht="13.5">
      <c r="A238" s="2" t="s">
        <v>348</v>
      </c>
      <c r="B238" s="3" t="str">
        <f ca="1">IFERROR(__xludf.DUMMYFUNCTION("REGEXEXTRACT(C238, ""https?:\/\/(?:.*\.)*(.+\..+?)\/"")"),"catwalkyourself.com")</f>
        <v>catwalkyourself.com</v>
      </c>
      <c r="C238" s="4" t="s">
        <v>518</v>
      </c>
      <c r="D238" s="4" t="s">
        <v>353</v>
      </c>
      <c r="E238" s="5" t="s">
        <v>519</v>
      </c>
      <c r="F238" s="5" t="str">
        <f t="shared" si="3"/>
        <v>happysocks.com</v>
      </c>
      <c r="G238" s="5" t="s">
        <v>4</v>
      </c>
      <c r="H238" s="5" t="s">
        <v>345</v>
      </c>
      <c r="I238" s="6">
        <v>45043</v>
      </c>
    </row>
    <row r="239" spans="1:9" ht="13.5">
      <c r="A239" s="2" t="s">
        <v>348</v>
      </c>
      <c r="B239" s="3" t="str">
        <f ca="1">IFERROR(__xludf.DUMMYFUNCTION("REGEXEXTRACT(C239, ""https?:\/\/(?:.*\.)*(.+\..+?)\/"")"),"1883magazine.com")</f>
        <v>1883magazine.com</v>
      </c>
      <c r="C239" s="4" t="s">
        <v>520</v>
      </c>
      <c r="D239" s="4" t="s">
        <v>350</v>
      </c>
      <c r="E239" s="5" t="s">
        <v>440</v>
      </c>
      <c r="F239" s="5" t="str">
        <f t="shared" si="3"/>
        <v>happysocks.com</v>
      </c>
      <c r="G239" s="5" t="s">
        <v>4</v>
      </c>
      <c r="H239" s="5" t="s">
        <v>345</v>
      </c>
      <c r="I239" s="6">
        <v>45043</v>
      </c>
    </row>
    <row r="240" spans="1:9" ht="13.5">
      <c r="A240" s="2" t="s">
        <v>348</v>
      </c>
      <c r="B240" s="3" t="str">
        <f ca="1">IFERROR(__xludf.DUMMYFUNCTION("REGEXEXTRACT(C240, ""https?:\/\/(?:.*\.)*(.+\..+?)\/"")"),"flushthefashion.com")</f>
        <v>flushthefashion.com</v>
      </c>
      <c r="C240" s="4" t="s">
        <v>521</v>
      </c>
      <c r="D240" s="4" t="s">
        <v>350</v>
      </c>
      <c r="E240" s="5" t="s">
        <v>522</v>
      </c>
      <c r="F240" s="5" t="str">
        <f t="shared" si="3"/>
        <v>happysocks.com</v>
      </c>
      <c r="G240" s="5" t="s">
        <v>4</v>
      </c>
      <c r="H240" s="5" t="s">
        <v>345</v>
      </c>
      <c r="I240" s="6">
        <v>45043</v>
      </c>
    </row>
    <row r="241" spans="1:9" ht="13.5">
      <c r="A241" s="2" t="s">
        <v>20</v>
      </c>
      <c r="B241" s="3" t="str">
        <f ca="1">IFERROR(__xludf.DUMMYFUNCTION("REGEXEXTRACT(C241, ""https?:\/\/(?:.*\.)*(.+\..+?)\/"")"),"habit.se")</f>
        <v>habit.se</v>
      </c>
      <c r="C241" s="4" t="s">
        <v>523</v>
      </c>
      <c r="D241" s="4" t="s">
        <v>363</v>
      </c>
      <c r="E241" s="5" t="s">
        <v>524</v>
      </c>
      <c r="F241" s="5" t="str">
        <f t="shared" si="3"/>
        <v>blugiallo.com</v>
      </c>
      <c r="G241" s="5" t="s">
        <v>4</v>
      </c>
      <c r="H241" s="5" t="s">
        <v>5</v>
      </c>
      <c r="I241" s="6">
        <v>45048</v>
      </c>
    </row>
    <row r="242" spans="1:9" ht="13.5">
      <c r="A242" s="2" t="s">
        <v>20</v>
      </c>
      <c r="B242" s="3" t="str">
        <f ca="1">IFERROR(__xludf.DUMMYFUNCTION("REGEXEXTRACT(C242, ""https?:\/\/(?:.*\.)*(.+\..+?)\/"")"),"hairmagazine.se")</f>
        <v>hairmagazine.se</v>
      </c>
      <c r="C242" s="4" t="s">
        <v>525</v>
      </c>
      <c r="D242" s="4" t="s">
        <v>526</v>
      </c>
      <c r="E242" s="5" t="s">
        <v>527</v>
      </c>
      <c r="F242" s="5" t="str">
        <f t="shared" si="3"/>
        <v>blugiallo.com</v>
      </c>
      <c r="G242" s="5" t="s">
        <v>4</v>
      </c>
      <c r="H242" s="5" t="s">
        <v>5</v>
      </c>
      <c r="I242" s="6">
        <v>45049</v>
      </c>
    </row>
    <row r="243" spans="1:9" ht="13.5">
      <c r="A243" s="2" t="s">
        <v>20</v>
      </c>
      <c r="B243" s="3" t="str">
        <f ca="1">IFERROR(__xludf.DUMMYFUNCTION("REGEXEXTRACT(C243, ""https?:\/\/(?:.*\.)*(.+\..+?)\/"")"),"stylingguiden.se")</f>
        <v>stylingguiden.se</v>
      </c>
      <c r="C243" s="4" t="s">
        <v>528</v>
      </c>
      <c r="D243" s="4" t="s">
        <v>529</v>
      </c>
      <c r="E243" s="5" t="s">
        <v>530</v>
      </c>
      <c r="F243" s="5" t="str">
        <f t="shared" si="3"/>
        <v>blugiallo.com</v>
      </c>
      <c r="G243" s="5" t="s">
        <v>4</v>
      </c>
      <c r="H243" s="5" t="s">
        <v>5</v>
      </c>
      <c r="I243" s="6">
        <v>45049</v>
      </c>
    </row>
    <row r="244" spans="1:9" ht="13.5">
      <c r="A244" s="2" t="s">
        <v>531</v>
      </c>
      <c r="B244" s="3" t="str">
        <f ca="1">IFERROR(__xludf.DUMMYFUNCTION("REGEXEXTRACT(C244, ""https?:\/\/(?:.*\.)*(.+\..+?)\/"")"),"bilvardsguiden.se")</f>
        <v>bilvardsguiden.se</v>
      </c>
      <c r="C244" s="4" t="s">
        <v>532</v>
      </c>
      <c r="D244" s="4" t="s">
        <v>533</v>
      </c>
      <c r="E244" s="5" t="s">
        <v>534</v>
      </c>
      <c r="F244" s="5" t="str">
        <f t="shared" si="3"/>
        <v>dieselkraft.se</v>
      </c>
      <c r="G244" s="5" t="s">
        <v>34</v>
      </c>
      <c r="H244" s="5" t="s">
        <v>5</v>
      </c>
      <c r="I244" s="6">
        <v>45049</v>
      </c>
    </row>
    <row r="245" spans="1:9" ht="13.5">
      <c r="A245" s="2" t="s">
        <v>535</v>
      </c>
      <c r="B245" s="3" t="str">
        <f ca="1">IFERROR(__xludf.DUMMYFUNCTION("REGEXEXTRACT(C245, ""https?:\/\/(?:.*\.)*(.+\..+?)\/"")"),"bilvardsguiden.se")</f>
        <v>bilvardsguiden.se</v>
      </c>
      <c r="C245" s="4" t="s">
        <v>532</v>
      </c>
      <c r="D245" s="4" t="s">
        <v>536</v>
      </c>
      <c r="E245" s="5" t="s">
        <v>537</v>
      </c>
      <c r="F245" s="5" t="str">
        <f t="shared" si="3"/>
        <v>tryggbil.se</v>
      </c>
      <c r="G245" s="5" t="s">
        <v>34</v>
      </c>
      <c r="H245" s="5" t="s">
        <v>5</v>
      </c>
      <c r="I245" s="6">
        <v>45049</v>
      </c>
    </row>
    <row r="246" spans="1:9" ht="13.5">
      <c r="A246" s="7" t="s">
        <v>538</v>
      </c>
      <c r="B246" s="3" t="str">
        <f ca="1">IFERROR(__xludf.DUMMYFUNCTION("REGEXEXTRACT(C246, ""https?:\/\/(?:.*\.)*(.+\..+?)\/"")"),"bossingsbilservice.se")</f>
        <v>bossingsbilservice.se</v>
      </c>
      <c r="C246" s="4" t="s">
        <v>539</v>
      </c>
      <c r="D246" s="4" t="s">
        <v>536</v>
      </c>
      <c r="E246" s="5" t="s">
        <v>540</v>
      </c>
      <c r="F246" s="5" t="str">
        <f t="shared" si="3"/>
        <v>Tryggbil</v>
      </c>
      <c r="G246" s="5" t="s">
        <v>34</v>
      </c>
      <c r="H246" s="5" t="s">
        <v>5</v>
      </c>
      <c r="I246" s="6">
        <v>45050</v>
      </c>
    </row>
    <row r="247" spans="1:9" ht="13.5">
      <c r="A247" s="7" t="s">
        <v>329</v>
      </c>
      <c r="B247" s="3"/>
      <c r="C247" s="4" t="s">
        <v>541</v>
      </c>
      <c r="D247" s="4" t="s">
        <v>331</v>
      </c>
      <c r="E247" s="5" t="s">
        <v>542</v>
      </c>
      <c r="F247" s="5" t="str">
        <f t="shared" si="3"/>
        <v>vont</v>
      </c>
      <c r="G247" s="5" t="s">
        <v>4</v>
      </c>
      <c r="H247" s="5" t="s">
        <v>5</v>
      </c>
      <c r="I247" s="6">
        <v>45054</v>
      </c>
    </row>
    <row r="248" spans="1:9" ht="13.5">
      <c r="A248" s="7" t="s">
        <v>329</v>
      </c>
      <c r="B248" s="3"/>
      <c r="C248" s="4" t="s">
        <v>543</v>
      </c>
      <c r="D248" s="4" t="s">
        <v>331</v>
      </c>
      <c r="E248" s="5" t="s">
        <v>542</v>
      </c>
      <c r="F248" s="5" t="str">
        <f t="shared" si="3"/>
        <v>vont</v>
      </c>
      <c r="G248" s="5" t="s">
        <v>4</v>
      </c>
      <c r="H248" s="5" t="s">
        <v>5</v>
      </c>
      <c r="I248" s="6">
        <v>45054</v>
      </c>
    </row>
    <row r="249" spans="1:9" ht="13.5">
      <c r="A249" s="2" t="s">
        <v>348</v>
      </c>
      <c r="B249" s="3"/>
      <c r="C249" s="4" t="s">
        <v>544</v>
      </c>
      <c r="D249" s="4" t="s">
        <v>492</v>
      </c>
      <c r="E249" s="5" t="s">
        <v>493</v>
      </c>
      <c r="F249" s="5" t="str">
        <f t="shared" si="3"/>
        <v>happysocks.com</v>
      </c>
      <c r="G249" s="5" t="s">
        <v>4</v>
      </c>
      <c r="H249" s="5" t="s">
        <v>345</v>
      </c>
      <c r="I249" s="6">
        <v>45055</v>
      </c>
    </row>
    <row r="250" spans="1:9" ht="13.5">
      <c r="A250" s="2" t="s">
        <v>272</v>
      </c>
      <c r="B250" s="3"/>
      <c r="C250" s="4" t="s">
        <v>545</v>
      </c>
      <c r="D250" s="4" t="s">
        <v>274</v>
      </c>
      <c r="E250" s="5" t="s">
        <v>275</v>
      </c>
      <c r="F250" s="5" t="str">
        <f t="shared" si="3"/>
        <v>schjodt.com</v>
      </c>
      <c r="G250" s="5" t="s">
        <v>4</v>
      </c>
      <c r="H250" s="5" t="s">
        <v>5</v>
      </c>
      <c r="I250" s="6">
        <v>45055</v>
      </c>
    </row>
    <row r="251" spans="1:9" ht="13.5">
      <c r="A251" s="2" t="s">
        <v>277</v>
      </c>
      <c r="B251" s="3"/>
      <c r="C251" s="4" t="s">
        <v>546</v>
      </c>
      <c r="D251" s="4" t="s">
        <v>293</v>
      </c>
      <c r="E251" s="5" t="s">
        <v>294</v>
      </c>
      <c r="F251" s="5" t="str">
        <f t="shared" si="3"/>
        <v>toyota-forklifts.se</v>
      </c>
      <c r="G251" s="5" t="s">
        <v>4</v>
      </c>
      <c r="H251" s="5" t="s">
        <v>5</v>
      </c>
      <c r="I251" s="6">
        <v>45055</v>
      </c>
    </row>
    <row r="252" spans="1:9" ht="13.5">
      <c r="A252" s="2" t="s">
        <v>405</v>
      </c>
      <c r="B252" s="3" t="str">
        <f ca="1">IFERROR(__xludf.DUMMYFUNCTION("REGEXEXTRACT(C252, ""https?:\/\/(?:.*\.)*(.+\..+?)\/"")"),"eventeffect.se")</f>
        <v>eventeffect.se</v>
      </c>
      <c r="C252" s="4" t="s">
        <v>547</v>
      </c>
      <c r="D252" s="4" t="s">
        <v>407</v>
      </c>
      <c r="E252" s="5" t="s">
        <v>548</v>
      </c>
      <c r="F252" s="5" t="str">
        <f t="shared" si="3"/>
        <v>rehabgrossisten.com</v>
      </c>
      <c r="G252" s="5" t="s">
        <v>4</v>
      </c>
      <c r="H252" s="5" t="s">
        <v>5</v>
      </c>
      <c r="I252" s="6">
        <v>45056</v>
      </c>
    </row>
    <row r="253" spans="1:9" ht="13.5">
      <c r="A253" s="2" t="s">
        <v>272</v>
      </c>
      <c r="B253" s="3"/>
      <c r="C253" s="4" t="s">
        <v>549</v>
      </c>
      <c r="D253" s="4" t="s">
        <v>550</v>
      </c>
      <c r="E253" s="9" t="s">
        <v>550</v>
      </c>
      <c r="F253" s="5" t="str">
        <f t="shared" si="3"/>
        <v>schjodt.com</v>
      </c>
      <c r="G253" s="5" t="s">
        <v>4</v>
      </c>
      <c r="H253" s="5" t="s">
        <v>5</v>
      </c>
      <c r="I253" s="6">
        <v>45056</v>
      </c>
    </row>
    <row r="254" spans="1:9" ht="13.5">
      <c r="A254" s="2" t="s">
        <v>277</v>
      </c>
      <c r="B254" s="3"/>
      <c r="C254" s="4" t="s">
        <v>551</v>
      </c>
      <c r="D254" s="4" t="s">
        <v>420</v>
      </c>
      <c r="E254" s="5" t="s">
        <v>421</v>
      </c>
      <c r="F254" s="5" t="str">
        <f t="shared" si="3"/>
        <v>toyota-forklifts.se</v>
      </c>
      <c r="G254" s="5" t="s">
        <v>4</v>
      </c>
      <c r="H254" s="5" t="s">
        <v>5</v>
      </c>
      <c r="I254" s="6">
        <v>45056</v>
      </c>
    </row>
    <row r="255" spans="1:9" ht="13.5">
      <c r="A255" s="2" t="s">
        <v>171</v>
      </c>
      <c r="B255" s="3" t="str">
        <f ca="1">IFERROR(__xludf.DUMMYFUNCTION("REGEXEXTRACT(C255, ""https?:\/\/(?:.*\.)*(.+\..+?)\/"")"),"allesdaheim.de")</f>
        <v>allesdaheim.de</v>
      </c>
      <c r="C255" s="4" t="s">
        <v>552</v>
      </c>
      <c r="D255" s="4" t="s">
        <v>486</v>
      </c>
      <c r="E255" s="5" t="s">
        <v>553</v>
      </c>
      <c r="F255" s="5" t="str">
        <f t="shared" si="3"/>
        <v>arctic.se</v>
      </c>
      <c r="G255" s="5" t="s">
        <v>4</v>
      </c>
      <c r="H255" s="5" t="s">
        <v>262</v>
      </c>
      <c r="I255" s="6">
        <v>45062</v>
      </c>
    </row>
    <row r="256" spans="1:9" ht="13.5">
      <c r="A256" s="2" t="s">
        <v>171</v>
      </c>
      <c r="B256" s="3" t="str">
        <f ca="1">IFERROR(__xludf.DUMMYFUNCTION("REGEXEXTRACT(C256, ""https?:\/\/(?:.*\.)*(.+\..+?)\/"")"),"heimundmehr.de")</f>
        <v>heimundmehr.de</v>
      </c>
      <c r="C256" s="4" t="s">
        <v>554</v>
      </c>
      <c r="D256" s="4" t="s">
        <v>486</v>
      </c>
      <c r="E256" s="5" t="s">
        <v>553</v>
      </c>
      <c r="F256" s="5" t="str">
        <f t="shared" si="3"/>
        <v>arctic.se</v>
      </c>
      <c r="G256" s="5" t="s">
        <v>4</v>
      </c>
      <c r="H256" s="5" t="s">
        <v>262</v>
      </c>
      <c r="I256" s="6">
        <v>45062</v>
      </c>
    </row>
    <row r="257" spans="1:9" ht="13.5">
      <c r="A257" s="2" t="s">
        <v>435</v>
      </c>
      <c r="B257" s="3" t="str">
        <f ca="1">IFERROR(__xludf.DUMMYFUNCTION("REGEXEXTRACT(C257, ""https?:\/\/(?:.*\.)*(.+\..+?)\/"")"),"svenskafinanser.se")</f>
        <v>svenskafinanser.se</v>
      </c>
      <c r="C257" s="8" t="s">
        <v>555</v>
      </c>
      <c r="D257" s="4" t="s">
        <v>437</v>
      </c>
      <c r="E257" s="5" t="s">
        <v>438</v>
      </c>
      <c r="F257" s="5" t="str">
        <f t="shared" si="3"/>
        <v>fairinvestments.se</v>
      </c>
      <c r="G257" s="5" t="s">
        <v>4</v>
      </c>
      <c r="H257" s="5" t="s">
        <v>5</v>
      </c>
      <c r="I257" s="6">
        <v>45062</v>
      </c>
    </row>
    <row r="258" spans="1:9" ht="13.5">
      <c r="A258" s="2" t="s">
        <v>435</v>
      </c>
      <c r="B258" s="3" t="str">
        <f ca="1">IFERROR(__xludf.DUMMYFUNCTION("REGEXEXTRACT(C258, ""https?:\/\/(?:.*\.)*(.+\..+?)\/"")"),"borsbolag.se")</f>
        <v>borsbolag.se</v>
      </c>
      <c r="C258" s="4" t="s">
        <v>556</v>
      </c>
      <c r="D258" s="4" t="s">
        <v>557</v>
      </c>
      <c r="E258" s="5" t="s">
        <v>438</v>
      </c>
      <c r="F258" s="5" t="str">
        <f t="shared" si="3"/>
        <v>fairinvestments.se</v>
      </c>
      <c r="G258" s="5" t="s">
        <v>4</v>
      </c>
      <c r="H258" s="5" t="s">
        <v>5</v>
      </c>
      <c r="I258" s="6">
        <v>45062</v>
      </c>
    </row>
    <row r="259" spans="1:9" ht="13.5">
      <c r="A259" s="2" t="s">
        <v>312</v>
      </c>
      <c r="B259" s="3" t="str">
        <f ca="1">IFERROR(__xludf.DUMMYFUNCTION("REGEXEXTRACT(C259, ""https?:\/\/(?:.*\.)*(.+\..+?)\/"")"),"evigliv.se")</f>
        <v>evigliv.se</v>
      </c>
      <c r="C259" s="4" t="s">
        <v>558</v>
      </c>
      <c r="D259" s="4" t="s">
        <v>458</v>
      </c>
      <c r="E259" s="5" t="s">
        <v>559</v>
      </c>
      <c r="F259" s="5" t="str">
        <f t="shared" ref="F259:F322" si="4">A259</f>
        <v>sufracofinebrands.com</v>
      </c>
      <c r="G259" s="5" t="s">
        <v>4</v>
      </c>
      <c r="H259" s="5" t="s">
        <v>5</v>
      </c>
      <c r="I259" s="6">
        <v>45062</v>
      </c>
    </row>
    <row r="260" spans="1:9" ht="13.5">
      <c r="A260" s="2" t="s">
        <v>435</v>
      </c>
      <c r="B260" s="3" t="str">
        <f ca="1">IFERROR(__xludf.DUMMYFUNCTION("REGEXEXTRACT(C260, ""https?:\/\/(?:.*\.)*(.+\..+?)\/"")"),"viekonomi.se")</f>
        <v>viekonomi.se</v>
      </c>
      <c r="C260" s="4" t="s">
        <v>560</v>
      </c>
      <c r="D260" s="4" t="s">
        <v>561</v>
      </c>
      <c r="E260" s="5" t="s">
        <v>438</v>
      </c>
      <c r="F260" s="5" t="str">
        <f t="shared" si="4"/>
        <v>fairinvestments.se</v>
      </c>
      <c r="G260" s="5" t="s">
        <v>4</v>
      </c>
      <c r="H260" s="5" t="s">
        <v>5</v>
      </c>
      <c r="I260" s="6">
        <v>45063</v>
      </c>
    </row>
    <row r="261" spans="1:9" ht="13.5">
      <c r="A261" s="2" t="s">
        <v>435</v>
      </c>
      <c r="B261" s="3" t="str">
        <f ca="1">IFERROR(__xludf.DUMMYFUNCTION("REGEXEXTRACT(C261, ""https?:\/\/(?:.*\.)*(.+\..+?)\/"")"),"finansieringar.se")</f>
        <v>finansieringar.se</v>
      </c>
      <c r="C261" s="4" t="s">
        <v>562</v>
      </c>
      <c r="D261" s="4" t="s">
        <v>437</v>
      </c>
      <c r="E261" s="5" t="s">
        <v>563</v>
      </c>
      <c r="F261" s="5" t="str">
        <f t="shared" si="4"/>
        <v>fairinvestments.se</v>
      </c>
      <c r="G261" s="5" t="s">
        <v>4</v>
      </c>
      <c r="H261" s="5" t="s">
        <v>5</v>
      </c>
      <c r="I261" s="6">
        <v>45063</v>
      </c>
    </row>
    <row r="262" spans="1:9" ht="13.5">
      <c r="A262" s="2" t="s">
        <v>435</v>
      </c>
      <c r="B262" s="3" t="str">
        <f ca="1">IFERROR(__xludf.DUMMYFUNCTION("REGEXEXTRACT(C262, ""https?:\/\/(?:.*\.)*(.+\..+?)\/"")"),"kapitalguide.se")</f>
        <v>kapitalguide.se</v>
      </c>
      <c r="C262" s="4" t="s">
        <v>564</v>
      </c>
      <c r="D262" s="4" t="s">
        <v>478</v>
      </c>
      <c r="E262" s="5" t="s">
        <v>563</v>
      </c>
      <c r="F262" s="5" t="str">
        <f t="shared" si="4"/>
        <v>fairinvestments.se</v>
      </c>
      <c r="G262" s="5" t="s">
        <v>4</v>
      </c>
      <c r="H262" s="5" t="s">
        <v>5</v>
      </c>
      <c r="I262" s="6">
        <v>45063</v>
      </c>
    </row>
    <row r="263" spans="1:9" ht="13.5">
      <c r="A263" s="2" t="s">
        <v>1</v>
      </c>
      <c r="B263" s="3" t="str">
        <f ca="1">IFERROR(__xludf.DUMMYFUNCTION("REGEXEXTRACT(C263, ""https?:\/\/(?:.*\.)*(.+\..+?)\/"")"),"naturliglivsstil.se")</f>
        <v>naturliglivsstil.se</v>
      </c>
      <c r="C263" s="4" t="s">
        <v>565</v>
      </c>
      <c r="D263" s="8" t="s">
        <v>1</v>
      </c>
      <c r="E263" s="5" t="s">
        <v>566</v>
      </c>
      <c r="F263" s="5" t="str">
        <f t="shared" si="4"/>
        <v>haxan.se</v>
      </c>
      <c r="G263" s="5" t="s">
        <v>4</v>
      </c>
      <c r="H263" s="5" t="s">
        <v>5</v>
      </c>
      <c r="I263" s="6">
        <v>45063</v>
      </c>
    </row>
    <row r="264" spans="1:9" ht="13.5">
      <c r="A264" s="2" t="s">
        <v>308</v>
      </c>
      <c r="B264" s="3" t="str">
        <f ca="1">IFERROR(__xludf.DUMMYFUNCTION("REGEXEXTRACT(C264, ""https?:\/\/(?:.*\.)*(.+\..+?)\/"")"),"finansassistans.se")</f>
        <v>finansassistans.se</v>
      </c>
      <c r="C264" s="4" t="s">
        <v>567</v>
      </c>
      <c r="D264" s="4" t="s">
        <v>310</v>
      </c>
      <c r="E264" s="5" t="s">
        <v>450</v>
      </c>
      <c r="F264" s="5" t="str">
        <f t="shared" si="4"/>
        <v>lansfast.se</v>
      </c>
      <c r="G264" s="5" t="s">
        <v>4</v>
      </c>
      <c r="H264" s="5" t="s">
        <v>5</v>
      </c>
      <c r="I264" s="6">
        <v>45063</v>
      </c>
    </row>
    <row r="265" spans="1:9" ht="13.5">
      <c r="A265" s="2" t="s">
        <v>308</v>
      </c>
      <c r="B265" s="3" t="str">
        <f ca="1">IFERROR(__xludf.DUMMYFUNCTION("REGEXEXTRACT(C265, ""https?:\/\/(?:.*\.)*(.+\..+?)\/"")"),"egenvilla.se")</f>
        <v>egenvilla.se</v>
      </c>
      <c r="C265" s="4" t="s">
        <v>568</v>
      </c>
      <c r="D265" s="4" t="s">
        <v>310</v>
      </c>
      <c r="E265" s="5" t="s">
        <v>569</v>
      </c>
      <c r="F265" s="5" t="str">
        <f t="shared" si="4"/>
        <v>lansfast.se</v>
      </c>
      <c r="G265" s="5" t="s">
        <v>4</v>
      </c>
      <c r="H265" s="5" t="s">
        <v>5</v>
      </c>
      <c r="I265" s="6">
        <v>45063</v>
      </c>
    </row>
    <row r="266" spans="1:9" ht="13.5">
      <c r="A266" s="2" t="s">
        <v>325</v>
      </c>
      <c r="B266" s="3" t="str">
        <f ca="1">IFERROR(__xludf.DUMMYFUNCTION("REGEXEXTRACT(C266, ""https?:\/\/(?:.*\.)*(.+\..+?)\/"")"),"nybyggande.se")</f>
        <v>nybyggande.se</v>
      </c>
      <c r="C266" s="4" t="s">
        <v>570</v>
      </c>
      <c r="D266" s="4" t="s">
        <v>327</v>
      </c>
      <c r="E266" s="5" t="s">
        <v>571</v>
      </c>
      <c r="F266" s="5" t="str">
        <f t="shared" si="4"/>
        <v>tiotak.se</v>
      </c>
      <c r="G266" s="5" t="s">
        <v>4</v>
      </c>
      <c r="H266" s="5" t="s">
        <v>5</v>
      </c>
      <c r="I266" s="6">
        <v>45063</v>
      </c>
    </row>
    <row r="267" spans="1:9" ht="13.5">
      <c r="A267" s="2" t="s">
        <v>325</v>
      </c>
      <c r="B267" s="3" t="str">
        <f ca="1">IFERROR(__xludf.DUMMYFUNCTION("REGEXEXTRACT(C267, ""https?:\/\/(?:.*\.)*(.+\..+?)\/"")"),"smartkonstruktion.se")</f>
        <v>smartkonstruktion.se</v>
      </c>
      <c r="C267" s="4" t="s">
        <v>572</v>
      </c>
      <c r="D267" s="4" t="s">
        <v>327</v>
      </c>
      <c r="E267" s="9" t="s">
        <v>325</v>
      </c>
      <c r="F267" s="5" t="str">
        <f t="shared" si="4"/>
        <v>tiotak.se</v>
      </c>
      <c r="G267" s="5" t="s">
        <v>4</v>
      </c>
      <c r="H267" s="5" t="s">
        <v>5</v>
      </c>
      <c r="I267" s="6">
        <v>45063</v>
      </c>
    </row>
    <row r="268" spans="1:9" ht="13.5">
      <c r="A268" s="2" t="s">
        <v>464</v>
      </c>
      <c r="B268" s="3" t="str">
        <f ca="1">IFERROR(__xludf.DUMMYFUNCTION("REGEXEXTRACT(C268, ""https?:\/\/(?:.*\.)*(.+\..+?)\/"")"),"smartkonstruktion.se")</f>
        <v>smartkonstruktion.se</v>
      </c>
      <c r="C268" s="4" t="s">
        <v>573</v>
      </c>
      <c r="D268" s="4" t="s">
        <v>466</v>
      </c>
      <c r="E268" s="5" t="s">
        <v>467</v>
      </c>
      <c r="F268" s="5" t="str">
        <f t="shared" si="4"/>
        <v>villarelining.se</v>
      </c>
      <c r="G268" s="5" t="s">
        <v>4</v>
      </c>
      <c r="H268" s="5" t="s">
        <v>5</v>
      </c>
      <c r="I268" s="6">
        <v>45063</v>
      </c>
    </row>
    <row r="269" spans="1:9" ht="13.5">
      <c r="A269" s="2" t="s">
        <v>464</v>
      </c>
      <c r="B269" s="3" t="str">
        <f ca="1">IFERROR(__xludf.DUMMYFUNCTION("REGEXEXTRACT(C269, ""https?:\/\/(?:.*\.)*(.+\..+?)\/"")"),"stilrenahem.se")</f>
        <v>stilrenahem.se</v>
      </c>
      <c r="C269" s="4" t="s">
        <v>574</v>
      </c>
      <c r="D269" s="4" t="s">
        <v>466</v>
      </c>
      <c r="E269" s="5" t="s">
        <v>467</v>
      </c>
      <c r="F269" s="5" t="str">
        <f t="shared" si="4"/>
        <v>villarelining.se</v>
      </c>
      <c r="G269" s="5" t="s">
        <v>4</v>
      </c>
      <c r="H269" s="5" t="s">
        <v>5</v>
      </c>
      <c r="I269" s="6">
        <v>45063</v>
      </c>
    </row>
    <row r="270" spans="1:9" ht="13.5">
      <c r="A270" s="2" t="s">
        <v>435</v>
      </c>
      <c r="B270" s="3" t="str">
        <f ca="1">IFERROR(__xludf.DUMMYFUNCTION("REGEXEXTRACT(C270, ""https?:\/\/(?:.*\.)*(.+\..+?)\/"")"),"viekonomi.se")</f>
        <v>viekonomi.se</v>
      </c>
      <c r="C270" s="4" t="s">
        <v>560</v>
      </c>
      <c r="D270" s="4" t="s">
        <v>575</v>
      </c>
      <c r="E270" s="5" t="s">
        <v>438</v>
      </c>
      <c r="F270" s="5" t="str">
        <f t="shared" si="4"/>
        <v>fairinvestments.se</v>
      </c>
      <c r="G270" s="5" t="s">
        <v>4</v>
      </c>
      <c r="H270" s="5" t="s">
        <v>5</v>
      </c>
      <c r="I270" s="6">
        <v>45064</v>
      </c>
    </row>
    <row r="271" spans="1:9" ht="13.5">
      <c r="A271" s="2" t="s">
        <v>272</v>
      </c>
      <c r="B271" s="3" t="str">
        <f ca="1">IFERROR(__xludf.DUMMYFUNCTION("REGEXEXTRACT(C271, ""https?:\/\/(?:.*\.)*(.+\..+?)\/"")"),"bokforingsprogram24.se")</f>
        <v>bokforingsprogram24.se</v>
      </c>
      <c r="C271" s="4" t="s">
        <v>576</v>
      </c>
      <c r="D271" s="4" t="s">
        <v>274</v>
      </c>
      <c r="E271" s="5" t="s">
        <v>577</v>
      </c>
      <c r="F271" s="5" t="str">
        <f t="shared" si="4"/>
        <v>schjodt.com</v>
      </c>
      <c r="G271" s="5" t="s">
        <v>4</v>
      </c>
      <c r="H271" s="5" t="s">
        <v>5</v>
      </c>
      <c r="I271" s="6">
        <v>45064</v>
      </c>
    </row>
    <row r="272" spans="1:9" ht="13.5">
      <c r="A272" s="7" t="s">
        <v>67</v>
      </c>
      <c r="B272" s="3" t="str">
        <f ca="1">IFERROR(__xludf.DUMMYFUNCTION("REGEXEXTRACT(C272, ""https?:\/\/(?:.*\.)*(.+\..+?)\/"")"),"evigliv.se")</f>
        <v>evigliv.se</v>
      </c>
      <c r="C272" s="4" t="s">
        <v>578</v>
      </c>
      <c r="D272" s="4" t="s">
        <v>69</v>
      </c>
      <c r="E272" s="5" t="s">
        <v>579</v>
      </c>
      <c r="F272" s="5" t="str">
        <f t="shared" si="4"/>
        <v>nem.health</v>
      </c>
      <c r="G272" s="5" t="s">
        <v>4</v>
      </c>
      <c r="H272" s="5" t="s">
        <v>5</v>
      </c>
      <c r="I272" s="6">
        <v>45065</v>
      </c>
    </row>
    <row r="273" spans="1:9" ht="13.5">
      <c r="A273" s="7" t="s">
        <v>329</v>
      </c>
      <c r="B273" s="3" t="str">
        <f ca="1">IFERROR(__xludf.DUMMYFUNCTION("REGEXEXTRACT(C273, ""https?:\/\/(?:.*\.)*(.+\..+?)\/"")"),"bonuskillen.se")</f>
        <v>bonuskillen.se</v>
      </c>
      <c r="C273" s="4" t="s">
        <v>580</v>
      </c>
      <c r="D273" s="4" t="s">
        <v>472</v>
      </c>
      <c r="E273" s="5" t="s">
        <v>473</v>
      </c>
      <c r="F273" s="5" t="str">
        <f t="shared" si="4"/>
        <v>vont</v>
      </c>
      <c r="G273" s="5" t="s">
        <v>4</v>
      </c>
      <c r="H273" s="5" t="s">
        <v>5</v>
      </c>
      <c r="I273" s="6">
        <v>45067</v>
      </c>
    </row>
    <row r="274" spans="1:9" ht="13.5">
      <c r="A274" s="7" t="s">
        <v>329</v>
      </c>
      <c r="B274" s="3" t="str">
        <f ca="1">IFERROR(__xludf.DUMMYFUNCTION("REGEXEXTRACT(C274, ""https?:\/\/(?:.*\.)*(.+\..+?)\/"")"),"evigliv.se")</f>
        <v>evigliv.se</v>
      </c>
      <c r="C274" s="4" t="s">
        <v>581</v>
      </c>
      <c r="D274" s="4" t="s">
        <v>331</v>
      </c>
      <c r="E274" s="5" t="s">
        <v>332</v>
      </c>
      <c r="F274" s="5" t="str">
        <f t="shared" si="4"/>
        <v>vont</v>
      </c>
      <c r="G274" s="5" t="s">
        <v>4</v>
      </c>
      <c r="H274" s="5" t="s">
        <v>5</v>
      </c>
      <c r="I274" s="6">
        <v>45068</v>
      </c>
    </row>
    <row r="275" spans="1:9" ht="13.5">
      <c r="A275" s="2" t="s">
        <v>348</v>
      </c>
      <c r="B275" s="3" t="str">
        <f ca="1">IFERROR(__xludf.DUMMYFUNCTION("REGEXEXTRACT(C275, ""https?:\/\/(?:.*\.)*(.+\..+?)\/"")"),"lifestylebyps.com")</f>
        <v>lifestylebyps.com</v>
      </c>
      <c r="C275" s="4" t="s">
        <v>582</v>
      </c>
      <c r="D275" s="4" t="s">
        <v>350</v>
      </c>
      <c r="E275" s="5" t="s">
        <v>583</v>
      </c>
      <c r="F275" s="5" t="str">
        <f t="shared" si="4"/>
        <v>happysocks.com</v>
      </c>
      <c r="G275" s="5" t="s">
        <v>4</v>
      </c>
      <c r="H275" s="5" t="s">
        <v>345</v>
      </c>
      <c r="I275" s="6">
        <v>45069</v>
      </c>
    </row>
    <row r="276" spans="1:9" ht="13.5">
      <c r="A276" s="2" t="s">
        <v>348</v>
      </c>
      <c r="B276" s="3" t="str">
        <f ca="1">IFERROR(__xludf.DUMMYFUNCTION("REGEXEXTRACT(C276, ""https?:\/\/(?:.*\.)*(.+\..+?)\/"")"),"citygoldmedia.com")</f>
        <v>citygoldmedia.com</v>
      </c>
      <c r="C276" s="4" t="s">
        <v>584</v>
      </c>
      <c r="D276" s="4" t="s">
        <v>350</v>
      </c>
      <c r="E276" s="5" t="s">
        <v>512</v>
      </c>
      <c r="F276" s="5" t="str">
        <f t="shared" si="4"/>
        <v>happysocks.com</v>
      </c>
      <c r="G276" s="5" t="s">
        <v>4</v>
      </c>
      <c r="H276" s="5" t="s">
        <v>345</v>
      </c>
      <c r="I276" s="6">
        <v>45069</v>
      </c>
    </row>
    <row r="277" spans="1:9" ht="13.5">
      <c r="A277" s="2" t="s">
        <v>348</v>
      </c>
      <c r="B277" s="3" t="str">
        <f ca="1">IFERROR(__xludf.DUMMYFUNCTION("REGEXEXTRACT(C277, ""https?:\/\/(?:.*\.)*(.+\..+?)\/"")"),"digitalglobaltimes.com")</f>
        <v>digitalglobaltimes.com</v>
      </c>
      <c r="C277" s="4" t="s">
        <v>585</v>
      </c>
      <c r="D277" s="4" t="s">
        <v>350</v>
      </c>
      <c r="E277" s="5" t="s">
        <v>442</v>
      </c>
      <c r="F277" s="5" t="str">
        <f t="shared" si="4"/>
        <v>happysocks.com</v>
      </c>
      <c r="G277" s="5" t="s">
        <v>4</v>
      </c>
      <c r="H277" s="5" t="s">
        <v>345</v>
      </c>
      <c r="I277" s="6">
        <v>45069</v>
      </c>
    </row>
    <row r="278" spans="1:9" ht="13.5">
      <c r="A278" s="2" t="s">
        <v>348</v>
      </c>
      <c r="B278" s="3" t="str">
        <f ca="1">IFERROR(__xludf.DUMMYFUNCTION("REGEXEXTRACT(C278, ""https?:\/\/(?:.*\.)*(.+\..+?)\/"")"),"bgfashion.net")</f>
        <v>bgfashion.net</v>
      </c>
      <c r="C278" s="4" t="s">
        <v>586</v>
      </c>
      <c r="D278" s="4" t="s">
        <v>350</v>
      </c>
      <c r="E278" s="5" t="s">
        <v>440</v>
      </c>
      <c r="F278" s="5" t="str">
        <f t="shared" si="4"/>
        <v>happysocks.com</v>
      </c>
      <c r="G278" s="5" t="s">
        <v>4</v>
      </c>
      <c r="H278" s="5" t="s">
        <v>345</v>
      </c>
      <c r="I278" s="6">
        <v>45069</v>
      </c>
    </row>
    <row r="279" spans="1:9" ht="13.5">
      <c r="A279" s="2" t="s">
        <v>348</v>
      </c>
      <c r="B279" s="3" t="str">
        <f ca="1">IFERROR(__xludf.DUMMYFUNCTION("REGEXEXTRACT(C279, ""https?:\/\/(?:.*\.)*(.+\..+?)\/"")"),"fluxmagazine.com")</f>
        <v>fluxmagazine.com</v>
      </c>
      <c r="C279" s="4" t="s">
        <v>587</v>
      </c>
      <c r="D279" s="4" t="s">
        <v>350</v>
      </c>
      <c r="E279" s="5" t="s">
        <v>588</v>
      </c>
      <c r="F279" s="5" t="str">
        <f t="shared" si="4"/>
        <v>happysocks.com</v>
      </c>
      <c r="G279" s="5" t="s">
        <v>4</v>
      </c>
      <c r="H279" s="5" t="s">
        <v>345</v>
      </c>
      <c r="I279" s="6">
        <v>45069</v>
      </c>
    </row>
    <row r="280" spans="1:9" ht="13.5">
      <c r="A280" s="2" t="s">
        <v>348</v>
      </c>
      <c r="B280" s="3" t="str">
        <f ca="1">IFERROR(__xludf.DUMMYFUNCTION("REGEXEXTRACT(C280, ""https?:\/\/(?:.*\.)*(.+\..+?)\/"")"),"fashionetc.com")</f>
        <v>fashionetc.com</v>
      </c>
      <c r="C280" s="4" t="s">
        <v>589</v>
      </c>
      <c r="D280" s="8" t="s">
        <v>492</v>
      </c>
      <c r="E280" s="5" t="s">
        <v>493</v>
      </c>
      <c r="F280" s="5" t="str">
        <f t="shared" si="4"/>
        <v>happysocks.com</v>
      </c>
      <c r="G280" s="5" t="s">
        <v>4</v>
      </c>
      <c r="H280" s="5" t="s">
        <v>345</v>
      </c>
      <c r="I280" s="6">
        <v>45069</v>
      </c>
    </row>
    <row r="281" spans="1:9" ht="13.5">
      <c r="A281" s="7" t="s">
        <v>224</v>
      </c>
      <c r="B281" s="3" t="str">
        <f ca="1">IFERROR(__xludf.DUMMYFUNCTION("REGEXEXTRACT(C281, ""https?:\/\/(?:.*\.)*(.+\..+?)\/"")"),"elektronikkungen.se")</f>
        <v>elektronikkungen.se</v>
      </c>
      <c r="C281" s="4" t="s">
        <v>590</v>
      </c>
      <c r="D281" s="4" t="s">
        <v>226</v>
      </c>
      <c r="E281" s="5" t="s">
        <v>591</v>
      </c>
      <c r="F281" s="5" t="str">
        <f t="shared" si="4"/>
        <v>swedoffice</v>
      </c>
      <c r="G281" s="5" t="s">
        <v>4</v>
      </c>
      <c r="H281" s="5" t="s">
        <v>5</v>
      </c>
      <c r="I281" s="6">
        <v>45069</v>
      </c>
    </row>
    <row r="282" spans="1:9" ht="13.5">
      <c r="A282" s="2" t="s">
        <v>348</v>
      </c>
      <c r="B282" s="3" t="str">
        <f ca="1">IFERROR(__xludf.DUMMYFUNCTION("REGEXEXTRACT(C282, ""https?:\/\/(?:.*\.)*(.+\..+?)\/"")"),"fixthelife.com")</f>
        <v>fixthelife.com</v>
      </c>
      <c r="C282" s="4" t="s">
        <v>592</v>
      </c>
      <c r="D282" s="4" t="s">
        <v>350</v>
      </c>
      <c r="E282" s="5" t="s">
        <v>483</v>
      </c>
      <c r="F282" s="5" t="str">
        <f t="shared" si="4"/>
        <v>happysocks.com</v>
      </c>
      <c r="G282" s="5" t="s">
        <v>4</v>
      </c>
      <c r="H282" s="5" t="s">
        <v>345</v>
      </c>
      <c r="I282" s="6">
        <v>45070</v>
      </c>
    </row>
    <row r="283" spans="1:9" ht="13.5">
      <c r="A283" s="2" t="s">
        <v>348</v>
      </c>
      <c r="B283" s="3" t="str">
        <f ca="1">IFERROR(__xludf.DUMMYFUNCTION("REGEXEXTRACT(C283, ""https?:\/\/(?:.*\.)*(.+\..+?)\/"")"),"nighthelper.com")</f>
        <v>nighthelper.com</v>
      </c>
      <c r="C283" s="4" t="s">
        <v>593</v>
      </c>
      <c r="D283" s="4" t="s">
        <v>353</v>
      </c>
      <c r="E283" s="5" t="s">
        <v>354</v>
      </c>
      <c r="F283" s="5" t="str">
        <f t="shared" si="4"/>
        <v>happysocks.com</v>
      </c>
      <c r="G283" s="5" t="s">
        <v>4</v>
      </c>
      <c r="H283" s="5" t="s">
        <v>345</v>
      </c>
      <c r="I283" s="6">
        <v>45070</v>
      </c>
    </row>
    <row r="284" spans="1:9" ht="13.5">
      <c r="A284" s="2" t="s">
        <v>348</v>
      </c>
      <c r="B284" s="3" t="str">
        <f ca="1">IFERROR(__xludf.DUMMYFUNCTION("REGEXEXTRACT(C284, ""https?:\/\/(?:.*\.)*(.+\..+?)\/"")"),"aspiringgentleman.com")</f>
        <v>aspiringgentleman.com</v>
      </c>
      <c r="C284" s="4" t="s">
        <v>594</v>
      </c>
      <c r="D284" s="4" t="s">
        <v>492</v>
      </c>
      <c r="E284" s="5" t="s">
        <v>358</v>
      </c>
      <c r="F284" s="5" t="str">
        <f t="shared" si="4"/>
        <v>happysocks.com</v>
      </c>
      <c r="G284" s="5" t="s">
        <v>4</v>
      </c>
      <c r="H284" s="5" t="s">
        <v>345</v>
      </c>
      <c r="I284" s="6">
        <v>45070</v>
      </c>
    </row>
    <row r="285" spans="1:9" ht="13.5">
      <c r="A285" s="2" t="s">
        <v>348</v>
      </c>
      <c r="B285" s="3" t="str">
        <f ca="1">IFERROR(__xludf.DUMMYFUNCTION("REGEXEXTRACT(C285, ""https?:\/\/(?:.*\.)*(.+\..+?)\/"")"),"finehomesandliving.com")</f>
        <v>finehomesandliving.com</v>
      </c>
      <c r="C285" s="4" t="s">
        <v>595</v>
      </c>
      <c r="D285" s="4" t="s">
        <v>492</v>
      </c>
      <c r="E285" s="5" t="s">
        <v>493</v>
      </c>
      <c r="F285" s="5" t="str">
        <f t="shared" si="4"/>
        <v>happysocks.com</v>
      </c>
      <c r="G285" s="5" t="s">
        <v>4</v>
      </c>
      <c r="H285" s="5" t="s">
        <v>345</v>
      </c>
      <c r="I285" s="6">
        <v>45070</v>
      </c>
    </row>
    <row r="286" spans="1:9" ht="13.5">
      <c r="A286" s="2" t="s">
        <v>348</v>
      </c>
      <c r="B286" s="3" t="str">
        <f ca="1">IFERROR(__xludf.DUMMYFUNCTION("REGEXEXTRACT(C286, ""https?:\/\/(?:.*\.)*(.+\..+?)\/"")"),"salonprivemag.com")</f>
        <v>salonprivemag.com</v>
      </c>
      <c r="C286" s="4" t="s">
        <v>596</v>
      </c>
      <c r="D286" s="4" t="s">
        <v>597</v>
      </c>
      <c r="E286" s="5" t="s">
        <v>440</v>
      </c>
      <c r="F286" s="5" t="str">
        <f t="shared" si="4"/>
        <v>happysocks.com</v>
      </c>
      <c r="G286" s="5" t="s">
        <v>4</v>
      </c>
      <c r="H286" s="5" t="s">
        <v>345</v>
      </c>
      <c r="I286" s="6">
        <v>45070</v>
      </c>
    </row>
    <row r="287" spans="1:9" ht="13.5">
      <c r="A287" s="2" t="s">
        <v>386</v>
      </c>
      <c r="B287" s="3" t="str">
        <f ca="1">IFERROR(__xludf.DUMMYFUNCTION("REGEXEXTRACT(C287, ""https?:\/\/(?:.*\.)*(.+\..+?)\/"")"),"smartkonstruktion.se")</f>
        <v>smartkonstruktion.se</v>
      </c>
      <c r="C287" s="4" t="s">
        <v>598</v>
      </c>
      <c r="D287" s="4" t="s">
        <v>599</v>
      </c>
      <c r="E287" s="9" t="s">
        <v>599</v>
      </c>
      <c r="F287" s="5" t="str">
        <f t="shared" si="4"/>
        <v>pontech</v>
      </c>
      <c r="G287" s="5" t="s">
        <v>4</v>
      </c>
      <c r="H287" s="5" t="s">
        <v>5</v>
      </c>
      <c r="I287" s="6">
        <v>45070</v>
      </c>
    </row>
    <row r="288" spans="1:9" ht="13.5">
      <c r="A288" s="2" t="s">
        <v>394</v>
      </c>
      <c r="B288" s="3" t="str">
        <f ca="1">IFERROR(__xludf.DUMMYFUNCTION("REGEXEXTRACT(C288, ""https?:\/\/(?:.*\.)*(.+\..+?)\/"")"),"bolagsekonomen.se")</f>
        <v>bolagsekonomen.se</v>
      </c>
      <c r="C288" s="4" t="s">
        <v>600</v>
      </c>
      <c r="D288" s="4" t="s">
        <v>601</v>
      </c>
      <c r="E288" s="5" t="s">
        <v>602</v>
      </c>
      <c r="F288" s="5" t="str">
        <f t="shared" si="4"/>
        <v>www.adligo.io</v>
      </c>
      <c r="G288" s="5" t="s">
        <v>4</v>
      </c>
      <c r="H288" s="5" t="s">
        <v>5</v>
      </c>
      <c r="I288" s="6">
        <v>45070</v>
      </c>
    </row>
    <row r="289" spans="1:9" ht="13.5">
      <c r="A289" s="2" t="s">
        <v>394</v>
      </c>
      <c r="B289" s="3" t="str">
        <f ca="1">IFERROR(__xludf.DUMMYFUNCTION("REGEXEXTRACT(C289, ""https?:\/\/(?:.*\.)*(.+\..+?)\/"")"),"businessmanualen.se")</f>
        <v>businessmanualen.se</v>
      </c>
      <c r="C289" s="4" t="s">
        <v>603</v>
      </c>
      <c r="D289" s="4" t="s">
        <v>601</v>
      </c>
      <c r="E289" s="5" t="s">
        <v>604</v>
      </c>
      <c r="F289" s="5" t="str">
        <f t="shared" si="4"/>
        <v>www.adligo.io</v>
      </c>
      <c r="G289" s="5" t="s">
        <v>4</v>
      </c>
      <c r="H289" s="5" t="s">
        <v>5</v>
      </c>
      <c r="I289" s="6">
        <v>45070</v>
      </c>
    </row>
    <row r="290" spans="1:9" ht="13.5">
      <c r="A290" s="2" t="s">
        <v>156</v>
      </c>
      <c r="B290" s="3" t="str">
        <f ca="1">IFERROR(__xludf.DUMMYFUNCTION("REGEXEXTRACT(C290, ""https?:\/\/(?:.*\.)*(.+\..+?)\/"")"),"alltombeauty.se")</f>
        <v>alltombeauty.se</v>
      </c>
      <c r="C290" s="4" t="s">
        <v>605</v>
      </c>
      <c r="D290" s="4" t="s">
        <v>303</v>
      </c>
      <c r="E290" s="5" t="s">
        <v>606</v>
      </c>
      <c r="F290" s="5" t="str">
        <f t="shared" si="4"/>
        <v>askskinfo.com</v>
      </c>
      <c r="G290" s="5" t="s">
        <v>4</v>
      </c>
      <c r="H290" s="5" t="s">
        <v>5</v>
      </c>
      <c r="I290" s="6">
        <v>45070</v>
      </c>
    </row>
    <row r="291" spans="1:9" ht="13.5">
      <c r="A291" s="2" t="s">
        <v>20</v>
      </c>
      <c r="B291" s="3" t="str">
        <f ca="1">IFERROR(__xludf.DUMMYFUNCTION("REGEXEXTRACT(C291, ""https?:\/\/(?:.*\.)*(.+\..+?)\/"")"),"brollopspresenten.se")</f>
        <v>brollopspresenten.se</v>
      </c>
      <c r="C291" s="4" t="s">
        <v>607</v>
      </c>
      <c r="D291" s="4" t="s">
        <v>529</v>
      </c>
      <c r="E291" s="5" t="s">
        <v>530</v>
      </c>
      <c r="F291" s="5" t="str">
        <f t="shared" si="4"/>
        <v>blugiallo.com</v>
      </c>
      <c r="G291" s="5" t="s">
        <v>4</v>
      </c>
      <c r="H291" s="5" t="s">
        <v>5</v>
      </c>
      <c r="I291" s="6">
        <v>45072</v>
      </c>
    </row>
    <row r="292" spans="1:9" ht="13.5">
      <c r="A292" s="2" t="s">
        <v>405</v>
      </c>
      <c r="B292" s="3" t="str">
        <f ca="1">IFERROR(__xludf.DUMMYFUNCTION("REGEXEXTRACT(C292, ""https?:\/\/(?:.*\.)*(.+\..+?)\/"")"),"evigliv.se")</f>
        <v>evigliv.se</v>
      </c>
      <c r="C292" s="4" t="s">
        <v>608</v>
      </c>
      <c r="D292" s="4" t="s">
        <v>407</v>
      </c>
      <c r="E292" s="5" t="s">
        <v>408</v>
      </c>
      <c r="F292" s="5" t="str">
        <f t="shared" si="4"/>
        <v>rehabgrossisten.com</v>
      </c>
      <c r="G292" s="5" t="s">
        <v>4</v>
      </c>
      <c r="H292" s="5" t="s">
        <v>5</v>
      </c>
      <c r="I292" s="6">
        <v>45072</v>
      </c>
    </row>
    <row r="293" spans="1:9" ht="13.5">
      <c r="A293" s="2" t="s">
        <v>405</v>
      </c>
      <c r="B293" s="3" t="str">
        <f ca="1">IFERROR(__xludf.DUMMYFUNCTION("REGEXEXTRACT(C293, ""https?:\/\/(?:.*\.)*(.+\..+?)\/"")"),"aktivamammor.se")</f>
        <v>aktivamammor.se</v>
      </c>
      <c r="C293" s="4" t="s">
        <v>609</v>
      </c>
      <c r="D293" s="4" t="s">
        <v>610</v>
      </c>
      <c r="E293" s="5" t="s">
        <v>611</v>
      </c>
      <c r="F293" s="5" t="str">
        <f t="shared" si="4"/>
        <v>rehabgrossisten.com</v>
      </c>
      <c r="G293" s="5" t="s">
        <v>4</v>
      </c>
      <c r="H293" s="5" t="s">
        <v>5</v>
      </c>
      <c r="I293" s="6">
        <v>45072</v>
      </c>
    </row>
    <row r="294" spans="1:9" ht="13.5">
      <c r="A294" s="7" t="s">
        <v>224</v>
      </c>
      <c r="B294" s="3" t="str">
        <f ca="1">IFERROR(__xludf.DUMMYFUNCTION("REGEXEXTRACT(C294, ""https?:\/\/(?:.*\.)*(.+\..+?)\/"")"),"businessmanualen.se")</f>
        <v>businessmanualen.se</v>
      </c>
      <c r="C294" s="4" t="s">
        <v>612</v>
      </c>
      <c r="D294" s="4" t="s">
        <v>613</v>
      </c>
      <c r="E294" s="5" t="s">
        <v>614</v>
      </c>
      <c r="F294" s="5" t="str">
        <f t="shared" si="4"/>
        <v>swedoffice</v>
      </c>
      <c r="G294" s="5" t="s">
        <v>4</v>
      </c>
      <c r="H294" s="5" t="s">
        <v>5</v>
      </c>
      <c r="I294" s="6">
        <v>45075</v>
      </c>
    </row>
    <row r="295" spans="1:9" ht="13.5">
      <c r="A295" s="7" t="s">
        <v>329</v>
      </c>
      <c r="B295" s="3" t="str">
        <f ca="1">IFERROR(__xludf.DUMMYFUNCTION("REGEXEXTRACT(C295, ""https?:\/\/(?:.*\.)*(.+\..+?)\/"")"),"veckodag.nu")</f>
        <v>veckodag.nu</v>
      </c>
      <c r="C295" s="4" t="s">
        <v>615</v>
      </c>
      <c r="D295" s="4" t="s">
        <v>616</v>
      </c>
      <c r="E295" s="5" t="s">
        <v>617</v>
      </c>
      <c r="F295" s="5" t="str">
        <f t="shared" si="4"/>
        <v>vont</v>
      </c>
      <c r="G295" s="5" t="s">
        <v>4</v>
      </c>
      <c r="H295" s="5" t="s">
        <v>5</v>
      </c>
      <c r="I295" s="6">
        <v>45075</v>
      </c>
    </row>
    <row r="296" spans="1:9" ht="13.5">
      <c r="A296" s="7" t="s">
        <v>329</v>
      </c>
      <c r="B296" s="3" t="str">
        <f ca="1">IFERROR(__xludf.DUMMYFUNCTION("REGEXEXTRACT(C296, ""https?:\/\/(?:.*\.)*(.+\..+?)\/"")"),"forfest.se")</f>
        <v>forfest.se</v>
      </c>
      <c r="C296" s="4" t="s">
        <v>618</v>
      </c>
      <c r="D296" s="4" t="s">
        <v>331</v>
      </c>
      <c r="E296" s="22" t="s">
        <v>619</v>
      </c>
      <c r="F296" s="5" t="str">
        <f t="shared" si="4"/>
        <v>vont</v>
      </c>
      <c r="G296" s="5" t="s">
        <v>34</v>
      </c>
      <c r="H296" s="5" t="s">
        <v>5</v>
      </c>
      <c r="I296" s="6">
        <v>45075</v>
      </c>
    </row>
    <row r="297" spans="1:9" ht="13.5">
      <c r="A297" s="2" t="s">
        <v>20</v>
      </c>
      <c r="B297" s="3" t="str">
        <f ca="1">IFERROR(__xludf.DUMMYFUNCTION("REGEXEXTRACT(C297, ""https?:\/\/(?:.*\.)*(.+\..+?)\/"")"),"vett-och-etikett.com")</f>
        <v>vett-och-etikett.com</v>
      </c>
      <c r="C297" s="4" t="s">
        <v>620</v>
      </c>
      <c r="D297" s="4" t="s">
        <v>526</v>
      </c>
      <c r="E297" s="5" t="s">
        <v>621</v>
      </c>
      <c r="F297" s="5" t="str">
        <f t="shared" si="4"/>
        <v>blugiallo.com</v>
      </c>
      <c r="G297" s="5" t="s">
        <v>4</v>
      </c>
      <c r="H297" s="5" t="s">
        <v>5</v>
      </c>
      <c r="I297" s="6">
        <v>45076</v>
      </c>
    </row>
    <row r="298" spans="1:9" ht="13.5">
      <c r="A298" s="2" t="s">
        <v>348</v>
      </c>
      <c r="B298" s="3" t="str">
        <f ca="1">IFERROR(__xludf.DUMMYFUNCTION("REGEXEXTRACT(C298, ""https?:\/\/(?:.*\.)*(.+\..+?)\/"")"),"thewowstyle.com")</f>
        <v>thewowstyle.com</v>
      </c>
      <c r="C298" s="4" t="s">
        <v>622</v>
      </c>
      <c r="D298" s="4" t="s">
        <v>492</v>
      </c>
      <c r="E298" s="5" t="s">
        <v>358</v>
      </c>
      <c r="F298" s="5" t="str">
        <f t="shared" si="4"/>
        <v>happysocks.com</v>
      </c>
      <c r="G298" s="5" t="s">
        <v>4</v>
      </c>
      <c r="H298" s="5" t="s">
        <v>345</v>
      </c>
      <c r="I298" s="6">
        <v>45076</v>
      </c>
    </row>
    <row r="299" spans="1:9" ht="13.5">
      <c r="A299" s="2" t="s">
        <v>325</v>
      </c>
      <c r="B299" s="3" t="str">
        <f ca="1">IFERROR(__xludf.DUMMYFUNCTION("REGEXEXTRACT(C299, ""https?:\/\/(?:.*\.)*(.+\..+?)\/"")"),"uppsalabostad.se")</f>
        <v>uppsalabostad.se</v>
      </c>
      <c r="C299" s="4" t="s">
        <v>175</v>
      </c>
      <c r="D299" s="4" t="s">
        <v>327</v>
      </c>
      <c r="E299" s="5" t="s">
        <v>463</v>
      </c>
      <c r="F299" s="5" t="str">
        <f t="shared" si="4"/>
        <v>tiotak.se</v>
      </c>
      <c r="G299" s="5" t="s">
        <v>34</v>
      </c>
      <c r="H299" s="5" t="s">
        <v>5</v>
      </c>
      <c r="I299" s="6">
        <v>45076</v>
      </c>
    </row>
    <row r="300" spans="1:9" ht="13.5">
      <c r="A300" s="2" t="s">
        <v>277</v>
      </c>
      <c r="B300" s="3" t="str">
        <f ca="1">IFERROR(__xludf.DUMMYFUNCTION("REGEXEXTRACT(C300, ""https?:\/\/(?:.*\.)*(.+\..+?)\/"")"),"focusera.se")</f>
        <v>focusera.se</v>
      </c>
      <c r="C300" s="4" t="s">
        <v>623</v>
      </c>
      <c r="D300" s="4" t="s">
        <v>279</v>
      </c>
      <c r="E300" s="5" t="s">
        <v>624</v>
      </c>
      <c r="F300" s="5" t="str">
        <f t="shared" si="4"/>
        <v>toyota-forklifts.se</v>
      </c>
      <c r="G300" s="5" t="s">
        <v>4</v>
      </c>
      <c r="H300" s="5" t="s">
        <v>5</v>
      </c>
      <c r="I300" s="6">
        <v>45076</v>
      </c>
    </row>
    <row r="301" spans="1:9" ht="13.5">
      <c r="A301" s="2" t="s">
        <v>264</v>
      </c>
      <c r="B301" s="3" t="str">
        <f ca="1">IFERROR(__xludf.DUMMYFUNCTION("REGEXEXTRACT(C301, ""https?:\/\/(?:.*\.)*(.+\..+?)\/"")"),"avisendanmark.dk")</f>
        <v>avisendanmark.dk</v>
      </c>
      <c r="C301" s="4" t="s">
        <v>625</v>
      </c>
      <c r="D301" s="4" t="s">
        <v>626</v>
      </c>
      <c r="E301" s="5" t="s">
        <v>268</v>
      </c>
      <c r="F301" s="5" t="str">
        <f t="shared" si="4"/>
        <v>creditsafe.se</v>
      </c>
      <c r="G301" s="5" t="s">
        <v>4</v>
      </c>
      <c r="H301" s="5" t="s">
        <v>267</v>
      </c>
      <c r="I301" s="6">
        <v>45077</v>
      </c>
    </row>
    <row r="302" spans="1:9" ht="13.5">
      <c r="A302" s="2" t="s">
        <v>264</v>
      </c>
      <c r="B302" s="3" t="str">
        <f ca="1">IFERROR(__xludf.DUMMYFUNCTION("REGEXEXTRACT(C302, ""https?:\/\/(?:.*\.)*(.+\..+?)\/"")"),"frederiksbergliv.dk")</f>
        <v>frederiksbergliv.dk</v>
      </c>
      <c r="C302" s="4" t="s">
        <v>627</v>
      </c>
      <c r="D302" s="4" t="s">
        <v>626</v>
      </c>
      <c r="E302" s="5" t="s">
        <v>514</v>
      </c>
      <c r="F302" s="5" t="str">
        <f t="shared" si="4"/>
        <v>creditsafe.se</v>
      </c>
      <c r="G302" s="5" t="s">
        <v>4</v>
      </c>
      <c r="H302" s="5" t="s">
        <v>267</v>
      </c>
      <c r="I302" s="6">
        <v>45077</v>
      </c>
    </row>
    <row r="303" spans="1:9" ht="13.5">
      <c r="A303" s="2" t="s">
        <v>348</v>
      </c>
      <c r="B303" s="3" t="str">
        <f ca="1">IFERROR(__xludf.DUMMYFUNCTION("REGEXEXTRACT(C303, ""https?:\/\/(?:.*\.)*(.+\..+?)\/"")"),"deavita.net")</f>
        <v>deavita.net</v>
      </c>
      <c r="C303" s="4" t="s">
        <v>628</v>
      </c>
      <c r="D303" s="4" t="s">
        <v>509</v>
      </c>
      <c r="E303" s="5" t="s">
        <v>629</v>
      </c>
      <c r="F303" s="5" t="str">
        <f t="shared" si="4"/>
        <v>happysocks.com</v>
      </c>
      <c r="G303" s="5" t="s">
        <v>4</v>
      </c>
      <c r="H303" s="5" t="s">
        <v>345</v>
      </c>
      <c r="I303" s="6">
        <v>45077</v>
      </c>
    </row>
    <row r="304" spans="1:9" ht="13.5">
      <c r="A304" s="2" t="s">
        <v>348</v>
      </c>
      <c r="B304" s="3" t="str">
        <f ca="1">IFERROR(__xludf.DUMMYFUNCTION("REGEXEXTRACT(C304, ""https?:\/\/(?:.*\.)*(.+\..+?)\/"")"),"fibre2fashion.com")</f>
        <v>fibre2fashion.com</v>
      </c>
      <c r="C304" s="4" t="s">
        <v>630</v>
      </c>
      <c r="D304" s="4" t="s">
        <v>350</v>
      </c>
      <c r="E304" s="5" t="s">
        <v>631</v>
      </c>
      <c r="F304" s="5" t="str">
        <f t="shared" si="4"/>
        <v>happysocks.com</v>
      </c>
      <c r="G304" s="5" t="s">
        <v>4</v>
      </c>
      <c r="H304" s="5" t="s">
        <v>345</v>
      </c>
      <c r="I304" s="6">
        <v>45077</v>
      </c>
    </row>
    <row r="305" spans="1:9" ht="13.5">
      <c r="A305" s="2" t="s">
        <v>632</v>
      </c>
      <c r="B305" s="3" t="str">
        <f ca="1">IFERROR(__xludf.DUMMYFUNCTION("REGEXEXTRACT(C305, ""https?:\/\/(?:.*\.)*(.+\..+?)\/"")"),"frii.se")</f>
        <v>frii.se</v>
      </c>
      <c r="C305" s="4" t="s">
        <v>633</v>
      </c>
      <c r="D305" s="4" t="s">
        <v>634</v>
      </c>
      <c r="E305" s="5" t="s">
        <v>635</v>
      </c>
      <c r="F305" s="5" t="str">
        <f t="shared" si="4"/>
        <v>miamipool.se</v>
      </c>
      <c r="G305" s="5" t="s">
        <v>4</v>
      </c>
      <c r="H305" s="5" t="s">
        <v>5</v>
      </c>
      <c r="I305" s="6">
        <v>45079</v>
      </c>
    </row>
    <row r="306" spans="1:9" ht="13.5">
      <c r="A306" s="2" t="s">
        <v>272</v>
      </c>
      <c r="B306" s="3" t="str">
        <f ca="1">IFERROR(__xludf.DUMMYFUNCTION("REGEXEXTRACT(C306, ""https?:\/\/(?:.*\.)*(.+\..+?)\/"")"),"svenskarbetsratt.se")</f>
        <v>svenskarbetsratt.se</v>
      </c>
      <c r="C306" s="4" t="s">
        <v>636</v>
      </c>
      <c r="D306" s="4" t="s">
        <v>274</v>
      </c>
      <c r="E306" s="5" t="s">
        <v>637</v>
      </c>
      <c r="F306" s="5" t="str">
        <f t="shared" si="4"/>
        <v>schjodt.com</v>
      </c>
      <c r="G306" s="5" t="s">
        <v>4</v>
      </c>
      <c r="H306" s="5" t="s">
        <v>5</v>
      </c>
      <c r="I306" s="6">
        <v>45079</v>
      </c>
    </row>
    <row r="307" spans="1:9" ht="13.5">
      <c r="A307" s="7" t="s">
        <v>224</v>
      </c>
      <c r="B307" s="3" t="str">
        <f ca="1">IFERROR(__xludf.DUMMYFUNCTION("REGEXEXTRACT(C307, ""https?:\/\/(?:.*\.)*(.+\..+?)\/"")"),"techchannel.se")</f>
        <v>techchannel.se</v>
      </c>
      <c r="C307" s="4" t="s">
        <v>638</v>
      </c>
      <c r="D307" s="4" t="s">
        <v>290</v>
      </c>
      <c r="E307" s="5" t="s">
        <v>291</v>
      </c>
      <c r="F307" s="5" t="str">
        <f t="shared" si="4"/>
        <v>swedoffice</v>
      </c>
      <c r="G307" s="5" t="s">
        <v>4</v>
      </c>
      <c r="H307" s="5" t="s">
        <v>5</v>
      </c>
      <c r="I307" s="6">
        <v>45089</v>
      </c>
    </row>
    <row r="308" spans="1:9" ht="13.5">
      <c r="A308" s="7" t="s">
        <v>224</v>
      </c>
      <c r="B308" s="3" t="str">
        <f ca="1">IFERROR(__xludf.DUMMYFUNCTION("REGEXEXTRACT(C308, ""https?:\/\/(?:.*\.)*(.+\..+?)\/"")"),"socialsummit17.se")</f>
        <v>socialsummit17.se</v>
      </c>
      <c r="C308" s="4" t="s">
        <v>639</v>
      </c>
      <c r="D308" s="4" t="s">
        <v>226</v>
      </c>
      <c r="E308" s="5" t="s">
        <v>640</v>
      </c>
      <c r="F308" s="5" t="str">
        <f t="shared" si="4"/>
        <v>swedoffice</v>
      </c>
      <c r="G308" s="5" t="s">
        <v>4</v>
      </c>
      <c r="H308" s="5" t="s">
        <v>5</v>
      </c>
      <c r="I308" s="6">
        <v>45090</v>
      </c>
    </row>
    <row r="309" spans="1:9" ht="13.5">
      <c r="A309" s="2" t="s">
        <v>20</v>
      </c>
      <c r="B309" s="3" t="str">
        <f ca="1">IFERROR(__xludf.DUMMYFUNCTION("REGEXEXTRACT(C309, ""https?:\/\/(?:.*\.)*(.+\..+?)\/"")"),"fashionforest.se")</f>
        <v>fashionforest.se</v>
      </c>
      <c r="C309" s="4" t="s">
        <v>641</v>
      </c>
      <c r="D309" s="4" t="s">
        <v>529</v>
      </c>
      <c r="E309" s="5" t="s">
        <v>642</v>
      </c>
      <c r="F309" s="5" t="str">
        <f t="shared" si="4"/>
        <v>blugiallo.com</v>
      </c>
      <c r="G309" s="5" t="s">
        <v>4</v>
      </c>
      <c r="H309" s="5" t="s">
        <v>5</v>
      </c>
      <c r="I309" s="6">
        <v>45093</v>
      </c>
    </row>
    <row r="310" spans="1:9" ht="13.5">
      <c r="A310" s="2" t="s">
        <v>264</v>
      </c>
      <c r="B310" s="3" t="str">
        <f ca="1">IFERROR(__xludf.DUMMYFUNCTION("REGEXEXTRACT(C310, ""https?:\/\/(?:.*\.)*(.+\..+?)\/"")"),"tidende.dk")</f>
        <v>tidende.dk</v>
      </c>
      <c r="C310" s="4" t="s">
        <v>643</v>
      </c>
      <c r="D310" s="4" t="s">
        <v>626</v>
      </c>
      <c r="E310" s="5" t="s">
        <v>644</v>
      </c>
      <c r="F310" s="5" t="str">
        <f t="shared" si="4"/>
        <v>creditsafe.se</v>
      </c>
      <c r="G310" s="5" t="s">
        <v>4</v>
      </c>
      <c r="H310" s="5" t="s">
        <v>267</v>
      </c>
      <c r="I310" s="6">
        <v>45093</v>
      </c>
    </row>
    <row r="311" spans="1:9" ht="13.5">
      <c r="A311" s="7" t="s">
        <v>67</v>
      </c>
      <c r="B311" s="3" t="str">
        <f ca="1">IFERROR(__xludf.DUMMYFUNCTION("REGEXEXTRACT(C311, ""https?:\/\/(?:.*\.)*(.+\..+?)\/"")"),"aktivakvinnor.se")</f>
        <v>aktivakvinnor.se</v>
      </c>
      <c r="C311" s="4" t="s">
        <v>645</v>
      </c>
      <c r="D311" s="4" t="s">
        <v>69</v>
      </c>
      <c r="E311" s="5" t="s">
        <v>646</v>
      </c>
      <c r="F311" s="5" t="str">
        <f t="shared" si="4"/>
        <v>nem.health</v>
      </c>
      <c r="G311" s="5" t="s">
        <v>4</v>
      </c>
      <c r="H311" s="5" t="s">
        <v>5</v>
      </c>
      <c r="I311" s="6">
        <v>45093</v>
      </c>
    </row>
    <row r="312" spans="1:9" ht="13.5">
      <c r="A312" s="2" t="s">
        <v>405</v>
      </c>
      <c r="B312" s="3" t="str">
        <f ca="1">IFERROR(__xludf.DUMMYFUNCTION("REGEXEXTRACT(C312, ""https?:\/\/(?:.*\.)*(.+\..+?)\/"")"),"executiveeffect.se")</f>
        <v>executiveeffect.se</v>
      </c>
      <c r="C312" s="4" t="s">
        <v>647</v>
      </c>
      <c r="D312" s="4" t="s">
        <v>407</v>
      </c>
      <c r="E312" s="5" t="s">
        <v>648</v>
      </c>
      <c r="F312" s="5" t="str">
        <f t="shared" si="4"/>
        <v>rehabgrossisten.com</v>
      </c>
      <c r="G312" s="5" t="s">
        <v>4</v>
      </c>
      <c r="H312" s="5" t="s">
        <v>5</v>
      </c>
      <c r="I312" s="6">
        <v>45093</v>
      </c>
    </row>
    <row r="313" spans="1:9" ht="13.5">
      <c r="A313" s="7" t="s">
        <v>224</v>
      </c>
      <c r="B313" s="3" t="str">
        <f ca="1">IFERROR(__xludf.DUMMYFUNCTION("REGEXEXTRACT(C313, ""https?:\/\/(?:.*\.)*(.+\..+?)\/"")"),"saleseffect.se")</f>
        <v>saleseffect.se</v>
      </c>
      <c r="C313" s="4" t="s">
        <v>649</v>
      </c>
      <c r="D313" s="4" t="s">
        <v>226</v>
      </c>
      <c r="E313" s="5" t="s">
        <v>650</v>
      </c>
      <c r="F313" s="5" t="str">
        <f t="shared" si="4"/>
        <v>swedoffice</v>
      </c>
      <c r="G313" s="5" t="s">
        <v>4</v>
      </c>
      <c r="H313" s="5" t="s">
        <v>5</v>
      </c>
      <c r="I313" s="6">
        <v>45093</v>
      </c>
    </row>
    <row r="314" spans="1:9" ht="13.5">
      <c r="A314" s="2" t="s">
        <v>277</v>
      </c>
      <c r="B314" s="3" t="str">
        <f ca="1">IFERROR(__xludf.DUMMYFUNCTION("REGEXEXTRACT(C314, ""https?:\/\/(?:.*\.)*(.+\..+?)\/"")"),"eventeffect.se")</f>
        <v>eventeffect.se</v>
      </c>
      <c r="C314" s="4" t="s">
        <v>651</v>
      </c>
      <c r="D314" s="4" t="s">
        <v>420</v>
      </c>
      <c r="E314" s="5" t="s">
        <v>652</v>
      </c>
      <c r="F314" s="5" t="str">
        <f t="shared" si="4"/>
        <v>toyota-forklifts.se</v>
      </c>
      <c r="G314" s="5" t="s">
        <v>4</v>
      </c>
      <c r="H314" s="5" t="s">
        <v>5</v>
      </c>
      <c r="I314" s="6">
        <v>45093</v>
      </c>
    </row>
    <row r="315" spans="1:9" ht="13.5">
      <c r="A315" s="2" t="s">
        <v>277</v>
      </c>
      <c r="B315" s="3" t="str">
        <f ca="1">IFERROR(__xludf.DUMMYFUNCTION("REGEXEXTRACT(C315, ""https?:\/\/(?:.*\.)*(.+\..+?)\/"")"),"tidskriftenskeppet.se")</f>
        <v>tidskriftenskeppet.se</v>
      </c>
      <c r="C315" s="4" t="s">
        <v>653</v>
      </c>
      <c r="D315" s="4" t="s">
        <v>293</v>
      </c>
      <c r="E315" s="12" t="s">
        <v>294</v>
      </c>
      <c r="F315" s="5" t="str">
        <f t="shared" si="4"/>
        <v>toyota-forklifts.se</v>
      </c>
      <c r="G315" s="5" t="s">
        <v>4</v>
      </c>
      <c r="H315" s="5" t="s">
        <v>5</v>
      </c>
      <c r="I315" s="6">
        <v>45093</v>
      </c>
    </row>
    <row r="316" spans="1:9" ht="13.5">
      <c r="A316" s="7" t="s">
        <v>329</v>
      </c>
      <c r="B316" s="3" t="str">
        <f ca="1">IFERROR(__xludf.DUMMYFUNCTION("REGEXEXTRACT(C316, ""https?:\/\/(?:.*\.)*(.+\..+?)\/"")"),"executiveeffect.se")</f>
        <v>executiveeffect.se</v>
      </c>
      <c r="C316" s="4" t="s">
        <v>654</v>
      </c>
      <c r="D316" s="4" t="s">
        <v>331</v>
      </c>
      <c r="E316" s="5" t="s">
        <v>655</v>
      </c>
      <c r="F316" s="5" t="str">
        <f t="shared" si="4"/>
        <v>vont</v>
      </c>
      <c r="G316" s="5" t="s">
        <v>4</v>
      </c>
      <c r="H316" s="5" t="s">
        <v>5</v>
      </c>
      <c r="I316" s="6">
        <v>45093</v>
      </c>
    </row>
    <row r="317" spans="1:9" ht="13.5">
      <c r="A317" s="2" t="s">
        <v>264</v>
      </c>
      <c r="B317" s="3" t="str">
        <f ca="1">IFERROR(__xludf.DUMMYFUNCTION("REGEXEXTRACT(C317, ""https?:\/\/(?:.*\.)*(.+\..+?)\/"")"),"erhvervplus.dk")</f>
        <v>erhvervplus.dk</v>
      </c>
      <c r="C317" s="4" t="s">
        <v>656</v>
      </c>
      <c r="D317" s="4" t="s">
        <v>626</v>
      </c>
      <c r="E317" s="5" t="s">
        <v>644</v>
      </c>
      <c r="F317" s="5" t="str">
        <f t="shared" si="4"/>
        <v>creditsafe.se</v>
      </c>
      <c r="G317" s="5" t="s">
        <v>4</v>
      </c>
      <c r="H317" s="5" t="s">
        <v>267</v>
      </c>
      <c r="I317" s="6">
        <v>45096</v>
      </c>
    </row>
    <row r="318" spans="1:9" ht="13.5">
      <c r="A318" s="2" t="s">
        <v>348</v>
      </c>
      <c r="B318" s="3" t="str">
        <f ca="1">IFERROR(__xludf.DUMMYFUNCTION("REGEXEXTRACT(C318, ""https?:\/\/(?:.*\.)*(.+\..+?)\/"")"),"stylemotivation.com")</f>
        <v>stylemotivation.com</v>
      </c>
      <c r="C318" s="4" t="s">
        <v>657</v>
      </c>
      <c r="D318" s="4" t="s">
        <v>492</v>
      </c>
      <c r="E318" s="5" t="s">
        <v>358</v>
      </c>
      <c r="F318" s="5" t="str">
        <f t="shared" si="4"/>
        <v>happysocks.com</v>
      </c>
      <c r="G318" s="5" t="s">
        <v>4</v>
      </c>
      <c r="H318" s="5" t="s">
        <v>345</v>
      </c>
      <c r="I318" s="6">
        <v>45098</v>
      </c>
    </row>
    <row r="319" spans="1:9" ht="13.5">
      <c r="A319" s="2" t="s">
        <v>348</v>
      </c>
      <c r="B319" s="3" t="str">
        <f ca="1">IFERROR(__xludf.DUMMYFUNCTION("REGEXEXTRACT(C319, ""https?:\/\/(?:.*\.)*(.+\..+?)\/"")"),"fashiondivadesign.com")</f>
        <v>fashiondivadesign.com</v>
      </c>
      <c r="C319" s="4" t="s">
        <v>658</v>
      </c>
      <c r="D319" s="4" t="s">
        <v>350</v>
      </c>
      <c r="E319" s="5" t="s">
        <v>522</v>
      </c>
      <c r="F319" s="5" t="str">
        <f t="shared" si="4"/>
        <v>happysocks.com</v>
      </c>
      <c r="G319" s="5" t="s">
        <v>4</v>
      </c>
      <c r="H319" s="5" t="s">
        <v>345</v>
      </c>
      <c r="I319" s="6">
        <v>45098</v>
      </c>
    </row>
    <row r="320" spans="1:9" ht="13.5">
      <c r="A320" s="2" t="s">
        <v>1</v>
      </c>
      <c r="B320" s="3" t="str">
        <f ca="1">IFERROR(__xludf.DUMMYFUNCTION("REGEXEXTRACT(C320, ""https?:\/\/(?:.*\.)*(.+\..+?)\/"")"),"mynewsdesk.com")</f>
        <v>mynewsdesk.com</v>
      </c>
      <c r="C320" s="4" t="s">
        <v>659</v>
      </c>
      <c r="D320" s="4" t="s">
        <v>3</v>
      </c>
      <c r="E320" s="5" t="s">
        <v>660</v>
      </c>
      <c r="F320" s="5" t="str">
        <f t="shared" si="4"/>
        <v>haxan.se</v>
      </c>
      <c r="G320" s="5" t="s">
        <v>4</v>
      </c>
      <c r="H320" s="5" t="s">
        <v>5</v>
      </c>
      <c r="I320" s="6">
        <v>45098</v>
      </c>
    </row>
    <row r="321" spans="1:9" ht="13.5">
      <c r="A321" s="2" t="s">
        <v>386</v>
      </c>
      <c r="B321" s="3" t="str">
        <f ca="1">IFERROR(__xludf.DUMMYFUNCTION("REGEXEXTRACT(C321, ""https?:\/\/(?:.*\.)*(.+\..+?)\/"")"),"xn--btstart-exa.se")</f>
        <v>xn--btstart-exa.se</v>
      </c>
      <c r="C321" s="4" t="s">
        <v>661</v>
      </c>
      <c r="D321" s="4" t="s">
        <v>452</v>
      </c>
      <c r="E321" s="22" t="s">
        <v>662</v>
      </c>
      <c r="F321" s="5" t="str">
        <f t="shared" si="4"/>
        <v>pontech</v>
      </c>
      <c r="G321" s="5" t="s">
        <v>4</v>
      </c>
      <c r="H321" s="5" t="s">
        <v>5</v>
      </c>
      <c r="I321" s="6">
        <v>45098</v>
      </c>
    </row>
    <row r="322" spans="1:9" ht="13.5">
      <c r="A322" s="2" t="s">
        <v>663</v>
      </c>
      <c r="B322" s="3" t="str">
        <f ca="1">IFERROR(__xludf.DUMMYFUNCTION("REGEXEXTRACT(C322, ""https?:\/\/(?:.*\.)*(.+\..+?)\/"")"),"pengar.in")</f>
        <v>pengar.in</v>
      </c>
      <c r="C322" s="4" t="s">
        <v>412</v>
      </c>
      <c r="D322" s="4" t="s">
        <v>664</v>
      </c>
      <c r="E322" s="5" t="s">
        <v>665</v>
      </c>
      <c r="F322" s="5" t="str">
        <f t="shared" si="4"/>
        <v>robomarkets.com</v>
      </c>
      <c r="G322" s="5" t="s">
        <v>4</v>
      </c>
      <c r="H322" s="5" t="s">
        <v>5</v>
      </c>
      <c r="I322" s="6">
        <v>45098</v>
      </c>
    </row>
    <row r="323" spans="1:9" ht="13.5">
      <c r="A323" s="2" t="s">
        <v>156</v>
      </c>
      <c r="B323" s="3" t="str">
        <f ca="1">IFERROR(__xludf.DUMMYFUNCTION("REGEXEXTRACT(C323, ""https?:\/\/(?:.*\.)*(.+\..+?)\/"")"),"stilguiden.nu")</f>
        <v>stilguiden.nu</v>
      </c>
      <c r="C323" s="4" t="s">
        <v>666</v>
      </c>
      <c r="D323" s="4" t="s">
        <v>317</v>
      </c>
      <c r="E323" s="5" t="s">
        <v>667</v>
      </c>
      <c r="F323" s="5" t="str">
        <f t="shared" ref="F323:F386" si="5">A323</f>
        <v>askskinfo.com</v>
      </c>
      <c r="G323" s="5" t="s">
        <v>4</v>
      </c>
      <c r="H323" s="5" t="s">
        <v>5</v>
      </c>
      <c r="I323" s="6">
        <v>45098</v>
      </c>
    </row>
    <row r="324" spans="1:9" ht="13.5">
      <c r="A324" s="2" t="s">
        <v>20</v>
      </c>
      <c r="B324" s="3" t="str">
        <f ca="1">IFERROR(__xludf.DUMMYFUNCTION("REGEXEXTRACT(C324, ""https?:\/\/(?:.*\.)*(.+\..+?)\/"")"),"mynewsdesk.com")</f>
        <v>mynewsdesk.com</v>
      </c>
      <c r="C324" s="4" t="s">
        <v>668</v>
      </c>
      <c r="D324" s="4" t="s">
        <v>526</v>
      </c>
      <c r="E324" s="5" t="s">
        <v>669</v>
      </c>
      <c r="F324" s="5" t="str">
        <f t="shared" si="5"/>
        <v>blugiallo.com</v>
      </c>
      <c r="G324" s="5" t="s">
        <v>4</v>
      </c>
      <c r="H324" s="5" t="s">
        <v>5</v>
      </c>
      <c r="I324" s="6">
        <v>45103</v>
      </c>
    </row>
    <row r="325" spans="1:9" ht="13.5">
      <c r="A325" s="2" t="s">
        <v>348</v>
      </c>
      <c r="B325" s="3" t="str">
        <f ca="1">IFERROR(__xludf.DUMMYFUNCTION("REGEXEXTRACT(C325, ""https?:\/\/(?:.*\.)*(.+\..+?)\/"")"),"fashionado.net")</f>
        <v>fashionado.net</v>
      </c>
      <c r="C325" s="4" t="s">
        <v>670</v>
      </c>
      <c r="D325" s="4" t="s">
        <v>350</v>
      </c>
      <c r="E325" s="5" t="s">
        <v>671</v>
      </c>
      <c r="F325" s="5" t="str">
        <f t="shared" si="5"/>
        <v>happysocks.com</v>
      </c>
      <c r="G325" s="5" t="s">
        <v>4</v>
      </c>
      <c r="H325" s="5" t="s">
        <v>345</v>
      </c>
      <c r="I325" s="6">
        <v>45103</v>
      </c>
    </row>
    <row r="326" spans="1:9" ht="13.5">
      <c r="A326" s="2" t="s">
        <v>348</v>
      </c>
      <c r="B326" s="3" t="str">
        <f ca="1">IFERROR(__xludf.DUMMYFUNCTION("REGEXEXTRACT(C326, ""https?:\/\/(?:.*\.)*(.+\..+?)\/"")"),"easyreadernews.com")</f>
        <v>easyreadernews.com</v>
      </c>
      <c r="C326" s="4" t="s">
        <v>672</v>
      </c>
      <c r="D326" s="4" t="s">
        <v>350</v>
      </c>
      <c r="E326" s="5" t="s">
        <v>583</v>
      </c>
      <c r="F326" s="5" t="str">
        <f t="shared" si="5"/>
        <v>happysocks.com</v>
      </c>
      <c r="G326" s="5" t="s">
        <v>4</v>
      </c>
      <c r="H326" s="5" t="s">
        <v>345</v>
      </c>
      <c r="I326" s="6">
        <v>45103</v>
      </c>
    </row>
    <row r="327" spans="1:9" ht="13.5">
      <c r="A327" s="2" t="s">
        <v>348</v>
      </c>
      <c r="B327" s="3" t="str">
        <f ca="1">IFERROR(__xludf.DUMMYFUNCTION("REGEXEXTRACT(C327, ""https?:\/\/(?:.*\.)*(.+\..+?)\/"")"),"fashionsholics.com")</f>
        <v>fashionsholics.com</v>
      </c>
      <c r="C327" s="4" t="s">
        <v>673</v>
      </c>
      <c r="D327" s="4" t="s">
        <v>350</v>
      </c>
      <c r="E327" s="5" t="s">
        <v>674</v>
      </c>
      <c r="F327" s="5" t="str">
        <f t="shared" si="5"/>
        <v>happysocks.com</v>
      </c>
      <c r="G327" s="5" t="s">
        <v>4</v>
      </c>
      <c r="H327" s="5" t="s">
        <v>345</v>
      </c>
      <c r="I327" s="6">
        <v>45103</v>
      </c>
    </row>
    <row r="328" spans="1:9" ht="13.5">
      <c r="A328" s="2" t="s">
        <v>20</v>
      </c>
      <c r="B328" s="3" t="str">
        <f ca="1">IFERROR(__xludf.DUMMYFUNCTION("REGEXEXTRACT(C328, ""https?:\/\/(?:.*\.)*(.+\..+?)\/"")"),"fashionedits.com")</f>
        <v>fashionedits.com</v>
      </c>
      <c r="C328" s="4" t="s">
        <v>675</v>
      </c>
      <c r="D328" s="4" t="s">
        <v>676</v>
      </c>
      <c r="E328" s="5" t="s">
        <v>677</v>
      </c>
      <c r="F328" s="5" t="str">
        <f t="shared" si="5"/>
        <v>blugiallo.com</v>
      </c>
      <c r="G328" s="5" t="s">
        <v>4</v>
      </c>
      <c r="H328" s="5" t="s">
        <v>5</v>
      </c>
      <c r="I328" s="6">
        <v>45105</v>
      </c>
    </row>
    <row r="329" spans="1:9" ht="13.5">
      <c r="A329" s="2" t="s">
        <v>348</v>
      </c>
      <c r="B329" s="3"/>
      <c r="C329" s="4" t="s">
        <v>678</v>
      </c>
      <c r="D329" s="4" t="s">
        <v>679</v>
      </c>
      <c r="E329" s="5" t="s">
        <v>358</v>
      </c>
      <c r="F329" s="5" t="str">
        <f t="shared" si="5"/>
        <v>happysocks.com</v>
      </c>
      <c r="G329" s="5" t="s">
        <v>4</v>
      </c>
      <c r="H329" s="5" t="s">
        <v>345</v>
      </c>
      <c r="I329" s="6">
        <v>45105</v>
      </c>
    </row>
    <row r="330" spans="1:9" ht="13.5">
      <c r="A330" s="2" t="s">
        <v>348</v>
      </c>
      <c r="B330" s="3"/>
      <c r="C330" s="4" t="s">
        <v>680</v>
      </c>
      <c r="D330" s="4" t="s">
        <v>681</v>
      </c>
      <c r="E330" s="5" t="s">
        <v>682</v>
      </c>
      <c r="F330" s="5" t="str">
        <f t="shared" si="5"/>
        <v>happysocks.com</v>
      </c>
      <c r="G330" s="5" t="s">
        <v>4</v>
      </c>
      <c r="H330" s="5" t="s">
        <v>345</v>
      </c>
      <c r="I330" s="6">
        <v>45105</v>
      </c>
    </row>
    <row r="331" spans="1:9" ht="19.149999999999999">
      <c r="A331" s="2" t="s">
        <v>171</v>
      </c>
      <c r="B331" s="3"/>
      <c r="C331" s="4" t="s">
        <v>683</v>
      </c>
      <c r="D331" s="4" t="s">
        <v>486</v>
      </c>
      <c r="E331" s="23" t="s">
        <v>684</v>
      </c>
      <c r="F331" s="5" t="str">
        <f t="shared" si="5"/>
        <v>arctic.se</v>
      </c>
      <c r="G331" s="5" t="s">
        <v>4</v>
      </c>
      <c r="H331" s="5" t="s">
        <v>262</v>
      </c>
      <c r="I331" s="6">
        <v>45106</v>
      </c>
    </row>
    <row r="332" spans="1:9" ht="13.5">
      <c r="A332" s="2" t="s">
        <v>348</v>
      </c>
      <c r="B332" s="3" t="str">
        <f ca="1">IFERROR(__xludf.DUMMYFUNCTION("REGEXEXTRACT(C332, ""https?:\/\/(?:.*\.)*(.+\..+?)\/"")"),"womendailymagazine.com")</f>
        <v>womendailymagazine.com</v>
      </c>
      <c r="C332" s="4" t="s">
        <v>685</v>
      </c>
      <c r="D332" s="4" t="s">
        <v>353</v>
      </c>
      <c r="E332" s="5" t="s">
        <v>354</v>
      </c>
      <c r="F332" s="5" t="str">
        <f t="shared" si="5"/>
        <v>happysocks.com</v>
      </c>
      <c r="G332" s="5" t="s">
        <v>4</v>
      </c>
      <c r="H332" s="5" t="s">
        <v>5</v>
      </c>
      <c r="I332" s="6">
        <v>45107</v>
      </c>
    </row>
    <row r="333" spans="1:9" ht="13.5">
      <c r="A333" s="2" t="s">
        <v>405</v>
      </c>
      <c r="B333" s="3" t="str">
        <f ca="1">IFERROR(__xludf.DUMMYFUNCTION("REGEXEXTRACT(C333, ""https?:\/\/(?:.*\.)*(.+\..+?)\/"")"),"mynewsdesk.com")</f>
        <v>mynewsdesk.com</v>
      </c>
      <c r="C333" s="4" t="s">
        <v>686</v>
      </c>
      <c r="D333" s="4" t="s">
        <v>407</v>
      </c>
      <c r="E333" s="5" t="s">
        <v>648</v>
      </c>
      <c r="F333" s="5" t="str">
        <f t="shared" si="5"/>
        <v>rehabgrossisten.com</v>
      </c>
      <c r="G333" s="5" t="s">
        <v>4</v>
      </c>
      <c r="H333" s="5" t="s">
        <v>5</v>
      </c>
      <c r="I333" s="6">
        <v>45108</v>
      </c>
    </row>
    <row r="334" spans="1:9" ht="13.5">
      <c r="A334" s="2" t="s">
        <v>348</v>
      </c>
      <c r="B334" s="3" t="str">
        <f ca="1">IFERROR(__xludf.DUMMYFUNCTION("REGEXEXTRACT(C334, ""https?:\/\/(?:.*\.)*(.+\..+?)\/"")"),"fashionedits.com")</f>
        <v>fashionedits.com</v>
      </c>
      <c r="C334" s="4" t="s">
        <v>687</v>
      </c>
      <c r="D334" s="4" t="s">
        <v>688</v>
      </c>
      <c r="E334" s="5" t="s">
        <v>505</v>
      </c>
      <c r="F334" s="5" t="str">
        <f t="shared" si="5"/>
        <v>happysocks.com</v>
      </c>
      <c r="G334" s="5" t="s">
        <v>4</v>
      </c>
      <c r="H334" s="5" t="s">
        <v>345</v>
      </c>
      <c r="I334" s="6">
        <v>45111</v>
      </c>
    </row>
    <row r="335" spans="1:9" ht="13.5">
      <c r="A335" s="2" t="s">
        <v>689</v>
      </c>
      <c r="B335" s="3" t="str">
        <f ca="1">IFERROR(__xludf.DUMMYFUNCTION("REGEXEXTRACT(C335, ""https?:\/\/(?:.*\.)*(.+\..+?)\/"")"),"poolstart.se")</f>
        <v>poolstart.se</v>
      </c>
      <c r="C335" s="4" t="s">
        <v>690</v>
      </c>
      <c r="D335" s="4" t="s">
        <v>691</v>
      </c>
      <c r="E335" s="5" t="s">
        <v>692</v>
      </c>
      <c r="F335" s="5" t="str">
        <f t="shared" si="5"/>
        <v>conclean.se</v>
      </c>
      <c r="G335" s="5" t="s">
        <v>4</v>
      </c>
      <c r="H335" s="5" t="s">
        <v>5</v>
      </c>
      <c r="I335" s="6">
        <v>45113</v>
      </c>
    </row>
    <row r="336" spans="1:9" ht="13.5">
      <c r="A336" s="2" t="s">
        <v>348</v>
      </c>
      <c r="B336" s="3" t="str">
        <f ca="1">IFERROR(__xludf.DUMMYFUNCTION("REGEXEXTRACT(C336, ""https?:\/\/(?:.*\.)*(.+\..+?)\/"")"),"fashionallure.com")</f>
        <v>fashionallure.com</v>
      </c>
      <c r="C336" s="4" t="s">
        <v>693</v>
      </c>
      <c r="D336" s="4" t="s">
        <v>350</v>
      </c>
      <c r="E336" s="5" t="s">
        <v>694</v>
      </c>
      <c r="F336" s="5" t="str">
        <f t="shared" si="5"/>
        <v>happysocks.com</v>
      </c>
      <c r="G336" s="5" t="s">
        <v>4</v>
      </c>
      <c r="H336" s="5" t="s">
        <v>345</v>
      </c>
      <c r="I336" s="6">
        <v>45113</v>
      </c>
    </row>
    <row r="337" spans="1:9" ht="13.5">
      <c r="A337" s="2" t="s">
        <v>348</v>
      </c>
      <c r="B337" s="3" t="str">
        <f ca="1">IFERROR(__xludf.DUMMYFUNCTION("REGEXEXTRACT(C337, ""https?:\/\/(?:.*\.)*(.+\..+?)\/"")"),"dailyiowan.com")</f>
        <v>dailyiowan.com</v>
      </c>
      <c r="C337" s="4" t="s">
        <v>695</v>
      </c>
      <c r="D337" s="4" t="s">
        <v>350</v>
      </c>
      <c r="E337" s="5" t="s">
        <v>696</v>
      </c>
      <c r="F337" s="5" t="str">
        <f t="shared" si="5"/>
        <v>happysocks.com</v>
      </c>
      <c r="G337" s="5" t="s">
        <v>4</v>
      </c>
      <c r="H337" s="5" t="s">
        <v>345</v>
      </c>
      <c r="I337" s="6">
        <v>45114</v>
      </c>
    </row>
    <row r="338" spans="1:9" ht="13.5">
      <c r="A338" s="2" t="s">
        <v>348</v>
      </c>
      <c r="B338" s="3" t="str">
        <f ca="1">IFERROR(__xludf.DUMMYFUNCTION("REGEXEXTRACT(C338, ""https?:\/\/(?:.*\.)*(.+\..+?)\/"")"),"silentbio.com")</f>
        <v>silentbio.com</v>
      </c>
      <c r="C338" s="4" t="s">
        <v>697</v>
      </c>
      <c r="D338" s="4" t="s">
        <v>681</v>
      </c>
      <c r="E338" s="5" t="s">
        <v>510</v>
      </c>
      <c r="F338" s="5" t="str">
        <f t="shared" si="5"/>
        <v>happysocks.com</v>
      </c>
      <c r="G338" s="5" t="s">
        <v>4</v>
      </c>
      <c r="H338" s="5" t="s">
        <v>345</v>
      </c>
      <c r="I338" s="6">
        <v>45126</v>
      </c>
    </row>
    <row r="339" spans="1:9" ht="13.5">
      <c r="A339" s="2" t="s">
        <v>348</v>
      </c>
      <c r="B339" s="3" t="str">
        <f ca="1">IFERROR(__xludf.DUMMYFUNCTION("REGEXEXTRACT(C339, ""https?:\/\/(?:.*\.)*(.+\..+?)\/"")"),"waterwaysmagazine.com")</f>
        <v>waterwaysmagazine.com</v>
      </c>
      <c r="C339" s="4" t="s">
        <v>698</v>
      </c>
      <c r="D339" s="4" t="s">
        <v>679</v>
      </c>
      <c r="E339" s="5" t="s">
        <v>699</v>
      </c>
      <c r="F339" s="5" t="str">
        <f t="shared" si="5"/>
        <v>happysocks.com</v>
      </c>
      <c r="G339" s="5" t="s">
        <v>4</v>
      </c>
      <c r="H339" s="5" t="s">
        <v>345</v>
      </c>
      <c r="I339" s="6">
        <v>45126</v>
      </c>
    </row>
    <row r="340" spans="1:9" ht="13.5">
      <c r="A340" s="24" t="s">
        <v>700</v>
      </c>
      <c r="B340" s="3" t="str">
        <f ca="1">IFERROR(__xludf.DUMMYFUNCTION("REGEXEXTRACT(C340, ""https?:\/\/(?:.*\.)*(.+\..+?)\/"")"),"frii.se")</f>
        <v>frii.se</v>
      </c>
      <c r="C340" s="8" t="s">
        <v>701</v>
      </c>
      <c r="D340" s="25" t="s">
        <v>700</v>
      </c>
      <c r="E340" s="5" t="s">
        <v>702</v>
      </c>
      <c r="F340" s="5" t="str">
        <f t="shared" si="5"/>
        <v>blugiallo.se</v>
      </c>
      <c r="G340" s="5" t="s">
        <v>4</v>
      </c>
      <c r="H340" s="5" t="s">
        <v>5</v>
      </c>
      <c r="I340" s="6">
        <v>45127</v>
      </c>
    </row>
    <row r="341" spans="1:9" ht="13.5">
      <c r="A341" s="24" t="s">
        <v>703</v>
      </c>
      <c r="B341" s="3" t="str">
        <f ca="1">IFERROR(__xludf.DUMMYFUNCTION("REGEXEXTRACT(C341, ""https?:\/\/(?:.*\.)*(.+\..+?)\/"")"),"socialsummit17.se")</f>
        <v>socialsummit17.se</v>
      </c>
      <c r="C341" s="8" t="s">
        <v>704</v>
      </c>
      <c r="D341" s="25" t="s">
        <v>703</v>
      </c>
      <c r="E341" s="5" t="s">
        <v>702</v>
      </c>
      <c r="F341" s="5" t="str">
        <f t="shared" si="5"/>
        <v>distansinstitutet.se</v>
      </c>
      <c r="G341" s="5" t="s">
        <v>4</v>
      </c>
      <c r="H341" s="5" t="s">
        <v>5</v>
      </c>
      <c r="I341" s="6">
        <v>45127</v>
      </c>
    </row>
    <row r="342" spans="1:9" ht="13.5">
      <c r="A342" s="24" t="s">
        <v>535</v>
      </c>
      <c r="B342" s="3" t="str">
        <f ca="1">IFERROR(__xludf.DUMMYFUNCTION("REGEXEXTRACT(C342, ""https?:\/\/(?:.*\.)*(.+\..+?)\/"")"),"socialsummit17.se")</f>
        <v>socialsummit17.se</v>
      </c>
      <c r="C342" s="8" t="s">
        <v>705</v>
      </c>
      <c r="D342" s="20" t="s">
        <v>536</v>
      </c>
      <c r="E342" s="5" t="s">
        <v>706</v>
      </c>
      <c r="F342" s="5" t="str">
        <f t="shared" si="5"/>
        <v>tryggbil.se</v>
      </c>
      <c r="G342" s="5" t="s">
        <v>4</v>
      </c>
      <c r="H342" s="5" t="s">
        <v>5</v>
      </c>
      <c r="I342" s="6">
        <v>45127</v>
      </c>
    </row>
    <row r="343" spans="1:9" ht="13.5">
      <c r="A343" s="24" t="s">
        <v>464</v>
      </c>
      <c r="B343" s="3" t="str">
        <f ca="1">IFERROR(__xludf.DUMMYFUNCTION("REGEXEXTRACT(C343, ""https?:\/\/(?:.*\.)*(.+\..+?)\/"")"),"serviceteknikerkarlstad.se")</f>
        <v>serviceteknikerkarlstad.se</v>
      </c>
      <c r="C343" s="8" t="s">
        <v>707</v>
      </c>
      <c r="D343" s="20" t="s">
        <v>466</v>
      </c>
      <c r="E343" s="5" t="s">
        <v>708</v>
      </c>
      <c r="F343" s="5" t="str">
        <f t="shared" si="5"/>
        <v>villarelining.se</v>
      </c>
      <c r="G343" s="5" t="s">
        <v>4</v>
      </c>
      <c r="H343" s="5" t="s">
        <v>5</v>
      </c>
      <c r="I343" s="6">
        <v>45127</v>
      </c>
    </row>
    <row r="344" spans="1:9" ht="13.5">
      <c r="A344" s="24" t="s">
        <v>464</v>
      </c>
      <c r="B344" s="3" t="str">
        <f ca="1">IFERROR(__xludf.DUMMYFUNCTION("REGEXEXTRACT(C344, ""https?:\/\/(?:.*\.)*(.+\..+?)\/"")"),"bygghuddinge.se")</f>
        <v>bygghuddinge.se</v>
      </c>
      <c r="C344" s="8" t="s">
        <v>709</v>
      </c>
      <c r="D344" s="20" t="s">
        <v>466</v>
      </c>
      <c r="E344" s="5" t="s">
        <v>710</v>
      </c>
      <c r="F344" s="5" t="str">
        <f t="shared" si="5"/>
        <v>villarelining.se</v>
      </c>
      <c r="G344" s="5" t="s">
        <v>4</v>
      </c>
      <c r="H344" s="5" t="s">
        <v>5</v>
      </c>
      <c r="I344" s="6">
        <v>45127</v>
      </c>
    </row>
    <row r="345" spans="1:9" ht="13.5">
      <c r="A345" s="7" t="s">
        <v>329</v>
      </c>
      <c r="B345" s="3" t="str">
        <f ca="1">IFERROR(__xludf.DUMMYFUNCTION("REGEXEXTRACT(C345, ""https?:\/\/(?:.*\.)*(.+\..+?)\/"")"),"eciggshoppen.se")</f>
        <v>eciggshoppen.se</v>
      </c>
      <c r="C345" s="8" t="s">
        <v>711</v>
      </c>
      <c r="D345" s="20" t="s">
        <v>712</v>
      </c>
      <c r="E345" s="5" t="s">
        <v>713</v>
      </c>
      <c r="F345" s="5" t="str">
        <f t="shared" si="5"/>
        <v>vont</v>
      </c>
      <c r="G345" s="5" t="s">
        <v>4</v>
      </c>
      <c r="H345" s="5" t="s">
        <v>5</v>
      </c>
      <c r="I345" s="6">
        <v>45127</v>
      </c>
    </row>
    <row r="346" spans="1:9" ht="13.5">
      <c r="A346" s="2" t="s">
        <v>714</v>
      </c>
      <c r="B346" s="3" t="str">
        <f ca="1">IFERROR(__xludf.DUMMYFUNCTION("REGEXEXTRACT(C346, ""https?:\/\/(?:.*\.)*(.+\..+?)\/"")"),"ranaposten.no")</f>
        <v>ranaposten.no</v>
      </c>
      <c r="C346" s="8" t="s">
        <v>715</v>
      </c>
      <c r="D346" s="4" t="s">
        <v>716</v>
      </c>
      <c r="E346" s="5" t="s">
        <v>717</v>
      </c>
      <c r="F346" s="5" t="str">
        <f t="shared" si="5"/>
        <v>Alfa.no</v>
      </c>
      <c r="G346" s="5" t="s">
        <v>4</v>
      </c>
      <c r="H346" s="5" t="s">
        <v>382</v>
      </c>
      <c r="I346" s="6">
        <v>45131</v>
      </c>
    </row>
    <row r="347" spans="1:9" ht="13.5">
      <c r="A347" s="2" t="s">
        <v>714</v>
      </c>
      <c r="B347" s="3" t="str">
        <f ca="1">IFERROR(__xludf.DUMMYFUNCTION("REGEXEXTRACT(C347, ""https?:\/\/(?:.*\.)*(.+\..+?)\/"")"),"pengenytt.no")</f>
        <v>pengenytt.no</v>
      </c>
      <c r="C347" s="4" t="s">
        <v>718</v>
      </c>
      <c r="D347" s="4" t="s">
        <v>719</v>
      </c>
      <c r="E347" s="9" t="s">
        <v>719</v>
      </c>
      <c r="F347" s="5" t="str">
        <f t="shared" si="5"/>
        <v>Alfa.no</v>
      </c>
      <c r="G347" s="5" t="s">
        <v>4</v>
      </c>
      <c r="H347" s="5" t="s">
        <v>382</v>
      </c>
      <c r="I347" s="6">
        <v>45131</v>
      </c>
    </row>
    <row r="348" spans="1:9" ht="13.5">
      <c r="A348" s="2" t="s">
        <v>714</v>
      </c>
      <c r="B348" s="3" t="str">
        <f ca="1">IFERROR(__xludf.DUMMYFUNCTION("REGEXEXTRACT(C348, ""https?:\/\/(?:.*\.)*(.+\..+?)\/"")"),"xn--bodposten-n8a.no")</f>
        <v>xn--bodposten-n8a.no</v>
      </c>
      <c r="C348" s="4" t="s">
        <v>720</v>
      </c>
      <c r="D348" s="8" t="s">
        <v>721</v>
      </c>
      <c r="E348" s="5" t="s">
        <v>722</v>
      </c>
      <c r="F348" s="5" t="str">
        <f t="shared" si="5"/>
        <v>Alfa.no</v>
      </c>
      <c r="G348" s="5" t="s">
        <v>4</v>
      </c>
      <c r="H348" s="5" t="s">
        <v>382</v>
      </c>
      <c r="I348" s="6">
        <v>45131</v>
      </c>
    </row>
    <row r="349" spans="1:9" ht="13.5">
      <c r="A349" s="2" t="s">
        <v>723</v>
      </c>
      <c r="B349" s="3" t="str">
        <f ca="1">IFERROR(__xludf.DUMMYFUNCTION("REGEXEXTRACT(C349, ""https?:\/\/(?:.*\.)*(.+\..+?)\/"")"),"theluxeinsider.com")</f>
        <v>theluxeinsider.com</v>
      </c>
      <c r="C349" s="4" t="s">
        <v>724</v>
      </c>
      <c r="D349" s="4" t="s">
        <v>725</v>
      </c>
      <c r="E349" s="22" t="s">
        <v>723</v>
      </c>
      <c r="F349" s="5" t="str">
        <f t="shared" si="5"/>
        <v>aretrotale.com</v>
      </c>
      <c r="G349" s="5" t="s">
        <v>4</v>
      </c>
      <c r="H349" s="5" t="s">
        <v>23</v>
      </c>
      <c r="I349" s="6">
        <v>45131</v>
      </c>
    </row>
    <row r="350" spans="1:9" ht="13.5">
      <c r="A350" s="2" t="s">
        <v>20</v>
      </c>
      <c r="B350" s="3" t="str">
        <f ca="1">IFERROR(__xludf.DUMMYFUNCTION("REGEXEXTRACT(C350, ""https?:\/\/(?:.*\.)*(.+\..+?)\/"")"),"familjehogtider.se")</f>
        <v>familjehogtider.se</v>
      </c>
      <c r="C350" s="4" t="s">
        <v>726</v>
      </c>
      <c r="D350" s="4" t="s">
        <v>529</v>
      </c>
      <c r="E350" s="5" t="s">
        <v>727</v>
      </c>
      <c r="F350" s="5" t="str">
        <f t="shared" si="5"/>
        <v>blugiallo.com</v>
      </c>
      <c r="G350" s="5" t="s">
        <v>4</v>
      </c>
      <c r="H350" s="5" t="s">
        <v>5</v>
      </c>
      <c r="I350" s="6">
        <v>45131</v>
      </c>
    </row>
    <row r="351" spans="1:9" ht="13.5">
      <c r="A351" s="24" t="s">
        <v>703</v>
      </c>
      <c r="B351" s="3" t="str">
        <f ca="1">IFERROR(__xludf.DUMMYFUNCTION("REGEXEXTRACT(C351, ""https?:\/\/(?:.*\.)*(.+\..+?)\/"")"),"frii.se")</f>
        <v>frii.se</v>
      </c>
      <c r="C351" s="8" t="s">
        <v>728</v>
      </c>
      <c r="D351" s="20" t="s">
        <v>729</v>
      </c>
      <c r="E351" s="5" t="s">
        <v>730</v>
      </c>
      <c r="F351" s="5" t="str">
        <f t="shared" si="5"/>
        <v>distansinstitutet.se</v>
      </c>
      <c r="G351" s="5" t="s">
        <v>4</v>
      </c>
      <c r="H351" s="5" t="s">
        <v>5</v>
      </c>
      <c r="I351" s="6">
        <v>45131</v>
      </c>
    </row>
    <row r="352" spans="1:9" ht="13.5">
      <c r="A352" s="24" t="s">
        <v>703</v>
      </c>
      <c r="B352" s="3" t="str">
        <f ca="1">IFERROR(__xludf.DUMMYFUNCTION("REGEXEXTRACT(C352, ""https?:\/\/(?:.*\.)*(.+\..+?)\/"")"),"hoganassaluhall.se")</f>
        <v>hoganassaluhall.se</v>
      </c>
      <c r="C352" s="8" t="s">
        <v>731</v>
      </c>
      <c r="D352" s="26" t="s">
        <v>732</v>
      </c>
      <c r="E352" s="5" t="s">
        <v>733</v>
      </c>
      <c r="F352" s="5" t="str">
        <f t="shared" si="5"/>
        <v>distansinstitutet.se</v>
      </c>
      <c r="G352" s="5" t="s">
        <v>4</v>
      </c>
      <c r="H352" s="5" t="s">
        <v>5</v>
      </c>
      <c r="I352" s="6">
        <v>45131</v>
      </c>
    </row>
    <row r="353" spans="1:9" ht="13.5">
      <c r="A353" s="24" t="s">
        <v>703</v>
      </c>
      <c r="B353" s="3" t="str">
        <f ca="1">IFERROR(__xludf.DUMMYFUNCTION("REGEXEXTRACT(C353, ""https?:\/\/(?:.*\.)*(.+\..+?)\/"")"),"jetshopfree.se")</f>
        <v>jetshopfree.se</v>
      </c>
      <c r="C353" s="4" t="s">
        <v>734</v>
      </c>
      <c r="D353" s="20" t="s">
        <v>735</v>
      </c>
      <c r="E353" s="5" t="s">
        <v>736</v>
      </c>
      <c r="F353" s="5" t="str">
        <f t="shared" si="5"/>
        <v>distansinstitutet.se</v>
      </c>
      <c r="G353" s="5" t="s">
        <v>4</v>
      </c>
      <c r="H353" s="5" t="s">
        <v>5</v>
      </c>
      <c r="I353" s="6">
        <v>45131</v>
      </c>
    </row>
    <row r="354" spans="1:9" ht="13.5">
      <c r="A354" s="24" t="s">
        <v>703</v>
      </c>
      <c r="B354" s="3" t="str">
        <f ca="1">IFERROR(__xludf.DUMMYFUNCTION("REGEXEXTRACT(C354, ""https?:\/\/(?:.*\.)*(.+\..+?)\/"")"),"kamagraquees.nu")</f>
        <v>kamagraquees.nu</v>
      </c>
      <c r="C354" s="4" t="s">
        <v>737</v>
      </c>
      <c r="D354" s="27" t="s">
        <v>738</v>
      </c>
      <c r="E354" s="5" t="s">
        <v>739</v>
      </c>
      <c r="F354" s="5" t="str">
        <f t="shared" si="5"/>
        <v>distansinstitutet.se</v>
      </c>
      <c r="G354" s="5" t="s">
        <v>4</v>
      </c>
      <c r="H354" s="5" t="s">
        <v>5</v>
      </c>
      <c r="I354" s="6">
        <v>45131</v>
      </c>
    </row>
    <row r="355" spans="1:9" ht="13.5">
      <c r="A355" s="24" t="s">
        <v>703</v>
      </c>
      <c r="B355" s="3" t="str">
        <f ca="1">IFERROR(__xludf.DUMMYFUNCTION("REGEXEXTRACT(C355, ""https?:\/\/(?:.*\.)*(.+\..+?)\/"")"),"freddielarsson.se")</f>
        <v>freddielarsson.se</v>
      </c>
      <c r="C355" s="4" t="s">
        <v>740</v>
      </c>
      <c r="D355" s="20" t="s">
        <v>741</v>
      </c>
      <c r="E355" s="5" t="s">
        <v>742</v>
      </c>
      <c r="F355" s="5" t="str">
        <f t="shared" si="5"/>
        <v>distansinstitutet.se</v>
      </c>
      <c r="G355" s="5" t="s">
        <v>4</v>
      </c>
      <c r="H355" s="5" t="s">
        <v>5</v>
      </c>
      <c r="I355" s="6">
        <v>45131</v>
      </c>
    </row>
    <row r="356" spans="1:9" ht="13.5">
      <c r="A356" s="24" t="s">
        <v>703</v>
      </c>
      <c r="B356" s="3" t="str">
        <f ca="1">IFERROR(__xludf.DUMMYFUNCTION("REGEXEXTRACT(C356, ""https?:\/\/(?:.*\.)*(.+\..+?)\/"")"),"dinlokalabokhandel.se")</f>
        <v>dinlokalabokhandel.se</v>
      </c>
      <c r="C356" s="4" t="s">
        <v>743</v>
      </c>
      <c r="D356" s="20" t="s">
        <v>744</v>
      </c>
      <c r="E356" s="5" t="s">
        <v>745</v>
      </c>
      <c r="F356" s="5" t="str">
        <f t="shared" si="5"/>
        <v>distansinstitutet.se</v>
      </c>
      <c r="G356" s="5" t="s">
        <v>4</v>
      </c>
      <c r="H356" s="5" t="s">
        <v>5</v>
      </c>
      <c r="I356" s="6">
        <v>45131</v>
      </c>
    </row>
    <row r="357" spans="1:9" ht="13.5">
      <c r="A357" s="24" t="s">
        <v>703</v>
      </c>
      <c r="B357" s="3" t="str">
        <f ca="1">IFERROR(__xludf.DUMMYFUNCTION("REGEXEXTRACT(C357, ""https?:\/\/(?:.*\.)*(.+\..+?)\/"")"),"sek-converter.se")</f>
        <v>sek-converter.se</v>
      </c>
      <c r="C357" s="8" t="s">
        <v>746</v>
      </c>
      <c r="D357" s="20" t="s">
        <v>747</v>
      </c>
      <c r="E357" s="5" t="s">
        <v>748</v>
      </c>
      <c r="F357" s="5" t="str">
        <f t="shared" si="5"/>
        <v>distansinstitutet.se</v>
      </c>
      <c r="G357" s="5" t="s">
        <v>4</v>
      </c>
      <c r="H357" s="5" t="s">
        <v>5</v>
      </c>
      <c r="I357" s="6">
        <v>45131</v>
      </c>
    </row>
    <row r="358" spans="1:9" ht="13.5">
      <c r="A358" s="24" t="s">
        <v>703</v>
      </c>
      <c r="B358" s="3" t="str">
        <f ca="1">IFERROR(__xludf.DUMMYFUNCTION("REGEXEXTRACT(C358, ""https?:\/\/(?:.*\.)*(.+\..+?)\/"")"),"serviceteknikerkarlstad.se")</f>
        <v>serviceteknikerkarlstad.se</v>
      </c>
      <c r="C358" s="8" t="s">
        <v>749</v>
      </c>
      <c r="D358" s="20" t="s">
        <v>750</v>
      </c>
      <c r="E358" s="5" t="s">
        <v>751</v>
      </c>
      <c r="F358" s="5" t="str">
        <f t="shared" si="5"/>
        <v>distansinstitutet.se</v>
      </c>
      <c r="G358" s="5" t="s">
        <v>4</v>
      </c>
      <c r="H358" s="5" t="s">
        <v>5</v>
      </c>
      <c r="I358" s="6">
        <v>45131</v>
      </c>
    </row>
    <row r="359" spans="1:9" ht="13.5">
      <c r="A359" s="24" t="s">
        <v>703</v>
      </c>
      <c r="B359" s="3" t="str">
        <f ca="1">IFERROR(__xludf.DUMMYFUNCTION("REGEXEXTRACT(C359, ""https?:\/\/(?:.*\.)*(.+\..+?)\/"")"),"blogipedia.se")</f>
        <v>blogipedia.se</v>
      </c>
      <c r="C359" s="8" t="s">
        <v>752</v>
      </c>
      <c r="D359" s="20" t="s">
        <v>753</v>
      </c>
      <c r="E359" s="5" t="s">
        <v>754</v>
      </c>
      <c r="F359" s="5" t="str">
        <f t="shared" si="5"/>
        <v>distansinstitutet.se</v>
      </c>
      <c r="G359" s="5" t="s">
        <v>4</v>
      </c>
      <c r="H359" s="5" t="s">
        <v>5</v>
      </c>
      <c r="I359" s="6">
        <v>45131</v>
      </c>
    </row>
    <row r="360" spans="1:9" ht="13.5">
      <c r="A360" s="2" t="s">
        <v>348</v>
      </c>
      <c r="B360" s="3" t="str">
        <f ca="1">IFERROR(__xludf.DUMMYFUNCTION("REGEXEXTRACT(C360, ""https?:\/\/(?:.*\.)*(.+\..+?)\/"")"),"thefashionglobe.com")</f>
        <v>thefashionglobe.com</v>
      </c>
      <c r="C360" s="4" t="s">
        <v>755</v>
      </c>
      <c r="D360" s="4" t="s">
        <v>350</v>
      </c>
      <c r="E360" s="5" t="s">
        <v>522</v>
      </c>
      <c r="F360" s="5" t="str">
        <f t="shared" si="5"/>
        <v>happysocks.com</v>
      </c>
      <c r="G360" s="5" t="s">
        <v>4</v>
      </c>
      <c r="H360" s="5" t="s">
        <v>345</v>
      </c>
      <c r="I360" s="6">
        <v>45131</v>
      </c>
    </row>
    <row r="361" spans="1:9" ht="13.5">
      <c r="A361" s="2" t="s">
        <v>348</v>
      </c>
      <c r="B361" s="3" t="str">
        <f ca="1">IFERROR(__xludf.DUMMYFUNCTION("REGEXEXTRACT(C361, ""https?:\/\/(?:.*\.)*(.+\..+?)\/"")"),"theluxeinsider.com")</f>
        <v>theluxeinsider.com</v>
      </c>
      <c r="C361" s="4" t="s">
        <v>756</v>
      </c>
      <c r="D361" s="8" t="s">
        <v>492</v>
      </c>
      <c r="E361" s="5" t="s">
        <v>493</v>
      </c>
      <c r="F361" s="5" t="str">
        <f t="shared" si="5"/>
        <v>happysocks.com</v>
      </c>
      <c r="G361" s="5" t="s">
        <v>4</v>
      </c>
      <c r="H361" s="5" t="s">
        <v>345</v>
      </c>
      <c r="I361" s="6">
        <v>45131</v>
      </c>
    </row>
    <row r="362" spans="1:9" ht="13.5">
      <c r="A362" s="2" t="s">
        <v>348</v>
      </c>
      <c r="B362" s="3" t="str">
        <f ca="1">IFERROR(__xludf.DUMMYFUNCTION("REGEXEXTRACT(C362, ""https?:\/\/(?:.*\.)*(.+\..+?)\/"")"),"openthenews.com")</f>
        <v>openthenews.com</v>
      </c>
      <c r="C362" s="4" t="s">
        <v>757</v>
      </c>
      <c r="D362" s="4" t="s">
        <v>350</v>
      </c>
      <c r="E362" s="5" t="s">
        <v>694</v>
      </c>
      <c r="F362" s="5" t="str">
        <f t="shared" si="5"/>
        <v>happysocks.com</v>
      </c>
      <c r="G362" s="5" t="s">
        <v>4</v>
      </c>
      <c r="H362" s="5" t="s">
        <v>345</v>
      </c>
      <c r="I362" s="6">
        <v>45131</v>
      </c>
    </row>
    <row r="363" spans="1:9" ht="13.5">
      <c r="A363" s="2" t="s">
        <v>348</v>
      </c>
      <c r="B363" s="3" t="str">
        <f ca="1">IFERROR(__xludf.DUMMYFUNCTION("REGEXEXTRACT(C363, ""https?:\/\/(?:.*\.)*(.+\..+?)\/"")"),"uniquelifetips.com")</f>
        <v>uniquelifetips.com</v>
      </c>
      <c r="C363" s="4" t="s">
        <v>758</v>
      </c>
      <c r="D363" s="4" t="s">
        <v>350</v>
      </c>
      <c r="E363" s="5" t="s">
        <v>674</v>
      </c>
      <c r="F363" s="5" t="str">
        <f t="shared" si="5"/>
        <v>happysocks.com</v>
      </c>
      <c r="G363" s="5" t="s">
        <v>4</v>
      </c>
      <c r="H363" s="5" t="s">
        <v>345</v>
      </c>
      <c r="I363" s="6">
        <v>45131</v>
      </c>
    </row>
    <row r="364" spans="1:9" ht="13.5">
      <c r="A364" s="2" t="s">
        <v>348</v>
      </c>
      <c r="B364" s="3" t="str">
        <f ca="1">IFERROR(__xludf.DUMMYFUNCTION("REGEXEXTRACT(C364, ""https?:\/\/(?:.*\.)*(.+\..+?)\/"")"),"prettyprogressive.com")</f>
        <v>prettyprogressive.com</v>
      </c>
      <c r="C364" s="4" t="s">
        <v>759</v>
      </c>
      <c r="D364" s="4" t="s">
        <v>759</v>
      </c>
      <c r="E364" s="5" t="s">
        <v>354</v>
      </c>
      <c r="F364" s="5" t="str">
        <f t="shared" si="5"/>
        <v>happysocks.com</v>
      </c>
      <c r="G364" s="5" t="s">
        <v>4</v>
      </c>
      <c r="H364" s="5" t="s">
        <v>345</v>
      </c>
      <c r="I364" s="6">
        <v>45131</v>
      </c>
    </row>
    <row r="365" spans="1:9" ht="13.5">
      <c r="A365" s="2" t="s">
        <v>348</v>
      </c>
      <c r="B365" s="3" t="str">
        <f ca="1">IFERROR(__xludf.DUMMYFUNCTION("REGEXEXTRACT(C365, ""https?:\/\/(?:.*\.)*(.+\..+?)\/"")"),"newsanyway.com")</f>
        <v>newsanyway.com</v>
      </c>
      <c r="C365" s="4" t="s">
        <v>760</v>
      </c>
      <c r="D365" s="4" t="s">
        <v>350</v>
      </c>
      <c r="E365" s="5" t="s">
        <v>522</v>
      </c>
      <c r="F365" s="5" t="str">
        <f t="shared" si="5"/>
        <v>happysocks.com</v>
      </c>
      <c r="G365" s="5" t="s">
        <v>4</v>
      </c>
      <c r="H365" s="5" t="s">
        <v>345</v>
      </c>
      <c r="I365" s="6">
        <v>45131</v>
      </c>
    </row>
    <row r="366" spans="1:9" ht="13.5">
      <c r="A366" s="2" t="s">
        <v>348</v>
      </c>
      <c r="B366" s="3" t="str">
        <f ca="1">IFERROR(__xludf.DUMMYFUNCTION("REGEXEXTRACT(C366, ""https?:\/\/(?:.*\.)*(.+\..+?)\/"")"),"fashionabc.org")</f>
        <v>fashionabc.org</v>
      </c>
      <c r="C366" s="4" t="s">
        <v>761</v>
      </c>
      <c r="D366" s="4" t="s">
        <v>350</v>
      </c>
      <c r="E366" s="5" t="s">
        <v>674</v>
      </c>
      <c r="F366" s="5" t="str">
        <f t="shared" si="5"/>
        <v>happysocks.com</v>
      </c>
      <c r="G366" s="5" t="s">
        <v>4</v>
      </c>
      <c r="H366" s="5" t="s">
        <v>345</v>
      </c>
      <c r="I366" s="6">
        <v>45131</v>
      </c>
    </row>
    <row r="367" spans="1:9" ht="13.5">
      <c r="A367" s="2" t="s">
        <v>348</v>
      </c>
      <c r="B367" s="3" t="str">
        <f ca="1">IFERROR(__xludf.DUMMYFUNCTION("REGEXEXTRACT(C367, ""https?:\/\/(?:.*\.)*(.+\..+?)\/"")"),"baucemag.com")</f>
        <v>baucemag.com</v>
      </c>
      <c r="C367" s="4" t="s">
        <v>762</v>
      </c>
      <c r="D367" s="4" t="s">
        <v>763</v>
      </c>
      <c r="E367" s="5" t="s">
        <v>493</v>
      </c>
      <c r="F367" s="5" t="str">
        <f t="shared" si="5"/>
        <v>happysocks.com</v>
      </c>
      <c r="G367" s="5" t="s">
        <v>4</v>
      </c>
      <c r="H367" s="5" t="s">
        <v>345</v>
      </c>
      <c r="I367" s="6">
        <v>45131</v>
      </c>
    </row>
    <row r="368" spans="1:9" ht="13.5">
      <c r="A368" s="2" t="s">
        <v>348</v>
      </c>
      <c r="B368" s="3" t="str">
        <f ca="1">IFERROR(__xludf.DUMMYFUNCTION("REGEXEXTRACT(C368, ""https?:\/\/(?:.*\.)*(.+\..+?)\/"")"),"thenewsgod.com")</f>
        <v>thenewsgod.com</v>
      </c>
      <c r="C368" s="4" t="s">
        <v>764</v>
      </c>
      <c r="D368" s="4" t="s">
        <v>350</v>
      </c>
      <c r="E368" s="5" t="s">
        <v>522</v>
      </c>
      <c r="F368" s="5" t="str">
        <f t="shared" si="5"/>
        <v>happysocks.com</v>
      </c>
      <c r="G368" s="5" t="s">
        <v>4</v>
      </c>
      <c r="H368" s="5" t="s">
        <v>345</v>
      </c>
      <c r="I368" s="6">
        <v>45131</v>
      </c>
    </row>
    <row r="369" spans="1:9" ht="13.5">
      <c r="A369" s="2" t="s">
        <v>765</v>
      </c>
      <c r="B369" s="3" t="str">
        <f ca="1">IFERROR(__xludf.DUMMYFUNCTION("REGEXEXTRACT(C369, ""https?:\/\/(?:.*\.)*(.+\..+?)\/"")"),"mynewsdesk.com")</f>
        <v>mynewsdesk.com</v>
      </c>
      <c r="C369" s="4" t="s">
        <v>766</v>
      </c>
      <c r="D369" s="4" t="s">
        <v>767</v>
      </c>
      <c r="E369" s="5" t="s">
        <v>768</v>
      </c>
      <c r="F369" s="5" t="str">
        <f t="shared" si="5"/>
        <v>lemontree.se</v>
      </c>
      <c r="G369" s="5" t="s">
        <v>4</v>
      </c>
      <c r="H369" s="5" t="s">
        <v>5</v>
      </c>
      <c r="I369" s="6">
        <v>45131</v>
      </c>
    </row>
    <row r="370" spans="1:9" ht="13.5">
      <c r="A370" s="24" t="s">
        <v>663</v>
      </c>
      <c r="B370" s="3" t="str">
        <f ca="1">IFERROR(__xludf.DUMMYFUNCTION("REGEXEXTRACT(C370, ""https?:\/\/(?:.*\.)*(.+\..+?)\/"")"),"mobilpengar.se")</f>
        <v>mobilpengar.se</v>
      </c>
      <c r="C370" s="8" t="s">
        <v>769</v>
      </c>
      <c r="D370" s="25" t="s">
        <v>770</v>
      </c>
      <c r="E370" s="25" t="s">
        <v>770</v>
      </c>
      <c r="F370" s="5" t="str">
        <f t="shared" si="5"/>
        <v>robomarkets.com</v>
      </c>
      <c r="G370" s="5" t="s">
        <v>4</v>
      </c>
      <c r="H370" s="5" t="s">
        <v>5</v>
      </c>
      <c r="I370" s="6">
        <v>45131</v>
      </c>
    </row>
    <row r="371" spans="1:9" ht="13.5">
      <c r="A371" s="24" t="s">
        <v>272</v>
      </c>
      <c r="B371" s="3" t="str">
        <f ca="1">IFERROR(__xludf.DUMMYFUNCTION("REGEXEXTRACT(C371, ""https?:\/\/(?:.*\.)*(.+\..+?)\/"")"),"sek-converter.se")</f>
        <v>sek-converter.se</v>
      </c>
      <c r="C371" s="8" t="s">
        <v>771</v>
      </c>
      <c r="D371" s="20" t="s">
        <v>274</v>
      </c>
      <c r="E371" s="5" t="s">
        <v>275</v>
      </c>
      <c r="F371" s="5" t="str">
        <f t="shared" si="5"/>
        <v>schjodt.com</v>
      </c>
      <c r="G371" s="5" t="s">
        <v>4</v>
      </c>
      <c r="H371" s="5" t="s">
        <v>5</v>
      </c>
      <c r="I371" s="6">
        <v>45131</v>
      </c>
    </row>
    <row r="372" spans="1:9" ht="13.5">
      <c r="A372" s="24" t="s">
        <v>272</v>
      </c>
      <c r="B372" s="3" t="str">
        <f ca="1">IFERROR(__xludf.DUMMYFUNCTION("REGEXEXTRACT(C372, ""https?:\/\/(?:.*\.)*(.+\..+?)\/"")"),"financefinder.se")</f>
        <v>financefinder.se</v>
      </c>
      <c r="C372" s="8" t="s">
        <v>772</v>
      </c>
      <c r="D372" s="20" t="s">
        <v>274</v>
      </c>
      <c r="E372" s="5" t="s">
        <v>773</v>
      </c>
      <c r="F372" s="5" t="str">
        <f t="shared" si="5"/>
        <v>schjodt.com</v>
      </c>
      <c r="G372" s="5" t="s">
        <v>4</v>
      </c>
      <c r="H372" s="5" t="s">
        <v>5</v>
      </c>
      <c r="I372" s="6">
        <v>45131</v>
      </c>
    </row>
    <row r="373" spans="1:9" ht="13.5">
      <c r="A373" s="7" t="s">
        <v>224</v>
      </c>
      <c r="B373" s="3" t="str">
        <f ca="1">IFERROR(__xludf.DUMMYFUNCTION("REGEXEXTRACT(C373, ""https?:\/\/(?:.*\.)*(.+\..+?)\/"")"),"savethefuture.se")</f>
        <v>savethefuture.se</v>
      </c>
      <c r="C373" s="8" t="s">
        <v>774</v>
      </c>
      <c r="D373" s="27" t="s">
        <v>290</v>
      </c>
      <c r="E373" s="5" t="s">
        <v>291</v>
      </c>
      <c r="F373" s="5" t="str">
        <f t="shared" si="5"/>
        <v>swedoffice</v>
      </c>
      <c r="G373" s="5" t="s">
        <v>4</v>
      </c>
      <c r="H373" s="5" t="s">
        <v>5</v>
      </c>
      <c r="I373" s="6">
        <v>45131</v>
      </c>
    </row>
    <row r="374" spans="1:9" ht="13.5">
      <c r="A374" s="2" t="s">
        <v>348</v>
      </c>
      <c r="B374" s="3" t="str">
        <f ca="1">IFERROR(__xludf.DUMMYFUNCTION("REGEXEXTRACT(C374, ""https?:\/\/(?:.*\.)*(.+\..+?)\/"")"),"editorsbeauty.com")</f>
        <v>editorsbeauty.com</v>
      </c>
      <c r="C374" s="4" t="s">
        <v>775</v>
      </c>
      <c r="D374" s="4" t="s">
        <v>492</v>
      </c>
      <c r="E374" s="5" t="s">
        <v>493</v>
      </c>
      <c r="F374" s="5" t="str">
        <f t="shared" si="5"/>
        <v>happysocks.com</v>
      </c>
      <c r="G374" s="5" t="s">
        <v>4</v>
      </c>
      <c r="H374" s="5" t="s">
        <v>345</v>
      </c>
      <c r="I374" s="6">
        <v>45132</v>
      </c>
    </row>
    <row r="375" spans="1:9" ht="13.5">
      <c r="A375" s="2" t="s">
        <v>348</v>
      </c>
      <c r="B375" s="3" t="str">
        <f ca="1">IFERROR(__xludf.DUMMYFUNCTION("REGEXEXTRACT(C375, ""https?:\/\/(?:.*\.)*(.+\..+?)\/"")"),"fashiongtonpost.com")</f>
        <v>fashiongtonpost.com</v>
      </c>
      <c r="C375" s="4" t="s">
        <v>776</v>
      </c>
      <c r="D375" s="4" t="s">
        <v>350</v>
      </c>
      <c r="E375" s="5" t="s">
        <v>674</v>
      </c>
      <c r="F375" s="5" t="str">
        <f t="shared" si="5"/>
        <v>happysocks.com</v>
      </c>
      <c r="G375" s="5" t="s">
        <v>4</v>
      </c>
      <c r="H375" s="5" t="s">
        <v>345</v>
      </c>
      <c r="I375" s="6">
        <v>45132</v>
      </c>
    </row>
    <row r="376" spans="1:9" ht="13.5">
      <c r="A376" s="24" t="s">
        <v>308</v>
      </c>
      <c r="B376" s="3" t="str">
        <f ca="1">IFERROR(__xludf.DUMMYFUNCTION("REGEXEXTRACT(C376, ""https?:\/\/(?:.*\.)*(.+\..+?)\/"")"),"serviceteknikerkarlstad.se")</f>
        <v>serviceteknikerkarlstad.se</v>
      </c>
      <c r="C376" s="4" t="s">
        <v>777</v>
      </c>
      <c r="D376" s="27" t="s">
        <v>308</v>
      </c>
      <c r="E376" s="5" t="s">
        <v>778</v>
      </c>
      <c r="F376" s="5" t="str">
        <f t="shared" si="5"/>
        <v>lansfast.se</v>
      </c>
      <c r="G376" s="5" t="s">
        <v>4</v>
      </c>
      <c r="H376" s="5" t="s">
        <v>5</v>
      </c>
      <c r="I376" s="6">
        <v>45133</v>
      </c>
    </row>
    <row r="377" spans="1:9" ht="13.5">
      <c r="A377" s="24" t="s">
        <v>308</v>
      </c>
      <c r="B377" s="3" t="str">
        <f ca="1">IFERROR(__xludf.DUMMYFUNCTION("REGEXEXTRACT(C377, ""https?:\/\/(?:.*\.)*(.+\..+?)\/"")"),"bygghuddinge.se")</f>
        <v>bygghuddinge.se</v>
      </c>
      <c r="C377" s="4" t="s">
        <v>779</v>
      </c>
      <c r="D377" s="20" t="s">
        <v>310</v>
      </c>
      <c r="E377" s="5" t="s">
        <v>780</v>
      </c>
      <c r="F377" s="5" t="str">
        <f t="shared" si="5"/>
        <v>lansfast.se</v>
      </c>
      <c r="G377" s="5" t="s">
        <v>4</v>
      </c>
      <c r="H377" s="5" t="s">
        <v>5</v>
      </c>
      <c r="I377" s="6">
        <v>45133</v>
      </c>
    </row>
    <row r="378" spans="1:9" ht="13.5">
      <c r="A378" s="24" t="s">
        <v>308</v>
      </c>
      <c r="B378" s="3" t="str">
        <f ca="1">IFERROR(__xludf.DUMMYFUNCTION("REGEXEXTRACT(C378, ""https?:\/\/(?:.*\.)*(.+\..+?)\/"")"),"edgehyllie.se")</f>
        <v>edgehyllie.se</v>
      </c>
      <c r="C378" s="8" t="s">
        <v>781</v>
      </c>
      <c r="D378" s="20" t="s">
        <v>310</v>
      </c>
      <c r="E378" s="5" t="s">
        <v>782</v>
      </c>
      <c r="F378" s="5" t="str">
        <f t="shared" si="5"/>
        <v>lansfast.se</v>
      </c>
      <c r="G378" s="5" t="s">
        <v>4</v>
      </c>
      <c r="H378" s="5" t="s">
        <v>5</v>
      </c>
      <c r="I378" s="6">
        <v>45133</v>
      </c>
    </row>
    <row r="379" spans="1:9" ht="13.5">
      <c r="A379" s="2" t="s">
        <v>714</v>
      </c>
      <c r="B379" s="3" t="str">
        <f ca="1">IFERROR(__xludf.DUMMYFUNCTION("REGEXEXTRACT(C379, ""https?:\/\/(?:.*\.)*(.+\..+?)\/"")"),"radionordkapp.no")</f>
        <v>radionordkapp.no</v>
      </c>
      <c r="C379" s="4" t="s">
        <v>783</v>
      </c>
      <c r="D379" s="4" t="s">
        <v>784</v>
      </c>
      <c r="E379" s="5" t="s">
        <v>785</v>
      </c>
      <c r="F379" s="5" t="str">
        <f t="shared" si="5"/>
        <v>Alfa.no</v>
      </c>
      <c r="G379" s="5" t="s">
        <v>4</v>
      </c>
      <c r="H379" s="5" t="s">
        <v>382</v>
      </c>
      <c r="I379" s="6">
        <v>45134</v>
      </c>
    </row>
    <row r="380" spans="1:9" ht="13.5">
      <c r="A380" s="2" t="s">
        <v>714</v>
      </c>
      <c r="B380" s="3" t="str">
        <f ca="1">IFERROR(__xludf.DUMMYFUNCTION("REGEXEXTRACT(C380, ""https?:\/\/(?:.*\.)*(.+\..+?)\/"")"),"dfly.no")</f>
        <v>dfly.no</v>
      </c>
      <c r="C380" s="4" t="s">
        <v>786</v>
      </c>
      <c r="D380" s="4" t="s">
        <v>721</v>
      </c>
      <c r="E380" s="5" t="s">
        <v>722</v>
      </c>
      <c r="F380" s="5" t="str">
        <f t="shared" si="5"/>
        <v>Alfa.no</v>
      </c>
      <c r="G380" s="5" t="s">
        <v>4</v>
      </c>
      <c r="H380" s="5" t="s">
        <v>382</v>
      </c>
      <c r="I380" s="6">
        <v>45135</v>
      </c>
    </row>
    <row r="381" spans="1:9" ht="13.5">
      <c r="A381" s="7" t="s">
        <v>329</v>
      </c>
      <c r="B381" s="3" t="str">
        <f ca="1">IFERROR(__xludf.DUMMYFUNCTION("REGEXEXTRACT(C381, ""https?:\/\/(?:.*\.)*(.+\..+?)\/"")"),"jetshopfree.se")</f>
        <v>jetshopfree.se</v>
      </c>
      <c r="C381" s="4" t="s">
        <v>787</v>
      </c>
      <c r="D381" s="20" t="s">
        <v>472</v>
      </c>
      <c r="E381" s="5" t="s">
        <v>473</v>
      </c>
      <c r="F381" s="5" t="str">
        <f t="shared" si="5"/>
        <v>vont</v>
      </c>
      <c r="G381" s="5" t="s">
        <v>4</v>
      </c>
      <c r="H381" s="5" t="s">
        <v>5</v>
      </c>
      <c r="I381" s="6">
        <v>45135</v>
      </c>
    </row>
    <row r="382" spans="1:9" ht="13.5">
      <c r="A382" s="2" t="s">
        <v>100</v>
      </c>
      <c r="B382" s="3" t="str">
        <f ca="1">IFERROR(__xludf.DUMMYFUNCTION("REGEXEXTRACT(C382, ""https?:\/\/(?:.*\.)*(.+\..+?)\/"")"),"haronaglarspa.se")</f>
        <v>haronaglarspa.se</v>
      </c>
      <c r="C382" s="4" t="s">
        <v>788</v>
      </c>
      <c r="D382" s="2" t="s">
        <v>789</v>
      </c>
      <c r="E382" s="5" t="s">
        <v>790</v>
      </c>
      <c r="F382" s="5" t="str">
        <f t="shared" si="5"/>
        <v>bigbenstandup.com</v>
      </c>
      <c r="G382" s="5" t="s">
        <v>4</v>
      </c>
      <c r="H382" s="5" t="s">
        <v>5</v>
      </c>
      <c r="I382" s="6">
        <v>45136</v>
      </c>
    </row>
    <row r="383" spans="1:9" ht="13.5">
      <c r="A383" s="2" t="s">
        <v>663</v>
      </c>
      <c r="B383" s="3" t="str">
        <f ca="1">IFERROR(__xludf.DUMMYFUNCTION("REGEXEXTRACT(C383, ""https?:\/\/(?:.*\.)*(.+\..+?)\/"")"),"kollektomat.se")</f>
        <v>kollektomat.se</v>
      </c>
      <c r="C383" s="8" t="s">
        <v>791</v>
      </c>
      <c r="D383" s="20" t="s">
        <v>792</v>
      </c>
      <c r="E383" s="5" t="s">
        <v>793</v>
      </c>
      <c r="F383" s="5" t="str">
        <f t="shared" si="5"/>
        <v>robomarkets.com</v>
      </c>
      <c r="G383" s="5" t="s">
        <v>4</v>
      </c>
      <c r="H383" s="5" t="s">
        <v>5</v>
      </c>
      <c r="I383" s="6">
        <v>45136</v>
      </c>
    </row>
    <row r="384" spans="1:9" ht="13.5">
      <c r="A384" s="24" t="s">
        <v>663</v>
      </c>
      <c r="B384" s="3" t="str">
        <f ca="1">IFERROR(__xludf.DUMMYFUNCTION("REGEXEXTRACT(C384, ""https?:\/\/(?:.*\.)*(.+\..+?)\/"")"),"hagvallsjoman.se")</f>
        <v>hagvallsjoman.se</v>
      </c>
      <c r="C384" s="8" t="s">
        <v>794</v>
      </c>
      <c r="D384" s="20" t="s">
        <v>795</v>
      </c>
      <c r="E384" s="5" t="s">
        <v>796</v>
      </c>
      <c r="F384" s="5" t="str">
        <f t="shared" si="5"/>
        <v>robomarkets.com</v>
      </c>
      <c r="G384" s="5" t="s">
        <v>4</v>
      </c>
      <c r="H384" s="5" t="s">
        <v>5</v>
      </c>
      <c r="I384" s="6">
        <v>45136</v>
      </c>
    </row>
    <row r="385" spans="1:9" ht="13.5">
      <c r="A385" s="24" t="s">
        <v>663</v>
      </c>
      <c r="B385" s="3" t="str">
        <f ca="1">IFERROR(__xludf.DUMMYFUNCTION("REGEXEXTRACT(C385, ""https?:\/\/(?:.*\.)*(.+\..+?)\/"")"),"frii.se")</f>
        <v>frii.se</v>
      </c>
      <c r="C385" s="4" t="s">
        <v>797</v>
      </c>
      <c r="D385" s="20" t="s">
        <v>770</v>
      </c>
      <c r="E385" s="5" t="s">
        <v>798</v>
      </c>
      <c r="F385" s="5" t="str">
        <f t="shared" si="5"/>
        <v>robomarkets.com</v>
      </c>
      <c r="G385" s="5" t="s">
        <v>4</v>
      </c>
      <c r="H385" s="5" t="s">
        <v>5</v>
      </c>
      <c r="I385" s="6">
        <v>45136</v>
      </c>
    </row>
    <row r="386" spans="1:9" ht="13.5">
      <c r="A386" s="24" t="s">
        <v>663</v>
      </c>
      <c r="B386" s="3" t="str">
        <f ca="1">IFERROR(__xludf.DUMMYFUNCTION("REGEXEXTRACT(C386, ""https?:\/\/(?:.*\.)*(.+\..+?)\/"")"),"dinlokalabokhandel.se")</f>
        <v>dinlokalabokhandel.se</v>
      </c>
      <c r="C386" s="4" t="s">
        <v>799</v>
      </c>
      <c r="D386" s="20" t="s">
        <v>770</v>
      </c>
      <c r="E386" s="5" t="s">
        <v>800</v>
      </c>
      <c r="F386" s="5" t="str">
        <f t="shared" si="5"/>
        <v>robomarkets.com</v>
      </c>
      <c r="G386" s="5" t="s">
        <v>4</v>
      </c>
      <c r="H386" s="5" t="s">
        <v>5</v>
      </c>
      <c r="I386" s="6">
        <v>45136</v>
      </c>
    </row>
    <row r="387" spans="1:9" ht="13.5">
      <c r="A387" s="24" t="s">
        <v>535</v>
      </c>
      <c r="B387" s="3" t="str">
        <f ca="1">IFERROR(__xludf.DUMMYFUNCTION("REGEXEXTRACT(C387, ""https?:\/\/(?:.*\.)*(.+\..+?)\/"")"),"kamagraquees.nu")</f>
        <v>kamagraquees.nu</v>
      </c>
      <c r="C387" s="8" t="s">
        <v>801</v>
      </c>
      <c r="D387" s="20" t="s">
        <v>536</v>
      </c>
      <c r="E387" s="5" t="s">
        <v>802</v>
      </c>
      <c r="F387" s="5" t="str">
        <f t="shared" ref="F387:F450" si="6">A387</f>
        <v>tryggbil.se</v>
      </c>
      <c r="G387" s="5" t="s">
        <v>4</v>
      </c>
      <c r="H387" s="5" t="s">
        <v>5</v>
      </c>
      <c r="I387" s="6">
        <v>45136</v>
      </c>
    </row>
    <row r="388" spans="1:9" ht="13.5">
      <c r="A388" s="2" t="s">
        <v>803</v>
      </c>
      <c r="B388" s="3" t="str">
        <f ca="1">IFERROR(__xludf.DUMMYFUNCTION("REGEXEXTRACT(C388, ""https?:\/\/(?:.*\.)*(.+\..+?)\/"")"),"socialsummit17.se")</f>
        <v>socialsummit17.se</v>
      </c>
      <c r="C388" s="8" t="s">
        <v>804</v>
      </c>
      <c r="D388" s="27" t="s">
        <v>805</v>
      </c>
      <c r="E388" s="5" t="s">
        <v>806</v>
      </c>
      <c r="F388" s="5" t="str">
        <f t="shared" si="6"/>
        <v>foyen.se</v>
      </c>
      <c r="G388" s="5" t="s">
        <v>4</v>
      </c>
      <c r="H388" s="5" t="s">
        <v>5</v>
      </c>
      <c r="I388" s="6">
        <v>45138</v>
      </c>
    </row>
    <row r="389" spans="1:9" ht="14.25">
      <c r="A389" s="24" t="s">
        <v>803</v>
      </c>
      <c r="B389" s="3" t="str">
        <f ca="1">IFERROR(__xludf.DUMMYFUNCTION("REGEXEXTRACT(C389, ""https?:\/\/(?:.*\.)*(.+\..+?)\/"")"),"sek-converter.se")</f>
        <v>sek-converter.se</v>
      </c>
      <c r="C389" s="28" t="s">
        <v>807</v>
      </c>
      <c r="D389" s="5" t="s">
        <v>808</v>
      </c>
      <c r="E389" s="5" t="s">
        <v>806</v>
      </c>
      <c r="F389" s="5" t="str">
        <f t="shared" si="6"/>
        <v>foyen.se</v>
      </c>
      <c r="G389" s="5" t="s">
        <v>4</v>
      </c>
      <c r="H389" s="5" t="s">
        <v>5</v>
      </c>
      <c r="I389" s="6">
        <v>45138</v>
      </c>
    </row>
    <row r="390" spans="1:9" ht="13.5">
      <c r="A390" s="2" t="s">
        <v>1</v>
      </c>
      <c r="B390" s="3" t="str">
        <f ca="1">IFERROR(__xludf.DUMMYFUNCTION("REGEXEXTRACT(C390, ""https?:\/\/(?:.*\.)*(.+\..+?)\/"")"),"bygghuddinge.se")</f>
        <v>bygghuddinge.se</v>
      </c>
      <c r="C390" s="8" t="s">
        <v>809</v>
      </c>
      <c r="D390" s="5" t="s">
        <v>192</v>
      </c>
      <c r="E390" s="5" t="s">
        <v>377</v>
      </c>
      <c r="F390" s="5" t="str">
        <f t="shared" si="6"/>
        <v>haxan.se</v>
      </c>
      <c r="G390" s="5" t="s">
        <v>4</v>
      </c>
      <c r="H390" s="5" t="s">
        <v>5</v>
      </c>
      <c r="I390" s="6">
        <v>45138</v>
      </c>
    </row>
    <row r="391" spans="1:9" ht="13.5">
      <c r="A391" s="2" t="s">
        <v>348</v>
      </c>
      <c r="B391" s="3" t="str">
        <f ca="1">IFERROR(__xludf.DUMMYFUNCTION("REGEXEXTRACT(C391, ""https?:\/\/(?:.*\.)*(.+\..+?)\/"")"),"blufashion.com")</f>
        <v>blufashion.com</v>
      </c>
      <c r="C391" s="4" t="s">
        <v>810</v>
      </c>
      <c r="D391" s="4" t="s">
        <v>811</v>
      </c>
      <c r="E391" s="5" t="s">
        <v>358</v>
      </c>
      <c r="F391" s="5" t="str">
        <f t="shared" si="6"/>
        <v>happysocks.com</v>
      </c>
      <c r="G391" s="5" t="s">
        <v>4</v>
      </c>
      <c r="H391" s="5" t="s">
        <v>345</v>
      </c>
      <c r="I391" s="6">
        <v>45141</v>
      </c>
    </row>
    <row r="392" spans="1:9" ht="13.5">
      <c r="A392" s="2" t="s">
        <v>348</v>
      </c>
      <c r="B392" s="3" t="str">
        <f ca="1">IFERROR(__xludf.DUMMYFUNCTION("REGEXEXTRACT(C392, ""https?:\/\/(?:.*\.)*(.+\..+?)\/"")"),"theinspirespy.com")</f>
        <v>theinspirespy.com</v>
      </c>
      <c r="C392" s="4" t="s">
        <v>812</v>
      </c>
      <c r="D392" s="4" t="s">
        <v>350</v>
      </c>
      <c r="E392" s="5" t="s">
        <v>588</v>
      </c>
      <c r="F392" s="5" t="str">
        <f t="shared" si="6"/>
        <v>happysocks.com</v>
      </c>
      <c r="G392" s="5" t="s">
        <v>4</v>
      </c>
      <c r="H392" s="5" t="s">
        <v>345</v>
      </c>
      <c r="I392" s="6">
        <v>45141</v>
      </c>
    </row>
    <row r="393" spans="1:9" ht="13.5">
      <c r="A393" s="29" t="s">
        <v>348</v>
      </c>
      <c r="B393" s="3" t="str">
        <f ca="1">IFERROR(__xludf.DUMMYFUNCTION("REGEXEXTRACT(C393, ""https?:\/\/(?:.*\.)*(.+\..+?)\/"")"),"baucemag.com")</f>
        <v>baucemag.com</v>
      </c>
      <c r="C393" s="4" t="s">
        <v>762</v>
      </c>
      <c r="D393" s="4" t="s">
        <v>492</v>
      </c>
      <c r="E393" s="5" t="s">
        <v>493</v>
      </c>
      <c r="F393" s="5" t="str">
        <f t="shared" si="6"/>
        <v>happysocks.com</v>
      </c>
      <c r="G393" s="5" t="s">
        <v>4</v>
      </c>
      <c r="H393" s="5" t="s">
        <v>345</v>
      </c>
      <c r="I393" s="6">
        <v>45141</v>
      </c>
    </row>
    <row r="394" spans="1:9" ht="13.5">
      <c r="A394" s="2" t="s">
        <v>348</v>
      </c>
      <c r="B394" s="3"/>
      <c r="C394" s="4" t="s">
        <v>813</v>
      </c>
      <c r="D394" s="4" t="s">
        <v>350</v>
      </c>
      <c r="E394" s="5" t="s">
        <v>505</v>
      </c>
      <c r="F394" s="5" t="str">
        <f t="shared" si="6"/>
        <v>happysocks.com</v>
      </c>
      <c r="G394" s="5" t="s">
        <v>4</v>
      </c>
      <c r="H394" s="5" t="s">
        <v>345</v>
      </c>
      <c r="I394" s="6">
        <v>45141</v>
      </c>
    </row>
    <row r="395" spans="1:9" ht="13.5">
      <c r="A395" s="2" t="s">
        <v>814</v>
      </c>
      <c r="B395" s="3" t="str">
        <f ca="1">IFERROR(__xludf.DUMMYFUNCTION("REGEXEXTRACT(C395, ""https?:\/\/(?:.*\.)*(.+\..+?)\/"")"),"haronaglarspa.se")</f>
        <v>haronaglarspa.se</v>
      </c>
      <c r="C395" s="8" t="s">
        <v>815</v>
      </c>
      <c r="D395" s="4" t="s">
        <v>816</v>
      </c>
      <c r="E395" s="5" t="s">
        <v>817</v>
      </c>
      <c r="F395" s="5" t="str">
        <f t="shared" si="6"/>
        <v>zperfume.se</v>
      </c>
      <c r="G395" s="5" t="s">
        <v>4</v>
      </c>
      <c r="H395" s="5" t="s">
        <v>5</v>
      </c>
      <c r="I395" s="6">
        <v>45143</v>
      </c>
    </row>
    <row r="396" spans="1:9" ht="13.5">
      <c r="A396" s="2" t="s">
        <v>348</v>
      </c>
      <c r="B396" s="3" t="str">
        <f ca="1">IFERROR(__xludf.DUMMYFUNCTION("REGEXEXTRACT(C396, ""https?:\/\/(?:.*\.)*(.+\..+?)\/"")"),"fashionetc.com")</f>
        <v>fashionetc.com</v>
      </c>
      <c r="C396" s="4" t="s">
        <v>589</v>
      </c>
      <c r="D396" s="4" t="s">
        <v>818</v>
      </c>
      <c r="E396" s="30" t="s">
        <v>358</v>
      </c>
      <c r="F396" s="5" t="str">
        <f t="shared" si="6"/>
        <v>happysocks.com</v>
      </c>
      <c r="G396" s="5" t="s">
        <v>4</v>
      </c>
      <c r="H396" s="5" t="s">
        <v>345</v>
      </c>
      <c r="I396" s="6">
        <v>45145</v>
      </c>
    </row>
    <row r="397" spans="1:9" ht="13.5">
      <c r="A397" s="2" t="s">
        <v>819</v>
      </c>
      <c r="B397" s="3" t="str">
        <f ca="1">IFERROR(__xludf.DUMMYFUNCTION("REGEXEXTRACT(C397, ""https?:\/\/(?:.*\.)*(.+\..+?)\/"")"),"frii.se")</f>
        <v>frii.se</v>
      </c>
      <c r="C397" s="8" t="s">
        <v>820</v>
      </c>
      <c r="D397" s="5" t="s">
        <v>821</v>
      </c>
      <c r="E397" s="5" t="s">
        <v>822</v>
      </c>
      <c r="F397" s="5" t="str">
        <f t="shared" si="6"/>
        <v>isakstrafikskola.se</v>
      </c>
      <c r="G397" s="5" t="s">
        <v>4</v>
      </c>
      <c r="H397" s="5" t="s">
        <v>5</v>
      </c>
      <c r="I397" s="6">
        <v>45146</v>
      </c>
    </row>
    <row r="398" spans="1:9" ht="13.5">
      <c r="A398" s="24" t="s">
        <v>700</v>
      </c>
      <c r="B398" s="3" t="str">
        <f ca="1">IFERROR(__xludf.DUMMYFUNCTION("REGEXEXTRACT(C398, ""https?:\/\/(?:.*\.)*(.+\..+?)\/"")"),"nouveaumodels.se")</f>
        <v>nouveaumodels.se</v>
      </c>
      <c r="C398" s="8" t="s">
        <v>823</v>
      </c>
      <c r="D398" s="31" t="s">
        <v>489</v>
      </c>
      <c r="E398" s="5" t="s">
        <v>490</v>
      </c>
      <c r="F398" s="5" t="str">
        <f t="shared" si="6"/>
        <v>blugiallo.se</v>
      </c>
      <c r="G398" s="5" t="s">
        <v>4</v>
      </c>
      <c r="H398" s="5" t="s">
        <v>23</v>
      </c>
      <c r="I398" s="6">
        <v>45147</v>
      </c>
    </row>
    <row r="399" spans="1:9" ht="13.5">
      <c r="A399" s="2" t="s">
        <v>689</v>
      </c>
      <c r="B399" s="3" t="str">
        <f ca="1">IFERROR(__xludf.DUMMYFUNCTION("REGEXEXTRACT(C399, ""https?:\/\/(?:.*\.)*(.+\..+?)\/"")"),"savethefuture.se")</f>
        <v>savethefuture.se</v>
      </c>
      <c r="C399" s="4" t="s">
        <v>824</v>
      </c>
      <c r="D399" s="20" t="s">
        <v>691</v>
      </c>
      <c r="E399" s="5" t="s">
        <v>825</v>
      </c>
      <c r="F399" s="5" t="str">
        <f t="shared" si="6"/>
        <v>conclean.se</v>
      </c>
      <c r="G399" s="5" t="s">
        <v>4</v>
      </c>
      <c r="H399" s="5" t="s">
        <v>5</v>
      </c>
      <c r="I399" s="6">
        <v>45147</v>
      </c>
    </row>
    <row r="400" spans="1:9" ht="13.5">
      <c r="A400" s="24" t="s">
        <v>703</v>
      </c>
      <c r="B400" s="3" t="str">
        <f ca="1">IFERROR(__xludf.DUMMYFUNCTION("REGEXEXTRACT(C400, ""https?:\/\/(?:.*\.)*(.+\..+?)\/"")"),"firmify.se")</f>
        <v>firmify.se</v>
      </c>
      <c r="C400" s="4" t="s">
        <v>826</v>
      </c>
      <c r="D400" s="20" t="s">
        <v>827</v>
      </c>
      <c r="E400" s="5" t="s">
        <v>828</v>
      </c>
      <c r="F400" s="5" t="str">
        <f t="shared" si="6"/>
        <v>distansinstitutet.se</v>
      </c>
      <c r="G400" s="5" t="s">
        <v>4</v>
      </c>
      <c r="H400" s="5" t="s">
        <v>5</v>
      </c>
      <c r="I400" s="6">
        <v>45147</v>
      </c>
    </row>
    <row r="401" spans="1:9" ht="13.5">
      <c r="A401" s="2" t="s">
        <v>703</v>
      </c>
      <c r="B401" s="3" t="str">
        <f ca="1">IFERROR(__xludf.DUMMYFUNCTION("REGEXEXTRACT(C401, ""https?:\/\/(?:.*\.)*(.+\..+?)\/"")"),"saleseffect.se")</f>
        <v>saleseffect.se</v>
      </c>
      <c r="C401" s="4" t="s">
        <v>829</v>
      </c>
      <c r="D401" s="4" t="s">
        <v>830</v>
      </c>
      <c r="E401" s="5" t="s">
        <v>831</v>
      </c>
      <c r="F401" s="5" t="str">
        <f t="shared" si="6"/>
        <v>distansinstitutet.se</v>
      </c>
      <c r="G401" s="5" t="s">
        <v>4</v>
      </c>
      <c r="H401" s="5" t="s">
        <v>5</v>
      </c>
      <c r="I401" s="6">
        <v>45147</v>
      </c>
    </row>
    <row r="402" spans="1:9" ht="13.5">
      <c r="A402" s="7" t="s">
        <v>832</v>
      </c>
      <c r="B402" s="3" t="str">
        <f ca="1">IFERROR(__xludf.DUMMYFUNCTION("REGEXEXTRACT(C402, ""https?:\/\/(?:.*\.)*(.+\..+?)\/"")"),"socialsummit17.se")</f>
        <v>socialsummit17.se</v>
      </c>
      <c r="C402" s="8" t="s">
        <v>833</v>
      </c>
      <c r="D402" s="20" t="s">
        <v>834</v>
      </c>
      <c r="E402" s="5" t="s">
        <v>438</v>
      </c>
      <c r="F402" s="5" t="str">
        <f t="shared" si="6"/>
        <v>fairinvestments</v>
      </c>
      <c r="G402" s="5" t="s">
        <v>4</v>
      </c>
      <c r="H402" s="5" t="s">
        <v>5</v>
      </c>
      <c r="I402" s="6">
        <v>45147</v>
      </c>
    </row>
    <row r="403" spans="1:9" ht="13.5">
      <c r="A403" s="7" t="s">
        <v>832</v>
      </c>
      <c r="B403" s="3" t="str">
        <f ca="1">IFERROR(__xludf.DUMMYFUNCTION("REGEXEXTRACT(C403, ""https?:\/\/(?:.*\.)*(.+\..+?)\/"")"),"jetshopfree.se")</f>
        <v>jetshopfree.se</v>
      </c>
      <c r="C403" s="4" t="s">
        <v>835</v>
      </c>
      <c r="D403" s="20" t="s">
        <v>836</v>
      </c>
      <c r="E403" s="5" t="s">
        <v>438</v>
      </c>
      <c r="F403" s="5" t="str">
        <f t="shared" si="6"/>
        <v>fairinvestments</v>
      </c>
      <c r="G403" s="5" t="s">
        <v>4</v>
      </c>
      <c r="H403" s="5" t="s">
        <v>5</v>
      </c>
      <c r="I403" s="6">
        <v>45147</v>
      </c>
    </row>
    <row r="404" spans="1:9" ht="13.5">
      <c r="A404" s="7" t="s">
        <v>832</v>
      </c>
      <c r="B404" s="3" t="str">
        <f ca="1">IFERROR(__xludf.DUMMYFUNCTION("REGEXEXTRACT(C404, ""https?:\/\/(?:.*\.)*(.+\..+?)\/"")"),"kamagraquees.nu")</f>
        <v>kamagraquees.nu</v>
      </c>
      <c r="C404" s="4" t="s">
        <v>837</v>
      </c>
      <c r="D404" s="20" t="s">
        <v>838</v>
      </c>
      <c r="E404" s="32" t="s">
        <v>839</v>
      </c>
      <c r="F404" s="5" t="str">
        <f t="shared" si="6"/>
        <v>fairinvestments</v>
      </c>
      <c r="G404" s="5" t="s">
        <v>4</v>
      </c>
      <c r="H404" s="5" t="s">
        <v>5</v>
      </c>
      <c r="I404" s="6">
        <v>45147</v>
      </c>
    </row>
    <row r="405" spans="1:9" ht="13.5">
      <c r="A405" s="24" t="s">
        <v>765</v>
      </c>
      <c r="B405" s="3" t="str">
        <f ca="1">IFERROR(__xludf.DUMMYFUNCTION("REGEXEXTRACT(C405, ""https?:\/\/(?:.*\.)*(.+\..+?)\/"")"),"socialsummit17.se")</f>
        <v>socialsummit17.se</v>
      </c>
      <c r="C405" s="8" t="s">
        <v>840</v>
      </c>
      <c r="D405" s="5" t="s">
        <v>767</v>
      </c>
      <c r="E405" s="5" t="s">
        <v>841</v>
      </c>
      <c r="F405" s="5" t="str">
        <f t="shared" si="6"/>
        <v>lemontree.se</v>
      </c>
      <c r="G405" s="5" t="s">
        <v>4</v>
      </c>
      <c r="H405" s="5" t="s">
        <v>5</v>
      </c>
      <c r="I405" s="6">
        <v>45147</v>
      </c>
    </row>
    <row r="406" spans="1:9" ht="13.5">
      <c r="A406" s="24" t="s">
        <v>765</v>
      </c>
      <c r="B406" s="3" t="str">
        <f ca="1">IFERROR(__xludf.DUMMYFUNCTION("REGEXEXTRACT(C406, ""https?:\/\/(?:.*\.)*(.+\..+?)\/"")"),"xn--malmcloud-37a.se")</f>
        <v>xn--malmcloud-37a.se</v>
      </c>
      <c r="C406" s="4" t="s">
        <v>842</v>
      </c>
      <c r="D406" s="20" t="s">
        <v>767</v>
      </c>
      <c r="E406" s="5" t="s">
        <v>843</v>
      </c>
      <c r="F406" s="5" t="str">
        <f t="shared" si="6"/>
        <v>lemontree.se</v>
      </c>
      <c r="G406" s="5" t="s">
        <v>4</v>
      </c>
      <c r="H406" s="5" t="s">
        <v>5</v>
      </c>
      <c r="I406" s="6">
        <v>45147</v>
      </c>
    </row>
    <row r="407" spans="1:9" ht="13.5">
      <c r="A407" s="24" t="s">
        <v>632</v>
      </c>
      <c r="B407" s="3" t="str">
        <f ca="1">IFERROR(__xludf.DUMMYFUNCTION("REGEXEXTRACT(C407, ""https?:\/\/(?:.*\.)*(.+\..+?)\/"")"),"frii.se")</f>
        <v>frii.se</v>
      </c>
      <c r="C407" s="4" t="s">
        <v>844</v>
      </c>
      <c r="D407" s="5" t="s">
        <v>634</v>
      </c>
      <c r="E407" s="5" t="s">
        <v>845</v>
      </c>
      <c r="F407" s="5" t="str">
        <f t="shared" si="6"/>
        <v>miamipool.se</v>
      </c>
      <c r="G407" s="5" t="s">
        <v>4</v>
      </c>
      <c r="H407" s="5" t="s">
        <v>5</v>
      </c>
      <c r="I407" s="6">
        <v>45147</v>
      </c>
    </row>
    <row r="408" spans="1:9" ht="13.5">
      <c r="A408" s="2" t="s">
        <v>846</v>
      </c>
      <c r="B408" s="3" t="str">
        <f ca="1">IFERROR(__xludf.DUMMYFUNCTION("REGEXEXTRACT(C408, ""https?:\/\/(?:.*\.)*(.+\..+?)\/"")"),"executiveeffect.se")</f>
        <v>executiveeffect.se</v>
      </c>
      <c r="C408" s="4" t="s">
        <v>847</v>
      </c>
      <c r="D408" s="4" t="s">
        <v>848</v>
      </c>
      <c r="E408" s="9" t="s">
        <v>848</v>
      </c>
      <c r="F408" s="5" t="str">
        <f t="shared" si="6"/>
        <v>tandea.se</v>
      </c>
      <c r="G408" s="5" t="s">
        <v>4</v>
      </c>
      <c r="H408" s="5" t="s">
        <v>5</v>
      </c>
      <c r="I408" s="6">
        <v>45147</v>
      </c>
    </row>
    <row r="409" spans="1:9" ht="13.5">
      <c r="A409" s="7" t="s">
        <v>329</v>
      </c>
      <c r="B409" s="3" t="str">
        <f ca="1">IFERROR(__xludf.DUMMYFUNCTION("REGEXEXTRACT(C409, ""https?:\/\/(?:.*\.)*(.+\..+?)\/"")"),"hoganassaluhall.se")</f>
        <v>hoganassaluhall.se</v>
      </c>
      <c r="C409" s="8" t="s">
        <v>849</v>
      </c>
      <c r="D409" s="20" t="s">
        <v>331</v>
      </c>
      <c r="E409" s="5" t="s">
        <v>332</v>
      </c>
      <c r="F409" s="5" t="str">
        <f t="shared" si="6"/>
        <v>vont</v>
      </c>
      <c r="G409" s="5" t="s">
        <v>4</v>
      </c>
      <c r="H409" s="5" t="s">
        <v>5</v>
      </c>
      <c r="I409" s="6">
        <v>45147</v>
      </c>
    </row>
    <row r="410" spans="1:9" ht="13.5">
      <c r="A410" s="2" t="s">
        <v>765</v>
      </c>
      <c r="B410" s="3" t="str">
        <f ca="1">IFERROR(__xludf.DUMMYFUNCTION("REGEXEXTRACT(C410, ""https?:\/\/(?:.*\.)*(.+\..+?)\/"")"),"eventeffect.se")</f>
        <v>eventeffect.se</v>
      </c>
      <c r="C410" s="4" t="s">
        <v>850</v>
      </c>
      <c r="D410" s="4" t="s">
        <v>767</v>
      </c>
      <c r="E410" s="5" t="s">
        <v>851</v>
      </c>
      <c r="F410" s="5" t="str">
        <f t="shared" si="6"/>
        <v>lemontree.se</v>
      </c>
      <c r="G410" s="5" t="s">
        <v>4</v>
      </c>
      <c r="H410" s="5" t="s">
        <v>5</v>
      </c>
      <c r="I410" s="6">
        <v>45153</v>
      </c>
    </row>
    <row r="411" spans="1:9" ht="13.5">
      <c r="A411" s="7" t="s">
        <v>329</v>
      </c>
      <c r="B411" s="3" t="str">
        <f ca="1">IFERROR(__xludf.DUMMYFUNCTION("REGEXEXTRACT(C411, ""https?:\/\/(?:.*\.)*(.+\..+?)\/"")"),"eventeffect.se")</f>
        <v>eventeffect.se</v>
      </c>
      <c r="C411" s="4" t="s">
        <v>852</v>
      </c>
      <c r="D411" s="4" t="s">
        <v>331</v>
      </c>
      <c r="E411" s="5" t="s">
        <v>655</v>
      </c>
      <c r="F411" s="5" t="str">
        <f t="shared" si="6"/>
        <v>vont</v>
      </c>
      <c r="G411" s="5" t="s">
        <v>4</v>
      </c>
      <c r="H411" s="5" t="s">
        <v>5</v>
      </c>
      <c r="I411" s="6">
        <v>45153</v>
      </c>
    </row>
    <row r="412" spans="1:9" ht="13.5">
      <c r="A412" s="2" t="s">
        <v>846</v>
      </c>
      <c r="B412" s="3" t="str">
        <f ca="1">IFERROR(__xludf.DUMMYFUNCTION("REGEXEXTRACT(C412, ""https?:\/\/(?:.*\.)*(.+\..+?)\/"")"),"saleseffect.se")</f>
        <v>saleseffect.se</v>
      </c>
      <c r="C412" s="4" t="s">
        <v>853</v>
      </c>
      <c r="D412" s="4" t="s">
        <v>848</v>
      </c>
      <c r="E412" s="5" t="s">
        <v>854</v>
      </c>
      <c r="F412" s="5" t="str">
        <f t="shared" si="6"/>
        <v>tandea.se</v>
      </c>
      <c r="G412" s="5" t="s">
        <v>4</v>
      </c>
      <c r="H412" s="5" t="s">
        <v>5</v>
      </c>
      <c r="I412" s="6">
        <v>45153</v>
      </c>
    </row>
    <row r="413" spans="1:9" ht="13.5">
      <c r="A413" s="2" t="s">
        <v>386</v>
      </c>
      <c r="B413" s="3" t="str">
        <f ca="1">IFERROR(__xludf.DUMMYFUNCTION("REGEXEXTRACT(C413, ""https?:\/\/(?:.*\.)*(.+\..+?)\/"")"),"saleseffect.se")</f>
        <v>saleseffect.se</v>
      </c>
      <c r="C413" s="4" t="s">
        <v>855</v>
      </c>
      <c r="D413" s="4" t="s">
        <v>452</v>
      </c>
      <c r="E413" s="5" t="s">
        <v>389</v>
      </c>
      <c r="F413" s="5" t="str">
        <f t="shared" si="6"/>
        <v>pontech</v>
      </c>
      <c r="G413" s="5" t="s">
        <v>4</v>
      </c>
      <c r="H413" s="5" t="s">
        <v>5</v>
      </c>
      <c r="I413" s="6">
        <v>45153</v>
      </c>
    </row>
    <row r="414" spans="1:9" ht="13.5">
      <c r="A414" s="2" t="s">
        <v>723</v>
      </c>
      <c r="B414" s="3" t="str">
        <f ca="1">IFERROR(__xludf.DUMMYFUNCTION("REGEXEXTRACT(C414, ""https?:\/\/(?:.*\.)*(.+\..+?)\/"")"),"mynewsdesk.com")</f>
        <v>mynewsdesk.com</v>
      </c>
      <c r="C414" s="4" t="s">
        <v>856</v>
      </c>
      <c r="D414" s="4" t="s">
        <v>725</v>
      </c>
      <c r="E414" s="4" t="s">
        <v>725</v>
      </c>
      <c r="F414" s="5" t="str">
        <f t="shared" si="6"/>
        <v>aretrotale.com</v>
      </c>
      <c r="G414" s="5" t="s">
        <v>4</v>
      </c>
      <c r="H414" s="5" t="s">
        <v>23</v>
      </c>
      <c r="I414" s="6">
        <v>45155</v>
      </c>
    </row>
    <row r="415" spans="1:9" ht="13.5">
      <c r="A415" s="2" t="s">
        <v>857</v>
      </c>
      <c r="B415" s="3" t="str">
        <f ca="1">IFERROR(__xludf.DUMMYFUNCTION("REGEXEXTRACT(C415, ""https?:\/\/(?:.*\.)*(.+\..+?)\/"")"),"frii.se")</f>
        <v>frii.se</v>
      </c>
      <c r="C415" s="33" t="s">
        <v>858</v>
      </c>
      <c r="D415" s="34" t="s">
        <v>859</v>
      </c>
      <c r="E415" s="35" t="s">
        <v>860</v>
      </c>
      <c r="F415" s="5" t="str">
        <f t="shared" si="6"/>
        <v>veterinarklinikenbirsta.se</v>
      </c>
      <c r="G415" s="5" t="s">
        <v>4</v>
      </c>
      <c r="H415" s="5" t="s">
        <v>5</v>
      </c>
      <c r="I415" s="6">
        <v>45158</v>
      </c>
    </row>
    <row r="416" spans="1:9" ht="13.5">
      <c r="A416" s="7" t="s">
        <v>224</v>
      </c>
      <c r="B416" s="3" t="str">
        <f ca="1">IFERROR(__xludf.DUMMYFUNCTION("REGEXEXTRACT(C416, ""https?:\/\/(?:.*\.)*(.+\..+?)\/"")"),"kamagraquees.nu")</f>
        <v>kamagraquees.nu</v>
      </c>
      <c r="C416" s="33" t="s">
        <v>861</v>
      </c>
      <c r="D416" s="36" t="s">
        <v>226</v>
      </c>
      <c r="E416" s="37" t="s">
        <v>227</v>
      </c>
      <c r="F416" s="5" t="str">
        <f t="shared" si="6"/>
        <v>swedoffice</v>
      </c>
      <c r="G416" s="5" t="s">
        <v>4</v>
      </c>
      <c r="H416" s="5" t="s">
        <v>5</v>
      </c>
      <c r="I416" s="6">
        <v>45159</v>
      </c>
    </row>
    <row r="417" spans="1:9" ht="13.5">
      <c r="A417" s="2" t="s">
        <v>1</v>
      </c>
      <c r="B417" s="3" t="str">
        <f ca="1">IFERROR(__xludf.DUMMYFUNCTION("REGEXEXTRACT(C417, ""https?:\/\/(?:.*\.)*(.+\..+?)\/"")"),"socialsummit17.se")</f>
        <v>socialsummit17.se</v>
      </c>
      <c r="C417" s="33" t="s">
        <v>862</v>
      </c>
      <c r="D417" s="36" t="s">
        <v>3</v>
      </c>
      <c r="E417" s="37" t="s">
        <v>10</v>
      </c>
      <c r="F417" s="5" t="str">
        <f t="shared" si="6"/>
        <v>haxan.se</v>
      </c>
      <c r="G417" s="5" t="s">
        <v>4</v>
      </c>
      <c r="H417" s="5" t="s">
        <v>5</v>
      </c>
      <c r="I417" s="6">
        <v>45159</v>
      </c>
    </row>
    <row r="418" spans="1:9" ht="13.5">
      <c r="A418" s="2" t="s">
        <v>1</v>
      </c>
      <c r="B418" s="3" t="str">
        <f ca="1">IFERROR(__xludf.DUMMYFUNCTION("REGEXEXTRACT(C418, ""https?:\/\/(?:.*\.)*(.+\..+?)\/"")"),"kamagraquees.nu")</f>
        <v>kamagraquees.nu</v>
      </c>
      <c r="C418" s="33" t="s">
        <v>863</v>
      </c>
      <c r="D418" s="36" t="s">
        <v>864</v>
      </c>
      <c r="E418" s="37" t="s">
        <v>865</v>
      </c>
      <c r="F418" s="5" t="str">
        <f t="shared" si="6"/>
        <v>haxan.se</v>
      </c>
      <c r="G418" s="5" t="s">
        <v>4</v>
      </c>
      <c r="H418" s="5" t="s">
        <v>5</v>
      </c>
      <c r="I418" s="6">
        <v>45159</v>
      </c>
    </row>
    <row r="419" spans="1:9" ht="13.5">
      <c r="A419" s="2" t="s">
        <v>325</v>
      </c>
      <c r="B419" s="3" t="str">
        <f ca="1">IFERROR(__xludf.DUMMYFUNCTION("REGEXEXTRACT(C419, ""https?:\/\/(?:.*\.)*(.+\..+?)\/"")"),"frii.se")</f>
        <v>frii.se</v>
      </c>
      <c r="C419" s="33" t="s">
        <v>866</v>
      </c>
      <c r="D419" s="36" t="s">
        <v>867</v>
      </c>
      <c r="E419" s="37" t="s">
        <v>868</v>
      </c>
      <c r="F419" s="5" t="str">
        <f t="shared" si="6"/>
        <v>tiotak.se</v>
      </c>
      <c r="G419" s="5" t="s">
        <v>4</v>
      </c>
      <c r="H419" s="5" t="s">
        <v>5</v>
      </c>
      <c r="I419" s="6">
        <v>45159</v>
      </c>
    </row>
    <row r="420" spans="1:9" ht="13.5">
      <c r="A420" s="2" t="s">
        <v>325</v>
      </c>
      <c r="B420" s="3" t="str">
        <f ca="1">IFERROR(__xludf.DUMMYFUNCTION("REGEXEXTRACT(C420, ""https?:\/\/(?:.*\.)*(.+\..+?)\/"")"),"dinlokalabokhandel.se")</f>
        <v>dinlokalabokhandel.se</v>
      </c>
      <c r="C420" s="33" t="s">
        <v>869</v>
      </c>
      <c r="D420" s="36" t="s">
        <v>870</v>
      </c>
      <c r="E420" s="37" t="s">
        <v>871</v>
      </c>
      <c r="F420" s="5" t="str">
        <f t="shared" si="6"/>
        <v>tiotak.se</v>
      </c>
      <c r="G420" s="5" t="s">
        <v>4</v>
      </c>
      <c r="H420" s="5" t="s">
        <v>5</v>
      </c>
      <c r="I420" s="6">
        <v>45159</v>
      </c>
    </row>
    <row r="421" spans="1:9" ht="13.5">
      <c r="A421" s="2" t="s">
        <v>325</v>
      </c>
      <c r="B421" s="3" t="str">
        <f ca="1">IFERROR(__xludf.DUMMYFUNCTION("REGEXEXTRACT(#REF!, ""https?:\/\/(?:.*\.)*(.+\..+?)\/"")"),"#REF!")</f>
        <v>#REF!</v>
      </c>
      <c r="C421" s="33" t="s">
        <v>872</v>
      </c>
      <c r="D421" s="36" t="s">
        <v>873</v>
      </c>
      <c r="E421" s="37" t="s">
        <v>874</v>
      </c>
      <c r="F421" s="5" t="str">
        <f t="shared" si="6"/>
        <v>tiotak.se</v>
      </c>
      <c r="G421" s="5" t="s">
        <v>4</v>
      </c>
      <c r="H421" s="5" t="s">
        <v>5</v>
      </c>
      <c r="I421" s="6">
        <v>45159</v>
      </c>
    </row>
    <row r="422" spans="1:9" ht="13.5">
      <c r="A422" s="2" t="s">
        <v>20</v>
      </c>
      <c r="B422" s="3" t="str">
        <f ca="1">IFERROR(__xludf.DUMMYFUNCTION("REGEXEXTRACT(C422, ""https?:\/\/(?:.*\.)*(.+\..+?)\/"")"),"vardagsbetraktelser.se")</f>
        <v>vardagsbetraktelser.se</v>
      </c>
      <c r="C422" s="4" t="s">
        <v>875</v>
      </c>
      <c r="D422" s="4" t="s">
        <v>876</v>
      </c>
      <c r="E422" s="5" t="s">
        <v>877</v>
      </c>
      <c r="F422" s="5" t="str">
        <f t="shared" si="6"/>
        <v>blugiallo.com</v>
      </c>
      <c r="G422" s="5" t="s">
        <v>4</v>
      </c>
      <c r="H422" s="5" t="s">
        <v>5</v>
      </c>
      <c r="I422" s="6">
        <v>45159</v>
      </c>
    </row>
    <row r="423" spans="1:9" ht="14.25">
      <c r="A423" s="7" t="s">
        <v>386</v>
      </c>
      <c r="B423" s="3" t="str">
        <f ca="1">IFERROR(__xludf.DUMMYFUNCTION("REGEXEXTRACT(C422, ""https?:\/\/(?:.*\.)*(.+\..+?)\/"")"),"vardagsbetraktelser.se")</f>
        <v>vardagsbetraktelser.se</v>
      </c>
      <c r="C423" s="38" t="s">
        <v>878</v>
      </c>
      <c r="D423" s="39" t="s">
        <v>452</v>
      </c>
      <c r="E423" s="37" t="s">
        <v>879</v>
      </c>
      <c r="F423" s="5" t="str">
        <f t="shared" si="6"/>
        <v>pontech</v>
      </c>
      <c r="G423" s="5" t="s">
        <v>4</v>
      </c>
      <c r="H423" s="5" t="s">
        <v>5</v>
      </c>
      <c r="I423" s="6">
        <v>45160</v>
      </c>
    </row>
    <row r="424" spans="1:9" ht="13.5">
      <c r="A424" s="2" t="s">
        <v>535</v>
      </c>
      <c r="B424" s="3" t="str">
        <f ca="1">IFERROR(__xludf.DUMMYFUNCTION("REGEXEXTRACT(C424, ""https?:\/\/(?:.*\.)*(.+\..+?)\/"")"),"xn--malmcloud-37a.se")</f>
        <v>xn--malmcloud-37a.se</v>
      </c>
      <c r="C424" s="40" t="s">
        <v>880</v>
      </c>
      <c r="D424" s="36" t="s">
        <v>536</v>
      </c>
      <c r="E424" s="37" t="s">
        <v>881</v>
      </c>
      <c r="F424" s="5" t="str">
        <f t="shared" si="6"/>
        <v>tryggbil.se</v>
      </c>
      <c r="G424" s="5" t="s">
        <v>4</v>
      </c>
      <c r="H424" s="5" t="s">
        <v>5</v>
      </c>
      <c r="I424" s="6">
        <v>45160</v>
      </c>
    </row>
    <row r="425" spans="1:9" ht="13.5">
      <c r="A425" s="2" t="s">
        <v>535</v>
      </c>
      <c r="B425" s="3" t="str">
        <f ca="1">IFERROR(__xludf.DUMMYFUNCTION("REGEXEXTRACT(C425, ""https?:\/\/(?:.*\.)*(.+\..+?)\/"")"),"s-automation.se")</f>
        <v>s-automation.se</v>
      </c>
      <c r="C425" s="40" t="s">
        <v>882</v>
      </c>
      <c r="D425" s="41" t="s">
        <v>536</v>
      </c>
      <c r="E425" s="37" t="s">
        <v>883</v>
      </c>
      <c r="F425" s="5" t="str">
        <f t="shared" si="6"/>
        <v>tryggbil.se</v>
      </c>
      <c r="G425" s="5" t="s">
        <v>4</v>
      </c>
      <c r="H425" s="5" t="s">
        <v>5</v>
      </c>
      <c r="I425" s="6">
        <v>45160</v>
      </c>
    </row>
    <row r="426" spans="1:9" ht="13.5">
      <c r="A426" s="7" t="s">
        <v>329</v>
      </c>
      <c r="B426" s="3" t="str">
        <f ca="1">IFERROR(__xludf.DUMMYFUNCTION("REGEXEXTRACT(C426, ""https?:\/\/(?:.*\.)*(.+\..+?)\/"")"),"frii.se")</f>
        <v>frii.se</v>
      </c>
      <c r="C426" s="40" t="s">
        <v>884</v>
      </c>
      <c r="D426" s="36" t="s">
        <v>472</v>
      </c>
      <c r="E426" s="37" t="s">
        <v>473</v>
      </c>
      <c r="F426" s="5" t="str">
        <f t="shared" si="6"/>
        <v>vont</v>
      </c>
      <c r="G426" s="5" t="s">
        <v>4</v>
      </c>
      <c r="H426" s="5" t="s">
        <v>5</v>
      </c>
      <c r="I426" s="6">
        <v>45160</v>
      </c>
    </row>
    <row r="427" spans="1:9" ht="13.5">
      <c r="A427" s="7" t="s">
        <v>329</v>
      </c>
      <c r="B427" s="3" t="str">
        <f ca="1">IFERROR(__xludf.DUMMYFUNCTION("REGEXEXTRACT(C427, ""https?:\/\/(?:.*\.)*(.+\..+?)\/"")"),"dinlokalabokhandel.se")</f>
        <v>dinlokalabokhandel.se</v>
      </c>
      <c r="C427" s="40" t="s">
        <v>885</v>
      </c>
      <c r="D427" s="41" t="s">
        <v>331</v>
      </c>
      <c r="E427" s="37" t="s">
        <v>332</v>
      </c>
      <c r="F427" s="5" t="str">
        <f t="shared" si="6"/>
        <v>vont</v>
      </c>
      <c r="G427" s="5" t="s">
        <v>4</v>
      </c>
      <c r="H427" s="5" t="s">
        <v>5</v>
      </c>
      <c r="I427" s="6">
        <v>45161</v>
      </c>
    </row>
    <row r="428" spans="1:9" ht="13.5">
      <c r="A428" s="2" t="s">
        <v>464</v>
      </c>
      <c r="B428" s="3" t="str">
        <f ca="1">IFERROR(__xludf.DUMMYFUNCTION("REGEXEXTRACT(C428, ""https?:\/\/(?:.*\.)*(.+\..+?)\/"")"),"edgehyllie.se")</f>
        <v>edgehyllie.se</v>
      </c>
      <c r="C428" s="40" t="s">
        <v>886</v>
      </c>
      <c r="D428" s="42" t="s">
        <v>466</v>
      </c>
      <c r="E428" s="37" t="s">
        <v>887</v>
      </c>
      <c r="F428" s="5" t="str">
        <f t="shared" si="6"/>
        <v>villarelining.se</v>
      </c>
      <c r="G428" s="5" t="s">
        <v>4</v>
      </c>
      <c r="H428" s="5" t="s">
        <v>5</v>
      </c>
      <c r="I428" s="6">
        <v>45161</v>
      </c>
    </row>
    <row r="429" spans="1:9" ht="13.5">
      <c r="A429" s="2" t="s">
        <v>464</v>
      </c>
      <c r="B429" s="3" t="str">
        <f ca="1">IFERROR(__xludf.DUMMYFUNCTION("REGEXEXTRACT(C429, ""https?:\/\/(?:.*\.)*(.+\..+?)\/"")"),"interiorforyou.se")</f>
        <v>interiorforyou.se</v>
      </c>
      <c r="C429" s="40" t="s">
        <v>888</v>
      </c>
      <c r="D429" s="36" t="s">
        <v>466</v>
      </c>
      <c r="E429" s="37" t="s">
        <v>710</v>
      </c>
      <c r="F429" s="5" t="str">
        <f t="shared" si="6"/>
        <v>villarelining.se</v>
      </c>
      <c r="G429" s="5" t="s">
        <v>4</v>
      </c>
      <c r="H429" s="5" t="s">
        <v>5</v>
      </c>
      <c r="I429" s="6">
        <v>45161</v>
      </c>
    </row>
    <row r="430" spans="1:9" ht="13.5">
      <c r="A430" s="2" t="s">
        <v>272</v>
      </c>
      <c r="B430" s="3" t="str">
        <f ca="1">IFERROR(__xludf.DUMMYFUNCTION("REGEXEXTRACT(C430, ""https?:\/\/(?:.*\.)*(.+\..+?)\/"")"),"coinmixer.se")</f>
        <v>coinmixer.se</v>
      </c>
      <c r="C430" s="40" t="s">
        <v>889</v>
      </c>
      <c r="D430" s="36" t="s">
        <v>274</v>
      </c>
      <c r="E430" s="37" t="s">
        <v>637</v>
      </c>
      <c r="F430" s="5" t="str">
        <f t="shared" si="6"/>
        <v>schjodt.com</v>
      </c>
      <c r="G430" s="5" t="s">
        <v>4</v>
      </c>
      <c r="H430" s="5" t="s">
        <v>5</v>
      </c>
      <c r="I430" s="6">
        <v>45161</v>
      </c>
    </row>
    <row r="431" spans="1:9" ht="13.5">
      <c r="A431" s="2" t="s">
        <v>272</v>
      </c>
      <c r="B431" s="3" t="str">
        <f ca="1">IFERROR(__xludf.DUMMYFUNCTION("REGEXEXTRACT(C431, ""https?:\/\/(?:.*\.)*(.+\..+?)\/"")"),"mobilpengar.se")</f>
        <v>mobilpengar.se</v>
      </c>
      <c r="C431" s="40" t="s">
        <v>890</v>
      </c>
      <c r="D431" s="36" t="s">
        <v>274</v>
      </c>
      <c r="E431" s="37" t="s">
        <v>891</v>
      </c>
      <c r="F431" s="5" t="str">
        <f t="shared" si="6"/>
        <v>schjodt.com</v>
      </c>
      <c r="G431" s="5" t="s">
        <v>4</v>
      </c>
      <c r="H431" s="5" t="s">
        <v>5</v>
      </c>
      <c r="I431" s="6">
        <v>45161</v>
      </c>
    </row>
    <row r="432" spans="1:9" ht="13.5">
      <c r="A432" s="2" t="s">
        <v>714</v>
      </c>
      <c r="B432" s="3" t="str">
        <f ca="1">IFERROR(__xludf.DUMMYFUNCTION("REGEXEXTRACT(C432, ""https?:\/\/(?:.*\.)*(.+\..+?)\/"")"),"bergen2017.no")</f>
        <v>bergen2017.no</v>
      </c>
      <c r="C432" s="8" t="s">
        <v>892</v>
      </c>
      <c r="D432" s="4" t="s">
        <v>719</v>
      </c>
      <c r="E432" s="9" t="s">
        <v>719</v>
      </c>
      <c r="F432" s="5" t="str">
        <f t="shared" si="6"/>
        <v>Alfa.no</v>
      </c>
      <c r="G432" s="5" t="s">
        <v>4</v>
      </c>
      <c r="H432" s="5" t="s">
        <v>382</v>
      </c>
      <c r="I432" s="6">
        <v>45161</v>
      </c>
    </row>
    <row r="433" spans="1:9" ht="13.5">
      <c r="A433" s="2" t="s">
        <v>723</v>
      </c>
      <c r="B433" s="3" t="str">
        <f ca="1">IFERROR(__xludf.DUMMYFUNCTION("REGEXEXTRACT(C433, ""https?:\/\/(?:.*\.)*(.+\..+?)\/"")"),"cpp-luxury.com")</f>
        <v>cpp-luxury.com</v>
      </c>
      <c r="C433" s="4" t="s">
        <v>893</v>
      </c>
      <c r="D433" s="4" t="s">
        <v>725</v>
      </c>
      <c r="E433" s="9" t="s">
        <v>725</v>
      </c>
      <c r="F433" s="5" t="str">
        <f t="shared" si="6"/>
        <v>aretrotale.com</v>
      </c>
      <c r="G433" s="5" t="s">
        <v>4</v>
      </c>
      <c r="H433" s="5" t="s">
        <v>23</v>
      </c>
      <c r="I433" s="6">
        <v>45161</v>
      </c>
    </row>
    <row r="434" spans="1:9" ht="13.5">
      <c r="A434" s="2" t="s">
        <v>714</v>
      </c>
      <c r="B434" s="3" t="str">
        <f ca="1">IFERROR(__xludf.DUMMYFUNCTION("REGEXEXTRACT(C434, ""https?:\/\/(?:.*\.)*(.+\..+?)\/"")"),"dagensperspektiv.no")</f>
        <v>dagensperspektiv.no</v>
      </c>
      <c r="C434" s="4" t="s">
        <v>894</v>
      </c>
      <c r="D434" s="4" t="s">
        <v>784</v>
      </c>
      <c r="E434" s="5" t="s">
        <v>895</v>
      </c>
      <c r="F434" s="5" t="str">
        <f t="shared" si="6"/>
        <v>Alfa.no</v>
      </c>
      <c r="G434" s="5" t="s">
        <v>4</v>
      </c>
      <c r="H434" s="5" t="s">
        <v>382</v>
      </c>
      <c r="I434" s="6">
        <v>45162</v>
      </c>
    </row>
    <row r="435" spans="1:9" ht="13.5">
      <c r="A435" s="2" t="s">
        <v>348</v>
      </c>
      <c r="B435" s="3" t="str">
        <f ca="1">IFERROR(__xludf.DUMMYFUNCTION("REGEXEXTRACT(C435, ""https?:\/\/(?:.*\.)*(.+\..+?)\/"")"),"dottrusty.com")</f>
        <v>dottrusty.com</v>
      </c>
      <c r="C435" s="4" t="s">
        <v>896</v>
      </c>
      <c r="D435" s="4" t="s">
        <v>350</v>
      </c>
      <c r="E435" s="5" t="s">
        <v>897</v>
      </c>
      <c r="F435" s="5" t="str">
        <f t="shared" si="6"/>
        <v>happysocks.com</v>
      </c>
      <c r="G435" s="5" t="s">
        <v>4</v>
      </c>
      <c r="H435" s="5" t="s">
        <v>345</v>
      </c>
      <c r="I435" s="6">
        <v>45162</v>
      </c>
    </row>
    <row r="436" spans="1:9" ht="13.5">
      <c r="A436" s="2" t="s">
        <v>342</v>
      </c>
      <c r="B436" s="3" t="str">
        <f ca="1">IFERROR(__xludf.DUMMYFUNCTION("REGEXEXTRACT(C436, ""https?:\/\/(?:.*\.)*(.+\..+?)\/"")"),"infomeddnews.com")</f>
        <v>infomeddnews.com</v>
      </c>
      <c r="C436" s="4" t="s">
        <v>898</v>
      </c>
      <c r="D436" s="4" t="s">
        <v>899</v>
      </c>
      <c r="E436" s="5" t="s">
        <v>900</v>
      </c>
      <c r="F436" s="5" t="str">
        <f t="shared" si="6"/>
        <v>advancepointcap.com</v>
      </c>
      <c r="G436" s="5" t="s">
        <v>4</v>
      </c>
      <c r="H436" s="5" t="s">
        <v>345</v>
      </c>
      <c r="I436" s="6">
        <v>45162</v>
      </c>
    </row>
    <row r="437" spans="1:9" ht="13.5">
      <c r="A437" s="7" t="s">
        <v>224</v>
      </c>
      <c r="B437" s="3" t="str">
        <f ca="1">IFERROR(__xludf.DUMMYFUNCTION("REGEXEXTRACT(C437, ""https?:\/\/(?:.*\.)*(.+\..+?)\/"")"),"stilrenahem.se")</f>
        <v>stilrenahem.se</v>
      </c>
      <c r="C437" s="4" t="s">
        <v>901</v>
      </c>
      <c r="D437" s="4" t="s">
        <v>226</v>
      </c>
      <c r="E437" s="5" t="s">
        <v>368</v>
      </c>
      <c r="F437" s="5" t="str">
        <f t="shared" si="6"/>
        <v>swedoffice</v>
      </c>
      <c r="G437" s="5" t="s">
        <v>4</v>
      </c>
      <c r="H437" s="5" t="s">
        <v>5</v>
      </c>
      <c r="I437" s="6">
        <v>45162</v>
      </c>
    </row>
    <row r="438" spans="1:9" ht="13.5">
      <c r="A438" s="2" t="s">
        <v>405</v>
      </c>
      <c r="B438" s="3" t="str">
        <f ca="1">IFERROR(__xludf.DUMMYFUNCTION("REGEXEXTRACT(C438, ""https?:\/\/(?:.*\.)*(.+\..+?)\/"")"),"listor.se")</f>
        <v>listor.se</v>
      </c>
      <c r="C438" s="4" t="s">
        <v>902</v>
      </c>
      <c r="D438" s="4" t="s">
        <v>405</v>
      </c>
      <c r="E438" s="9" t="s">
        <v>405</v>
      </c>
      <c r="F438" s="5" t="str">
        <f t="shared" si="6"/>
        <v>rehabgrossisten.com</v>
      </c>
      <c r="G438" s="5" t="s">
        <v>4</v>
      </c>
      <c r="H438" s="5" t="s">
        <v>5</v>
      </c>
      <c r="I438" s="6">
        <v>45162</v>
      </c>
    </row>
    <row r="439" spans="1:9" ht="13.5">
      <c r="A439" s="2" t="s">
        <v>348</v>
      </c>
      <c r="B439" s="3" t="str">
        <f ca="1">IFERROR(__xludf.DUMMYFUNCTION("REGEXEXTRACT(C439, ""https?:\/\/(?:.*\.)*(.+\..+?)\/"")"),"thebulletintime.com")</f>
        <v>thebulletintime.com</v>
      </c>
      <c r="C439" s="4" t="s">
        <v>903</v>
      </c>
      <c r="D439" s="4" t="s">
        <v>350</v>
      </c>
      <c r="E439" s="5" t="s">
        <v>512</v>
      </c>
      <c r="F439" s="5" t="str">
        <f t="shared" si="6"/>
        <v>happysocks.com</v>
      </c>
      <c r="G439" s="5" t="s">
        <v>4</v>
      </c>
      <c r="H439" s="5" t="s">
        <v>345</v>
      </c>
      <c r="I439" s="6">
        <v>45162</v>
      </c>
    </row>
    <row r="440" spans="1:9" ht="13.5">
      <c r="A440" s="2" t="s">
        <v>342</v>
      </c>
      <c r="B440" s="3" t="str">
        <f ca="1">IFERROR(__xludf.DUMMYFUNCTION("REGEXEXTRACT(C440, ""https?:\/\/(?:.*\.)*(.+\..+?)\/"")"),"thedigestonline.com")</f>
        <v>thedigestonline.com</v>
      </c>
      <c r="C440" s="4" t="s">
        <v>904</v>
      </c>
      <c r="D440" s="4" t="s">
        <v>344</v>
      </c>
      <c r="E440" s="5" t="s">
        <v>905</v>
      </c>
      <c r="F440" s="5" t="str">
        <f t="shared" si="6"/>
        <v>advancepointcap.com</v>
      </c>
      <c r="G440" s="5" t="s">
        <v>4</v>
      </c>
      <c r="H440" s="5" t="s">
        <v>345</v>
      </c>
      <c r="I440" s="6">
        <v>45162</v>
      </c>
    </row>
    <row r="441" spans="1:9" ht="13.5">
      <c r="A441" s="2" t="s">
        <v>20</v>
      </c>
      <c r="B441" s="3" t="str">
        <f ca="1">IFERROR(__xludf.DUMMYFUNCTION("REGEXEXTRACT(C441, ""https?:\/\/(?:.*\.)*(.+\..+?)\/"")"),"budgetbrollop.se")</f>
        <v>budgetbrollop.se</v>
      </c>
      <c r="C441" s="4" t="s">
        <v>906</v>
      </c>
      <c r="D441" s="4" t="s">
        <v>526</v>
      </c>
      <c r="E441" s="5" t="s">
        <v>621</v>
      </c>
      <c r="F441" s="5" t="str">
        <f t="shared" si="6"/>
        <v>blugiallo.com</v>
      </c>
      <c r="G441" s="5" t="s">
        <v>4</v>
      </c>
      <c r="H441" s="5" t="s">
        <v>5</v>
      </c>
      <c r="I441" s="6">
        <v>45162</v>
      </c>
    </row>
    <row r="442" spans="1:9" ht="13.5">
      <c r="A442" s="7" t="s">
        <v>224</v>
      </c>
      <c r="B442" s="3" t="str">
        <f ca="1">IFERROR(__xludf.DUMMYFUNCTION("REGEXEXTRACT(C442, ""https?:\/\/(?:.*\.)*(.+\..+?)\/"")"),"gravnorrkoping.se")</f>
        <v>gravnorrkoping.se</v>
      </c>
      <c r="C442" s="40" t="s">
        <v>907</v>
      </c>
      <c r="D442" s="36" t="s">
        <v>290</v>
      </c>
      <c r="E442" s="37" t="s">
        <v>291</v>
      </c>
      <c r="F442" s="5" t="str">
        <f t="shared" si="6"/>
        <v>swedoffice</v>
      </c>
      <c r="G442" s="5" t="s">
        <v>4</v>
      </c>
      <c r="H442" s="5" t="s">
        <v>5</v>
      </c>
      <c r="I442" s="6">
        <v>45163</v>
      </c>
    </row>
    <row r="443" spans="1:9" ht="13.5">
      <c r="A443" s="2" t="s">
        <v>20</v>
      </c>
      <c r="B443" s="3" t="str">
        <f ca="1">IFERROR(__xludf.DUMMYFUNCTION("REGEXEXTRACT(C443, ""https?:\/\/(?:.*\.)*(.+\..+?)\/"")"),"totallystockholm.se")</f>
        <v>totallystockholm.se</v>
      </c>
      <c r="C443" s="4" t="s">
        <v>908</v>
      </c>
      <c r="D443" s="4" t="s">
        <v>529</v>
      </c>
      <c r="E443" s="5" t="s">
        <v>642</v>
      </c>
      <c r="F443" s="5" t="str">
        <f t="shared" si="6"/>
        <v>blugiallo.com</v>
      </c>
      <c r="G443" s="5" t="s">
        <v>4</v>
      </c>
      <c r="H443" s="5" t="s">
        <v>5</v>
      </c>
      <c r="I443" s="6">
        <v>45163</v>
      </c>
    </row>
    <row r="444" spans="1:9" ht="13.5">
      <c r="A444" s="43" t="s">
        <v>703</v>
      </c>
      <c r="B444" s="44" t="str">
        <f ca="1">IFERROR(__xludf.DUMMYFUNCTION("REGEXEXTRACT(C444, ""https?:\/\/(?:.*\.)*(.+\..+?)\/"")"),"webb-kurser.se")</f>
        <v>webb-kurser.se</v>
      </c>
      <c r="C444" s="45" t="s">
        <v>909</v>
      </c>
      <c r="D444" s="46" t="s">
        <v>703</v>
      </c>
      <c r="E444" s="48" t="s">
        <v>703</v>
      </c>
      <c r="F444" s="5" t="str">
        <f t="shared" si="6"/>
        <v>distansinstitutet.se</v>
      </c>
      <c r="G444" s="47" t="s">
        <v>4</v>
      </c>
      <c r="H444" s="47" t="s">
        <v>5</v>
      </c>
      <c r="I444" s="6">
        <v>45166</v>
      </c>
    </row>
    <row r="445" spans="1:9" ht="13.5">
      <c r="A445" s="43" t="s">
        <v>703</v>
      </c>
      <c r="B445" s="44" t="str">
        <f ca="1">IFERROR(__xludf.DUMMYFUNCTION("REGEXEXTRACT(C445, ""https?:\/\/(?:.*\.)*(.+\..+?)\/"")"),"socialfactory.se")</f>
        <v>socialfactory.se</v>
      </c>
      <c r="C445" s="45" t="s">
        <v>910</v>
      </c>
      <c r="D445" s="46" t="s">
        <v>729</v>
      </c>
      <c r="E445" s="49" t="s">
        <v>730</v>
      </c>
      <c r="F445" s="5" t="str">
        <f t="shared" si="6"/>
        <v>distansinstitutet.se</v>
      </c>
      <c r="G445" s="47" t="s">
        <v>4</v>
      </c>
      <c r="H445" s="47" t="s">
        <v>5</v>
      </c>
      <c r="I445" s="6">
        <v>45166</v>
      </c>
    </row>
    <row r="446" spans="1:9" ht="13.5">
      <c r="A446" s="43" t="s">
        <v>703</v>
      </c>
      <c r="B446" s="44" t="str">
        <f ca="1">IFERROR(__xludf.DUMMYFUNCTION("REGEXEXTRACT(C446, ""https?:\/\/(?:.*\.)*(.+\..+?)\/"")"),"1direct.se")</f>
        <v>1direct.se</v>
      </c>
      <c r="C446" s="45" t="s">
        <v>911</v>
      </c>
      <c r="D446" s="46" t="s">
        <v>912</v>
      </c>
      <c r="E446" s="49" t="s">
        <v>913</v>
      </c>
      <c r="F446" s="5" t="str">
        <f t="shared" si="6"/>
        <v>distansinstitutet.se</v>
      </c>
      <c r="G446" s="47" t="s">
        <v>4</v>
      </c>
      <c r="H446" s="47" t="s">
        <v>5</v>
      </c>
      <c r="I446" s="6">
        <v>45166</v>
      </c>
    </row>
    <row r="447" spans="1:9" ht="13.5">
      <c r="A447" s="43" t="s">
        <v>703</v>
      </c>
      <c r="B447" s="44" t="str">
        <f ca="1">IFERROR(__xludf.DUMMYFUNCTION("REGEXEXTRACT(C447, ""https?:\/\/(?:.*\.)*(.+\..+?)\/"")"),"14karat.se")</f>
        <v>14karat.se</v>
      </c>
      <c r="C447" s="45" t="s">
        <v>914</v>
      </c>
      <c r="D447" s="46" t="s">
        <v>732</v>
      </c>
      <c r="E447" s="49" t="s">
        <v>733</v>
      </c>
      <c r="F447" s="5" t="str">
        <f t="shared" si="6"/>
        <v>distansinstitutet.se</v>
      </c>
      <c r="G447" s="47" t="s">
        <v>4</v>
      </c>
      <c r="H447" s="47" t="s">
        <v>5</v>
      </c>
      <c r="I447" s="50">
        <v>45167</v>
      </c>
    </row>
    <row r="448" spans="1:9" ht="13.5">
      <c r="A448" s="43" t="s">
        <v>703</v>
      </c>
      <c r="B448" s="44" t="str">
        <f ca="1">IFERROR(__xludf.DUMMYFUNCTION("REGEXEXTRACT(C448, ""https?:\/\/(?:.*\.)*(.+\..+?)\/"")"),"makeachange.se")</f>
        <v>makeachange.se</v>
      </c>
      <c r="C448" s="45" t="s">
        <v>915</v>
      </c>
      <c r="D448" s="46" t="s">
        <v>735</v>
      </c>
      <c r="E448" s="49" t="s">
        <v>736</v>
      </c>
      <c r="F448" s="5" t="str">
        <f t="shared" si="6"/>
        <v>distansinstitutet.se</v>
      </c>
      <c r="G448" s="47" t="s">
        <v>4</v>
      </c>
      <c r="H448" s="47" t="s">
        <v>5</v>
      </c>
      <c r="I448" s="50">
        <v>45167</v>
      </c>
    </row>
    <row r="449" spans="1:9" ht="13.5">
      <c r="A449" s="43" t="s">
        <v>703</v>
      </c>
      <c r="B449" s="44" t="str">
        <f ca="1">IFERROR(__xludf.DUMMYFUNCTION("REGEXEXTRACT(C449, ""https?:\/\/(?:.*\.)*(.+\..+?)\/"")"),"andreanorrman.se")</f>
        <v>andreanorrman.se</v>
      </c>
      <c r="C449" s="45" t="s">
        <v>916</v>
      </c>
      <c r="D449" s="46" t="s">
        <v>738</v>
      </c>
      <c r="E449" s="49" t="s">
        <v>739</v>
      </c>
      <c r="F449" s="5" t="str">
        <f t="shared" si="6"/>
        <v>distansinstitutet.se</v>
      </c>
      <c r="G449" s="47" t="s">
        <v>4</v>
      </c>
      <c r="H449" s="47" t="s">
        <v>5</v>
      </c>
      <c r="I449" s="50">
        <v>45167</v>
      </c>
    </row>
    <row r="450" spans="1:9" ht="13.5">
      <c r="A450" s="43" t="s">
        <v>703</v>
      </c>
      <c r="B450" s="44" t="str">
        <f ca="1">IFERROR(__xludf.DUMMYFUNCTION("REGEXEXTRACT(C450, ""https?:\/\/(?:.*\.)*(.+\..+?)\/"")"),"xn--malmcloud-37a.se")</f>
        <v>xn--malmcloud-37a.se</v>
      </c>
      <c r="C450" s="51" t="s">
        <v>917</v>
      </c>
      <c r="D450" s="46" t="s">
        <v>741</v>
      </c>
      <c r="E450" s="49" t="s">
        <v>742</v>
      </c>
      <c r="F450" s="5" t="str">
        <f t="shared" si="6"/>
        <v>distansinstitutet.se</v>
      </c>
      <c r="G450" s="47" t="s">
        <v>4</v>
      </c>
      <c r="H450" s="47" t="s">
        <v>5</v>
      </c>
      <c r="I450" s="50">
        <v>45167</v>
      </c>
    </row>
    <row r="451" spans="1:9" ht="13.5">
      <c r="A451" s="43" t="s">
        <v>703</v>
      </c>
      <c r="B451" s="44" t="str">
        <f ca="1">IFERROR(__xludf.DUMMYFUNCTION("REGEXEXTRACT(C451, ""https?:\/\/(?:.*\.)*(.+\..+?)\/"")"),"svalan.se")</f>
        <v>svalan.se</v>
      </c>
      <c r="C451" s="45" t="s">
        <v>918</v>
      </c>
      <c r="D451" s="46" t="s">
        <v>744</v>
      </c>
      <c r="E451" s="49" t="s">
        <v>745</v>
      </c>
      <c r="F451" s="5" t="str">
        <f t="shared" ref="F451:F514" si="7">A451</f>
        <v>distansinstitutet.se</v>
      </c>
      <c r="G451" s="47" t="s">
        <v>4</v>
      </c>
      <c r="H451" s="47" t="s">
        <v>5</v>
      </c>
      <c r="I451" s="50">
        <v>45167</v>
      </c>
    </row>
    <row r="452" spans="1:9" ht="13.5">
      <c r="A452" s="43" t="s">
        <v>703</v>
      </c>
      <c r="B452" s="44" t="str">
        <f ca="1">IFERROR(__xludf.DUMMYFUNCTION("REGEXEXTRACT(C452, ""https?:\/\/(?:.*\.)*(.+\..+?)\/"")"),"sek-converter.se")</f>
        <v>sek-converter.se</v>
      </c>
      <c r="C452" s="45" t="s">
        <v>919</v>
      </c>
      <c r="D452" s="46" t="s">
        <v>747</v>
      </c>
      <c r="E452" s="49" t="s">
        <v>920</v>
      </c>
      <c r="F452" s="5" t="str">
        <f t="shared" si="7"/>
        <v>distansinstitutet.se</v>
      </c>
      <c r="G452" s="47" t="s">
        <v>4</v>
      </c>
      <c r="H452" s="47" t="s">
        <v>5</v>
      </c>
      <c r="I452" s="50">
        <v>45167</v>
      </c>
    </row>
    <row r="453" spans="1:9" ht="13.5">
      <c r="A453" s="43" t="s">
        <v>703</v>
      </c>
      <c r="B453" s="44" t="str">
        <f ca="1">IFERROR(__xludf.DUMMYFUNCTION("REGEXEXTRACT(C453, ""https?:\/\/(?:.*\.)*(.+\..+?)\/"")"),"serviceteknikerkarlstad.se")</f>
        <v>serviceteknikerkarlstad.se</v>
      </c>
      <c r="C453" s="45" t="s">
        <v>921</v>
      </c>
      <c r="D453" s="46" t="s">
        <v>750</v>
      </c>
      <c r="E453" s="49" t="s">
        <v>751</v>
      </c>
      <c r="F453" s="5" t="str">
        <f t="shared" si="7"/>
        <v>distansinstitutet.se</v>
      </c>
      <c r="G453" s="47" t="s">
        <v>4</v>
      </c>
      <c r="H453" s="47" t="s">
        <v>5</v>
      </c>
      <c r="I453" s="50">
        <v>45167</v>
      </c>
    </row>
    <row r="454" spans="1:9" ht="13.5">
      <c r="A454" s="43" t="s">
        <v>703</v>
      </c>
      <c r="B454" s="44" t="str">
        <f ca="1">IFERROR(__xludf.DUMMYFUNCTION("REGEXEXTRACT(C454, ""https?:\/\/(?:.*\.)*(.+\..+?)\/"")"),"now.nu")</f>
        <v>now.nu</v>
      </c>
      <c r="C454" s="45" t="s">
        <v>922</v>
      </c>
      <c r="D454" s="52" t="s">
        <v>753</v>
      </c>
      <c r="E454" s="49" t="s">
        <v>923</v>
      </c>
      <c r="F454" s="5" t="str">
        <f t="shared" si="7"/>
        <v>distansinstitutet.se</v>
      </c>
      <c r="G454" s="47" t="s">
        <v>4</v>
      </c>
      <c r="H454" s="47" t="s">
        <v>5</v>
      </c>
      <c r="I454" s="50">
        <v>45167</v>
      </c>
    </row>
    <row r="455" spans="1:9" ht="13.5">
      <c r="A455" s="2" t="s">
        <v>312</v>
      </c>
      <c r="B455" s="3" t="str">
        <f ca="1">IFERROR(__xludf.DUMMYFUNCTION("REGEXEXTRACT(C455, ""https?:\/\/(?:.*\.)*(.+\..+?)\/"")"),"serviceteknikerkarlstad.se")</f>
        <v>serviceteknikerkarlstad.se</v>
      </c>
      <c r="C455" s="40" t="s">
        <v>924</v>
      </c>
      <c r="D455" s="36" t="s">
        <v>925</v>
      </c>
      <c r="E455" s="37" t="s">
        <v>926</v>
      </c>
      <c r="F455" s="5" t="str">
        <f t="shared" si="7"/>
        <v>sufracofinebrands.com</v>
      </c>
      <c r="G455" s="5" t="s">
        <v>4</v>
      </c>
      <c r="H455" s="5" t="s">
        <v>5</v>
      </c>
      <c r="I455" s="6">
        <v>45167</v>
      </c>
    </row>
    <row r="456" spans="1:9" ht="13.5">
      <c r="A456" s="2" t="s">
        <v>308</v>
      </c>
      <c r="B456" s="3" t="str">
        <f ca="1">IFERROR(__xludf.DUMMYFUNCTION("REGEXEXTRACT(C456, ""https?:\/\/(?:.*\.)*(.+\..+?)\/"")"),"interiorforyou.se")</f>
        <v>interiorforyou.se</v>
      </c>
      <c r="C456" s="40" t="s">
        <v>927</v>
      </c>
      <c r="D456" s="36" t="s">
        <v>310</v>
      </c>
      <c r="E456" s="37" t="s">
        <v>448</v>
      </c>
      <c r="F456" s="5" t="str">
        <f t="shared" si="7"/>
        <v>lansfast.se</v>
      </c>
      <c r="G456" s="5" t="s">
        <v>4</v>
      </c>
      <c r="H456" s="5" t="s">
        <v>5</v>
      </c>
      <c r="I456" s="6">
        <v>45167</v>
      </c>
    </row>
    <row r="457" spans="1:9" ht="13.5">
      <c r="A457" s="2" t="s">
        <v>348</v>
      </c>
      <c r="B457" s="3" t="str">
        <f ca="1">IFERROR(__xludf.DUMMYFUNCTION("REGEXEXTRACT(C457, ""https?:\/\/(?:.*\.)*(.+\..+?)\/"")"),"activeman.com")</f>
        <v>activeman.com</v>
      </c>
      <c r="C457" s="4" t="s">
        <v>928</v>
      </c>
      <c r="D457" s="4" t="s">
        <v>350</v>
      </c>
      <c r="E457" s="5" t="s">
        <v>512</v>
      </c>
      <c r="F457" s="5" t="str">
        <f t="shared" si="7"/>
        <v>happysocks.com</v>
      </c>
      <c r="G457" s="5" t="s">
        <v>4</v>
      </c>
      <c r="H457" s="5" t="s">
        <v>345</v>
      </c>
      <c r="I457" s="6">
        <v>45167</v>
      </c>
    </row>
    <row r="458" spans="1:9" ht="13.5">
      <c r="A458" s="2" t="s">
        <v>342</v>
      </c>
      <c r="B458" s="3" t="str">
        <f ca="1">IFERROR(__xludf.DUMMYFUNCTION("REGEXEXTRACT(C458, ""https?:\/\/(?:.*\.)*(.+\..+?)\/"")"),"dailyiowan.com")</f>
        <v>dailyiowan.com</v>
      </c>
      <c r="C458" s="4" t="s">
        <v>929</v>
      </c>
      <c r="D458" s="4" t="s">
        <v>930</v>
      </c>
      <c r="E458" s="5" t="s">
        <v>931</v>
      </c>
      <c r="F458" s="5" t="str">
        <f t="shared" si="7"/>
        <v>advancepointcap.com</v>
      </c>
      <c r="G458" s="5" t="s">
        <v>4</v>
      </c>
      <c r="H458" s="5" t="s">
        <v>345</v>
      </c>
      <c r="I458" s="6">
        <v>45167</v>
      </c>
    </row>
    <row r="459" spans="1:9" ht="13.5">
      <c r="A459" s="2" t="s">
        <v>348</v>
      </c>
      <c r="B459" s="3" t="str">
        <f ca="1">IFERROR(__xludf.DUMMYFUNCTION("REGEXEXTRACT(C459, ""https?:\/\/(?:.*\.)*(.+\..+?)\/"")"),"gudstory.com")</f>
        <v>gudstory.com</v>
      </c>
      <c r="C459" s="4" t="s">
        <v>932</v>
      </c>
      <c r="D459" s="4" t="s">
        <v>811</v>
      </c>
      <c r="E459" s="5" t="s">
        <v>493</v>
      </c>
      <c r="F459" s="5" t="str">
        <f t="shared" si="7"/>
        <v>happysocks.com</v>
      </c>
      <c r="G459" s="5" t="s">
        <v>4</v>
      </c>
      <c r="H459" s="5" t="s">
        <v>345</v>
      </c>
      <c r="I459" s="6">
        <v>45167</v>
      </c>
    </row>
    <row r="460" spans="1:9" ht="13.5">
      <c r="A460" s="53" t="s">
        <v>663</v>
      </c>
      <c r="B460" s="54" t="str">
        <f ca="1">IFERROR(__xludf.DUMMYFUNCTION("REGEXEXTRACT(C460, ""https?:\/\/(?:.*\.)*(.+\..+?)\/"")"),"xn--malmcloud-37a.se")</f>
        <v>xn--malmcloud-37a.se</v>
      </c>
      <c r="C460" s="55" t="s">
        <v>933</v>
      </c>
      <c r="D460" s="56" t="s">
        <v>770</v>
      </c>
      <c r="E460" s="58" t="s">
        <v>934</v>
      </c>
      <c r="F460" s="5" t="str">
        <f t="shared" si="7"/>
        <v>robomarkets.com</v>
      </c>
      <c r="G460" s="57" t="s">
        <v>4</v>
      </c>
      <c r="H460" s="57" t="s">
        <v>5</v>
      </c>
      <c r="I460" s="59">
        <v>45168</v>
      </c>
    </row>
    <row r="461" spans="1:9" ht="13.5">
      <c r="A461" s="53" t="s">
        <v>663</v>
      </c>
      <c r="B461" s="54" t="str">
        <f ca="1">IFERROR(__xludf.DUMMYFUNCTION("REGEXEXTRACT(C461, ""https?:\/\/(?:.*\.)*(.+\..+?)\/"")"),"14karat.se")</f>
        <v>14karat.se</v>
      </c>
      <c r="C461" s="60" t="s">
        <v>935</v>
      </c>
      <c r="D461" s="56" t="s">
        <v>770</v>
      </c>
      <c r="E461" s="58" t="s">
        <v>934</v>
      </c>
      <c r="F461" s="5" t="str">
        <f t="shared" si="7"/>
        <v>robomarkets.com</v>
      </c>
      <c r="G461" s="57" t="s">
        <v>4</v>
      </c>
      <c r="H461" s="57" t="s">
        <v>5</v>
      </c>
      <c r="I461" s="59">
        <v>45168</v>
      </c>
    </row>
    <row r="462" spans="1:9" ht="13.5">
      <c r="A462" s="53" t="s">
        <v>663</v>
      </c>
      <c r="B462" s="54" t="str">
        <f ca="1">IFERROR(__xludf.DUMMYFUNCTION("REGEXEXTRACT(C462, ""https?:\/\/(?:.*\.)*(.+\..+?)\/"")"),"andreanorrman.se")</f>
        <v>andreanorrman.se</v>
      </c>
      <c r="C462" s="60" t="s">
        <v>936</v>
      </c>
      <c r="D462" s="56" t="s">
        <v>770</v>
      </c>
      <c r="E462" s="58" t="s">
        <v>937</v>
      </c>
      <c r="F462" s="5" t="str">
        <f t="shared" si="7"/>
        <v>robomarkets.com</v>
      </c>
      <c r="G462" s="57" t="s">
        <v>4</v>
      </c>
      <c r="H462" s="57" t="s">
        <v>5</v>
      </c>
      <c r="I462" s="59">
        <v>45168</v>
      </c>
    </row>
    <row r="463" spans="1:9" ht="13.5">
      <c r="A463" s="53" t="s">
        <v>663</v>
      </c>
      <c r="B463" s="54" t="str">
        <f ca="1">IFERROR(__xludf.DUMMYFUNCTION("REGEXEXTRACT(C463, ""https?:\/\/(?:.*\.)*(.+\..+?)\/"")"),"marketingmartin.se")</f>
        <v>marketingmartin.se</v>
      </c>
      <c r="C463" s="55" t="s">
        <v>938</v>
      </c>
      <c r="D463" s="56" t="s">
        <v>770</v>
      </c>
      <c r="E463" s="58" t="s">
        <v>939</v>
      </c>
      <c r="F463" s="5" t="str">
        <f t="shared" si="7"/>
        <v>robomarkets.com</v>
      </c>
      <c r="G463" s="57" t="s">
        <v>4</v>
      </c>
      <c r="H463" s="57" t="s">
        <v>5</v>
      </c>
      <c r="I463" s="59">
        <v>45168</v>
      </c>
    </row>
    <row r="464" spans="1:9" ht="13.5">
      <c r="A464" s="53" t="s">
        <v>663</v>
      </c>
      <c r="B464" s="54" t="str">
        <f ca="1">IFERROR(__xludf.DUMMYFUNCTION("REGEXEXTRACT(C464, ""https?:\/\/(?:.*\.)*(.+\..+?)\/"")"),"bloggfamiljen.se")</f>
        <v>bloggfamiljen.se</v>
      </c>
      <c r="C464" s="60" t="s">
        <v>940</v>
      </c>
      <c r="D464" s="56" t="s">
        <v>941</v>
      </c>
      <c r="E464" s="58" t="s">
        <v>942</v>
      </c>
      <c r="F464" s="5" t="str">
        <f t="shared" si="7"/>
        <v>robomarkets.com</v>
      </c>
      <c r="G464" s="57" t="s">
        <v>4</v>
      </c>
      <c r="H464" s="57" t="s">
        <v>5</v>
      </c>
      <c r="I464" s="59">
        <v>45168</v>
      </c>
    </row>
    <row r="465" spans="1:9" ht="13.5">
      <c r="A465" s="53" t="s">
        <v>663</v>
      </c>
      <c r="B465" s="54" t="str">
        <f ca="1">IFERROR(__xludf.DUMMYFUNCTION("REGEXEXTRACT(C465, ""https?:\/\/(?:.*\.)*(.+\..+?)\/"")"),"s-automation.se")</f>
        <v>s-automation.se</v>
      </c>
      <c r="C465" s="55" t="s">
        <v>943</v>
      </c>
      <c r="D465" s="56" t="s">
        <v>770</v>
      </c>
      <c r="E465" s="58" t="s">
        <v>944</v>
      </c>
      <c r="F465" s="5" t="str">
        <f t="shared" si="7"/>
        <v>robomarkets.com</v>
      </c>
      <c r="G465" s="57" t="s">
        <v>4</v>
      </c>
      <c r="H465" s="57" t="s">
        <v>5</v>
      </c>
      <c r="I465" s="59">
        <v>45168</v>
      </c>
    </row>
    <row r="466" spans="1:9" ht="13.5">
      <c r="A466" s="53" t="s">
        <v>663</v>
      </c>
      <c r="B466" s="54" t="str">
        <f ca="1">IFERROR(__xludf.DUMMYFUNCTION("REGEXEXTRACT(C466, ""https?:\/\/(?:.*\.)*(.+\..+?)\/"")"),"medeltidsmarknad.se")</f>
        <v>medeltidsmarknad.se</v>
      </c>
      <c r="C466" s="60" t="s">
        <v>945</v>
      </c>
      <c r="D466" s="56" t="s">
        <v>770</v>
      </c>
      <c r="E466" s="58" t="s">
        <v>946</v>
      </c>
      <c r="F466" s="5" t="str">
        <f t="shared" si="7"/>
        <v>robomarkets.com</v>
      </c>
      <c r="G466" s="57" t="s">
        <v>4</v>
      </c>
      <c r="H466" s="57" t="s">
        <v>5</v>
      </c>
      <c r="I466" s="59">
        <v>45168</v>
      </c>
    </row>
    <row r="467" spans="1:9" ht="13.5">
      <c r="A467" s="53" t="s">
        <v>663</v>
      </c>
      <c r="B467" s="54" t="str">
        <f ca="1">IFERROR(__xludf.DUMMYFUNCTION("REGEXEXTRACT(C467, ""https?:\/\/(?:.*\.)*(.+\..+?)\/"")"),"jessicasmaleriostad.se")</f>
        <v>jessicasmaleriostad.se</v>
      </c>
      <c r="C467" s="60" t="s">
        <v>947</v>
      </c>
      <c r="D467" s="56" t="s">
        <v>770</v>
      </c>
      <c r="E467" s="58" t="s">
        <v>948</v>
      </c>
      <c r="F467" s="5" t="str">
        <f t="shared" si="7"/>
        <v>robomarkets.com</v>
      </c>
      <c r="G467" s="57" t="s">
        <v>4</v>
      </c>
      <c r="H467" s="57" t="s">
        <v>5</v>
      </c>
      <c r="I467" s="59">
        <v>45168</v>
      </c>
    </row>
    <row r="468" spans="1:9" ht="13.5">
      <c r="A468" s="2" t="s">
        <v>100</v>
      </c>
      <c r="B468" s="3" t="str">
        <f ca="1">IFERROR(__xludf.DUMMYFUNCTION("REGEXEXTRACT(C468, ""https?:\/\/(?:.*\.)*(.+\..+?)\/"")"),"andreanorrman.se")</f>
        <v>andreanorrman.se</v>
      </c>
      <c r="C468" s="61" t="s">
        <v>949</v>
      </c>
      <c r="D468" s="36" t="s">
        <v>950</v>
      </c>
      <c r="E468" s="37" t="s">
        <v>951</v>
      </c>
      <c r="F468" s="5" t="str">
        <f t="shared" si="7"/>
        <v>bigbenstandup.com</v>
      </c>
      <c r="G468" s="5" t="s">
        <v>4</v>
      </c>
      <c r="H468" s="5" t="s">
        <v>5</v>
      </c>
      <c r="I468" s="6">
        <v>45168</v>
      </c>
    </row>
    <row r="469" spans="1:9" ht="13.5">
      <c r="A469" s="2" t="s">
        <v>803</v>
      </c>
      <c r="B469" s="3" t="str">
        <f ca="1">IFERROR(__xludf.DUMMYFUNCTION("REGEXEXTRACT(C469, ""https?:\/\/(?:.*\.)*(.+\..+?)\/"")"),"serviceteknikerkarlstad.se")</f>
        <v>serviceteknikerkarlstad.se</v>
      </c>
      <c r="C469" s="61" t="s">
        <v>952</v>
      </c>
      <c r="D469" s="36" t="s">
        <v>953</v>
      </c>
      <c r="E469" s="37" t="s">
        <v>806</v>
      </c>
      <c r="F469" s="5" t="str">
        <f t="shared" si="7"/>
        <v>foyen.se</v>
      </c>
      <c r="G469" s="5" t="s">
        <v>4</v>
      </c>
      <c r="H469" s="5" t="s">
        <v>5</v>
      </c>
      <c r="I469" s="6">
        <v>45168</v>
      </c>
    </row>
    <row r="470" spans="1:9" ht="13.5">
      <c r="A470" s="2" t="s">
        <v>819</v>
      </c>
      <c r="B470" s="3" t="str">
        <f ca="1">IFERROR(__xludf.DUMMYFUNCTION("REGEXEXTRACT(C470, ""https?:\/\/(?:.*\.)*(.+\..+?)\/"")"),"dinlokalabokhandel.se")</f>
        <v>dinlokalabokhandel.se</v>
      </c>
      <c r="C470" s="40" t="s">
        <v>954</v>
      </c>
      <c r="D470" s="36" t="s">
        <v>821</v>
      </c>
      <c r="E470" s="37" t="s">
        <v>955</v>
      </c>
      <c r="F470" s="5" t="str">
        <f t="shared" si="7"/>
        <v>isakstrafikskola.se</v>
      </c>
      <c r="G470" s="5" t="s">
        <v>4</v>
      </c>
      <c r="H470" s="5" t="s">
        <v>5</v>
      </c>
      <c r="I470" s="6">
        <v>45168</v>
      </c>
    </row>
    <row r="471" spans="1:9" ht="13.5">
      <c r="A471" s="2" t="s">
        <v>632</v>
      </c>
      <c r="B471" s="3" t="str">
        <f ca="1">IFERROR(__xludf.DUMMYFUNCTION("REGEXEXTRACT(C471, ""https?:\/\/(?:.*\.)*(.+\..+?)\/"")"),"dinlokalabokhandel.se")</f>
        <v>dinlokalabokhandel.se</v>
      </c>
      <c r="C471" s="61" t="s">
        <v>956</v>
      </c>
      <c r="D471" s="36" t="s">
        <v>634</v>
      </c>
      <c r="E471" s="37" t="s">
        <v>845</v>
      </c>
      <c r="F471" s="5" t="str">
        <f t="shared" si="7"/>
        <v>miamipool.se</v>
      </c>
      <c r="G471" s="5" t="s">
        <v>4</v>
      </c>
      <c r="H471" s="5" t="s">
        <v>5</v>
      </c>
      <c r="I471" s="6">
        <v>45168</v>
      </c>
    </row>
    <row r="472" spans="1:9" ht="13.5">
      <c r="A472" s="2" t="s">
        <v>765</v>
      </c>
      <c r="B472" s="3" t="str">
        <f ca="1">IFERROR(__xludf.DUMMYFUNCTION("REGEXEXTRACT(C472, ""https?:\/\/(?:.*\.)*(.+\..+?)\/"")"),"marketingmartin.se")</f>
        <v>marketingmartin.se</v>
      </c>
      <c r="C472" s="61" t="s">
        <v>957</v>
      </c>
      <c r="D472" s="36" t="s">
        <v>767</v>
      </c>
      <c r="E472" s="37" t="s">
        <v>843</v>
      </c>
      <c r="F472" s="5" t="str">
        <f t="shared" si="7"/>
        <v>lemontree.se</v>
      </c>
      <c r="G472" s="5" t="s">
        <v>4</v>
      </c>
      <c r="H472" s="5" t="s">
        <v>5</v>
      </c>
      <c r="I472" s="6">
        <v>45168</v>
      </c>
    </row>
    <row r="473" spans="1:9" ht="13.5">
      <c r="A473" s="2" t="s">
        <v>958</v>
      </c>
      <c r="B473" s="3" t="str">
        <f ca="1">IFERROR(__xludf.DUMMYFUNCTION("REGEXEXTRACT(C473, ""https?:\/\/(?:.*\.)*(.+\..+?)\/"")"),"lammetochbrodet.se")</f>
        <v>lammetochbrodet.se</v>
      </c>
      <c r="C473" s="61" t="s">
        <v>959</v>
      </c>
      <c r="D473" s="42" t="s">
        <v>960</v>
      </c>
      <c r="E473" s="37" t="s">
        <v>961</v>
      </c>
      <c r="F473" s="5" t="str">
        <f t="shared" si="7"/>
        <v>oconnors.se</v>
      </c>
      <c r="G473" s="5" t="s">
        <v>4</v>
      </c>
      <c r="H473" s="5" t="s">
        <v>5</v>
      </c>
      <c r="I473" s="6">
        <v>45168</v>
      </c>
    </row>
    <row r="474" spans="1:9" ht="13.5">
      <c r="A474" s="2" t="s">
        <v>846</v>
      </c>
      <c r="B474" s="3" t="str">
        <f ca="1">IFERROR(__xludf.DUMMYFUNCTION("REGEXEXTRACT(C474, ""https?:\/\/(?:.*\.)*(.+\..+?)\/"")"),"socialsummit17.se")</f>
        <v>socialsummit17.se</v>
      </c>
      <c r="C474" s="40" t="s">
        <v>962</v>
      </c>
      <c r="D474" s="36" t="s">
        <v>846</v>
      </c>
      <c r="E474" s="37" t="s">
        <v>963</v>
      </c>
      <c r="F474" s="5" t="str">
        <f t="shared" si="7"/>
        <v>tandea.se</v>
      </c>
      <c r="G474" s="5" t="s">
        <v>4</v>
      </c>
      <c r="H474" s="5" t="s">
        <v>5</v>
      </c>
      <c r="I474" s="6">
        <v>45168</v>
      </c>
    </row>
    <row r="475" spans="1:9" ht="13.5">
      <c r="A475" s="2" t="s">
        <v>689</v>
      </c>
      <c r="B475" s="3" t="str">
        <f ca="1">IFERROR(__xludf.DUMMYFUNCTION("REGEXEXTRACT(C475, ""https?:\/\/(?:.*\.)*(.+\..+?)\/"")"),"xn--malmcloud-37a.se")</f>
        <v>xn--malmcloud-37a.se</v>
      </c>
      <c r="C475" s="40" t="s">
        <v>964</v>
      </c>
      <c r="D475" s="36" t="s">
        <v>691</v>
      </c>
      <c r="E475" s="37" t="s">
        <v>692</v>
      </c>
      <c r="F475" s="5" t="str">
        <f t="shared" si="7"/>
        <v>conclean.se</v>
      </c>
      <c r="G475" s="5" t="s">
        <v>4</v>
      </c>
      <c r="H475" s="5" t="s">
        <v>5</v>
      </c>
      <c r="I475" s="6">
        <v>45168</v>
      </c>
    </row>
    <row r="476" spans="1:9" ht="13.5">
      <c r="A476" s="2" t="s">
        <v>342</v>
      </c>
      <c r="B476" s="3" t="str">
        <f ca="1">IFERROR(__xludf.DUMMYFUNCTION("REGEXEXTRACT(C476, ""https?:\/\/(?:.*\.)*(.+\..+?)\/"")"),"hometownstation.com")</f>
        <v>hometownstation.com</v>
      </c>
      <c r="C476" s="4" t="s">
        <v>965</v>
      </c>
      <c r="D476" s="4" t="s">
        <v>899</v>
      </c>
      <c r="E476" s="5" t="s">
        <v>966</v>
      </c>
      <c r="F476" s="5" t="str">
        <f t="shared" si="7"/>
        <v>advancepointcap.com</v>
      </c>
      <c r="G476" s="5" t="s">
        <v>4</v>
      </c>
      <c r="H476" s="5" t="s">
        <v>345</v>
      </c>
      <c r="I476" s="6">
        <v>45169</v>
      </c>
    </row>
    <row r="477" spans="1:9" ht="13.5">
      <c r="A477" s="2" t="s">
        <v>342</v>
      </c>
      <c r="B477" s="3" t="str">
        <f ca="1">IFERROR(__xludf.DUMMYFUNCTION("REGEXEXTRACT(C477, ""https?:\/\/(?:.*\.)*(.+\..+?)\/"")"),"healthsoothe.com")</f>
        <v>healthsoothe.com</v>
      </c>
      <c r="C477" s="4" t="s">
        <v>967</v>
      </c>
      <c r="D477" s="4" t="s">
        <v>899</v>
      </c>
      <c r="E477" s="5" t="s">
        <v>900</v>
      </c>
      <c r="F477" s="5" t="str">
        <f t="shared" si="7"/>
        <v>advancepointcap.com</v>
      </c>
      <c r="G477" s="5" t="s">
        <v>4</v>
      </c>
      <c r="H477" s="5" t="s">
        <v>345</v>
      </c>
      <c r="I477" s="6">
        <v>45169</v>
      </c>
    </row>
    <row r="478" spans="1:9" ht="13.5">
      <c r="A478" s="2" t="s">
        <v>714</v>
      </c>
      <c r="B478" s="3" t="str">
        <f ca="1">IFERROR(__xludf.DUMMYFUNCTION("REGEXEXTRACT(C478, ""https?:\/\/(?:.*\.)*(.+\..+?)\/"")"),"co.no")</f>
        <v>co.no</v>
      </c>
      <c r="C478" s="4" t="s">
        <v>968</v>
      </c>
      <c r="D478" s="4" t="s">
        <v>721</v>
      </c>
      <c r="E478" s="5" t="s">
        <v>722</v>
      </c>
      <c r="F478" s="5" t="str">
        <f t="shared" si="7"/>
        <v>Alfa.no</v>
      </c>
      <c r="G478" s="5" t="s">
        <v>4</v>
      </c>
      <c r="H478" s="5" t="s">
        <v>382</v>
      </c>
      <c r="I478" s="6">
        <v>45169</v>
      </c>
    </row>
    <row r="479" spans="1:9" ht="13.5">
      <c r="A479" s="62" t="s">
        <v>435</v>
      </c>
      <c r="B479" s="63" t="str">
        <f ca="1">IFERROR(__xludf.DUMMYFUNCTION("REGEXEXTRACT(C479, ""https?:\/\/(?:.*\.)*(.+\..+?)\/"")"),"dinlokalabokhandel.se")</f>
        <v>dinlokalabokhandel.se</v>
      </c>
      <c r="C479" s="64" t="s">
        <v>969</v>
      </c>
      <c r="D479" s="65" t="s">
        <v>834</v>
      </c>
      <c r="E479" s="67" t="s">
        <v>563</v>
      </c>
      <c r="F479" s="5" t="str">
        <f t="shared" si="7"/>
        <v>fairinvestments.se</v>
      </c>
      <c r="G479" s="66" t="s">
        <v>4</v>
      </c>
      <c r="H479" s="66" t="s">
        <v>5</v>
      </c>
      <c r="I479" s="68">
        <v>45170</v>
      </c>
    </row>
    <row r="480" spans="1:9" ht="13.5">
      <c r="A480" s="62" t="s">
        <v>435</v>
      </c>
      <c r="B480" s="63" t="str">
        <f ca="1">IFERROR(__xludf.DUMMYFUNCTION("REGEXEXTRACT(C480, ""https?:\/\/(?:.*\.)*(.+\..+?)\/"")"),"frii.se")</f>
        <v>frii.se</v>
      </c>
      <c r="C480" s="64" t="s">
        <v>970</v>
      </c>
      <c r="D480" s="69" t="s">
        <v>517</v>
      </c>
      <c r="E480" s="67" t="s">
        <v>563</v>
      </c>
      <c r="F480" s="5" t="str">
        <f t="shared" si="7"/>
        <v>fairinvestments.se</v>
      </c>
      <c r="G480" s="66" t="s">
        <v>4</v>
      </c>
      <c r="H480" s="66" t="s">
        <v>5</v>
      </c>
      <c r="I480" s="68">
        <v>45170</v>
      </c>
    </row>
    <row r="481" spans="1:9" ht="13.5">
      <c r="A481" s="62" t="s">
        <v>435</v>
      </c>
      <c r="B481" s="63" t="str">
        <f ca="1">IFERROR(__xludf.DUMMYFUNCTION("REGEXEXTRACT(C481, ""https?:\/\/(?:.*\.)*(.+\..+?)\/"")"),"hoganassaluhall.se")</f>
        <v>hoganassaluhall.se</v>
      </c>
      <c r="C481" s="70" t="s">
        <v>971</v>
      </c>
      <c r="D481" s="65" t="s">
        <v>836</v>
      </c>
      <c r="E481" s="67" t="s">
        <v>563</v>
      </c>
      <c r="F481" s="5" t="str">
        <f t="shared" si="7"/>
        <v>fairinvestments.se</v>
      </c>
      <c r="G481" s="66" t="s">
        <v>4</v>
      </c>
      <c r="H481" s="66" t="s">
        <v>5</v>
      </c>
      <c r="I481" s="68">
        <v>45170</v>
      </c>
    </row>
    <row r="482" spans="1:9" ht="13.5">
      <c r="A482" s="62" t="s">
        <v>435</v>
      </c>
      <c r="B482" s="63" t="str">
        <f ca="1">IFERROR(__xludf.DUMMYFUNCTION("REGEXEXTRACT(C482, ""https?:\/\/(?:.*\.)*(.+\..+?)\/"")"),"webb-kurser.se")</f>
        <v>webb-kurser.se</v>
      </c>
      <c r="C482" s="64" t="s">
        <v>972</v>
      </c>
      <c r="D482" s="65" t="s">
        <v>973</v>
      </c>
      <c r="E482" s="67" t="s">
        <v>563</v>
      </c>
      <c r="F482" s="5" t="str">
        <f t="shared" si="7"/>
        <v>fairinvestments.se</v>
      </c>
      <c r="G482" s="66" t="s">
        <v>4</v>
      </c>
      <c r="H482" s="66" t="s">
        <v>5</v>
      </c>
      <c r="I482" s="68">
        <v>45170</v>
      </c>
    </row>
    <row r="483" spans="1:9" ht="13.5">
      <c r="A483" s="2" t="s">
        <v>405</v>
      </c>
      <c r="B483" s="3" t="str">
        <f ca="1">IFERROR(__xludf.DUMMYFUNCTION("REGEXEXTRACT(C483, ""https?:\/\/(?:.*\.)*(.+\..+?)\/"")"),"sund.nu")</f>
        <v>sund.nu</v>
      </c>
      <c r="C483" s="33" t="s">
        <v>974</v>
      </c>
      <c r="D483" s="36" t="s">
        <v>407</v>
      </c>
      <c r="E483" s="37" t="s">
        <v>975</v>
      </c>
      <c r="F483" s="5" t="str">
        <f t="shared" si="7"/>
        <v>rehabgrossisten.com</v>
      </c>
      <c r="G483" s="5" t="s">
        <v>4</v>
      </c>
      <c r="H483" s="5" t="s">
        <v>5</v>
      </c>
      <c r="I483" s="6">
        <v>45170</v>
      </c>
    </row>
    <row r="484" spans="1:9" ht="13.5">
      <c r="A484" s="2" t="s">
        <v>723</v>
      </c>
      <c r="B484" s="3"/>
      <c r="C484" s="4" t="s">
        <v>976</v>
      </c>
      <c r="D484" s="4" t="s">
        <v>977</v>
      </c>
      <c r="E484" s="9" t="s">
        <v>977</v>
      </c>
      <c r="F484" s="5" t="str">
        <f t="shared" si="7"/>
        <v>aretrotale.com</v>
      </c>
      <c r="G484" s="5" t="s">
        <v>4</v>
      </c>
      <c r="H484" s="5" t="s">
        <v>23</v>
      </c>
      <c r="I484" s="6">
        <v>45179</v>
      </c>
    </row>
    <row r="485" spans="1:9" ht="13.5">
      <c r="A485" s="2" t="s">
        <v>348</v>
      </c>
      <c r="B485" s="3" t="str">
        <f ca="1">IFERROR(__xludf.DUMMYFUNCTION("REGEXEXTRACT(C485, ""https?:\/\/(?:.*\.)*(.+\..+?)\/"")"),"shawanoleader.com")</f>
        <v>shawanoleader.com</v>
      </c>
      <c r="C485" s="4" t="s">
        <v>978</v>
      </c>
      <c r="D485" s="4" t="s">
        <v>350</v>
      </c>
      <c r="E485" s="5" t="s">
        <v>583</v>
      </c>
      <c r="F485" s="5" t="str">
        <f t="shared" si="7"/>
        <v>happysocks.com</v>
      </c>
      <c r="G485" s="5" t="s">
        <v>4</v>
      </c>
      <c r="H485" s="5" t="s">
        <v>345</v>
      </c>
      <c r="I485" s="6">
        <v>45182</v>
      </c>
    </row>
    <row r="486" spans="1:9" ht="13.5">
      <c r="A486" s="2" t="s">
        <v>348</v>
      </c>
      <c r="B486" s="3" t="str">
        <f ca="1">IFERROR(__xludf.DUMMYFUNCTION("REGEXEXTRACT(C486, ""https?:\/\/(?:.*\.)*(.+\..+?)\/"")"),"themotherhuddle.com")</f>
        <v>themotherhuddle.com</v>
      </c>
      <c r="C486" s="4" t="s">
        <v>979</v>
      </c>
      <c r="D486" s="4" t="s">
        <v>350</v>
      </c>
      <c r="E486" s="5" t="s">
        <v>440</v>
      </c>
      <c r="F486" s="5" t="str">
        <f t="shared" si="7"/>
        <v>happysocks.com</v>
      </c>
      <c r="G486" s="5" t="s">
        <v>4</v>
      </c>
      <c r="H486" s="5" t="s">
        <v>345</v>
      </c>
      <c r="I486" s="6">
        <v>45182</v>
      </c>
    </row>
    <row r="487" spans="1:9" ht="13.5">
      <c r="A487" s="2" t="s">
        <v>348</v>
      </c>
      <c r="B487" s="3" t="str">
        <f ca="1">IFERROR(__xludf.DUMMYFUNCTION("REGEXEXTRACT(C487, ""https?:\/\/(?:.*\.)*(.+\..+?)\/"")"),"vivaglammagazine.com")</f>
        <v>vivaglammagazine.com</v>
      </c>
      <c r="C487" s="4" t="s">
        <v>980</v>
      </c>
      <c r="D487" s="4" t="s">
        <v>350</v>
      </c>
      <c r="E487" s="5" t="s">
        <v>505</v>
      </c>
      <c r="F487" s="5" t="str">
        <f t="shared" si="7"/>
        <v>happysocks.com</v>
      </c>
      <c r="G487" s="5" t="s">
        <v>4</v>
      </c>
      <c r="H487" s="5" t="s">
        <v>345</v>
      </c>
      <c r="I487" s="6">
        <v>45182</v>
      </c>
    </row>
    <row r="488" spans="1:9" ht="13.5">
      <c r="A488" s="2" t="s">
        <v>348</v>
      </c>
      <c r="B488" s="3" t="str">
        <f ca="1">IFERROR(__xludf.DUMMYFUNCTION("REGEXEXTRACT(C488, ""https?:\/\/(?:.*\.)*(.+\..+?)\/"")"),"fashionisers.com")</f>
        <v>fashionisers.com</v>
      </c>
      <c r="C488" s="4" t="s">
        <v>981</v>
      </c>
      <c r="D488" s="4" t="s">
        <v>811</v>
      </c>
      <c r="E488" s="5" t="s">
        <v>358</v>
      </c>
      <c r="F488" s="5" t="str">
        <f t="shared" si="7"/>
        <v>happysocks.com</v>
      </c>
      <c r="G488" s="5" t="s">
        <v>4</v>
      </c>
      <c r="H488" s="5" t="s">
        <v>345</v>
      </c>
      <c r="I488" s="6">
        <v>45182</v>
      </c>
    </row>
    <row r="489" spans="1:9" ht="13.5">
      <c r="A489" s="2" t="s">
        <v>156</v>
      </c>
      <c r="B489" s="3"/>
      <c r="C489" s="4" t="s">
        <v>982</v>
      </c>
      <c r="D489" s="4" t="s">
        <v>983</v>
      </c>
      <c r="E489" s="5" t="s">
        <v>984</v>
      </c>
      <c r="F489" s="5" t="str">
        <f t="shared" si="7"/>
        <v>askskinfo.com</v>
      </c>
      <c r="G489" s="5" t="s">
        <v>34</v>
      </c>
      <c r="H489" s="5" t="s">
        <v>5</v>
      </c>
      <c r="I489" s="6">
        <v>45183</v>
      </c>
    </row>
    <row r="490" spans="1:9" ht="13.5">
      <c r="A490" s="2" t="s">
        <v>20</v>
      </c>
      <c r="B490" s="3"/>
      <c r="C490" s="4" t="s">
        <v>985</v>
      </c>
      <c r="D490" s="4" t="s">
        <v>986</v>
      </c>
      <c r="E490" s="5" t="s">
        <v>987</v>
      </c>
      <c r="F490" s="5" t="str">
        <f t="shared" si="7"/>
        <v>blugiallo.com</v>
      </c>
      <c r="G490" s="5" t="s">
        <v>34</v>
      </c>
      <c r="H490" s="5" t="s">
        <v>5</v>
      </c>
      <c r="I490" s="6">
        <v>45183</v>
      </c>
    </row>
    <row r="491" spans="1:9" ht="13.5">
      <c r="A491" s="2" t="s">
        <v>20</v>
      </c>
      <c r="B491" s="3"/>
      <c r="C491" s="4" t="s">
        <v>988</v>
      </c>
      <c r="D491" s="4" t="s">
        <v>876</v>
      </c>
      <c r="E491" s="5" t="s">
        <v>989</v>
      </c>
      <c r="F491" s="5" t="str">
        <f t="shared" si="7"/>
        <v>blugiallo.com</v>
      </c>
      <c r="G491" s="5" t="s">
        <v>4</v>
      </c>
      <c r="H491" s="5" t="s">
        <v>5</v>
      </c>
      <c r="I491" s="6">
        <v>45183</v>
      </c>
    </row>
    <row r="492" spans="1:9" ht="13.5">
      <c r="A492" s="2" t="s">
        <v>803</v>
      </c>
      <c r="B492" s="3"/>
      <c r="C492" s="4" t="s">
        <v>990</v>
      </c>
      <c r="D492" s="4" t="s">
        <v>991</v>
      </c>
      <c r="E492" s="5" t="s">
        <v>806</v>
      </c>
      <c r="F492" s="5" t="str">
        <f t="shared" si="7"/>
        <v>foyen.se</v>
      </c>
      <c r="G492" s="5" t="s">
        <v>34</v>
      </c>
      <c r="H492" s="5" t="s">
        <v>5</v>
      </c>
      <c r="I492" s="6">
        <v>45183</v>
      </c>
    </row>
    <row r="493" spans="1:9" ht="13.5">
      <c r="A493" s="2" t="s">
        <v>992</v>
      </c>
      <c r="B493" s="3"/>
      <c r="C493" s="4" t="s">
        <v>133</v>
      </c>
      <c r="D493" s="8" t="s">
        <v>993</v>
      </c>
      <c r="E493" s="9" t="s">
        <v>993</v>
      </c>
      <c r="F493" s="5" t="str">
        <f t="shared" si="7"/>
        <v>ledkungen.se</v>
      </c>
      <c r="G493" s="5" t="s">
        <v>4</v>
      </c>
      <c r="H493" s="5" t="s">
        <v>5</v>
      </c>
      <c r="I493" s="6">
        <v>45183</v>
      </c>
    </row>
    <row r="494" spans="1:9" ht="13.5">
      <c r="A494" s="2" t="s">
        <v>405</v>
      </c>
      <c r="B494" s="3"/>
      <c r="C494" s="4" t="s">
        <v>188</v>
      </c>
      <c r="D494" s="4" t="s">
        <v>407</v>
      </c>
      <c r="E494" s="9" t="s">
        <v>407</v>
      </c>
      <c r="F494" s="5" t="str">
        <f t="shared" si="7"/>
        <v>rehabgrossisten.com</v>
      </c>
      <c r="G494" s="5" t="s">
        <v>34</v>
      </c>
      <c r="H494" s="5" t="s">
        <v>5</v>
      </c>
      <c r="I494" s="6">
        <v>45183</v>
      </c>
    </row>
    <row r="495" spans="1:9" ht="13.5">
      <c r="A495" s="7" t="s">
        <v>329</v>
      </c>
      <c r="B495" s="3"/>
      <c r="C495" s="4" t="s">
        <v>994</v>
      </c>
      <c r="D495" s="4" t="s">
        <v>331</v>
      </c>
      <c r="E495" s="5" t="s">
        <v>542</v>
      </c>
      <c r="F495" s="5" t="str">
        <f t="shared" si="7"/>
        <v>vont</v>
      </c>
      <c r="G495" s="5" t="s">
        <v>94</v>
      </c>
      <c r="H495" s="5" t="s">
        <v>5</v>
      </c>
      <c r="I495" s="6">
        <v>45183</v>
      </c>
    </row>
    <row r="496" spans="1:9" ht="13.5">
      <c r="A496" s="2" t="s">
        <v>342</v>
      </c>
      <c r="B496" s="3"/>
      <c r="C496" s="4" t="s">
        <v>995</v>
      </c>
      <c r="D496" s="4" t="s">
        <v>996</v>
      </c>
      <c r="E496" s="5" t="s">
        <v>997</v>
      </c>
      <c r="F496" s="5" t="str">
        <f t="shared" si="7"/>
        <v>advancepointcap.com</v>
      </c>
      <c r="G496" s="5" t="s">
        <v>4</v>
      </c>
      <c r="H496" s="5" t="s">
        <v>345</v>
      </c>
      <c r="I496" s="6">
        <v>45187</v>
      </c>
    </row>
    <row r="497" spans="1:9" ht="13.5">
      <c r="A497" s="2" t="s">
        <v>689</v>
      </c>
      <c r="B497" s="3"/>
      <c r="C497" s="4" t="s">
        <v>175</v>
      </c>
      <c r="D497" s="4" t="s">
        <v>691</v>
      </c>
      <c r="E497" s="5" t="s">
        <v>692</v>
      </c>
      <c r="F497" s="5" t="str">
        <f t="shared" si="7"/>
        <v>conclean.se</v>
      </c>
      <c r="G497" s="5" t="s">
        <v>34</v>
      </c>
      <c r="H497" s="5" t="s">
        <v>5</v>
      </c>
      <c r="I497" s="6">
        <v>45187</v>
      </c>
    </row>
    <row r="498" spans="1:9" ht="13.5">
      <c r="A498" s="2" t="s">
        <v>1</v>
      </c>
      <c r="B498" s="3"/>
      <c r="C498" s="4" t="s">
        <v>998</v>
      </c>
      <c r="D498" s="4" t="s">
        <v>3</v>
      </c>
      <c r="E498" s="5" t="s">
        <v>999</v>
      </c>
      <c r="F498" s="5" t="str">
        <f t="shared" si="7"/>
        <v>haxan.se</v>
      </c>
      <c r="G498" s="5" t="s">
        <v>34</v>
      </c>
      <c r="H498" s="5" t="s">
        <v>5</v>
      </c>
      <c r="I498" s="6">
        <v>45187</v>
      </c>
    </row>
    <row r="499" spans="1:9" ht="13.5">
      <c r="A499" s="7" t="s">
        <v>386</v>
      </c>
      <c r="B499" s="3"/>
      <c r="C499" s="4" t="s">
        <v>1000</v>
      </c>
      <c r="D499" s="4" t="s">
        <v>1001</v>
      </c>
      <c r="E499" s="5" t="s">
        <v>1002</v>
      </c>
      <c r="F499" s="5" t="str">
        <f t="shared" si="7"/>
        <v>pontech</v>
      </c>
      <c r="G499" s="5" t="s">
        <v>34</v>
      </c>
      <c r="H499" s="5" t="s">
        <v>5</v>
      </c>
      <c r="I499" s="6">
        <v>45187</v>
      </c>
    </row>
    <row r="500" spans="1:9" ht="13.5">
      <c r="A500" s="2" t="s">
        <v>386</v>
      </c>
      <c r="B500" s="3"/>
      <c r="C500" s="4" t="s">
        <v>1000</v>
      </c>
      <c r="D500" s="4" t="s">
        <v>599</v>
      </c>
      <c r="E500" s="10" t="s">
        <v>879</v>
      </c>
      <c r="F500" s="5" t="str">
        <f t="shared" si="7"/>
        <v>pontech</v>
      </c>
      <c r="G500" s="5" t="s">
        <v>34</v>
      </c>
      <c r="H500" s="5" t="s">
        <v>5</v>
      </c>
      <c r="I500" s="6">
        <v>45187</v>
      </c>
    </row>
    <row r="501" spans="1:9" ht="13.5">
      <c r="A501" s="7" t="s">
        <v>224</v>
      </c>
      <c r="B501" s="3"/>
      <c r="C501" s="4" t="s">
        <v>990</v>
      </c>
      <c r="D501" s="4" t="s">
        <v>337</v>
      </c>
      <c r="E501" s="5" t="s">
        <v>416</v>
      </c>
      <c r="F501" s="5" t="str">
        <f t="shared" si="7"/>
        <v>swedoffice</v>
      </c>
      <c r="G501" s="5" t="s">
        <v>34</v>
      </c>
      <c r="H501" s="5" t="s">
        <v>5</v>
      </c>
      <c r="I501" s="6">
        <v>45187</v>
      </c>
    </row>
    <row r="502" spans="1:9" ht="13.5">
      <c r="A502" s="7" t="s">
        <v>329</v>
      </c>
      <c r="B502" s="3"/>
      <c r="C502" s="8" t="s">
        <v>1003</v>
      </c>
      <c r="D502" s="4" t="s">
        <v>331</v>
      </c>
      <c r="E502" s="5" t="s">
        <v>332</v>
      </c>
      <c r="F502" s="5" t="str">
        <f t="shared" si="7"/>
        <v>vont</v>
      </c>
      <c r="G502" s="5" t="s">
        <v>34</v>
      </c>
      <c r="H502" s="5" t="s">
        <v>5</v>
      </c>
      <c r="I502" s="6">
        <v>45187</v>
      </c>
    </row>
    <row r="503" spans="1:9" ht="13.5">
      <c r="A503" s="7" t="s">
        <v>329</v>
      </c>
      <c r="B503" s="3"/>
      <c r="C503" s="8" t="s">
        <v>1004</v>
      </c>
      <c r="D503" s="8" t="s">
        <v>712</v>
      </c>
      <c r="E503" s="5" t="s">
        <v>332</v>
      </c>
      <c r="F503" s="5" t="str">
        <f t="shared" si="7"/>
        <v>vont</v>
      </c>
      <c r="G503" s="5" t="s">
        <v>34</v>
      </c>
      <c r="H503" s="5" t="s">
        <v>5</v>
      </c>
      <c r="I503" s="6">
        <v>45188</v>
      </c>
    </row>
    <row r="504" spans="1:9" ht="13.5">
      <c r="A504" s="2" t="s">
        <v>342</v>
      </c>
      <c r="B504" s="3"/>
      <c r="C504" s="4" t="s">
        <v>1005</v>
      </c>
      <c r="D504" s="4" t="s">
        <v>344</v>
      </c>
      <c r="E504" s="5" t="s">
        <v>905</v>
      </c>
      <c r="F504" s="5" t="str">
        <f t="shared" si="7"/>
        <v>advancepointcap.com</v>
      </c>
      <c r="G504" s="5" t="s">
        <v>4</v>
      </c>
      <c r="H504" s="5" t="s">
        <v>345</v>
      </c>
      <c r="I504" s="6">
        <v>45190</v>
      </c>
    </row>
    <row r="505" spans="1:9" ht="13.5">
      <c r="A505" s="2" t="s">
        <v>405</v>
      </c>
      <c r="B505" s="3"/>
      <c r="C505" s="71" t="s">
        <v>1006</v>
      </c>
      <c r="D505" s="4" t="s">
        <v>1006</v>
      </c>
      <c r="E505" s="5" t="s">
        <v>611</v>
      </c>
      <c r="F505" s="5" t="str">
        <f t="shared" si="7"/>
        <v>rehabgrossisten.com</v>
      </c>
      <c r="G505" s="5" t="s">
        <v>4</v>
      </c>
      <c r="H505" s="5" t="s">
        <v>5</v>
      </c>
      <c r="I505" s="6">
        <v>45193</v>
      </c>
    </row>
    <row r="506" spans="1:9" ht="13.5">
      <c r="A506" s="2" t="s">
        <v>342</v>
      </c>
      <c r="B506" s="3"/>
      <c r="C506" s="4" t="s">
        <v>1007</v>
      </c>
      <c r="D506" s="4" t="s">
        <v>899</v>
      </c>
      <c r="E506" s="5" t="s">
        <v>1008</v>
      </c>
      <c r="F506" s="5" t="str">
        <f t="shared" si="7"/>
        <v>advancepointcap.com</v>
      </c>
      <c r="G506" s="5" t="s">
        <v>4</v>
      </c>
      <c r="H506" s="5" t="s">
        <v>345</v>
      </c>
      <c r="I506" s="6">
        <v>45194</v>
      </c>
    </row>
    <row r="507" spans="1:9" ht="13.5">
      <c r="A507" s="2" t="s">
        <v>714</v>
      </c>
      <c r="B507" s="3"/>
      <c r="C507" s="4" t="s">
        <v>1009</v>
      </c>
      <c r="D507" s="4" t="s">
        <v>1010</v>
      </c>
      <c r="E507" s="9" t="s">
        <v>1010</v>
      </c>
      <c r="F507" s="5" t="str">
        <f t="shared" si="7"/>
        <v>Alfa.no</v>
      </c>
      <c r="G507" s="5" t="s">
        <v>4</v>
      </c>
      <c r="H507" s="5" t="s">
        <v>382</v>
      </c>
      <c r="I507" s="6">
        <v>45194</v>
      </c>
    </row>
    <row r="508" spans="1:9" ht="13.5">
      <c r="A508" s="2" t="s">
        <v>435</v>
      </c>
      <c r="B508" s="3"/>
      <c r="C508" s="4" t="s">
        <v>1011</v>
      </c>
      <c r="D508" s="4" t="s">
        <v>1012</v>
      </c>
      <c r="E508" s="72" t="s">
        <v>438</v>
      </c>
      <c r="F508" s="5" t="str">
        <f t="shared" si="7"/>
        <v>fairinvestments.se</v>
      </c>
      <c r="G508" s="5" t="s">
        <v>4</v>
      </c>
      <c r="H508" s="5" t="s">
        <v>5</v>
      </c>
      <c r="I508" s="6">
        <v>45194</v>
      </c>
    </row>
    <row r="509" spans="1:9" ht="13.5">
      <c r="A509" s="2" t="s">
        <v>308</v>
      </c>
      <c r="B509" s="3"/>
      <c r="C509" s="4" t="s">
        <v>1004</v>
      </c>
      <c r="D509" s="4" t="s">
        <v>310</v>
      </c>
      <c r="E509" s="5" t="s">
        <v>1013</v>
      </c>
      <c r="F509" s="5" t="str">
        <f t="shared" si="7"/>
        <v>lansfast.se</v>
      </c>
      <c r="G509" s="5" t="s">
        <v>34</v>
      </c>
      <c r="H509" s="5" t="s">
        <v>5</v>
      </c>
      <c r="I509" s="6">
        <v>45194</v>
      </c>
    </row>
    <row r="510" spans="1:9" ht="13.5">
      <c r="A510" s="2" t="s">
        <v>295</v>
      </c>
      <c r="B510" s="3"/>
      <c r="C510" s="4" t="s">
        <v>1014</v>
      </c>
      <c r="D510" s="4" t="s">
        <v>1015</v>
      </c>
      <c r="E510" s="5" t="s">
        <v>1016</v>
      </c>
      <c r="F510" s="5" t="str">
        <f t="shared" si="7"/>
        <v>vontabel.com</v>
      </c>
      <c r="G510" s="5" t="s">
        <v>4</v>
      </c>
      <c r="H510" s="5" t="s">
        <v>267</v>
      </c>
      <c r="I510" s="6">
        <v>45194</v>
      </c>
    </row>
    <row r="511" spans="1:9" ht="13.5">
      <c r="A511" s="2" t="s">
        <v>342</v>
      </c>
      <c r="B511" s="3"/>
      <c r="C511" s="4" t="s">
        <v>1017</v>
      </c>
      <c r="D511" s="4" t="s">
        <v>1018</v>
      </c>
      <c r="E511" s="5" t="s">
        <v>1019</v>
      </c>
      <c r="F511" s="5" t="str">
        <f t="shared" si="7"/>
        <v>advancepointcap.com</v>
      </c>
      <c r="G511" s="5" t="s">
        <v>4</v>
      </c>
      <c r="H511" s="5" t="s">
        <v>345</v>
      </c>
      <c r="I511" s="6">
        <v>45195</v>
      </c>
    </row>
    <row r="512" spans="1:9" ht="13.5">
      <c r="A512" s="2" t="s">
        <v>342</v>
      </c>
      <c r="B512" s="3"/>
      <c r="C512" s="4" t="s">
        <v>1020</v>
      </c>
      <c r="D512" s="4" t="s">
        <v>1018</v>
      </c>
      <c r="E512" s="5" t="s">
        <v>1021</v>
      </c>
      <c r="F512" s="5" t="str">
        <f t="shared" si="7"/>
        <v>advancepointcap.com</v>
      </c>
      <c r="G512" s="5" t="s">
        <v>4</v>
      </c>
      <c r="H512" s="5" t="s">
        <v>345</v>
      </c>
      <c r="I512" s="6">
        <v>45195</v>
      </c>
    </row>
    <row r="513" spans="1:9" ht="13.5">
      <c r="A513" s="2" t="s">
        <v>342</v>
      </c>
      <c r="B513" s="3"/>
      <c r="C513" s="4" t="s">
        <v>1022</v>
      </c>
      <c r="D513" s="4" t="s">
        <v>930</v>
      </c>
      <c r="E513" s="5" t="s">
        <v>1023</v>
      </c>
      <c r="F513" s="5" t="str">
        <f t="shared" si="7"/>
        <v>advancepointcap.com</v>
      </c>
      <c r="G513" s="5" t="s">
        <v>4</v>
      </c>
      <c r="H513" s="5" t="s">
        <v>345</v>
      </c>
      <c r="I513" s="6">
        <v>45195</v>
      </c>
    </row>
    <row r="514" spans="1:9" ht="13.5">
      <c r="A514" s="2" t="s">
        <v>342</v>
      </c>
      <c r="B514" s="3"/>
      <c r="C514" s="4" t="s">
        <v>1024</v>
      </c>
      <c r="D514" s="4" t="s">
        <v>930</v>
      </c>
      <c r="E514" s="5" t="s">
        <v>1025</v>
      </c>
      <c r="F514" s="5" t="str">
        <f t="shared" si="7"/>
        <v>advancepointcap.com</v>
      </c>
      <c r="G514" s="5" t="s">
        <v>4</v>
      </c>
      <c r="H514" s="5" t="s">
        <v>345</v>
      </c>
      <c r="I514" s="6">
        <v>45195</v>
      </c>
    </row>
    <row r="515" spans="1:9" ht="13.5">
      <c r="A515" s="2" t="s">
        <v>342</v>
      </c>
      <c r="B515" s="3"/>
      <c r="C515" s="4" t="s">
        <v>1026</v>
      </c>
      <c r="D515" s="4" t="s">
        <v>1027</v>
      </c>
      <c r="E515" s="5" t="s">
        <v>1028</v>
      </c>
      <c r="F515" s="5" t="str">
        <f t="shared" ref="F515:F578" si="8">A515</f>
        <v>advancepointcap.com</v>
      </c>
      <c r="G515" s="5" t="s">
        <v>4</v>
      </c>
      <c r="H515" s="5" t="s">
        <v>345</v>
      </c>
      <c r="I515" s="6">
        <v>45195</v>
      </c>
    </row>
    <row r="516" spans="1:9" ht="13.5">
      <c r="A516" s="2" t="s">
        <v>342</v>
      </c>
      <c r="B516" s="3"/>
      <c r="C516" s="4" t="s">
        <v>1029</v>
      </c>
      <c r="D516" s="4" t="s">
        <v>1030</v>
      </c>
      <c r="E516" s="5" t="s">
        <v>1031</v>
      </c>
      <c r="F516" s="5" t="str">
        <f t="shared" si="8"/>
        <v>advancepointcap.com</v>
      </c>
      <c r="G516" s="5" t="s">
        <v>4</v>
      </c>
      <c r="H516" s="5" t="s">
        <v>345</v>
      </c>
      <c r="I516" s="6">
        <v>45195</v>
      </c>
    </row>
    <row r="517" spans="1:9" ht="13.5">
      <c r="A517" s="2" t="s">
        <v>714</v>
      </c>
      <c r="B517" s="3"/>
      <c r="C517" s="4" t="s">
        <v>1032</v>
      </c>
      <c r="D517" s="4" t="s">
        <v>1033</v>
      </c>
      <c r="E517" s="5" t="s">
        <v>1034</v>
      </c>
      <c r="F517" s="5" t="str">
        <f t="shared" si="8"/>
        <v>Alfa.no</v>
      </c>
      <c r="G517" s="5" t="s">
        <v>4</v>
      </c>
      <c r="H517" s="5" t="s">
        <v>382</v>
      </c>
      <c r="I517" s="6">
        <v>45195</v>
      </c>
    </row>
    <row r="518" spans="1:9" ht="13.5">
      <c r="A518" s="2" t="s">
        <v>342</v>
      </c>
      <c r="B518" s="3"/>
      <c r="C518" s="4" t="s">
        <v>1035</v>
      </c>
      <c r="D518" s="4" t="s">
        <v>996</v>
      </c>
      <c r="E518" s="5" t="s">
        <v>1036</v>
      </c>
      <c r="F518" s="5" t="str">
        <f t="shared" si="8"/>
        <v>advancepointcap.com</v>
      </c>
      <c r="G518" s="5" t="s">
        <v>4</v>
      </c>
      <c r="H518" s="5" t="s">
        <v>345</v>
      </c>
      <c r="I518" s="6">
        <v>45196</v>
      </c>
    </row>
    <row r="519" spans="1:9" ht="13.5">
      <c r="A519" s="2" t="s">
        <v>723</v>
      </c>
      <c r="B519" s="3"/>
      <c r="C519" s="4" t="s">
        <v>1037</v>
      </c>
      <c r="D519" s="4" t="s">
        <v>723</v>
      </c>
      <c r="E519" s="9" t="s">
        <v>723</v>
      </c>
      <c r="F519" s="5" t="str">
        <f t="shared" si="8"/>
        <v>aretrotale.com</v>
      </c>
      <c r="G519" s="5" t="s">
        <v>4</v>
      </c>
      <c r="H519" s="5" t="s">
        <v>23</v>
      </c>
      <c r="I519" s="6">
        <v>45196</v>
      </c>
    </row>
    <row r="520" spans="1:9" ht="13.5">
      <c r="A520" s="2" t="s">
        <v>846</v>
      </c>
      <c r="B520" s="3"/>
      <c r="C520" s="73" t="s">
        <v>1038</v>
      </c>
      <c r="D520" s="4" t="s">
        <v>848</v>
      </c>
      <c r="E520" s="5" t="s">
        <v>1039</v>
      </c>
      <c r="F520" s="5" t="str">
        <f t="shared" si="8"/>
        <v>tandea.se</v>
      </c>
      <c r="G520" s="5" t="s">
        <v>4</v>
      </c>
      <c r="H520" s="5" t="s">
        <v>5</v>
      </c>
      <c r="I520" s="6">
        <v>45196</v>
      </c>
    </row>
    <row r="521" spans="1:9" ht="13.5">
      <c r="A521" s="2" t="s">
        <v>342</v>
      </c>
      <c r="B521" s="3"/>
      <c r="C521" s="4" t="s">
        <v>1040</v>
      </c>
      <c r="D521" s="4" t="s">
        <v>360</v>
      </c>
      <c r="E521" s="5" t="s">
        <v>1041</v>
      </c>
      <c r="F521" s="5" t="str">
        <f t="shared" si="8"/>
        <v>advancepointcap.com</v>
      </c>
      <c r="G521" s="5" t="s">
        <v>4</v>
      </c>
      <c r="H521" s="5" t="s">
        <v>345</v>
      </c>
      <c r="I521" s="6">
        <v>45197</v>
      </c>
    </row>
    <row r="522" spans="1:9" ht="13.5">
      <c r="A522" s="2" t="s">
        <v>846</v>
      </c>
      <c r="B522" s="3"/>
      <c r="C522" s="73" t="s">
        <v>1042</v>
      </c>
      <c r="D522" s="4" t="s">
        <v>1043</v>
      </c>
      <c r="E522" s="5" t="s">
        <v>1044</v>
      </c>
      <c r="F522" s="5" t="str">
        <f t="shared" si="8"/>
        <v>tandea.se</v>
      </c>
      <c r="G522" s="5" t="s">
        <v>4</v>
      </c>
      <c r="H522" s="5" t="s">
        <v>5</v>
      </c>
      <c r="I522" s="6">
        <v>45197</v>
      </c>
    </row>
    <row r="523" spans="1:9" ht="13.5">
      <c r="A523" s="7" t="s">
        <v>224</v>
      </c>
      <c r="B523" s="3"/>
      <c r="C523" s="4" t="s">
        <v>1045</v>
      </c>
      <c r="D523" s="4" t="s">
        <v>226</v>
      </c>
      <c r="E523" s="5" t="s">
        <v>640</v>
      </c>
      <c r="F523" s="5" t="str">
        <f t="shared" si="8"/>
        <v>swedoffice</v>
      </c>
      <c r="G523" s="5" t="s">
        <v>4</v>
      </c>
      <c r="H523" s="5" t="s">
        <v>5</v>
      </c>
      <c r="I523" s="6">
        <v>45199</v>
      </c>
    </row>
    <row r="524" spans="1:9" ht="13.5">
      <c r="A524" s="7" t="s">
        <v>224</v>
      </c>
      <c r="B524" s="3"/>
      <c r="C524" s="4" t="s">
        <v>1046</v>
      </c>
      <c r="D524" s="4" t="s">
        <v>290</v>
      </c>
      <c r="E524" s="5" t="s">
        <v>291</v>
      </c>
      <c r="F524" s="5" t="str">
        <f t="shared" si="8"/>
        <v>swedoffice</v>
      </c>
      <c r="G524" s="5" t="s">
        <v>4</v>
      </c>
      <c r="H524" s="5" t="s">
        <v>5</v>
      </c>
      <c r="I524" s="6">
        <v>45199</v>
      </c>
    </row>
    <row r="525" spans="1:9" ht="13.5">
      <c r="A525" s="2" t="s">
        <v>348</v>
      </c>
      <c r="B525" s="3"/>
      <c r="C525" s="4" t="s">
        <v>1047</v>
      </c>
      <c r="D525" s="4" t="s">
        <v>350</v>
      </c>
      <c r="E525" s="5" t="s">
        <v>631</v>
      </c>
      <c r="F525" s="5" t="str">
        <f t="shared" si="8"/>
        <v>happysocks.com</v>
      </c>
      <c r="G525" s="5" t="s">
        <v>4</v>
      </c>
      <c r="H525" s="5" t="s">
        <v>345</v>
      </c>
      <c r="I525" s="6">
        <v>45201</v>
      </c>
    </row>
    <row r="526" spans="1:9" ht="13.5">
      <c r="A526" s="2" t="s">
        <v>348</v>
      </c>
      <c r="B526" s="3"/>
      <c r="C526" s="4" t="s">
        <v>1048</v>
      </c>
      <c r="D526" s="4" t="s">
        <v>811</v>
      </c>
      <c r="E526" s="5" t="s">
        <v>358</v>
      </c>
      <c r="F526" s="5" t="str">
        <f t="shared" si="8"/>
        <v>happysocks.com</v>
      </c>
      <c r="G526" s="5" t="s">
        <v>4</v>
      </c>
      <c r="H526" s="5" t="s">
        <v>345</v>
      </c>
      <c r="I526" s="6">
        <v>45202</v>
      </c>
    </row>
    <row r="527" spans="1:9" ht="13.5">
      <c r="A527" s="2" t="s">
        <v>348</v>
      </c>
      <c r="B527" s="3"/>
      <c r="C527" s="4" t="s">
        <v>1049</v>
      </c>
      <c r="D527" s="4" t="s">
        <v>811</v>
      </c>
      <c r="E527" s="5" t="s">
        <v>358</v>
      </c>
      <c r="F527" s="5" t="str">
        <f t="shared" si="8"/>
        <v>happysocks.com</v>
      </c>
      <c r="G527" s="5" t="s">
        <v>4</v>
      </c>
      <c r="H527" s="5" t="s">
        <v>345</v>
      </c>
      <c r="I527" s="6">
        <v>45202</v>
      </c>
    </row>
    <row r="528" spans="1:9" ht="13.5">
      <c r="A528" s="2" t="s">
        <v>348</v>
      </c>
      <c r="B528" s="3"/>
      <c r="C528" s="4" t="s">
        <v>1050</v>
      </c>
      <c r="D528" s="4" t="s">
        <v>350</v>
      </c>
      <c r="E528" s="5" t="s">
        <v>442</v>
      </c>
      <c r="F528" s="5" t="str">
        <f t="shared" si="8"/>
        <v>happysocks.com</v>
      </c>
      <c r="G528" s="5" t="s">
        <v>4</v>
      </c>
      <c r="H528" s="5" t="s">
        <v>345</v>
      </c>
      <c r="I528" s="6">
        <v>45202</v>
      </c>
    </row>
    <row r="529" spans="1:9" ht="13.5">
      <c r="A529" s="2" t="s">
        <v>348</v>
      </c>
      <c r="B529" s="3"/>
      <c r="C529" s="4" t="s">
        <v>1051</v>
      </c>
      <c r="D529" s="4" t="s">
        <v>350</v>
      </c>
      <c r="E529" s="5" t="s">
        <v>505</v>
      </c>
      <c r="F529" s="5" t="str">
        <f t="shared" si="8"/>
        <v>happysocks.com</v>
      </c>
      <c r="G529" s="5" t="s">
        <v>4</v>
      </c>
      <c r="H529" s="5" t="s">
        <v>345</v>
      </c>
      <c r="I529" s="6">
        <v>45202</v>
      </c>
    </row>
    <row r="530" spans="1:9" ht="13.5">
      <c r="A530" s="2" t="s">
        <v>348</v>
      </c>
      <c r="B530" s="3"/>
      <c r="C530" s="4" t="s">
        <v>1052</v>
      </c>
      <c r="D530" s="4" t="s">
        <v>509</v>
      </c>
      <c r="E530" s="5" t="s">
        <v>510</v>
      </c>
      <c r="F530" s="5" t="str">
        <f t="shared" si="8"/>
        <v>happysocks.com</v>
      </c>
      <c r="G530" s="5" t="s">
        <v>4</v>
      </c>
      <c r="H530" s="5" t="s">
        <v>345</v>
      </c>
      <c r="I530" s="6">
        <v>45204</v>
      </c>
    </row>
    <row r="531" spans="1:9" ht="13.5">
      <c r="A531" s="2" t="s">
        <v>348</v>
      </c>
      <c r="B531" s="3"/>
      <c r="C531" s="4" t="s">
        <v>1053</v>
      </c>
      <c r="D531" s="4" t="s">
        <v>350</v>
      </c>
      <c r="E531" s="5" t="s">
        <v>522</v>
      </c>
      <c r="F531" s="5" t="str">
        <f t="shared" si="8"/>
        <v>happysocks.com</v>
      </c>
      <c r="G531" s="5" t="s">
        <v>4</v>
      </c>
      <c r="H531" s="5" t="s">
        <v>345</v>
      </c>
      <c r="I531" s="6">
        <v>45204</v>
      </c>
    </row>
    <row r="532" spans="1:9" ht="13.5">
      <c r="A532" s="7" t="s">
        <v>224</v>
      </c>
      <c r="B532" s="3"/>
      <c r="C532" s="4" t="s">
        <v>1054</v>
      </c>
      <c r="D532" s="4" t="s">
        <v>337</v>
      </c>
      <c r="E532" s="5" t="s">
        <v>1055</v>
      </c>
      <c r="F532" s="5" t="str">
        <f t="shared" si="8"/>
        <v>swedoffice</v>
      </c>
      <c r="G532" s="5" t="s">
        <v>4</v>
      </c>
      <c r="H532" s="5" t="s">
        <v>5</v>
      </c>
      <c r="I532" s="6">
        <v>45204</v>
      </c>
    </row>
    <row r="533" spans="1:9" ht="13.5">
      <c r="A533" s="2" t="s">
        <v>348</v>
      </c>
      <c r="B533" s="3"/>
      <c r="C533" s="4" t="s">
        <v>1056</v>
      </c>
      <c r="D533" s="4" t="s">
        <v>350</v>
      </c>
      <c r="E533" s="5" t="s">
        <v>440</v>
      </c>
      <c r="F533" s="5" t="str">
        <f t="shared" si="8"/>
        <v>happysocks.com</v>
      </c>
      <c r="G533" s="5" t="s">
        <v>4</v>
      </c>
      <c r="H533" s="5" t="s">
        <v>345</v>
      </c>
      <c r="I533" s="6">
        <v>45208</v>
      </c>
    </row>
    <row r="534" spans="1:9" ht="13.5">
      <c r="A534" s="2" t="s">
        <v>348</v>
      </c>
      <c r="B534" s="3"/>
      <c r="C534" s="4" t="s">
        <v>1057</v>
      </c>
      <c r="D534" s="4" t="s">
        <v>811</v>
      </c>
      <c r="E534" s="5" t="s">
        <v>358</v>
      </c>
      <c r="F534" s="5" t="str">
        <f t="shared" si="8"/>
        <v>happysocks.com</v>
      </c>
      <c r="G534" s="5" t="s">
        <v>4</v>
      </c>
      <c r="H534" s="5" t="s">
        <v>345</v>
      </c>
      <c r="I534" s="6">
        <v>45208</v>
      </c>
    </row>
    <row r="535" spans="1:9" ht="13.5">
      <c r="A535" s="2" t="s">
        <v>348</v>
      </c>
      <c r="B535" s="3"/>
      <c r="C535" s="4" t="s">
        <v>1058</v>
      </c>
      <c r="D535" s="4" t="s">
        <v>350</v>
      </c>
      <c r="E535" s="5" t="s">
        <v>1059</v>
      </c>
      <c r="F535" s="5" t="str">
        <f t="shared" si="8"/>
        <v>happysocks.com</v>
      </c>
      <c r="G535" s="5" t="s">
        <v>4</v>
      </c>
      <c r="H535" s="5" t="s">
        <v>345</v>
      </c>
      <c r="I535" s="6">
        <v>45208</v>
      </c>
    </row>
    <row r="536" spans="1:9" ht="13.5">
      <c r="A536" s="2" t="s">
        <v>348</v>
      </c>
      <c r="B536" s="3"/>
      <c r="C536" s="4" t="s">
        <v>1060</v>
      </c>
      <c r="D536" s="4" t="s">
        <v>811</v>
      </c>
      <c r="E536" s="5" t="s">
        <v>358</v>
      </c>
      <c r="F536" s="5" t="str">
        <f t="shared" si="8"/>
        <v>happysocks.com</v>
      </c>
      <c r="G536" s="5" t="s">
        <v>4</v>
      </c>
      <c r="H536" s="5" t="s">
        <v>345</v>
      </c>
      <c r="I536" s="6">
        <v>45208</v>
      </c>
    </row>
    <row r="537" spans="1:9" ht="13.5">
      <c r="A537" s="2" t="s">
        <v>348</v>
      </c>
      <c r="B537" s="3"/>
      <c r="C537" s="4" t="s">
        <v>1061</v>
      </c>
      <c r="D537" s="4" t="s">
        <v>350</v>
      </c>
      <c r="E537" s="5" t="s">
        <v>1062</v>
      </c>
      <c r="F537" s="5" t="str">
        <f t="shared" si="8"/>
        <v>happysocks.com</v>
      </c>
      <c r="G537" s="5" t="s">
        <v>4</v>
      </c>
      <c r="H537" s="5" t="s">
        <v>345</v>
      </c>
      <c r="I537" s="6">
        <v>45208</v>
      </c>
    </row>
    <row r="538" spans="1:9" ht="13.5">
      <c r="A538" s="2" t="s">
        <v>348</v>
      </c>
      <c r="B538" s="3"/>
      <c r="C538" s="4" t="s">
        <v>1063</v>
      </c>
      <c r="D538" s="4" t="s">
        <v>353</v>
      </c>
      <c r="E538" s="5" t="s">
        <v>354</v>
      </c>
      <c r="F538" s="5" t="str">
        <f t="shared" si="8"/>
        <v>happysocks.com</v>
      </c>
      <c r="G538" s="5" t="s">
        <v>4</v>
      </c>
      <c r="H538" s="5" t="s">
        <v>345</v>
      </c>
      <c r="I538" s="6">
        <v>45208</v>
      </c>
    </row>
    <row r="539" spans="1:9" ht="13.5">
      <c r="A539" s="2" t="s">
        <v>348</v>
      </c>
      <c r="B539" s="3"/>
      <c r="C539" s="4" t="s">
        <v>1064</v>
      </c>
      <c r="D539" s="4" t="s">
        <v>350</v>
      </c>
      <c r="E539" s="5" t="s">
        <v>671</v>
      </c>
      <c r="F539" s="5" t="str">
        <f t="shared" si="8"/>
        <v>happysocks.com</v>
      </c>
      <c r="G539" s="5" t="s">
        <v>4</v>
      </c>
      <c r="H539" s="5" t="s">
        <v>345</v>
      </c>
      <c r="I539" s="6">
        <v>45208</v>
      </c>
    </row>
    <row r="540" spans="1:9" ht="13.5">
      <c r="A540" s="2" t="s">
        <v>342</v>
      </c>
      <c r="B540" s="3"/>
      <c r="C540" s="4" t="s">
        <v>1065</v>
      </c>
      <c r="D540" s="4" t="s">
        <v>360</v>
      </c>
      <c r="E540" s="5" t="s">
        <v>1041</v>
      </c>
      <c r="F540" s="5" t="str">
        <f t="shared" si="8"/>
        <v>advancepointcap.com</v>
      </c>
      <c r="G540" s="5" t="s">
        <v>4</v>
      </c>
      <c r="H540" s="5" t="s">
        <v>345</v>
      </c>
      <c r="I540" s="6">
        <v>45209</v>
      </c>
    </row>
    <row r="541" spans="1:9" ht="13.5">
      <c r="A541" s="2" t="s">
        <v>348</v>
      </c>
      <c r="B541" s="3"/>
      <c r="C541" s="4" t="s">
        <v>1056</v>
      </c>
      <c r="D541" s="4" t="s">
        <v>350</v>
      </c>
      <c r="E541" s="5" t="s">
        <v>440</v>
      </c>
      <c r="F541" s="5" t="str">
        <f t="shared" si="8"/>
        <v>happysocks.com</v>
      </c>
      <c r="G541" s="5" t="s">
        <v>4</v>
      </c>
      <c r="H541" s="5" t="s">
        <v>345</v>
      </c>
      <c r="I541" s="6">
        <v>45209</v>
      </c>
    </row>
    <row r="542" spans="1:9" ht="13.5">
      <c r="A542" s="2" t="s">
        <v>846</v>
      </c>
      <c r="B542" s="3"/>
      <c r="C542" s="4" t="s">
        <v>1066</v>
      </c>
      <c r="D542" s="4" t="s">
        <v>848</v>
      </c>
      <c r="E542" s="5" t="s">
        <v>1067</v>
      </c>
      <c r="F542" s="5" t="str">
        <f t="shared" si="8"/>
        <v>tandea.se</v>
      </c>
      <c r="G542" s="5" t="s">
        <v>4</v>
      </c>
      <c r="H542" s="5" t="s">
        <v>5</v>
      </c>
      <c r="I542" s="6">
        <v>45210</v>
      </c>
    </row>
    <row r="543" spans="1:9" ht="13.5">
      <c r="A543" s="2" t="s">
        <v>1</v>
      </c>
      <c r="B543" s="3"/>
      <c r="C543" s="8" t="s">
        <v>1068</v>
      </c>
      <c r="D543" s="4" t="s">
        <v>1069</v>
      </c>
      <c r="E543" s="5" t="s">
        <v>1070</v>
      </c>
      <c r="F543" s="5" t="str">
        <f t="shared" si="8"/>
        <v>haxan.se</v>
      </c>
      <c r="G543" s="5" t="s">
        <v>4</v>
      </c>
      <c r="H543" s="5" t="s">
        <v>5</v>
      </c>
      <c r="I543" s="6">
        <v>45211</v>
      </c>
    </row>
    <row r="544" spans="1:9" ht="13.5">
      <c r="A544" s="7" t="s">
        <v>1071</v>
      </c>
      <c r="B544" s="3"/>
      <c r="C544" s="8" t="s">
        <v>1072</v>
      </c>
      <c r="D544" s="8" t="s">
        <v>830</v>
      </c>
      <c r="E544" s="5" t="s">
        <v>1073</v>
      </c>
      <c r="F544" s="5" t="str">
        <f t="shared" si="8"/>
        <v>???</v>
      </c>
      <c r="G544" s="5" t="s">
        <v>4</v>
      </c>
      <c r="H544" s="5" t="s">
        <v>5</v>
      </c>
      <c r="I544" s="6">
        <v>45211</v>
      </c>
    </row>
    <row r="545" spans="1:9" ht="13.5">
      <c r="A545" s="2" t="s">
        <v>703</v>
      </c>
      <c r="B545" s="3"/>
      <c r="C545" s="8" t="s">
        <v>1074</v>
      </c>
      <c r="D545" s="8" t="s">
        <v>747</v>
      </c>
      <c r="E545" s="5" t="s">
        <v>748</v>
      </c>
      <c r="F545" s="5" t="str">
        <f t="shared" si="8"/>
        <v>distansinstitutet.se</v>
      </c>
      <c r="G545" s="5" t="s">
        <v>4</v>
      </c>
      <c r="H545" s="5" t="s">
        <v>5</v>
      </c>
      <c r="I545" s="6">
        <v>45211</v>
      </c>
    </row>
    <row r="546" spans="1:9" ht="13.5">
      <c r="A546" s="2" t="s">
        <v>703</v>
      </c>
      <c r="B546" s="3"/>
      <c r="C546" s="8" t="s">
        <v>1075</v>
      </c>
      <c r="D546" s="8" t="s">
        <v>750</v>
      </c>
      <c r="E546" s="5" t="s">
        <v>751</v>
      </c>
      <c r="F546" s="5" t="str">
        <f t="shared" si="8"/>
        <v>distansinstitutet.se</v>
      </c>
      <c r="G546" s="5" t="s">
        <v>4</v>
      </c>
      <c r="H546" s="5" t="s">
        <v>5</v>
      </c>
      <c r="I546" s="6">
        <v>45211</v>
      </c>
    </row>
    <row r="547" spans="1:9" ht="13.5">
      <c r="A547" s="2" t="s">
        <v>714</v>
      </c>
      <c r="B547" s="3"/>
      <c r="C547" s="4" t="s">
        <v>1076</v>
      </c>
      <c r="D547" s="4" t="s">
        <v>1033</v>
      </c>
      <c r="E547" s="5" t="s">
        <v>1077</v>
      </c>
      <c r="F547" s="5" t="str">
        <f t="shared" si="8"/>
        <v>Alfa.no</v>
      </c>
      <c r="G547" s="5" t="s">
        <v>4</v>
      </c>
      <c r="H547" s="5" t="s">
        <v>382</v>
      </c>
      <c r="I547" s="6">
        <v>45212</v>
      </c>
    </row>
    <row r="548" spans="1:9" ht="13.5">
      <c r="A548" s="2" t="s">
        <v>535</v>
      </c>
      <c r="B548" s="3"/>
      <c r="C548" s="8" t="s">
        <v>1078</v>
      </c>
      <c r="D548" s="8" t="s">
        <v>536</v>
      </c>
      <c r="E548" s="5" t="s">
        <v>1079</v>
      </c>
      <c r="F548" s="5" t="str">
        <f t="shared" si="8"/>
        <v>tryggbil.se</v>
      </c>
      <c r="G548" s="5" t="s">
        <v>4</v>
      </c>
      <c r="H548" s="5" t="s">
        <v>5</v>
      </c>
      <c r="I548" s="6">
        <v>45216</v>
      </c>
    </row>
    <row r="549" spans="1:9" ht="13.5">
      <c r="A549" s="2" t="s">
        <v>535</v>
      </c>
      <c r="B549" s="3"/>
      <c r="C549" s="4" t="s">
        <v>1080</v>
      </c>
      <c r="D549" s="8" t="s">
        <v>536</v>
      </c>
      <c r="E549" s="5" t="s">
        <v>1081</v>
      </c>
      <c r="F549" s="5" t="str">
        <f t="shared" si="8"/>
        <v>tryggbil.se</v>
      </c>
      <c r="G549" s="5" t="s">
        <v>4</v>
      </c>
      <c r="H549" s="5" t="s">
        <v>5</v>
      </c>
      <c r="I549" s="6">
        <v>45216</v>
      </c>
    </row>
    <row r="550" spans="1:9" ht="13.5">
      <c r="A550" s="2" t="s">
        <v>535</v>
      </c>
      <c r="B550" s="3"/>
      <c r="C550" s="8" t="s">
        <v>1082</v>
      </c>
      <c r="D550" s="8" t="s">
        <v>536</v>
      </c>
      <c r="E550" s="5" t="s">
        <v>1083</v>
      </c>
      <c r="F550" s="5" t="str">
        <f t="shared" si="8"/>
        <v>tryggbil.se</v>
      </c>
      <c r="G550" s="5" t="s">
        <v>4</v>
      </c>
      <c r="H550" s="5" t="s">
        <v>5</v>
      </c>
      <c r="I550" s="6">
        <v>45216</v>
      </c>
    </row>
    <row r="551" spans="1:9" ht="13.5">
      <c r="A551" s="2" t="s">
        <v>535</v>
      </c>
      <c r="B551" s="3"/>
      <c r="C551" s="4" t="s">
        <v>1084</v>
      </c>
      <c r="D551" s="8" t="s">
        <v>536</v>
      </c>
      <c r="E551" s="5" t="s">
        <v>1085</v>
      </c>
      <c r="F551" s="5" t="str">
        <f t="shared" si="8"/>
        <v>tryggbil.se</v>
      </c>
      <c r="G551" s="5" t="s">
        <v>4</v>
      </c>
      <c r="H551" s="5" t="s">
        <v>5</v>
      </c>
      <c r="I551" s="6">
        <v>45216</v>
      </c>
    </row>
    <row r="552" spans="1:9" ht="13.5">
      <c r="A552" s="2" t="s">
        <v>958</v>
      </c>
      <c r="B552" s="3"/>
      <c r="C552" s="8" t="s">
        <v>1086</v>
      </c>
      <c r="D552" s="8" t="s">
        <v>960</v>
      </c>
      <c r="E552" s="5" t="s">
        <v>1087</v>
      </c>
      <c r="F552" s="5" t="str">
        <f t="shared" si="8"/>
        <v>oconnors.se</v>
      </c>
      <c r="G552" s="5" t="s">
        <v>4</v>
      </c>
      <c r="H552" s="5" t="s">
        <v>5</v>
      </c>
      <c r="I552" s="6">
        <v>45216</v>
      </c>
    </row>
    <row r="553" spans="1:9" ht="13.5">
      <c r="A553" s="2" t="s">
        <v>435</v>
      </c>
      <c r="B553" s="3"/>
      <c r="C553" s="8" t="s">
        <v>1088</v>
      </c>
      <c r="D553" s="8" t="s">
        <v>836</v>
      </c>
      <c r="E553" s="5" t="s">
        <v>1089</v>
      </c>
      <c r="F553" s="5" t="str">
        <f t="shared" si="8"/>
        <v>fairinvestments.se</v>
      </c>
      <c r="G553" s="5" t="s">
        <v>4</v>
      </c>
      <c r="H553" s="5" t="s">
        <v>5</v>
      </c>
      <c r="I553" s="6">
        <v>45217</v>
      </c>
    </row>
    <row r="554" spans="1:9" ht="13.5">
      <c r="A554" s="2" t="s">
        <v>435</v>
      </c>
      <c r="B554" s="3"/>
      <c r="C554" s="74" t="s">
        <v>1090</v>
      </c>
      <c r="D554" s="8" t="s">
        <v>517</v>
      </c>
      <c r="E554" s="5" t="s">
        <v>1089</v>
      </c>
      <c r="F554" s="5" t="str">
        <f t="shared" si="8"/>
        <v>fairinvestments.se</v>
      </c>
      <c r="G554" s="5" t="s">
        <v>4</v>
      </c>
      <c r="H554" s="5" t="s">
        <v>5</v>
      </c>
      <c r="I554" s="6">
        <v>45217</v>
      </c>
    </row>
    <row r="555" spans="1:9" ht="13.5">
      <c r="A555" s="2" t="s">
        <v>435</v>
      </c>
      <c r="B555" s="3"/>
      <c r="C555" s="4" t="s">
        <v>1091</v>
      </c>
      <c r="D555" s="8" t="s">
        <v>1012</v>
      </c>
      <c r="E555" s="5" t="s">
        <v>1089</v>
      </c>
      <c r="F555" s="5" t="str">
        <f t="shared" si="8"/>
        <v>fairinvestments.se</v>
      </c>
      <c r="G555" s="5" t="s">
        <v>4</v>
      </c>
      <c r="H555" s="5" t="s">
        <v>5</v>
      </c>
      <c r="I555" s="6">
        <v>45217</v>
      </c>
    </row>
    <row r="556" spans="1:9" ht="13.5">
      <c r="A556" s="2" t="s">
        <v>435</v>
      </c>
      <c r="B556" s="3"/>
      <c r="C556" s="4" t="s">
        <v>1092</v>
      </c>
      <c r="D556" s="8" t="s">
        <v>1093</v>
      </c>
      <c r="E556" s="5" t="s">
        <v>1089</v>
      </c>
      <c r="F556" s="5" t="str">
        <f t="shared" si="8"/>
        <v>fairinvestments.se</v>
      </c>
      <c r="G556" s="5" t="s">
        <v>4</v>
      </c>
      <c r="H556" s="5" t="s">
        <v>5</v>
      </c>
      <c r="I556" s="6">
        <v>45218</v>
      </c>
    </row>
    <row r="557" spans="1:9" ht="13.5">
      <c r="A557" s="2" t="s">
        <v>171</v>
      </c>
      <c r="B557" s="3"/>
      <c r="C557" s="74" t="s">
        <v>1094</v>
      </c>
      <c r="D557" s="8" t="s">
        <v>1095</v>
      </c>
      <c r="E557" s="5" t="s">
        <v>1096</v>
      </c>
      <c r="F557" s="5" t="str">
        <f t="shared" si="8"/>
        <v>arctic.se</v>
      </c>
      <c r="G557" s="5" t="s">
        <v>4</v>
      </c>
      <c r="H557" s="5" t="s">
        <v>5</v>
      </c>
      <c r="I557" s="6">
        <v>45218</v>
      </c>
    </row>
    <row r="558" spans="1:9" ht="13.5">
      <c r="A558" s="2" t="s">
        <v>703</v>
      </c>
      <c r="B558" s="3"/>
      <c r="C558" s="74" t="s">
        <v>1097</v>
      </c>
      <c r="D558" s="4" t="s">
        <v>1098</v>
      </c>
      <c r="E558" s="5" t="s">
        <v>1099</v>
      </c>
      <c r="F558" s="5" t="str">
        <f t="shared" si="8"/>
        <v>distansinstitutet.se</v>
      </c>
      <c r="G558" s="5" t="s">
        <v>4</v>
      </c>
      <c r="H558" s="5" t="s">
        <v>5</v>
      </c>
      <c r="I558" s="6">
        <v>45218</v>
      </c>
    </row>
    <row r="559" spans="1:9" ht="13.5">
      <c r="A559" s="2" t="s">
        <v>703</v>
      </c>
      <c r="B559" s="3"/>
      <c r="C559" s="4" t="s">
        <v>1100</v>
      </c>
      <c r="D559" s="4" t="s">
        <v>827</v>
      </c>
      <c r="E559" s="5" t="s">
        <v>1101</v>
      </c>
      <c r="F559" s="5" t="str">
        <f t="shared" si="8"/>
        <v>distansinstitutet.se</v>
      </c>
      <c r="G559" s="5" t="s">
        <v>4</v>
      </c>
      <c r="H559" s="5" t="s">
        <v>5</v>
      </c>
      <c r="I559" s="6">
        <v>45218</v>
      </c>
    </row>
    <row r="560" spans="1:9" ht="13.5">
      <c r="A560" s="2" t="s">
        <v>992</v>
      </c>
      <c r="B560" s="3"/>
      <c r="C560" s="4" t="s">
        <v>1102</v>
      </c>
      <c r="D560" s="4" t="s">
        <v>1103</v>
      </c>
      <c r="E560" s="5" t="s">
        <v>1104</v>
      </c>
      <c r="F560" s="5" t="str">
        <f t="shared" si="8"/>
        <v>ledkungen.se</v>
      </c>
      <c r="G560" s="5" t="s">
        <v>4</v>
      </c>
      <c r="H560" s="5" t="s">
        <v>5</v>
      </c>
      <c r="I560" s="6">
        <v>45218</v>
      </c>
    </row>
    <row r="561" spans="1:9" ht="13.5">
      <c r="A561" s="2" t="s">
        <v>1105</v>
      </c>
      <c r="B561" s="3"/>
      <c r="C561" s="74" t="s">
        <v>1106</v>
      </c>
      <c r="D561" s="4" t="s">
        <v>1107</v>
      </c>
      <c r="E561" s="5" t="s">
        <v>1108</v>
      </c>
      <c r="F561" s="5" t="str">
        <f t="shared" si="8"/>
        <v>ritty.se</v>
      </c>
      <c r="G561" s="5" t="s">
        <v>4</v>
      </c>
      <c r="H561" s="5" t="s">
        <v>5</v>
      </c>
      <c r="I561" s="6">
        <v>45218</v>
      </c>
    </row>
    <row r="562" spans="1:9" ht="13.5">
      <c r="A562" s="2" t="s">
        <v>1105</v>
      </c>
      <c r="B562" s="3"/>
      <c r="C562" s="74" t="s">
        <v>1109</v>
      </c>
      <c r="D562" s="8" t="s">
        <v>1110</v>
      </c>
      <c r="E562" s="5" t="s">
        <v>1111</v>
      </c>
      <c r="F562" s="5" t="str">
        <f t="shared" si="8"/>
        <v>ritty.se</v>
      </c>
      <c r="G562" s="5" t="s">
        <v>4</v>
      </c>
      <c r="H562" s="5" t="s">
        <v>5</v>
      </c>
      <c r="I562" s="6">
        <v>45218</v>
      </c>
    </row>
    <row r="563" spans="1:9" ht="13.5">
      <c r="A563" s="2" t="s">
        <v>1112</v>
      </c>
      <c r="B563" s="3"/>
      <c r="C563" s="4" t="s">
        <v>1113</v>
      </c>
      <c r="D563" s="4" t="s">
        <v>1114</v>
      </c>
      <c r="E563" s="5" t="s">
        <v>1115</v>
      </c>
      <c r="F563" s="5" t="str">
        <f t="shared" si="8"/>
        <v>triwa.com</v>
      </c>
      <c r="G563" s="5" t="s">
        <v>4</v>
      </c>
      <c r="H563" s="5" t="s">
        <v>345</v>
      </c>
      <c r="I563" s="6">
        <v>45218</v>
      </c>
    </row>
    <row r="564" spans="1:9" ht="13.5">
      <c r="A564" s="7" t="s">
        <v>224</v>
      </c>
      <c r="B564" s="3"/>
      <c r="C564" s="4" t="s">
        <v>1116</v>
      </c>
      <c r="D564" s="4" t="s">
        <v>290</v>
      </c>
      <c r="E564" s="5" t="s">
        <v>1117</v>
      </c>
      <c r="F564" s="5" t="str">
        <f t="shared" si="8"/>
        <v>swedoffice</v>
      </c>
      <c r="G564" s="5" t="s">
        <v>4</v>
      </c>
      <c r="H564" s="5" t="s">
        <v>5</v>
      </c>
      <c r="I564" s="6">
        <v>45219</v>
      </c>
    </row>
    <row r="565" spans="1:9" ht="13.5">
      <c r="A565" s="7" t="s">
        <v>386</v>
      </c>
      <c r="B565" s="3"/>
      <c r="C565" s="4" t="s">
        <v>1118</v>
      </c>
      <c r="D565" s="4" t="s">
        <v>452</v>
      </c>
      <c r="E565" s="5" t="s">
        <v>453</v>
      </c>
      <c r="F565" s="5" t="str">
        <f t="shared" si="8"/>
        <v>pontech</v>
      </c>
      <c r="G565" s="5" t="s">
        <v>4</v>
      </c>
      <c r="H565" s="5" t="s">
        <v>5</v>
      </c>
      <c r="I565" s="6">
        <v>45222</v>
      </c>
    </row>
    <row r="566" spans="1:9" ht="13.5">
      <c r="A566" s="2" t="s">
        <v>342</v>
      </c>
      <c r="B566" s="3"/>
      <c r="C566" s="4" t="s">
        <v>1119</v>
      </c>
      <c r="D566" s="4" t="s">
        <v>899</v>
      </c>
      <c r="E566" s="5" t="s">
        <v>1120</v>
      </c>
      <c r="F566" s="5" t="str">
        <f t="shared" si="8"/>
        <v>advancepointcap.com</v>
      </c>
      <c r="G566" s="5" t="s">
        <v>4</v>
      </c>
      <c r="H566" s="5" t="s">
        <v>5</v>
      </c>
      <c r="I566" s="6">
        <v>45223</v>
      </c>
    </row>
    <row r="567" spans="1:9" ht="13.5">
      <c r="A567" s="2" t="s">
        <v>1112</v>
      </c>
      <c r="B567" s="3"/>
      <c r="C567" s="4" t="s">
        <v>1121</v>
      </c>
      <c r="D567" s="4" t="s">
        <v>1114</v>
      </c>
      <c r="E567" s="5" t="s">
        <v>1122</v>
      </c>
      <c r="F567" s="5" t="str">
        <f t="shared" si="8"/>
        <v>triwa.com</v>
      </c>
      <c r="G567" s="5" t="s">
        <v>4</v>
      </c>
      <c r="H567" s="5" t="s">
        <v>345</v>
      </c>
      <c r="I567" s="6">
        <v>45223</v>
      </c>
    </row>
    <row r="568" spans="1:9" ht="13.5">
      <c r="A568" s="2" t="s">
        <v>1112</v>
      </c>
      <c r="B568" s="3"/>
      <c r="C568" s="4" t="s">
        <v>1121</v>
      </c>
      <c r="D568" s="4" t="s">
        <v>1114</v>
      </c>
      <c r="E568" s="5" t="s">
        <v>1122</v>
      </c>
      <c r="F568" s="5" t="str">
        <f t="shared" si="8"/>
        <v>triwa.com</v>
      </c>
      <c r="G568" s="5" t="s">
        <v>4</v>
      </c>
      <c r="H568" s="5" t="s">
        <v>345</v>
      </c>
      <c r="I568" s="6">
        <v>45224</v>
      </c>
    </row>
    <row r="569" spans="1:9" ht="13.5">
      <c r="A569" s="2" t="s">
        <v>723</v>
      </c>
      <c r="B569" s="3"/>
      <c r="C569" s="4" t="s">
        <v>1123</v>
      </c>
      <c r="D569" s="8" t="s">
        <v>723</v>
      </c>
      <c r="E569" s="22" t="s">
        <v>723</v>
      </c>
      <c r="F569" s="5" t="str">
        <f t="shared" si="8"/>
        <v>aretrotale.com</v>
      </c>
      <c r="G569" s="5" t="s">
        <v>4</v>
      </c>
      <c r="H569" s="5" t="s">
        <v>23</v>
      </c>
      <c r="I569" s="6">
        <v>45224</v>
      </c>
    </row>
    <row r="570" spans="1:9" ht="13.5">
      <c r="A570" s="2" t="s">
        <v>342</v>
      </c>
      <c r="B570" s="3"/>
      <c r="C570" s="4" t="s">
        <v>1124</v>
      </c>
      <c r="D570" s="4" t="s">
        <v>360</v>
      </c>
      <c r="E570" s="5" t="s">
        <v>1125</v>
      </c>
      <c r="F570" s="5" t="str">
        <f t="shared" si="8"/>
        <v>advancepointcap.com</v>
      </c>
      <c r="G570" s="5" t="s">
        <v>4</v>
      </c>
      <c r="H570" s="5" t="s">
        <v>345</v>
      </c>
      <c r="I570" s="6">
        <v>45225</v>
      </c>
    </row>
    <row r="571" spans="1:9" ht="13.5">
      <c r="A571" s="2" t="s">
        <v>342</v>
      </c>
      <c r="B571" s="3"/>
      <c r="C571" s="4" t="s">
        <v>1126</v>
      </c>
      <c r="D571" s="4" t="s">
        <v>360</v>
      </c>
      <c r="E571" s="5" t="s">
        <v>1127</v>
      </c>
      <c r="F571" s="5" t="str">
        <f t="shared" si="8"/>
        <v>advancepointcap.com</v>
      </c>
      <c r="G571" s="5" t="s">
        <v>4</v>
      </c>
      <c r="H571" s="5" t="s">
        <v>345</v>
      </c>
      <c r="I571" s="6">
        <v>45226</v>
      </c>
    </row>
    <row r="572" spans="1:9" ht="13.5">
      <c r="A572" s="2" t="s">
        <v>342</v>
      </c>
      <c r="B572" s="3"/>
      <c r="C572" s="8" t="s">
        <v>1128</v>
      </c>
      <c r="D572" s="8" t="s">
        <v>1030</v>
      </c>
      <c r="E572" s="5" t="s">
        <v>1129</v>
      </c>
      <c r="F572" s="5" t="str">
        <f t="shared" si="8"/>
        <v>advancepointcap.com</v>
      </c>
      <c r="G572" s="5" t="s">
        <v>4</v>
      </c>
      <c r="H572" s="5" t="s">
        <v>345</v>
      </c>
      <c r="I572" s="6">
        <v>45226</v>
      </c>
    </row>
    <row r="573" spans="1:9" ht="13.5">
      <c r="A573" s="2" t="s">
        <v>1112</v>
      </c>
      <c r="B573" s="3"/>
      <c r="C573" s="4" t="s">
        <v>1130</v>
      </c>
      <c r="D573" s="4" t="s">
        <v>1131</v>
      </c>
      <c r="E573" s="5" t="s">
        <v>1132</v>
      </c>
      <c r="F573" s="5" t="str">
        <f t="shared" si="8"/>
        <v>triwa.com</v>
      </c>
      <c r="G573" s="5" t="s">
        <v>4</v>
      </c>
      <c r="H573" s="5" t="s">
        <v>345</v>
      </c>
      <c r="I573" s="6">
        <v>45226</v>
      </c>
    </row>
    <row r="574" spans="1:9" ht="13.5">
      <c r="A574" s="2" t="s">
        <v>405</v>
      </c>
      <c r="B574" s="3"/>
      <c r="C574" s="4" t="s">
        <v>1133</v>
      </c>
      <c r="D574" s="4" t="s">
        <v>407</v>
      </c>
      <c r="E574" s="5" t="s">
        <v>1134</v>
      </c>
      <c r="F574" s="5" t="str">
        <f t="shared" si="8"/>
        <v>rehabgrossisten.com</v>
      </c>
      <c r="G574" s="5" t="s">
        <v>4</v>
      </c>
      <c r="H574" s="5" t="s">
        <v>5</v>
      </c>
      <c r="I574" s="6">
        <v>45226</v>
      </c>
    </row>
    <row r="575" spans="1:9" ht="13.5">
      <c r="A575" s="2" t="s">
        <v>765</v>
      </c>
      <c r="B575" s="3"/>
      <c r="C575" s="4" t="s">
        <v>1135</v>
      </c>
      <c r="D575" s="4" t="s">
        <v>1136</v>
      </c>
      <c r="E575" s="5" t="s">
        <v>1137</v>
      </c>
      <c r="F575" s="5" t="str">
        <f t="shared" si="8"/>
        <v>lemontree.se</v>
      </c>
      <c r="G575" s="5" t="s">
        <v>4</v>
      </c>
      <c r="H575" s="5" t="s">
        <v>5</v>
      </c>
      <c r="I575" s="6">
        <v>45229</v>
      </c>
    </row>
    <row r="576" spans="1:9" ht="13.5">
      <c r="A576" s="2" t="s">
        <v>1138</v>
      </c>
      <c r="B576" s="3"/>
      <c r="C576" s="4" t="s">
        <v>1139</v>
      </c>
      <c r="D576" s="4" t="s">
        <v>1140</v>
      </c>
      <c r="E576" s="5" t="s">
        <v>1141</v>
      </c>
      <c r="F576" s="5" t="str">
        <f t="shared" si="8"/>
        <v>hemplybalance.com</v>
      </c>
      <c r="G576" s="5" t="s">
        <v>4</v>
      </c>
      <c r="H576" s="5" t="s">
        <v>5</v>
      </c>
      <c r="I576" s="6">
        <v>45229</v>
      </c>
    </row>
    <row r="577" spans="1:9" ht="13.5">
      <c r="A577" s="7" t="s">
        <v>386</v>
      </c>
      <c r="B577" s="3"/>
      <c r="C577" s="8" t="s">
        <v>1142</v>
      </c>
      <c r="D577" s="4" t="s">
        <v>1143</v>
      </c>
      <c r="E577" s="5" t="s">
        <v>1144</v>
      </c>
      <c r="F577" s="5" t="str">
        <f t="shared" si="8"/>
        <v>pontech</v>
      </c>
      <c r="G577" s="5" t="s">
        <v>4</v>
      </c>
      <c r="H577" s="5" t="s">
        <v>5</v>
      </c>
      <c r="I577" s="6">
        <v>45229</v>
      </c>
    </row>
    <row r="578" spans="1:9" ht="13.5">
      <c r="A578" s="2" t="s">
        <v>714</v>
      </c>
      <c r="B578" s="3"/>
      <c r="C578" s="4" t="s">
        <v>1145</v>
      </c>
      <c r="D578" s="4" t="s">
        <v>1033</v>
      </c>
      <c r="E578" s="5" t="s">
        <v>1146</v>
      </c>
      <c r="F578" s="5" t="str">
        <f t="shared" si="8"/>
        <v>Alfa.no</v>
      </c>
      <c r="G578" s="5" t="s">
        <v>4</v>
      </c>
      <c r="H578" s="5" t="s">
        <v>382</v>
      </c>
      <c r="I578" s="6">
        <v>45229</v>
      </c>
    </row>
    <row r="579" spans="1:9" ht="13.5">
      <c r="A579" s="2" t="s">
        <v>714</v>
      </c>
      <c r="B579" s="3"/>
      <c r="C579" s="4" t="s">
        <v>1147</v>
      </c>
      <c r="D579" s="4" t="s">
        <v>1148</v>
      </c>
      <c r="E579" s="5" t="s">
        <v>1149</v>
      </c>
      <c r="F579" s="5" t="str">
        <f t="shared" ref="F579:F642" si="9">A579</f>
        <v>Alfa.no</v>
      </c>
      <c r="G579" s="5" t="s">
        <v>4</v>
      </c>
      <c r="H579" s="5" t="s">
        <v>382</v>
      </c>
      <c r="I579" s="6">
        <v>45229</v>
      </c>
    </row>
    <row r="580" spans="1:9" ht="13.5">
      <c r="A580" s="2" t="s">
        <v>846</v>
      </c>
      <c r="B580" s="3"/>
      <c r="C580" s="4" t="s">
        <v>1150</v>
      </c>
      <c r="D580" s="4" t="s">
        <v>848</v>
      </c>
      <c r="E580" s="5" t="s">
        <v>1151</v>
      </c>
      <c r="F580" s="5" t="str">
        <f t="shared" si="9"/>
        <v>tandea.se</v>
      </c>
      <c r="G580" s="5" t="s">
        <v>4</v>
      </c>
      <c r="H580" s="5" t="s">
        <v>5</v>
      </c>
      <c r="I580" s="6">
        <v>45230</v>
      </c>
    </row>
    <row r="581" spans="1:9" ht="13.5">
      <c r="A581" s="2" t="s">
        <v>714</v>
      </c>
      <c r="B581" s="3"/>
      <c r="C581" s="4" t="s">
        <v>1152</v>
      </c>
      <c r="D581" s="4" t="s">
        <v>1153</v>
      </c>
      <c r="E581" s="5" t="s">
        <v>1154</v>
      </c>
      <c r="F581" s="5" t="str">
        <f t="shared" si="9"/>
        <v>Alfa.no</v>
      </c>
      <c r="G581" s="5" t="s">
        <v>4</v>
      </c>
      <c r="H581" s="5" t="s">
        <v>382</v>
      </c>
      <c r="I581" s="6">
        <v>45230</v>
      </c>
    </row>
    <row r="582" spans="1:9" ht="13.5">
      <c r="A582" s="2" t="s">
        <v>342</v>
      </c>
      <c r="B582" s="3"/>
      <c r="C582" s="4" t="s">
        <v>1155</v>
      </c>
      <c r="D582" s="4" t="s">
        <v>344</v>
      </c>
      <c r="E582" s="5" t="s">
        <v>1156</v>
      </c>
      <c r="F582" s="5" t="str">
        <f t="shared" si="9"/>
        <v>advancepointcap.com</v>
      </c>
      <c r="G582" s="5" t="s">
        <v>4</v>
      </c>
      <c r="H582" s="5" t="s">
        <v>345</v>
      </c>
      <c r="I582" s="6">
        <v>45233</v>
      </c>
    </row>
    <row r="583" spans="1:9" ht="13.5">
      <c r="A583" s="2" t="s">
        <v>342</v>
      </c>
      <c r="B583" s="3"/>
      <c r="C583" s="4" t="s">
        <v>1157</v>
      </c>
      <c r="D583" s="4" t="s">
        <v>344</v>
      </c>
      <c r="E583" s="5" t="s">
        <v>1158</v>
      </c>
      <c r="F583" s="5" t="str">
        <f t="shared" si="9"/>
        <v>advancepointcap.com</v>
      </c>
      <c r="G583" s="5" t="s">
        <v>4</v>
      </c>
      <c r="H583" s="5" t="s">
        <v>345</v>
      </c>
      <c r="I583" s="6">
        <v>45233</v>
      </c>
    </row>
    <row r="584" spans="1:9" ht="13.5">
      <c r="A584" s="2" t="s">
        <v>342</v>
      </c>
      <c r="B584" s="3"/>
      <c r="C584" s="4" t="s">
        <v>1159</v>
      </c>
      <c r="D584" s="4" t="s">
        <v>344</v>
      </c>
      <c r="E584" s="5" t="s">
        <v>1160</v>
      </c>
      <c r="F584" s="5" t="str">
        <f t="shared" si="9"/>
        <v>advancepointcap.com</v>
      </c>
      <c r="G584" s="5" t="s">
        <v>4</v>
      </c>
      <c r="H584" s="5" t="s">
        <v>345</v>
      </c>
      <c r="I584" s="6">
        <v>45233</v>
      </c>
    </row>
    <row r="585" spans="1:9" ht="13.5">
      <c r="A585" s="2" t="s">
        <v>1112</v>
      </c>
      <c r="B585" s="3"/>
      <c r="C585" s="4" t="s">
        <v>1161</v>
      </c>
      <c r="D585" s="4" t="s">
        <v>1162</v>
      </c>
      <c r="E585" s="5" t="s">
        <v>1163</v>
      </c>
      <c r="F585" s="5" t="str">
        <f t="shared" si="9"/>
        <v>triwa.com</v>
      </c>
      <c r="G585" s="5" t="s">
        <v>4</v>
      </c>
      <c r="H585" s="5" t="s">
        <v>345</v>
      </c>
      <c r="I585" s="6">
        <v>45233</v>
      </c>
    </row>
    <row r="586" spans="1:9" ht="13.5">
      <c r="A586" s="2" t="s">
        <v>1112</v>
      </c>
      <c r="B586" s="3"/>
      <c r="C586" s="4" t="s">
        <v>1164</v>
      </c>
      <c r="D586" s="4" t="s">
        <v>1162</v>
      </c>
      <c r="E586" s="22" t="s">
        <v>1165</v>
      </c>
      <c r="F586" s="5" t="str">
        <f t="shared" si="9"/>
        <v>triwa.com</v>
      </c>
      <c r="G586" s="5" t="s">
        <v>4</v>
      </c>
      <c r="H586" s="5" t="s">
        <v>345</v>
      </c>
      <c r="I586" s="6">
        <v>45233</v>
      </c>
    </row>
    <row r="587" spans="1:9" ht="13.5">
      <c r="A587" s="2" t="s">
        <v>714</v>
      </c>
      <c r="B587" s="3"/>
      <c r="C587" s="4" t="s">
        <v>1166</v>
      </c>
      <c r="D587" s="4" t="s">
        <v>1167</v>
      </c>
      <c r="E587" s="5" t="s">
        <v>1168</v>
      </c>
      <c r="F587" s="5" t="str">
        <f t="shared" si="9"/>
        <v>Alfa.no</v>
      </c>
      <c r="G587" s="5" t="s">
        <v>4</v>
      </c>
      <c r="H587" s="5" t="s">
        <v>382</v>
      </c>
      <c r="I587" s="6">
        <v>45238</v>
      </c>
    </row>
    <row r="588" spans="1:9" ht="13.5">
      <c r="A588" s="7" t="s">
        <v>31</v>
      </c>
      <c r="B588" s="3"/>
      <c r="C588" s="4" t="s">
        <v>1169</v>
      </c>
      <c r="D588" s="4" t="s">
        <v>1170</v>
      </c>
      <c r="E588" s="5" t="s">
        <v>1171</v>
      </c>
      <c r="F588" s="5" t="str">
        <f t="shared" si="9"/>
        <v>bästförsäkringar.se</v>
      </c>
      <c r="G588" s="5" t="s">
        <v>4</v>
      </c>
      <c r="H588" s="5" t="s">
        <v>5</v>
      </c>
      <c r="I588" s="6">
        <v>45245</v>
      </c>
    </row>
    <row r="589" spans="1:9" ht="13.5">
      <c r="A589" s="7" t="s">
        <v>31</v>
      </c>
      <c r="B589" s="3"/>
      <c r="C589" s="4" t="s">
        <v>1172</v>
      </c>
      <c r="D589" s="4" t="s">
        <v>33</v>
      </c>
      <c r="E589" s="5" t="s">
        <v>1173</v>
      </c>
      <c r="F589" s="5" t="str">
        <f t="shared" si="9"/>
        <v>bästförsäkringar.se</v>
      </c>
      <c r="G589" s="5" t="s">
        <v>4</v>
      </c>
      <c r="H589" s="5" t="s">
        <v>5</v>
      </c>
      <c r="I589" s="6">
        <v>45245</v>
      </c>
    </row>
    <row r="590" spans="1:9" ht="13.5">
      <c r="A590" s="7" t="s">
        <v>386</v>
      </c>
      <c r="B590" s="3"/>
      <c r="C590" s="75" t="s">
        <v>1174</v>
      </c>
      <c r="D590" s="71" t="s">
        <v>452</v>
      </c>
      <c r="E590" s="76" t="s">
        <v>879</v>
      </c>
      <c r="F590" s="5" t="str">
        <f t="shared" si="9"/>
        <v>pontech</v>
      </c>
      <c r="G590" s="76" t="s">
        <v>4</v>
      </c>
      <c r="H590" s="76" t="s">
        <v>5</v>
      </c>
      <c r="I590" s="6">
        <v>45245</v>
      </c>
    </row>
    <row r="591" spans="1:9" ht="14.25">
      <c r="A591" s="2" t="s">
        <v>723</v>
      </c>
      <c r="B591" s="3"/>
      <c r="C591" s="77" t="s">
        <v>1175</v>
      </c>
      <c r="D591" s="78" t="s">
        <v>725</v>
      </c>
      <c r="E591" s="80" t="s">
        <v>723</v>
      </c>
      <c r="F591" s="5" t="str">
        <f t="shared" si="9"/>
        <v>aretrotale.com</v>
      </c>
      <c r="G591" s="76" t="s">
        <v>4</v>
      </c>
      <c r="H591" s="79" t="s">
        <v>23</v>
      </c>
      <c r="I591" s="6">
        <v>45247</v>
      </c>
    </row>
    <row r="592" spans="1:9" ht="13.5">
      <c r="A592" s="2" t="s">
        <v>723</v>
      </c>
      <c r="B592" s="3"/>
      <c r="C592" s="81" t="s">
        <v>1176</v>
      </c>
      <c r="D592" s="71" t="s">
        <v>725</v>
      </c>
      <c r="E592" s="71" t="s">
        <v>725</v>
      </c>
      <c r="F592" s="5" t="str">
        <f t="shared" si="9"/>
        <v>aretrotale.com</v>
      </c>
      <c r="G592" s="76" t="s">
        <v>4</v>
      </c>
      <c r="H592" s="76" t="s">
        <v>23</v>
      </c>
      <c r="I592" s="6">
        <v>45250</v>
      </c>
    </row>
    <row r="593" spans="1:9" ht="13.5">
      <c r="A593" s="7" t="s">
        <v>224</v>
      </c>
      <c r="B593" s="3"/>
      <c r="C593" s="73" t="s">
        <v>1177</v>
      </c>
      <c r="D593" s="71" t="s">
        <v>226</v>
      </c>
      <c r="E593" s="76" t="s">
        <v>368</v>
      </c>
      <c r="F593" s="5" t="str">
        <f t="shared" si="9"/>
        <v>swedoffice</v>
      </c>
      <c r="G593" s="76" t="s">
        <v>4</v>
      </c>
      <c r="H593" s="76" t="s">
        <v>5</v>
      </c>
      <c r="I593" s="6">
        <v>45250</v>
      </c>
    </row>
    <row r="594" spans="1:9" ht="13.5">
      <c r="A594" s="7" t="s">
        <v>386</v>
      </c>
      <c r="B594" s="3"/>
      <c r="C594" s="73" t="s">
        <v>1178</v>
      </c>
      <c r="D594" s="4" t="s">
        <v>1143</v>
      </c>
      <c r="E594" s="5" t="s">
        <v>1179</v>
      </c>
      <c r="F594" s="5" t="str">
        <f t="shared" si="9"/>
        <v>pontech</v>
      </c>
      <c r="G594" s="5" t="s">
        <v>4</v>
      </c>
      <c r="H594" s="5" t="s">
        <v>5</v>
      </c>
      <c r="I594" s="6">
        <v>45250</v>
      </c>
    </row>
    <row r="595" spans="1:9" ht="13.5">
      <c r="A595" s="2" t="s">
        <v>1180</v>
      </c>
      <c r="B595" s="3"/>
      <c r="C595" s="71" t="s">
        <v>1181</v>
      </c>
      <c r="D595" s="4" t="s">
        <v>1182</v>
      </c>
      <c r="E595" s="5" t="s">
        <v>1183</v>
      </c>
      <c r="F595" s="5" t="str">
        <f t="shared" si="9"/>
        <v>e-ciggbolaget.se</v>
      </c>
      <c r="G595" s="5" t="s">
        <v>4</v>
      </c>
      <c r="H595" s="5" t="s">
        <v>5</v>
      </c>
      <c r="I595" s="6">
        <v>45250</v>
      </c>
    </row>
    <row r="596" spans="1:9" ht="13.5">
      <c r="A596" s="2" t="s">
        <v>765</v>
      </c>
      <c r="B596" s="3"/>
      <c r="C596" s="73" t="s">
        <v>1184</v>
      </c>
      <c r="D596" s="4" t="s">
        <v>767</v>
      </c>
      <c r="E596" s="5" t="s">
        <v>1185</v>
      </c>
      <c r="F596" s="5" t="str">
        <f t="shared" si="9"/>
        <v>lemontree.se</v>
      </c>
      <c r="G596" s="5" t="s">
        <v>4</v>
      </c>
      <c r="H596" s="5" t="s">
        <v>5</v>
      </c>
      <c r="I596" s="6">
        <v>45251</v>
      </c>
    </row>
    <row r="597" spans="1:9" ht="13.5">
      <c r="A597" s="2" t="s">
        <v>846</v>
      </c>
      <c r="B597" s="3"/>
      <c r="C597" s="73" t="s">
        <v>1186</v>
      </c>
      <c r="D597" s="4" t="s">
        <v>848</v>
      </c>
      <c r="E597" s="5" t="s">
        <v>1187</v>
      </c>
      <c r="F597" s="5" t="str">
        <f t="shared" si="9"/>
        <v>tandea.se</v>
      </c>
      <c r="G597" s="5" t="s">
        <v>4</v>
      </c>
      <c r="H597" s="5" t="s">
        <v>5</v>
      </c>
      <c r="I597" s="6">
        <v>45251</v>
      </c>
    </row>
    <row r="598" spans="1:9" ht="13.5">
      <c r="A598" s="2" t="s">
        <v>846</v>
      </c>
      <c r="B598" s="3"/>
      <c r="C598" s="73" t="s">
        <v>1188</v>
      </c>
      <c r="D598" s="4" t="s">
        <v>848</v>
      </c>
      <c r="E598" s="5" t="s">
        <v>1039</v>
      </c>
      <c r="F598" s="5" t="str">
        <f t="shared" si="9"/>
        <v>tandea.se</v>
      </c>
      <c r="G598" s="5" t="s">
        <v>4</v>
      </c>
      <c r="H598" s="5" t="s">
        <v>5</v>
      </c>
      <c r="I598" s="6">
        <v>45251</v>
      </c>
    </row>
    <row r="599" spans="1:9" ht="13.5">
      <c r="A599" s="2" t="s">
        <v>714</v>
      </c>
      <c r="B599" s="3"/>
      <c r="C599" s="71" t="s">
        <v>1189</v>
      </c>
      <c r="D599" s="4" t="s">
        <v>1190</v>
      </c>
      <c r="E599" s="5" t="s">
        <v>1191</v>
      </c>
      <c r="F599" s="5" t="str">
        <f t="shared" si="9"/>
        <v>Alfa.no</v>
      </c>
      <c r="G599" s="5" t="s">
        <v>4</v>
      </c>
      <c r="H599" s="5" t="s">
        <v>382</v>
      </c>
      <c r="I599" s="6">
        <v>45251</v>
      </c>
    </row>
    <row r="600" spans="1:9" ht="13.5">
      <c r="A600" s="2" t="s">
        <v>1180</v>
      </c>
      <c r="B600" s="3"/>
      <c r="C600" s="71" t="s">
        <v>1192</v>
      </c>
      <c r="D600" s="4" t="s">
        <v>1193</v>
      </c>
      <c r="E600" s="5" t="s">
        <v>1183</v>
      </c>
      <c r="F600" s="5" t="str">
        <f t="shared" si="9"/>
        <v>e-ciggbolaget.se</v>
      </c>
      <c r="G600" s="5" t="s">
        <v>4</v>
      </c>
      <c r="H600" s="5" t="s">
        <v>5</v>
      </c>
      <c r="I600" s="6">
        <v>45251</v>
      </c>
    </row>
    <row r="601" spans="1:9" ht="13.5">
      <c r="A601" s="2" t="s">
        <v>1180</v>
      </c>
      <c r="B601" s="3"/>
      <c r="C601" s="71" t="s">
        <v>1194</v>
      </c>
      <c r="D601" s="4" t="s">
        <v>1193</v>
      </c>
      <c r="E601" s="5" t="s">
        <v>1195</v>
      </c>
      <c r="F601" s="5" t="str">
        <f t="shared" si="9"/>
        <v>e-ciggbolaget.se</v>
      </c>
      <c r="G601" s="5" t="s">
        <v>4</v>
      </c>
      <c r="H601" s="5" t="s">
        <v>5</v>
      </c>
      <c r="I601" s="6">
        <v>45252</v>
      </c>
    </row>
    <row r="602" spans="1:9" ht="13.5">
      <c r="A602" s="2" t="s">
        <v>1180</v>
      </c>
      <c r="B602" s="3"/>
      <c r="C602" s="71" t="s">
        <v>1196</v>
      </c>
      <c r="D602" s="4" t="s">
        <v>1193</v>
      </c>
      <c r="E602" s="5" t="s">
        <v>1197</v>
      </c>
      <c r="F602" s="5" t="str">
        <f t="shared" si="9"/>
        <v>e-ciggbolaget.se</v>
      </c>
      <c r="G602" s="5" t="s">
        <v>4</v>
      </c>
      <c r="H602" s="5" t="s">
        <v>5</v>
      </c>
      <c r="I602" s="6">
        <v>45252</v>
      </c>
    </row>
    <row r="603" spans="1:9" ht="13.5">
      <c r="A603" s="2" t="s">
        <v>1180</v>
      </c>
      <c r="B603" s="3"/>
      <c r="C603" s="71" t="s">
        <v>1198</v>
      </c>
      <c r="D603" s="4" t="s">
        <v>1193</v>
      </c>
      <c r="E603" s="5" t="s">
        <v>1199</v>
      </c>
      <c r="F603" s="5" t="str">
        <f t="shared" si="9"/>
        <v>e-ciggbolaget.se</v>
      </c>
      <c r="G603" s="5" t="s">
        <v>4</v>
      </c>
      <c r="H603" s="5" t="s">
        <v>5</v>
      </c>
      <c r="I603" s="6">
        <v>45252</v>
      </c>
    </row>
    <row r="604" spans="1:9" ht="13.5">
      <c r="A604" s="7" t="s">
        <v>386</v>
      </c>
      <c r="B604" s="3"/>
      <c r="C604" s="71" t="s">
        <v>1200</v>
      </c>
      <c r="D604" s="4" t="s">
        <v>1001</v>
      </c>
      <c r="E604" s="5" t="s">
        <v>1002</v>
      </c>
      <c r="F604" s="5" t="str">
        <f t="shared" si="9"/>
        <v>pontech</v>
      </c>
      <c r="G604" s="5" t="s">
        <v>4</v>
      </c>
      <c r="H604" s="5" t="s">
        <v>5</v>
      </c>
      <c r="I604" s="6">
        <v>45252</v>
      </c>
    </row>
    <row r="605" spans="1:9" ht="13.5">
      <c r="A605" s="7" t="s">
        <v>386</v>
      </c>
      <c r="B605" s="3"/>
      <c r="C605" s="71" t="s">
        <v>1201</v>
      </c>
      <c r="D605" s="4" t="s">
        <v>1202</v>
      </c>
      <c r="E605" s="5" t="s">
        <v>1203</v>
      </c>
      <c r="F605" s="5" t="str">
        <f t="shared" si="9"/>
        <v>pontech</v>
      </c>
      <c r="G605" s="5" t="s">
        <v>4</v>
      </c>
      <c r="H605" s="5" t="s">
        <v>5</v>
      </c>
      <c r="I605" s="6">
        <v>45252</v>
      </c>
    </row>
    <row r="606" spans="1:9" ht="13.5">
      <c r="A606" s="2" t="s">
        <v>765</v>
      </c>
      <c r="B606" s="3"/>
      <c r="C606" s="71" t="s">
        <v>1204</v>
      </c>
      <c r="D606" s="4" t="s">
        <v>767</v>
      </c>
      <c r="E606" s="5" t="s">
        <v>1205</v>
      </c>
      <c r="F606" s="5" t="str">
        <f t="shared" si="9"/>
        <v>lemontree.se</v>
      </c>
      <c r="G606" s="5" t="s">
        <v>4</v>
      </c>
      <c r="H606" s="5" t="s">
        <v>5</v>
      </c>
      <c r="I606" s="6">
        <v>45253</v>
      </c>
    </row>
    <row r="607" spans="1:9" ht="13.5">
      <c r="A607" s="2" t="s">
        <v>846</v>
      </c>
      <c r="B607" s="3"/>
      <c r="C607" s="73" t="s">
        <v>1206</v>
      </c>
      <c r="D607" s="4" t="s">
        <v>1207</v>
      </c>
      <c r="E607" s="5" t="s">
        <v>1208</v>
      </c>
      <c r="F607" s="5" t="str">
        <f t="shared" si="9"/>
        <v>tandea.se</v>
      </c>
      <c r="G607" s="5" t="s">
        <v>4</v>
      </c>
      <c r="H607" s="5" t="s">
        <v>5</v>
      </c>
      <c r="I607" s="6">
        <v>45254</v>
      </c>
    </row>
    <row r="608" spans="1:9" ht="13.5">
      <c r="A608" s="2" t="s">
        <v>1112</v>
      </c>
      <c r="B608" s="3"/>
      <c r="C608" s="71" t="s">
        <v>1209</v>
      </c>
      <c r="D608" s="4" t="s">
        <v>1114</v>
      </c>
      <c r="E608" s="5" t="s">
        <v>1115</v>
      </c>
      <c r="F608" s="5" t="str">
        <f t="shared" si="9"/>
        <v>triwa.com</v>
      </c>
      <c r="G608" s="5" t="s">
        <v>4</v>
      </c>
      <c r="H608" s="5" t="s">
        <v>345</v>
      </c>
      <c r="I608" s="6">
        <v>45258</v>
      </c>
    </row>
    <row r="609" spans="1:9" ht="13.5">
      <c r="A609" s="2" t="s">
        <v>1112</v>
      </c>
      <c r="B609" s="3"/>
      <c r="C609" s="71" t="s">
        <v>1210</v>
      </c>
      <c r="D609" s="4" t="s">
        <v>1211</v>
      </c>
      <c r="E609" s="5" t="s">
        <v>1132</v>
      </c>
      <c r="F609" s="5" t="str">
        <f t="shared" si="9"/>
        <v>triwa.com</v>
      </c>
      <c r="G609" s="5" t="s">
        <v>4</v>
      </c>
      <c r="H609" s="5" t="s">
        <v>345</v>
      </c>
      <c r="I609" s="6">
        <v>45259</v>
      </c>
    </row>
    <row r="610" spans="1:9" ht="13.5">
      <c r="A610" s="7" t="s">
        <v>224</v>
      </c>
      <c r="B610" s="3"/>
      <c r="C610" s="71" t="s">
        <v>1212</v>
      </c>
      <c r="D610" s="4" t="s">
        <v>226</v>
      </c>
      <c r="E610" s="5" t="s">
        <v>591</v>
      </c>
      <c r="F610" s="5" t="str">
        <f t="shared" si="9"/>
        <v>swedoffice</v>
      </c>
      <c r="G610" s="5" t="s">
        <v>4</v>
      </c>
      <c r="H610" s="5" t="s">
        <v>5</v>
      </c>
      <c r="I610" s="6">
        <v>45260</v>
      </c>
    </row>
    <row r="611" spans="1:9" ht="13.5">
      <c r="A611" s="2" t="s">
        <v>1213</v>
      </c>
      <c r="B611" s="3"/>
      <c r="C611" s="71" t="s">
        <v>1214</v>
      </c>
      <c r="D611" s="4" t="s">
        <v>1215</v>
      </c>
      <c r="E611" s="5" t="s">
        <v>1216</v>
      </c>
      <c r="F611" s="5" t="str">
        <f t="shared" si="9"/>
        <v>mariatand.se</v>
      </c>
      <c r="G611" s="5" t="s">
        <v>4</v>
      </c>
      <c r="H611" s="5" t="s">
        <v>5</v>
      </c>
      <c r="I611" s="6">
        <v>45260</v>
      </c>
    </row>
    <row r="612" spans="1:9" ht="13.5">
      <c r="A612" s="2" t="s">
        <v>1112</v>
      </c>
      <c r="B612" s="3"/>
      <c r="C612" s="71" t="s">
        <v>1217</v>
      </c>
      <c r="D612" s="4" t="s">
        <v>1211</v>
      </c>
      <c r="E612" s="5" t="s">
        <v>1132</v>
      </c>
      <c r="F612" s="5" t="str">
        <f t="shared" si="9"/>
        <v>triwa.com</v>
      </c>
      <c r="G612" s="5" t="s">
        <v>4</v>
      </c>
      <c r="H612" s="5" t="s">
        <v>345</v>
      </c>
      <c r="I612" s="6">
        <v>45261</v>
      </c>
    </row>
    <row r="613" spans="1:9" ht="13.5">
      <c r="A613" s="2" t="s">
        <v>714</v>
      </c>
      <c r="B613" s="3"/>
      <c r="C613" s="71" t="s">
        <v>1218</v>
      </c>
      <c r="D613" s="4" t="s">
        <v>1219</v>
      </c>
      <c r="E613" s="5" t="s">
        <v>1220</v>
      </c>
      <c r="F613" s="5" t="str">
        <f t="shared" si="9"/>
        <v>Alfa.no</v>
      </c>
      <c r="G613" s="5" t="s">
        <v>4</v>
      </c>
      <c r="H613" s="5" t="s">
        <v>382</v>
      </c>
      <c r="I613" s="6">
        <v>45261</v>
      </c>
    </row>
    <row r="614" spans="1:9" ht="13.5">
      <c r="A614" s="2" t="s">
        <v>803</v>
      </c>
      <c r="B614" s="3"/>
      <c r="C614" s="71" t="s">
        <v>1221</v>
      </c>
      <c r="D614" s="4" t="s">
        <v>1222</v>
      </c>
      <c r="E614" s="5" t="s">
        <v>1223</v>
      </c>
      <c r="F614" s="5" t="str">
        <f t="shared" si="9"/>
        <v>foyen.se</v>
      </c>
      <c r="G614" s="5" t="s">
        <v>4</v>
      </c>
      <c r="H614" s="5" t="s">
        <v>5</v>
      </c>
      <c r="I614" s="6">
        <v>45270</v>
      </c>
    </row>
    <row r="615" spans="1:9" ht="13.5">
      <c r="A615" s="7" t="s">
        <v>224</v>
      </c>
      <c r="B615" s="3"/>
      <c r="C615" s="71" t="s">
        <v>1224</v>
      </c>
      <c r="D615" s="4" t="s">
        <v>226</v>
      </c>
      <c r="E615" s="5" t="s">
        <v>368</v>
      </c>
      <c r="F615" s="5" t="str">
        <f t="shared" si="9"/>
        <v>swedoffice</v>
      </c>
      <c r="G615" s="5" t="s">
        <v>4</v>
      </c>
      <c r="H615" s="5" t="s">
        <v>5</v>
      </c>
      <c r="I615" s="6">
        <v>45271</v>
      </c>
    </row>
    <row r="616" spans="1:9" ht="13.5">
      <c r="A616" s="2" t="s">
        <v>1</v>
      </c>
      <c r="B616" s="3"/>
      <c r="C616" s="71" t="s">
        <v>1225</v>
      </c>
      <c r="D616" s="4" t="s">
        <v>1226</v>
      </c>
      <c r="E616" s="5" t="s">
        <v>1227</v>
      </c>
      <c r="F616" s="5" t="str">
        <f t="shared" si="9"/>
        <v>haxan.se</v>
      </c>
      <c r="G616" s="5" t="s">
        <v>4</v>
      </c>
      <c r="H616" s="5" t="s">
        <v>5</v>
      </c>
      <c r="I616" s="6">
        <v>45271</v>
      </c>
    </row>
    <row r="617" spans="1:9" ht="13.5">
      <c r="A617" s="7" t="s">
        <v>386</v>
      </c>
      <c r="B617" s="3"/>
      <c r="C617" s="71" t="s">
        <v>1228</v>
      </c>
      <c r="D617" s="4" t="s">
        <v>1143</v>
      </c>
      <c r="E617" s="5" t="s">
        <v>879</v>
      </c>
      <c r="F617" s="5" t="str">
        <f t="shared" si="9"/>
        <v>pontech</v>
      </c>
      <c r="G617" s="5" t="s">
        <v>4</v>
      </c>
      <c r="H617" s="5" t="s">
        <v>5</v>
      </c>
      <c r="I617" s="6">
        <v>45272</v>
      </c>
    </row>
    <row r="618" spans="1:9" ht="13.5">
      <c r="A618" s="2" t="s">
        <v>846</v>
      </c>
      <c r="B618" s="3"/>
      <c r="C618" s="71" t="s">
        <v>1229</v>
      </c>
      <c r="D618" s="4" t="s">
        <v>848</v>
      </c>
      <c r="E618" s="5" t="s">
        <v>1067</v>
      </c>
      <c r="F618" s="5" t="str">
        <f t="shared" si="9"/>
        <v>tandea.se</v>
      </c>
      <c r="G618" s="5" t="s">
        <v>4</v>
      </c>
      <c r="H618" s="5" t="s">
        <v>5</v>
      </c>
      <c r="I618" s="6">
        <v>45281</v>
      </c>
    </row>
    <row r="619" spans="1:9" ht="13.5">
      <c r="A619" s="2" t="s">
        <v>1213</v>
      </c>
      <c r="B619" s="3"/>
      <c r="C619" s="71" t="s">
        <v>1230</v>
      </c>
      <c r="D619" s="4" t="s">
        <v>1215</v>
      </c>
      <c r="E619" s="5" t="s">
        <v>1231</v>
      </c>
      <c r="F619" s="5" t="str">
        <f t="shared" si="9"/>
        <v>mariatand.se</v>
      </c>
      <c r="G619" s="5" t="s">
        <v>4</v>
      </c>
      <c r="H619" s="5" t="s">
        <v>5</v>
      </c>
      <c r="I619" s="6">
        <v>45282</v>
      </c>
    </row>
    <row r="620" spans="1:9" ht="13.5">
      <c r="A620" s="7" t="s">
        <v>386</v>
      </c>
      <c r="B620" s="3"/>
      <c r="C620" s="71" t="s">
        <v>1232</v>
      </c>
      <c r="D620" s="4" t="s">
        <v>452</v>
      </c>
      <c r="E620" s="5" t="s">
        <v>1179</v>
      </c>
      <c r="F620" s="5" t="str">
        <f t="shared" si="9"/>
        <v>pontech</v>
      </c>
      <c r="G620" s="5" t="s">
        <v>4</v>
      </c>
      <c r="H620" s="5" t="s">
        <v>5</v>
      </c>
      <c r="I620" s="6">
        <v>45282</v>
      </c>
    </row>
    <row r="621" spans="1:9" ht="13.5">
      <c r="A621" s="2" t="s">
        <v>765</v>
      </c>
      <c r="B621" s="3"/>
      <c r="C621" s="71" t="s">
        <v>1233</v>
      </c>
      <c r="D621" s="4" t="s">
        <v>1136</v>
      </c>
      <c r="E621" s="5" t="s">
        <v>1234</v>
      </c>
      <c r="F621" s="5" t="str">
        <f t="shared" si="9"/>
        <v>lemontree.se</v>
      </c>
      <c r="G621" s="5" t="s">
        <v>4</v>
      </c>
      <c r="H621" s="5" t="s">
        <v>5</v>
      </c>
      <c r="I621" s="6">
        <v>45282</v>
      </c>
    </row>
    <row r="622" spans="1:9" ht="13.5">
      <c r="A622" s="2" t="s">
        <v>1138</v>
      </c>
      <c r="B622" s="3"/>
      <c r="C622" s="71" t="s">
        <v>1235</v>
      </c>
      <c r="D622" s="4" t="s">
        <v>1236</v>
      </c>
      <c r="E622" s="5" t="s">
        <v>1237</v>
      </c>
      <c r="F622" s="5" t="str">
        <f t="shared" si="9"/>
        <v>hemplybalance.com</v>
      </c>
      <c r="G622" s="5" t="s">
        <v>4</v>
      </c>
      <c r="H622" s="5" t="s">
        <v>5</v>
      </c>
      <c r="I622" s="6">
        <v>45282</v>
      </c>
    </row>
    <row r="623" spans="1:9" ht="13.5">
      <c r="A623" s="2" t="s">
        <v>1213</v>
      </c>
      <c r="B623" s="3"/>
      <c r="C623" s="71" t="s">
        <v>1238</v>
      </c>
      <c r="D623" s="4" t="s">
        <v>1215</v>
      </c>
      <c r="E623" s="5" t="s">
        <v>1216</v>
      </c>
      <c r="F623" s="5" t="str">
        <f t="shared" si="9"/>
        <v>mariatand.se</v>
      </c>
      <c r="G623" s="5" t="s">
        <v>4</v>
      </c>
      <c r="H623" s="5" t="s">
        <v>5</v>
      </c>
      <c r="I623" s="6">
        <v>45282</v>
      </c>
    </row>
    <row r="624" spans="1:9" ht="13.9">
      <c r="A624" s="82" t="s">
        <v>1239</v>
      </c>
      <c r="B624" s="3"/>
      <c r="C624" s="83" t="s">
        <v>1240</v>
      </c>
      <c r="D624" s="84" t="s">
        <v>1241</v>
      </c>
      <c r="E624" s="85" t="s">
        <v>1242</v>
      </c>
      <c r="F624" s="5" t="str">
        <f t="shared" si="9"/>
        <v>freckeus.se</v>
      </c>
      <c r="G624" s="5" t="s">
        <v>4</v>
      </c>
      <c r="H624" s="5" t="s">
        <v>5</v>
      </c>
      <c r="I624" s="6">
        <v>45286</v>
      </c>
    </row>
    <row r="625" spans="1:9" ht="13.9">
      <c r="A625" s="82" t="s">
        <v>325</v>
      </c>
      <c r="B625" s="3"/>
      <c r="C625" s="83" t="s">
        <v>1243</v>
      </c>
      <c r="D625" s="86" t="s">
        <v>1244</v>
      </c>
      <c r="E625" s="85" t="s">
        <v>463</v>
      </c>
      <c r="F625" s="5" t="str">
        <f t="shared" si="9"/>
        <v>tiotak.se</v>
      </c>
      <c r="G625" s="5" t="s">
        <v>4</v>
      </c>
      <c r="H625" s="5" t="s">
        <v>5</v>
      </c>
      <c r="I625" s="6">
        <v>45286</v>
      </c>
    </row>
    <row r="626" spans="1:9" ht="13.9">
      <c r="A626" s="82" t="s">
        <v>325</v>
      </c>
      <c r="B626" s="3"/>
      <c r="C626" s="83" t="s">
        <v>1245</v>
      </c>
      <c r="D626" s="87" t="s">
        <v>1244</v>
      </c>
      <c r="E626" s="85" t="s">
        <v>463</v>
      </c>
      <c r="F626" s="5" t="str">
        <f t="shared" si="9"/>
        <v>tiotak.se</v>
      </c>
      <c r="G626" s="5" t="s">
        <v>4</v>
      </c>
      <c r="H626" s="5" t="s">
        <v>5</v>
      </c>
      <c r="I626" s="6">
        <v>45286</v>
      </c>
    </row>
    <row r="627" spans="1:9" ht="13.9">
      <c r="A627" s="82" t="s">
        <v>272</v>
      </c>
      <c r="B627" s="3"/>
      <c r="C627" s="71" t="s">
        <v>1246</v>
      </c>
      <c r="D627" s="87" t="s">
        <v>274</v>
      </c>
      <c r="E627" s="85" t="s">
        <v>637</v>
      </c>
      <c r="F627" s="5" t="str">
        <f t="shared" si="9"/>
        <v>schjodt.com</v>
      </c>
      <c r="G627" s="5" t="s">
        <v>4</v>
      </c>
      <c r="H627" s="5" t="s">
        <v>5</v>
      </c>
      <c r="I627" s="6">
        <v>45286</v>
      </c>
    </row>
    <row r="628" spans="1:9" ht="13.9">
      <c r="A628" s="82" t="s">
        <v>1247</v>
      </c>
      <c r="B628" s="3"/>
      <c r="C628" s="83" t="s">
        <v>1248</v>
      </c>
      <c r="D628" s="87" t="s">
        <v>1249</v>
      </c>
      <c r="E628" s="85" t="s">
        <v>1250</v>
      </c>
      <c r="F628" s="5" t="str">
        <f t="shared" si="9"/>
        <v>carpcon.se</v>
      </c>
      <c r="G628" s="5" t="s">
        <v>4</v>
      </c>
      <c r="H628" s="5" t="s">
        <v>5</v>
      </c>
      <c r="I628" s="6">
        <v>45288</v>
      </c>
    </row>
    <row r="629" spans="1:9" ht="13.9">
      <c r="A629" s="82" t="s">
        <v>100</v>
      </c>
      <c r="B629" s="3"/>
      <c r="C629" s="83" t="s">
        <v>1251</v>
      </c>
      <c r="D629" s="87" t="s">
        <v>1252</v>
      </c>
      <c r="E629" s="85" t="s">
        <v>1253</v>
      </c>
      <c r="F629" s="5" t="str">
        <f t="shared" si="9"/>
        <v>bigbenstandup.com</v>
      </c>
      <c r="G629" s="5" t="s">
        <v>4</v>
      </c>
      <c r="H629" s="5" t="s">
        <v>5</v>
      </c>
      <c r="I629" s="6">
        <v>45288</v>
      </c>
    </row>
    <row r="630" spans="1:9" ht="13.9">
      <c r="A630" s="82" t="s">
        <v>632</v>
      </c>
      <c r="B630" s="3"/>
      <c r="C630" s="83" t="s">
        <v>1254</v>
      </c>
      <c r="D630" s="87" t="s">
        <v>634</v>
      </c>
      <c r="E630" s="85" t="s">
        <v>845</v>
      </c>
      <c r="F630" s="5" t="str">
        <f t="shared" si="9"/>
        <v>miamipool.se</v>
      </c>
      <c r="G630" s="5" t="s">
        <v>4</v>
      </c>
      <c r="H630" s="5" t="s">
        <v>5</v>
      </c>
      <c r="I630" s="6">
        <v>45288</v>
      </c>
    </row>
    <row r="631" spans="1:9" ht="13.9">
      <c r="A631" s="82" t="s">
        <v>958</v>
      </c>
      <c r="B631" s="3"/>
      <c r="C631" s="83" t="s">
        <v>1255</v>
      </c>
      <c r="D631" s="87" t="s">
        <v>960</v>
      </c>
      <c r="E631" s="85" t="s">
        <v>1256</v>
      </c>
      <c r="F631" s="5" t="str">
        <f t="shared" si="9"/>
        <v>oconnors.se</v>
      </c>
      <c r="G631" s="5" t="s">
        <v>4</v>
      </c>
      <c r="H631" s="5" t="s">
        <v>5</v>
      </c>
      <c r="I631" s="6">
        <v>45288</v>
      </c>
    </row>
    <row r="632" spans="1:9" ht="13.9">
      <c r="A632" s="82" t="s">
        <v>1105</v>
      </c>
      <c r="B632" s="3"/>
      <c r="C632" s="83" t="s">
        <v>1257</v>
      </c>
      <c r="D632" s="87" t="s">
        <v>1110</v>
      </c>
      <c r="E632" s="85" t="s">
        <v>1258</v>
      </c>
      <c r="F632" s="5" t="str">
        <f t="shared" si="9"/>
        <v>ritty.se</v>
      </c>
      <c r="G632" s="5" t="s">
        <v>4</v>
      </c>
      <c r="H632" s="5" t="s">
        <v>5</v>
      </c>
      <c r="I632" s="6">
        <v>45288</v>
      </c>
    </row>
    <row r="633" spans="1:9" ht="13.9">
      <c r="A633" s="82" t="s">
        <v>1259</v>
      </c>
      <c r="B633" s="3"/>
      <c r="C633" s="83" t="s">
        <v>1260</v>
      </c>
      <c r="D633" s="87" t="s">
        <v>1261</v>
      </c>
      <c r="E633" s="85" t="s">
        <v>1262</v>
      </c>
      <c r="F633" s="5" t="str">
        <f t="shared" si="9"/>
        <v>saneringscompaniet.se</v>
      </c>
      <c r="G633" s="5" t="s">
        <v>4</v>
      </c>
      <c r="H633" s="5" t="s">
        <v>5</v>
      </c>
      <c r="I633" s="6">
        <v>45288</v>
      </c>
    </row>
    <row r="634" spans="1:9" ht="13.9">
      <c r="A634" s="82" t="s">
        <v>1263</v>
      </c>
      <c r="B634" s="3"/>
      <c r="C634" s="71" t="s">
        <v>1264</v>
      </c>
      <c r="D634" s="87" t="s">
        <v>1265</v>
      </c>
      <c r="E634" s="85" t="s">
        <v>1266</v>
      </c>
      <c r="F634" s="5" t="str">
        <f t="shared" si="9"/>
        <v>notyfile.se/sv</v>
      </c>
      <c r="G634" s="5" t="s">
        <v>4</v>
      </c>
      <c r="H634" s="5" t="s">
        <v>5</v>
      </c>
      <c r="I634" s="6">
        <v>45288</v>
      </c>
    </row>
    <row r="635" spans="1:9" ht="13.9">
      <c r="A635" s="82" t="s">
        <v>1263</v>
      </c>
      <c r="B635" s="3"/>
      <c r="C635" s="83" t="s">
        <v>1267</v>
      </c>
      <c r="D635" s="87" t="s">
        <v>1265</v>
      </c>
      <c r="E635" s="85" t="s">
        <v>1268</v>
      </c>
      <c r="F635" s="5" t="str">
        <f t="shared" si="9"/>
        <v>notyfile.se/sv</v>
      </c>
      <c r="G635" s="5" t="s">
        <v>4</v>
      </c>
      <c r="H635" s="5" t="s">
        <v>5</v>
      </c>
      <c r="I635" s="6">
        <v>45288</v>
      </c>
    </row>
    <row r="636" spans="1:9" ht="13.9">
      <c r="A636" s="82" t="s">
        <v>1259</v>
      </c>
      <c r="B636" s="3"/>
      <c r="C636" s="71" t="s">
        <v>1269</v>
      </c>
      <c r="D636" s="87" t="s">
        <v>1261</v>
      </c>
      <c r="E636" s="85" t="s">
        <v>1270</v>
      </c>
      <c r="F636" s="5" t="str">
        <f t="shared" si="9"/>
        <v>saneringscompaniet.se</v>
      </c>
      <c r="G636" s="5" t="s">
        <v>4</v>
      </c>
      <c r="H636" s="5" t="s">
        <v>5</v>
      </c>
      <c r="I636" s="6">
        <v>45288</v>
      </c>
    </row>
    <row r="637" spans="1:9" ht="13.9">
      <c r="A637" s="82" t="s">
        <v>1271</v>
      </c>
      <c r="B637" s="3"/>
      <c r="C637" s="83" t="s">
        <v>1272</v>
      </c>
      <c r="D637" s="87" t="s">
        <v>1273</v>
      </c>
      <c r="E637" s="85" t="s">
        <v>1274</v>
      </c>
      <c r="F637" s="5" t="str">
        <f t="shared" si="9"/>
        <v>alexbyggkonsult.se</v>
      </c>
      <c r="G637" s="5" t="s">
        <v>4</v>
      </c>
      <c r="H637" s="5" t="s">
        <v>5</v>
      </c>
      <c r="I637" s="6">
        <v>45288</v>
      </c>
    </row>
    <row r="638" spans="1:9" ht="13.9">
      <c r="A638" s="7" t="s">
        <v>1275</v>
      </c>
      <c r="B638" s="3"/>
      <c r="C638" s="83" t="s">
        <v>1276</v>
      </c>
      <c r="D638" s="88" t="s">
        <v>1277</v>
      </c>
      <c r="E638" s="89" t="s">
        <v>1278</v>
      </c>
      <c r="F638" s="5" t="str">
        <f t="shared" si="9"/>
        <v>spoors.health</v>
      </c>
      <c r="G638" s="5" t="s">
        <v>4</v>
      </c>
      <c r="H638" s="5" t="s">
        <v>5</v>
      </c>
      <c r="I638" s="6">
        <v>45288</v>
      </c>
    </row>
    <row r="639" spans="1:9" ht="13.5">
      <c r="A639" s="2" t="s">
        <v>714</v>
      </c>
      <c r="B639" s="3"/>
      <c r="C639" s="71" t="s">
        <v>1279</v>
      </c>
      <c r="D639" s="4" t="s">
        <v>1033</v>
      </c>
      <c r="E639" s="5" t="s">
        <v>1146</v>
      </c>
      <c r="F639" s="5" t="str">
        <f t="shared" si="9"/>
        <v>Alfa.no</v>
      </c>
      <c r="G639" s="5" t="s">
        <v>4</v>
      </c>
      <c r="H639" s="5" t="s">
        <v>5</v>
      </c>
      <c r="I639" s="6">
        <v>45288</v>
      </c>
    </row>
    <row r="640" spans="1:9" ht="13.5">
      <c r="A640" s="7" t="s">
        <v>224</v>
      </c>
      <c r="B640" s="3"/>
      <c r="C640" s="71" t="s">
        <v>1280</v>
      </c>
      <c r="D640" s="4" t="s">
        <v>226</v>
      </c>
      <c r="E640" s="5" t="s">
        <v>368</v>
      </c>
      <c r="F640" s="5" t="str">
        <f t="shared" si="9"/>
        <v>swedoffice</v>
      </c>
      <c r="G640" s="5" t="s">
        <v>4</v>
      </c>
      <c r="H640" s="5" t="s">
        <v>5</v>
      </c>
      <c r="I640" s="6">
        <v>45288</v>
      </c>
    </row>
    <row r="641" spans="1:9" ht="13.5">
      <c r="A641" s="2" t="s">
        <v>846</v>
      </c>
      <c r="B641" s="3"/>
      <c r="C641" s="71" t="s">
        <v>1281</v>
      </c>
      <c r="D641" s="4" t="s">
        <v>848</v>
      </c>
      <c r="E641" s="5" t="s">
        <v>1039</v>
      </c>
      <c r="F641" s="5" t="str">
        <f t="shared" si="9"/>
        <v>tandea.se</v>
      </c>
      <c r="G641" s="5" t="s">
        <v>4</v>
      </c>
      <c r="H641" s="5" t="s">
        <v>5</v>
      </c>
      <c r="I641" s="6">
        <v>45288</v>
      </c>
    </row>
    <row r="642" spans="1:9" ht="13.5">
      <c r="A642" s="7" t="s">
        <v>224</v>
      </c>
      <c r="B642" s="3"/>
      <c r="C642" s="71" t="s">
        <v>1282</v>
      </c>
      <c r="D642" s="8" t="s">
        <v>1283</v>
      </c>
      <c r="E642" s="5" t="s">
        <v>368</v>
      </c>
      <c r="F642" s="5" t="str">
        <f t="shared" si="9"/>
        <v>swedoffice</v>
      </c>
      <c r="G642" s="5" t="s">
        <v>4</v>
      </c>
      <c r="H642" s="5" t="s">
        <v>5</v>
      </c>
      <c r="I642" s="6">
        <v>45288</v>
      </c>
    </row>
    <row r="643" spans="1:9" ht="13.5">
      <c r="A643" s="2" t="s">
        <v>1284</v>
      </c>
      <c r="B643" s="3"/>
      <c r="C643" s="71" t="s">
        <v>1285</v>
      </c>
      <c r="D643" s="4" t="s">
        <v>1286</v>
      </c>
      <c r="E643" s="5" t="s">
        <v>1287</v>
      </c>
      <c r="F643" s="5" t="str">
        <f t="shared" ref="F643:F706" si="10">A643</f>
        <v>norteam.se</v>
      </c>
      <c r="G643" s="5" t="s">
        <v>4</v>
      </c>
      <c r="H643" s="5" t="s">
        <v>5</v>
      </c>
      <c r="I643" s="6">
        <v>45288</v>
      </c>
    </row>
    <row r="644" spans="1:9" ht="13.5">
      <c r="A644" s="7" t="s">
        <v>386</v>
      </c>
      <c r="B644" s="3"/>
      <c r="C644" s="71" t="s">
        <v>1288</v>
      </c>
      <c r="D644" s="4" t="s">
        <v>1202</v>
      </c>
      <c r="E644" s="5" t="s">
        <v>1289</v>
      </c>
      <c r="F644" s="5" t="str">
        <f t="shared" si="10"/>
        <v>pontech</v>
      </c>
      <c r="G644" s="5" t="s">
        <v>4</v>
      </c>
      <c r="H644" s="5" t="s">
        <v>5</v>
      </c>
      <c r="I644" s="6">
        <v>45288</v>
      </c>
    </row>
    <row r="645" spans="1:9" ht="13.5">
      <c r="A645" s="7" t="s">
        <v>386</v>
      </c>
      <c r="B645" s="3"/>
      <c r="C645" s="71" t="s">
        <v>1290</v>
      </c>
      <c r="D645" s="4" t="s">
        <v>1001</v>
      </c>
      <c r="E645" s="5" t="s">
        <v>1002</v>
      </c>
      <c r="F645" s="5" t="str">
        <f t="shared" si="10"/>
        <v>pontech</v>
      </c>
      <c r="G645" s="5" t="s">
        <v>4</v>
      </c>
      <c r="H645" s="5" t="s">
        <v>5</v>
      </c>
      <c r="I645" s="6">
        <v>45288</v>
      </c>
    </row>
    <row r="646" spans="1:9" ht="13.9">
      <c r="A646" s="82" t="s">
        <v>1291</v>
      </c>
      <c r="B646" s="3"/>
      <c r="C646" s="83" t="s">
        <v>1292</v>
      </c>
      <c r="D646" s="87" t="s">
        <v>1293</v>
      </c>
      <c r="E646" s="85" t="s">
        <v>1294</v>
      </c>
      <c r="F646" s="5" t="str">
        <f t="shared" si="10"/>
        <v>hvvs.se</v>
      </c>
      <c r="G646" s="5" t="s">
        <v>4</v>
      </c>
      <c r="H646" s="5" t="s">
        <v>5</v>
      </c>
      <c r="I646" s="6">
        <v>45288</v>
      </c>
    </row>
    <row r="647" spans="1:9" ht="13.9">
      <c r="A647" s="82" t="s">
        <v>1291</v>
      </c>
      <c r="B647" s="3"/>
      <c r="C647" s="83" t="s">
        <v>1295</v>
      </c>
      <c r="D647" s="87" t="s">
        <v>1293</v>
      </c>
      <c r="E647" s="85" t="s">
        <v>1296</v>
      </c>
      <c r="F647" s="5" t="str">
        <f t="shared" si="10"/>
        <v>hvvs.se</v>
      </c>
      <c r="G647" s="5" t="s">
        <v>4</v>
      </c>
      <c r="H647" s="5" t="s">
        <v>5</v>
      </c>
      <c r="I647" s="6">
        <v>45288</v>
      </c>
    </row>
    <row r="648" spans="1:9" ht="13.9">
      <c r="A648" s="82" t="s">
        <v>1297</v>
      </c>
      <c r="B648" s="3"/>
      <c r="C648" s="83" t="s">
        <v>1298</v>
      </c>
      <c r="D648" s="90" t="s">
        <v>1299</v>
      </c>
      <c r="E648" s="85" t="s">
        <v>1300</v>
      </c>
      <c r="F648" s="5" t="str">
        <f t="shared" si="10"/>
        <v>sundsvallbergvarme.se</v>
      </c>
      <c r="G648" s="5" t="s">
        <v>4</v>
      </c>
      <c r="H648" s="5" t="s">
        <v>5</v>
      </c>
      <c r="I648" s="6">
        <v>45288</v>
      </c>
    </row>
    <row r="649" spans="1:9" ht="13.9">
      <c r="A649" s="82" t="s">
        <v>1301</v>
      </c>
      <c r="B649" s="3"/>
      <c r="C649" s="83" t="s">
        <v>1302</v>
      </c>
      <c r="D649" s="90" t="s">
        <v>1303</v>
      </c>
      <c r="E649" s="85" t="s">
        <v>1304</v>
      </c>
      <c r="F649" s="5" t="str">
        <f t="shared" si="10"/>
        <v>w3solenergi.se</v>
      </c>
      <c r="G649" s="5" t="s">
        <v>4</v>
      </c>
      <c r="H649" s="5" t="s">
        <v>5</v>
      </c>
      <c r="I649" s="6">
        <v>45288</v>
      </c>
    </row>
    <row r="650" spans="1:9" ht="13.5">
      <c r="A650" s="2" t="s">
        <v>714</v>
      </c>
      <c r="B650" s="3"/>
      <c r="C650" s="71" t="s">
        <v>1305</v>
      </c>
      <c r="D650" s="4" t="s">
        <v>1306</v>
      </c>
      <c r="E650" s="5" t="s">
        <v>1307</v>
      </c>
      <c r="F650" s="5" t="str">
        <f t="shared" si="10"/>
        <v>Alfa.no</v>
      </c>
      <c r="G650" s="5" t="s">
        <v>4</v>
      </c>
      <c r="H650" s="5" t="s">
        <v>382</v>
      </c>
      <c r="I650" s="6">
        <v>45289</v>
      </c>
    </row>
    <row r="651" spans="1:9" ht="13.5">
      <c r="A651" s="82" t="s">
        <v>308</v>
      </c>
      <c r="B651" s="3"/>
      <c r="C651" s="91" t="s">
        <v>1308</v>
      </c>
      <c r="D651" s="91" t="s">
        <v>1309</v>
      </c>
      <c r="E651" s="79" t="s">
        <v>1310</v>
      </c>
      <c r="F651" s="5" t="str">
        <f t="shared" si="10"/>
        <v>lansfast.se</v>
      </c>
      <c r="G651" s="5" t="s">
        <v>4</v>
      </c>
      <c r="H651" s="5" t="s">
        <v>5</v>
      </c>
      <c r="I651" s="92">
        <v>45292</v>
      </c>
    </row>
    <row r="652" spans="1:9" ht="13.5">
      <c r="A652" s="2" t="s">
        <v>723</v>
      </c>
      <c r="B652" s="3"/>
      <c r="C652" s="93" t="s">
        <v>1311</v>
      </c>
      <c r="D652" s="4" t="s">
        <v>1312</v>
      </c>
      <c r="E652" s="9" t="s">
        <v>1312</v>
      </c>
      <c r="F652" s="5" t="str">
        <f t="shared" si="10"/>
        <v>aretrotale.com</v>
      </c>
      <c r="G652" s="5" t="s">
        <v>4</v>
      </c>
      <c r="H652" s="5" t="s">
        <v>23</v>
      </c>
      <c r="I652" s="6">
        <v>45294</v>
      </c>
    </row>
    <row r="653" spans="1:9" ht="13.5">
      <c r="A653" s="2" t="s">
        <v>1213</v>
      </c>
      <c r="B653" s="3"/>
      <c r="C653" s="71" t="s">
        <v>1313</v>
      </c>
      <c r="D653" s="4" t="s">
        <v>1314</v>
      </c>
      <c r="E653" s="5" t="s">
        <v>1315</v>
      </c>
      <c r="F653" s="5" t="str">
        <f t="shared" si="10"/>
        <v>mariatand.se</v>
      </c>
      <c r="G653" s="5" t="s">
        <v>4</v>
      </c>
      <c r="H653" s="5" t="s">
        <v>5</v>
      </c>
      <c r="I653" s="6">
        <v>45294</v>
      </c>
    </row>
    <row r="654" spans="1:9" ht="13.5">
      <c r="A654" s="2" t="s">
        <v>405</v>
      </c>
      <c r="B654" s="3"/>
      <c r="C654" s="71" t="s">
        <v>1316</v>
      </c>
      <c r="D654" s="4" t="s">
        <v>610</v>
      </c>
      <c r="E654" s="5" t="s">
        <v>1317</v>
      </c>
      <c r="F654" s="5" t="str">
        <f t="shared" si="10"/>
        <v>rehabgrossisten.com</v>
      </c>
      <c r="G654" s="5" t="s">
        <v>4</v>
      </c>
      <c r="H654" s="5" t="s">
        <v>5</v>
      </c>
      <c r="I654" s="6">
        <v>45294</v>
      </c>
    </row>
    <row r="655" spans="1:9" ht="13.5">
      <c r="A655" s="2" t="s">
        <v>1318</v>
      </c>
      <c r="B655" s="3"/>
      <c r="C655" s="4" t="s">
        <v>1319</v>
      </c>
      <c r="D655" s="4" t="s">
        <v>1320</v>
      </c>
      <c r="E655" s="5" t="s">
        <v>1321</v>
      </c>
      <c r="F655" s="5" t="str">
        <f t="shared" si="10"/>
        <v>spelklubben.se</v>
      </c>
      <c r="G655" s="5" t="s">
        <v>34</v>
      </c>
      <c r="H655" s="5" t="s">
        <v>5</v>
      </c>
      <c r="I655" s="6">
        <v>45295</v>
      </c>
    </row>
    <row r="656" spans="1:9" ht="13.5">
      <c r="A656" s="2" t="s">
        <v>723</v>
      </c>
      <c r="B656" s="3"/>
      <c r="C656" s="71" t="s">
        <v>1322</v>
      </c>
      <c r="D656" s="4" t="s">
        <v>725</v>
      </c>
      <c r="E656" s="9" t="s">
        <v>723</v>
      </c>
      <c r="F656" s="5" t="str">
        <f t="shared" si="10"/>
        <v>aretrotale.com</v>
      </c>
      <c r="G656" s="5" t="s">
        <v>4</v>
      </c>
      <c r="H656" s="5" t="s">
        <v>23</v>
      </c>
      <c r="I656" s="6">
        <v>45301</v>
      </c>
    </row>
    <row r="657" spans="1:9" ht="13.5">
      <c r="A657" s="2" t="s">
        <v>714</v>
      </c>
      <c r="B657" s="3"/>
      <c r="C657" s="71" t="s">
        <v>1323</v>
      </c>
      <c r="D657" s="4" t="s">
        <v>1167</v>
      </c>
      <c r="E657" s="5" t="s">
        <v>1168</v>
      </c>
      <c r="F657" s="5" t="str">
        <f t="shared" si="10"/>
        <v>Alfa.no</v>
      </c>
      <c r="G657" s="5" t="s">
        <v>4</v>
      </c>
      <c r="H657" s="5" t="s">
        <v>382</v>
      </c>
      <c r="I657" s="6">
        <v>45301</v>
      </c>
    </row>
    <row r="658" spans="1:9" ht="14.25">
      <c r="A658" s="7" t="s">
        <v>1324</v>
      </c>
      <c r="B658" s="3"/>
      <c r="C658" s="71" t="s">
        <v>1325</v>
      </c>
      <c r="D658" s="4" t="s">
        <v>1309</v>
      </c>
      <c r="E658" s="94" t="s">
        <v>1326</v>
      </c>
      <c r="F658" s="5" t="str">
        <f t="shared" si="10"/>
        <v>Lansfast Danderyd &amp; täby</v>
      </c>
      <c r="G658" s="5" t="s">
        <v>4</v>
      </c>
      <c r="H658" s="5" t="s">
        <v>5</v>
      </c>
      <c r="I658" s="6">
        <v>45301</v>
      </c>
    </row>
    <row r="659" spans="1:9" ht="13.5">
      <c r="A659" s="82" t="s">
        <v>765</v>
      </c>
      <c r="B659" s="3"/>
      <c r="C659" s="95" t="s">
        <v>1327</v>
      </c>
      <c r="D659" s="91" t="s">
        <v>1136</v>
      </c>
      <c r="E659" s="79" t="s">
        <v>1234</v>
      </c>
      <c r="F659" s="5" t="str">
        <f t="shared" si="10"/>
        <v>lemontree.se</v>
      </c>
      <c r="G659" s="5" t="s">
        <v>4</v>
      </c>
      <c r="H659" s="5" t="s">
        <v>5</v>
      </c>
      <c r="I659" s="92">
        <v>45301</v>
      </c>
    </row>
    <row r="660" spans="1:9" ht="13.5">
      <c r="A660" s="7" t="s">
        <v>329</v>
      </c>
      <c r="B660" s="3"/>
      <c r="C660" s="96" t="s">
        <v>1328</v>
      </c>
      <c r="D660" s="91" t="s">
        <v>1329</v>
      </c>
      <c r="E660" s="79" t="s">
        <v>1330</v>
      </c>
      <c r="F660" s="5" t="str">
        <f t="shared" si="10"/>
        <v>vont</v>
      </c>
      <c r="G660" s="5" t="s">
        <v>4</v>
      </c>
      <c r="H660" s="5" t="s">
        <v>262</v>
      </c>
      <c r="I660" s="92">
        <v>45301</v>
      </c>
    </row>
    <row r="661" spans="1:9" ht="13.5">
      <c r="A661" s="82" t="s">
        <v>846</v>
      </c>
      <c r="B661" s="3"/>
      <c r="C661" s="91" t="s">
        <v>1331</v>
      </c>
      <c r="D661" s="97" t="s">
        <v>1332</v>
      </c>
      <c r="E661" s="79" t="s">
        <v>1333</v>
      </c>
      <c r="F661" s="5" t="str">
        <f t="shared" si="10"/>
        <v>tandea.se</v>
      </c>
      <c r="G661" s="5" t="s">
        <v>4</v>
      </c>
      <c r="H661" s="5" t="s">
        <v>5</v>
      </c>
      <c r="I661" s="6">
        <v>45302</v>
      </c>
    </row>
    <row r="662" spans="1:9" ht="13.5">
      <c r="A662" s="82" t="s">
        <v>703</v>
      </c>
      <c r="B662" s="3"/>
      <c r="C662" s="91" t="s">
        <v>1334</v>
      </c>
      <c r="D662" s="91" t="s">
        <v>1335</v>
      </c>
      <c r="E662" s="79" t="s">
        <v>1336</v>
      </c>
      <c r="F662" s="5" t="str">
        <f t="shared" si="10"/>
        <v>distansinstitutet.se</v>
      </c>
      <c r="G662" s="5" t="s">
        <v>4</v>
      </c>
      <c r="H662" s="5" t="s">
        <v>5</v>
      </c>
      <c r="I662" s="92">
        <v>45302</v>
      </c>
    </row>
    <row r="663" spans="1:9" ht="13.5">
      <c r="A663" s="82" t="s">
        <v>464</v>
      </c>
      <c r="B663" s="3"/>
      <c r="C663" s="91" t="s">
        <v>1337</v>
      </c>
      <c r="D663" s="91" t="s">
        <v>466</v>
      </c>
      <c r="E663" s="79" t="s">
        <v>710</v>
      </c>
      <c r="F663" s="5" t="str">
        <f t="shared" si="10"/>
        <v>villarelining.se</v>
      </c>
      <c r="G663" s="5" t="s">
        <v>4</v>
      </c>
      <c r="H663" s="5" t="s">
        <v>5</v>
      </c>
      <c r="I663" s="92">
        <v>45302</v>
      </c>
    </row>
    <row r="664" spans="1:9" ht="13.5">
      <c r="A664" s="82" t="s">
        <v>1112</v>
      </c>
      <c r="B664" s="3"/>
      <c r="C664" s="96" t="s">
        <v>1338</v>
      </c>
      <c r="D664" s="91" t="s">
        <v>1114</v>
      </c>
      <c r="E664" s="79" t="s">
        <v>1339</v>
      </c>
      <c r="F664" s="5" t="str">
        <f t="shared" si="10"/>
        <v>triwa.com</v>
      </c>
      <c r="G664" s="5" t="s">
        <v>4</v>
      </c>
      <c r="H664" s="5" t="s">
        <v>23</v>
      </c>
      <c r="I664" s="92">
        <v>45302</v>
      </c>
    </row>
    <row r="665" spans="1:9" ht="13.5">
      <c r="A665" s="7" t="s">
        <v>224</v>
      </c>
      <c r="B665" s="3"/>
      <c r="C665" s="91" t="s">
        <v>1340</v>
      </c>
      <c r="D665" s="76" t="s">
        <v>1341</v>
      </c>
      <c r="E665" s="79" t="s">
        <v>640</v>
      </c>
      <c r="F665" s="5" t="str">
        <f t="shared" si="10"/>
        <v>swedoffice</v>
      </c>
      <c r="G665" s="5" t="s">
        <v>4</v>
      </c>
      <c r="H665" s="5" t="s">
        <v>5</v>
      </c>
      <c r="I665" s="6">
        <v>45302</v>
      </c>
    </row>
    <row r="666" spans="1:9" ht="13.9">
      <c r="A666" s="2" t="s">
        <v>846</v>
      </c>
      <c r="B666" s="3"/>
      <c r="C666" s="91" t="s">
        <v>1331</v>
      </c>
      <c r="D666" s="98" t="s">
        <v>848</v>
      </c>
      <c r="E666" s="79" t="s">
        <v>1187</v>
      </c>
      <c r="F666" s="5" t="str">
        <f t="shared" si="10"/>
        <v>tandea.se</v>
      </c>
      <c r="G666" s="5" t="s">
        <v>4</v>
      </c>
      <c r="H666" s="5" t="s">
        <v>5</v>
      </c>
      <c r="I666" s="99">
        <v>45302</v>
      </c>
    </row>
    <row r="667" spans="1:9" ht="13.9">
      <c r="A667" s="2" t="s">
        <v>1342</v>
      </c>
      <c r="B667" s="3"/>
      <c r="C667" s="91" t="s">
        <v>1343</v>
      </c>
      <c r="D667" s="91" t="s">
        <v>1143</v>
      </c>
      <c r="E667" s="79" t="s">
        <v>1345</v>
      </c>
      <c r="F667" s="5" t="str">
        <f t="shared" si="10"/>
        <v>pontonhamnar.se</v>
      </c>
      <c r="G667" s="5" t="s">
        <v>1344</v>
      </c>
      <c r="H667" s="5" t="s">
        <v>5</v>
      </c>
      <c r="I667" s="99">
        <v>45302</v>
      </c>
    </row>
    <row r="668" spans="1:9" ht="13.5">
      <c r="A668" s="82" t="s">
        <v>1263</v>
      </c>
      <c r="B668" s="3"/>
      <c r="C668" s="91" t="s">
        <v>1346</v>
      </c>
      <c r="D668" s="91" t="s">
        <v>1265</v>
      </c>
      <c r="E668" s="79" t="s">
        <v>1266</v>
      </c>
      <c r="F668" s="5" t="str">
        <f t="shared" si="10"/>
        <v>notyfile.se/sv</v>
      </c>
      <c r="G668" s="5" t="s">
        <v>4</v>
      </c>
      <c r="H668" s="5" t="s">
        <v>5</v>
      </c>
      <c r="I668" s="6">
        <v>45303</v>
      </c>
    </row>
    <row r="669" spans="1:9" ht="13.5">
      <c r="A669" s="7" t="s">
        <v>386</v>
      </c>
      <c r="B669" s="3"/>
      <c r="C669" s="91" t="s">
        <v>1347</v>
      </c>
      <c r="D669" s="91" t="s">
        <v>452</v>
      </c>
      <c r="E669" s="79" t="s">
        <v>879</v>
      </c>
      <c r="F669" s="5" t="str">
        <f t="shared" si="10"/>
        <v>pontech</v>
      </c>
      <c r="G669" s="5" t="s">
        <v>4</v>
      </c>
      <c r="H669" s="5" t="s">
        <v>5</v>
      </c>
      <c r="I669" s="6">
        <v>45303</v>
      </c>
    </row>
    <row r="670" spans="1:9" ht="13.5">
      <c r="A670" s="82" t="s">
        <v>1342</v>
      </c>
      <c r="B670" s="3"/>
      <c r="C670" s="91" t="s">
        <v>1343</v>
      </c>
      <c r="D670" s="91" t="s">
        <v>1143</v>
      </c>
      <c r="E670" s="79" t="s">
        <v>879</v>
      </c>
      <c r="F670" s="5" t="str">
        <f t="shared" si="10"/>
        <v>pontonhamnar.se</v>
      </c>
      <c r="G670" s="5" t="s">
        <v>4</v>
      </c>
      <c r="H670" s="5" t="s">
        <v>5</v>
      </c>
      <c r="I670" s="6">
        <v>45303</v>
      </c>
    </row>
    <row r="671" spans="1:9" ht="13.5">
      <c r="A671" s="82" t="s">
        <v>171</v>
      </c>
      <c r="B671" s="3"/>
      <c r="C671" s="91" t="s">
        <v>1348</v>
      </c>
      <c r="D671" s="91" t="s">
        <v>1095</v>
      </c>
      <c r="E671" s="79" t="s">
        <v>1349</v>
      </c>
      <c r="F671" s="5" t="str">
        <f t="shared" si="10"/>
        <v>arctic.se</v>
      </c>
      <c r="G671" s="5" t="s">
        <v>4</v>
      </c>
      <c r="H671" s="5" t="s">
        <v>5</v>
      </c>
      <c r="I671" s="6">
        <v>45303</v>
      </c>
    </row>
    <row r="672" spans="1:9" ht="13.5">
      <c r="A672" s="100" t="s">
        <v>329</v>
      </c>
      <c r="B672" s="3"/>
      <c r="C672" s="91" t="s">
        <v>1350</v>
      </c>
      <c r="D672" s="91" t="s">
        <v>1351</v>
      </c>
      <c r="E672" s="79" t="s">
        <v>1352</v>
      </c>
      <c r="F672" s="5" t="str">
        <f t="shared" si="10"/>
        <v>vont</v>
      </c>
      <c r="G672" s="5" t="s">
        <v>4</v>
      </c>
      <c r="H672" s="5" t="s">
        <v>262</v>
      </c>
      <c r="I672" s="6">
        <v>45303</v>
      </c>
    </row>
    <row r="673" spans="1:9" ht="13.5">
      <c r="A673" s="82" t="s">
        <v>1</v>
      </c>
      <c r="B673" s="3"/>
      <c r="C673" s="91" t="s">
        <v>1353</v>
      </c>
      <c r="D673" s="91" t="s">
        <v>864</v>
      </c>
      <c r="E673" s="79" t="s">
        <v>865</v>
      </c>
      <c r="F673" s="5" t="str">
        <f t="shared" si="10"/>
        <v>haxan.se</v>
      </c>
      <c r="G673" s="5" t="s">
        <v>4</v>
      </c>
      <c r="H673" s="5" t="s">
        <v>5</v>
      </c>
      <c r="I673" s="92">
        <v>45303</v>
      </c>
    </row>
    <row r="674" spans="1:9" ht="13.5">
      <c r="A674" s="82" t="s">
        <v>632</v>
      </c>
      <c r="B674" s="3"/>
      <c r="C674" s="95" t="s">
        <v>1354</v>
      </c>
      <c r="D674" s="91" t="s">
        <v>634</v>
      </c>
      <c r="E674" s="79" t="s">
        <v>845</v>
      </c>
      <c r="F674" s="5" t="str">
        <f t="shared" si="10"/>
        <v>miamipool.se</v>
      </c>
      <c r="G674" s="5" t="s">
        <v>4</v>
      </c>
      <c r="H674" s="5" t="s">
        <v>5</v>
      </c>
      <c r="I674" s="6">
        <v>45303</v>
      </c>
    </row>
    <row r="675" spans="1:9" ht="13.5">
      <c r="A675" s="82" t="s">
        <v>272</v>
      </c>
      <c r="B675" s="3"/>
      <c r="C675" s="91" t="s">
        <v>1355</v>
      </c>
      <c r="D675" s="91" t="s">
        <v>274</v>
      </c>
      <c r="E675" s="79" t="s">
        <v>1356</v>
      </c>
      <c r="F675" s="5" t="str">
        <f t="shared" si="10"/>
        <v>schjodt.com</v>
      </c>
      <c r="G675" s="5" t="s">
        <v>4</v>
      </c>
      <c r="H675" s="5" t="s">
        <v>5</v>
      </c>
      <c r="I675" s="6">
        <v>45303</v>
      </c>
    </row>
    <row r="676" spans="1:9" ht="13.9">
      <c r="A676" s="2" t="s">
        <v>171</v>
      </c>
      <c r="B676" s="3"/>
      <c r="C676" s="91" t="s">
        <v>1348</v>
      </c>
      <c r="D676" s="91" t="s">
        <v>1095</v>
      </c>
      <c r="E676" s="79" t="s">
        <v>1357</v>
      </c>
      <c r="F676" s="5" t="str">
        <f t="shared" si="10"/>
        <v>arctic.se</v>
      </c>
      <c r="G676" s="5" t="s">
        <v>4</v>
      </c>
      <c r="H676" s="5" t="s">
        <v>5</v>
      </c>
      <c r="I676" s="99">
        <v>45303</v>
      </c>
    </row>
    <row r="677" spans="1:9" ht="13.9">
      <c r="A677" s="2" t="s">
        <v>632</v>
      </c>
      <c r="B677" s="3"/>
      <c r="C677" s="97" t="s">
        <v>1354</v>
      </c>
      <c r="D677" s="91" t="s">
        <v>634</v>
      </c>
      <c r="E677" s="79" t="s">
        <v>1358</v>
      </c>
      <c r="F677" s="5" t="str">
        <f t="shared" si="10"/>
        <v>miamipool.se</v>
      </c>
      <c r="G677" s="5" t="s">
        <v>4</v>
      </c>
      <c r="H677" s="5" t="s">
        <v>5</v>
      </c>
      <c r="I677" s="99">
        <v>45303</v>
      </c>
    </row>
    <row r="678" spans="1:9" ht="13.9">
      <c r="A678" s="2" t="s">
        <v>1263</v>
      </c>
      <c r="B678" s="3"/>
      <c r="C678" s="91" t="s">
        <v>1346</v>
      </c>
      <c r="D678" s="91" t="s">
        <v>1265</v>
      </c>
      <c r="E678" s="79" t="s">
        <v>1359</v>
      </c>
      <c r="F678" s="5" t="str">
        <f t="shared" si="10"/>
        <v>notyfile.se/sv</v>
      </c>
      <c r="G678" s="5" t="s">
        <v>4</v>
      </c>
      <c r="H678" s="5" t="s">
        <v>5</v>
      </c>
      <c r="I678" s="99">
        <v>45303</v>
      </c>
    </row>
    <row r="679" spans="1:9" ht="13.9">
      <c r="A679" s="7" t="s">
        <v>386</v>
      </c>
      <c r="B679" s="3"/>
      <c r="C679" s="91" t="s">
        <v>1347</v>
      </c>
      <c r="D679" s="91" t="s">
        <v>452</v>
      </c>
      <c r="E679" s="79" t="s">
        <v>1360</v>
      </c>
      <c r="F679" s="5" t="str">
        <f t="shared" si="10"/>
        <v>pontech</v>
      </c>
      <c r="G679" s="5" t="s">
        <v>4</v>
      </c>
      <c r="H679" s="5" t="s">
        <v>5</v>
      </c>
      <c r="I679" s="99">
        <v>45303</v>
      </c>
    </row>
    <row r="680" spans="1:9" ht="13.9">
      <c r="A680" s="2" t="s">
        <v>272</v>
      </c>
      <c r="B680" s="3"/>
      <c r="C680" s="91" t="s">
        <v>1355</v>
      </c>
      <c r="D680" s="91" t="s">
        <v>274</v>
      </c>
      <c r="E680" s="79" t="s">
        <v>1361</v>
      </c>
      <c r="F680" s="5" t="str">
        <f t="shared" si="10"/>
        <v>schjodt.com</v>
      </c>
      <c r="G680" s="5" t="s">
        <v>4</v>
      </c>
      <c r="H680" s="5" t="s">
        <v>5</v>
      </c>
      <c r="I680" s="99">
        <v>45303</v>
      </c>
    </row>
    <row r="681" spans="1:9" ht="13.9">
      <c r="A681" s="2" t="s">
        <v>1297</v>
      </c>
      <c r="B681" s="3"/>
      <c r="C681" s="91" t="s">
        <v>1362</v>
      </c>
      <c r="D681" s="98" t="s">
        <v>1299</v>
      </c>
      <c r="E681" s="79" t="s">
        <v>1300</v>
      </c>
      <c r="F681" s="5" t="str">
        <f t="shared" si="10"/>
        <v>sundsvallbergvarme.se</v>
      </c>
      <c r="G681" s="5" t="s">
        <v>4</v>
      </c>
      <c r="H681" s="5" t="s">
        <v>5</v>
      </c>
      <c r="I681" s="99">
        <v>45303</v>
      </c>
    </row>
    <row r="682" spans="1:9" ht="13.5">
      <c r="A682" s="82" t="s">
        <v>1247</v>
      </c>
      <c r="B682" s="3"/>
      <c r="C682" s="91" t="s">
        <v>1363</v>
      </c>
      <c r="D682" s="91" t="s">
        <v>1249</v>
      </c>
      <c r="E682" s="79" t="s">
        <v>1250</v>
      </c>
      <c r="F682" s="5" t="str">
        <f t="shared" si="10"/>
        <v>carpcon.se</v>
      </c>
      <c r="G682" s="5" t="s">
        <v>4</v>
      </c>
      <c r="H682" s="5" t="s">
        <v>5</v>
      </c>
      <c r="I682" s="6">
        <v>45304</v>
      </c>
    </row>
    <row r="683" spans="1:9" ht="13.9">
      <c r="A683" s="2" t="s">
        <v>1247</v>
      </c>
      <c r="B683" s="3"/>
      <c r="C683" s="91" t="s">
        <v>1363</v>
      </c>
      <c r="D683" s="91" t="s">
        <v>1249</v>
      </c>
      <c r="E683" s="79" t="s">
        <v>1250</v>
      </c>
      <c r="F683" s="5" t="str">
        <f t="shared" si="10"/>
        <v>carpcon.se</v>
      </c>
      <c r="G683" s="5" t="s">
        <v>4</v>
      </c>
      <c r="H683" s="5" t="s">
        <v>5</v>
      </c>
      <c r="I683" s="99">
        <v>45304</v>
      </c>
    </row>
    <row r="684" spans="1:9" ht="13.5">
      <c r="A684" s="101" t="s">
        <v>329</v>
      </c>
      <c r="B684" s="3"/>
      <c r="C684" s="91" t="s">
        <v>1364</v>
      </c>
      <c r="D684" s="91" t="s">
        <v>1365</v>
      </c>
      <c r="E684" s="88" t="s">
        <v>1366</v>
      </c>
      <c r="F684" s="5" t="str">
        <f t="shared" si="10"/>
        <v>vont</v>
      </c>
      <c r="G684" s="5" t="s">
        <v>4</v>
      </c>
      <c r="H684" s="5" t="s">
        <v>5</v>
      </c>
      <c r="I684" s="6">
        <v>45304</v>
      </c>
    </row>
    <row r="685" spans="1:9" ht="14.25">
      <c r="A685" s="82" t="s">
        <v>1138</v>
      </c>
      <c r="B685" s="3"/>
      <c r="C685" s="91" t="s">
        <v>1367</v>
      </c>
      <c r="D685" s="91" t="s">
        <v>1236</v>
      </c>
      <c r="E685" s="102" t="s">
        <v>1368</v>
      </c>
      <c r="F685" s="5" t="str">
        <f t="shared" si="10"/>
        <v>hemplybalance.com</v>
      </c>
      <c r="G685" s="5" t="s">
        <v>4</v>
      </c>
      <c r="H685" s="5" t="s">
        <v>5</v>
      </c>
      <c r="I685" s="6">
        <v>45304</v>
      </c>
    </row>
    <row r="686" spans="1:9" ht="13.5">
      <c r="A686" s="82" t="s">
        <v>703</v>
      </c>
      <c r="B686" s="3"/>
      <c r="C686" s="95" t="s">
        <v>1369</v>
      </c>
      <c r="D686" s="91" t="s">
        <v>1335</v>
      </c>
      <c r="E686" s="79" t="s">
        <v>1336</v>
      </c>
      <c r="F686" s="5" t="str">
        <f t="shared" si="10"/>
        <v>distansinstitutet.se</v>
      </c>
      <c r="G686" s="5" t="s">
        <v>4</v>
      </c>
      <c r="H686" s="5" t="s">
        <v>5</v>
      </c>
      <c r="I686" s="6">
        <v>45304</v>
      </c>
    </row>
    <row r="687" spans="1:9" ht="13.5">
      <c r="A687" s="82" t="s">
        <v>1</v>
      </c>
      <c r="B687" s="3"/>
      <c r="C687" s="91" t="s">
        <v>1370</v>
      </c>
      <c r="D687" s="91" t="s">
        <v>1226</v>
      </c>
      <c r="E687" s="79" t="s">
        <v>1371</v>
      </c>
      <c r="F687" s="5" t="str">
        <f t="shared" si="10"/>
        <v>haxan.se</v>
      </c>
      <c r="G687" s="5" t="s">
        <v>4</v>
      </c>
      <c r="H687" s="5" t="s">
        <v>5</v>
      </c>
      <c r="I687" s="6">
        <v>45304</v>
      </c>
    </row>
    <row r="688" spans="1:9" ht="13.9">
      <c r="A688" s="2" t="s">
        <v>100</v>
      </c>
      <c r="B688" s="3"/>
      <c r="C688" s="91" t="s">
        <v>1372</v>
      </c>
      <c r="D688" s="91" t="s">
        <v>1252</v>
      </c>
      <c r="E688" s="79" t="s">
        <v>1373</v>
      </c>
      <c r="F688" s="5" t="str">
        <f t="shared" si="10"/>
        <v>bigbenstandup.com</v>
      </c>
      <c r="G688" s="5" t="s">
        <v>4</v>
      </c>
      <c r="H688" s="5" t="s">
        <v>5</v>
      </c>
      <c r="I688" s="99">
        <v>45304</v>
      </c>
    </row>
    <row r="689" spans="1:9" ht="13.9">
      <c r="A689" s="2" t="s">
        <v>703</v>
      </c>
      <c r="B689" s="3"/>
      <c r="C689" s="91" t="s">
        <v>1369</v>
      </c>
      <c r="D689" s="91" t="s">
        <v>1335</v>
      </c>
      <c r="E689" s="79" t="s">
        <v>1374</v>
      </c>
      <c r="F689" s="5" t="str">
        <f t="shared" si="10"/>
        <v>distansinstitutet.se</v>
      </c>
      <c r="G689" s="5" t="s">
        <v>4</v>
      </c>
      <c r="H689" s="5" t="s">
        <v>5</v>
      </c>
      <c r="I689" s="99">
        <v>45304</v>
      </c>
    </row>
    <row r="690" spans="1:9" ht="13.9">
      <c r="A690" s="2" t="s">
        <v>1</v>
      </c>
      <c r="B690" s="3"/>
      <c r="C690" s="91" t="s">
        <v>1370</v>
      </c>
      <c r="D690" s="91" t="s">
        <v>1226</v>
      </c>
      <c r="E690" s="79" t="s">
        <v>1375</v>
      </c>
      <c r="F690" s="5" t="str">
        <f t="shared" si="10"/>
        <v>haxan.se</v>
      </c>
      <c r="G690" s="5" t="s">
        <v>4</v>
      </c>
      <c r="H690" s="5" t="s">
        <v>5</v>
      </c>
      <c r="I690" s="99">
        <v>45304</v>
      </c>
    </row>
    <row r="691" spans="1:9" ht="13.9">
      <c r="A691" s="2" t="s">
        <v>1138</v>
      </c>
      <c r="B691" s="3"/>
      <c r="C691" s="91" t="s">
        <v>1367</v>
      </c>
      <c r="D691" s="91" t="s">
        <v>1236</v>
      </c>
      <c r="E691" s="79" t="s">
        <v>1376</v>
      </c>
      <c r="F691" s="5" t="str">
        <f t="shared" si="10"/>
        <v>hemplybalance.com</v>
      </c>
      <c r="G691" s="5" t="s">
        <v>4</v>
      </c>
      <c r="H691" s="5" t="s">
        <v>5</v>
      </c>
      <c r="I691" s="99">
        <v>45304</v>
      </c>
    </row>
    <row r="692" spans="1:9" ht="13.9">
      <c r="A692" s="101" t="s">
        <v>329</v>
      </c>
      <c r="B692" s="3"/>
      <c r="C692" s="91" t="s">
        <v>1364</v>
      </c>
      <c r="D692" s="91" t="s">
        <v>1365</v>
      </c>
      <c r="E692" s="79" t="s">
        <v>1377</v>
      </c>
      <c r="F692" s="5" t="str">
        <f t="shared" si="10"/>
        <v>vont</v>
      </c>
      <c r="G692" s="5" t="s">
        <v>4</v>
      </c>
      <c r="H692" s="5" t="s">
        <v>5</v>
      </c>
      <c r="I692" s="99">
        <v>45304</v>
      </c>
    </row>
    <row r="693" spans="1:9" ht="13.5">
      <c r="A693" s="82" t="s">
        <v>765</v>
      </c>
      <c r="B693" s="3"/>
      <c r="C693" s="91" t="s">
        <v>1378</v>
      </c>
      <c r="D693" s="91" t="s">
        <v>1379</v>
      </c>
      <c r="E693" s="79" t="s">
        <v>1380</v>
      </c>
      <c r="F693" s="5" t="str">
        <f t="shared" si="10"/>
        <v>lemontree.se</v>
      </c>
      <c r="G693" s="5" t="s">
        <v>4</v>
      </c>
      <c r="H693" s="5" t="s">
        <v>5</v>
      </c>
      <c r="I693" s="6">
        <v>45305</v>
      </c>
    </row>
    <row r="694" spans="1:9" ht="13.5">
      <c r="A694" s="82" t="s">
        <v>1213</v>
      </c>
      <c r="B694" s="3"/>
      <c r="C694" s="91" t="s">
        <v>1381</v>
      </c>
      <c r="D694" s="91" t="s">
        <v>1215</v>
      </c>
      <c r="E694" s="79" t="s">
        <v>1382</v>
      </c>
      <c r="F694" s="5" t="str">
        <f t="shared" si="10"/>
        <v>mariatand.se</v>
      </c>
      <c r="G694" s="5" t="s">
        <v>4</v>
      </c>
      <c r="H694" s="5" t="s">
        <v>5</v>
      </c>
      <c r="I694" s="6">
        <v>45305</v>
      </c>
    </row>
    <row r="695" spans="1:9" ht="13.5">
      <c r="A695" s="82" t="s">
        <v>435</v>
      </c>
      <c r="B695" s="3"/>
      <c r="C695" s="91" t="s">
        <v>1383</v>
      </c>
      <c r="D695" s="91" t="s">
        <v>1384</v>
      </c>
      <c r="E695" s="79" t="s">
        <v>1385</v>
      </c>
      <c r="F695" s="5" t="str">
        <f t="shared" si="10"/>
        <v>fairinvestments.se</v>
      </c>
      <c r="G695" s="5" t="s">
        <v>4</v>
      </c>
      <c r="H695" s="5" t="s">
        <v>5</v>
      </c>
      <c r="I695" s="6">
        <v>45305</v>
      </c>
    </row>
    <row r="696" spans="1:9" ht="13.5">
      <c r="A696" s="82" t="s">
        <v>1213</v>
      </c>
      <c r="B696" s="3"/>
      <c r="C696" s="91" t="s">
        <v>1386</v>
      </c>
      <c r="D696" s="91" t="s">
        <v>1215</v>
      </c>
      <c r="E696" s="79" t="s">
        <v>1382</v>
      </c>
      <c r="F696" s="5" t="str">
        <f t="shared" si="10"/>
        <v>mariatand.se</v>
      </c>
      <c r="G696" s="5" t="s">
        <v>4</v>
      </c>
      <c r="H696" s="5" t="s">
        <v>5</v>
      </c>
      <c r="I696" s="92">
        <v>45305</v>
      </c>
    </row>
    <row r="697" spans="1:9" ht="13.5">
      <c r="A697" s="7" t="s">
        <v>329</v>
      </c>
      <c r="B697" s="3"/>
      <c r="C697" s="91" t="s">
        <v>1387</v>
      </c>
      <c r="D697" s="91" t="s">
        <v>1388</v>
      </c>
      <c r="E697" s="79" t="s">
        <v>542</v>
      </c>
      <c r="F697" s="5" t="str">
        <f t="shared" si="10"/>
        <v>vont</v>
      </c>
      <c r="G697" s="5" t="s">
        <v>4</v>
      </c>
      <c r="H697" s="5" t="s">
        <v>5</v>
      </c>
      <c r="I697" s="92">
        <v>45305</v>
      </c>
    </row>
    <row r="698" spans="1:9" ht="13.9">
      <c r="A698" s="2" t="s">
        <v>435</v>
      </c>
      <c r="B698" s="3"/>
      <c r="C698" s="91" t="s">
        <v>1383</v>
      </c>
      <c r="D698" s="91" t="s">
        <v>1384</v>
      </c>
      <c r="E698" s="79" t="s">
        <v>1389</v>
      </c>
      <c r="F698" s="5" t="str">
        <f t="shared" si="10"/>
        <v>fairinvestments.se</v>
      </c>
      <c r="G698" s="5" t="s">
        <v>4</v>
      </c>
      <c r="H698" s="5" t="s">
        <v>5</v>
      </c>
      <c r="I698" s="99">
        <v>45305</v>
      </c>
    </row>
    <row r="699" spans="1:9" ht="13.9">
      <c r="A699" s="2" t="s">
        <v>765</v>
      </c>
      <c r="B699" s="3"/>
      <c r="C699" s="91" t="s">
        <v>1378</v>
      </c>
      <c r="D699" s="91" t="s">
        <v>1379</v>
      </c>
      <c r="E699" s="79" t="s">
        <v>1380</v>
      </c>
      <c r="F699" s="5" t="str">
        <f t="shared" si="10"/>
        <v>lemontree.se</v>
      </c>
      <c r="G699" s="5" t="s">
        <v>4</v>
      </c>
      <c r="H699" s="5" t="s">
        <v>5</v>
      </c>
      <c r="I699" s="99">
        <v>45305</v>
      </c>
    </row>
    <row r="700" spans="1:9" ht="13.9">
      <c r="A700" s="2" t="s">
        <v>1213</v>
      </c>
      <c r="B700" s="3"/>
      <c r="C700" s="91" t="s">
        <v>1381</v>
      </c>
      <c r="D700" s="91" t="s">
        <v>1215</v>
      </c>
      <c r="E700" s="79" t="s">
        <v>1382</v>
      </c>
      <c r="F700" s="5" t="str">
        <f t="shared" si="10"/>
        <v>mariatand.se</v>
      </c>
      <c r="G700" s="5" t="s">
        <v>4</v>
      </c>
      <c r="H700" s="5" t="s">
        <v>5</v>
      </c>
      <c r="I700" s="99">
        <v>45305</v>
      </c>
    </row>
    <row r="701" spans="1:9" ht="13.9">
      <c r="A701" s="2" t="s">
        <v>689</v>
      </c>
      <c r="B701" s="3"/>
      <c r="C701" s="91" t="s">
        <v>1390</v>
      </c>
      <c r="D701" s="91" t="s">
        <v>691</v>
      </c>
      <c r="E701" s="79" t="s">
        <v>825</v>
      </c>
      <c r="F701" s="5" t="str">
        <f t="shared" si="10"/>
        <v>conclean.se</v>
      </c>
      <c r="G701" s="5" t="s">
        <v>1344</v>
      </c>
      <c r="H701" s="5" t="s">
        <v>5</v>
      </c>
      <c r="I701" s="99">
        <v>45305</v>
      </c>
    </row>
    <row r="702" spans="1:9" ht="13.9">
      <c r="A702" s="2" t="s">
        <v>992</v>
      </c>
      <c r="B702" s="3"/>
      <c r="C702" s="91" t="s">
        <v>1391</v>
      </c>
      <c r="D702" s="91" t="s">
        <v>1392</v>
      </c>
      <c r="E702" s="79" t="s">
        <v>1393</v>
      </c>
      <c r="F702" s="5" t="str">
        <f t="shared" si="10"/>
        <v>ledkungen.se</v>
      </c>
      <c r="G702" s="5" t="s">
        <v>1344</v>
      </c>
      <c r="H702" s="5" t="s">
        <v>5</v>
      </c>
      <c r="I702" s="99">
        <v>45305</v>
      </c>
    </row>
    <row r="703" spans="1:9" ht="13.9">
      <c r="A703" s="2" t="s">
        <v>308</v>
      </c>
      <c r="B703" s="3"/>
      <c r="C703" s="87" t="s">
        <v>1394</v>
      </c>
      <c r="D703" s="91" t="s">
        <v>1395</v>
      </c>
      <c r="E703" s="79" t="s">
        <v>1396</v>
      </c>
      <c r="F703" s="5" t="str">
        <f t="shared" si="10"/>
        <v>lansfast.se</v>
      </c>
      <c r="G703" s="5" t="s">
        <v>1344</v>
      </c>
      <c r="H703" s="5" t="s">
        <v>5</v>
      </c>
      <c r="I703" s="99">
        <v>45305</v>
      </c>
    </row>
    <row r="704" spans="1:9" ht="13.5">
      <c r="A704" s="82" t="s">
        <v>435</v>
      </c>
      <c r="B704" s="3"/>
      <c r="C704" s="95" t="s">
        <v>1397</v>
      </c>
      <c r="D704" s="91" t="s">
        <v>1012</v>
      </c>
      <c r="E704" s="79" t="s">
        <v>1398</v>
      </c>
      <c r="F704" s="5" t="str">
        <f t="shared" si="10"/>
        <v>fairinvestments.se</v>
      </c>
      <c r="G704" s="5" t="s">
        <v>4</v>
      </c>
      <c r="H704" s="5" t="s">
        <v>5</v>
      </c>
      <c r="I704" s="6">
        <v>45306</v>
      </c>
    </row>
    <row r="705" spans="1:9" ht="13.5">
      <c r="A705" s="82" t="s">
        <v>958</v>
      </c>
      <c r="B705" s="3"/>
      <c r="C705" s="91" t="s">
        <v>1399</v>
      </c>
      <c r="D705" s="91" t="s">
        <v>960</v>
      </c>
      <c r="E705" s="79" t="s">
        <v>1256</v>
      </c>
      <c r="F705" s="5" t="str">
        <f t="shared" si="10"/>
        <v>oconnors.se</v>
      </c>
      <c r="G705" s="5" t="s">
        <v>4</v>
      </c>
      <c r="H705" s="5" t="s">
        <v>5</v>
      </c>
      <c r="I705" s="6">
        <v>45306</v>
      </c>
    </row>
    <row r="706" spans="1:9" ht="13.5">
      <c r="A706" s="82" t="s">
        <v>1112</v>
      </c>
      <c r="B706" s="3"/>
      <c r="C706" s="91" t="s">
        <v>1400</v>
      </c>
      <c r="D706" s="91" t="s">
        <v>1211</v>
      </c>
      <c r="E706" s="103" t="s">
        <v>1132</v>
      </c>
      <c r="F706" s="5" t="str">
        <f t="shared" si="10"/>
        <v>triwa.com</v>
      </c>
      <c r="G706" s="5" t="s">
        <v>4</v>
      </c>
      <c r="H706" s="5" t="s">
        <v>23</v>
      </c>
      <c r="I706" s="6">
        <v>45306</v>
      </c>
    </row>
    <row r="707" spans="1:9" ht="13.5">
      <c r="A707" s="2" t="s">
        <v>464</v>
      </c>
      <c r="B707" s="3"/>
      <c r="C707" s="71" t="s">
        <v>1337</v>
      </c>
      <c r="D707" s="4" t="s">
        <v>466</v>
      </c>
      <c r="E707" s="5" t="s">
        <v>1401</v>
      </c>
      <c r="F707" s="5" t="str">
        <f t="shared" ref="F707:F770" si="11">A707</f>
        <v>villarelining.se</v>
      </c>
      <c r="G707" s="5" t="s">
        <v>4</v>
      </c>
      <c r="H707" s="5" t="s">
        <v>5</v>
      </c>
      <c r="I707" s="6">
        <v>45306</v>
      </c>
    </row>
    <row r="708" spans="1:9" ht="13.9">
      <c r="A708" s="2" t="s">
        <v>435</v>
      </c>
      <c r="B708" s="3"/>
      <c r="C708" s="104" t="s">
        <v>1397</v>
      </c>
      <c r="D708" s="91" t="s">
        <v>1012</v>
      </c>
      <c r="E708" s="79" t="s">
        <v>1398</v>
      </c>
      <c r="F708" s="5" t="str">
        <f t="shared" si="11"/>
        <v>fairinvestments.se</v>
      </c>
      <c r="G708" s="5" t="s">
        <v>4</v>
      </c>
      <c r="H708" s="5" t="s">
        <v>5</v>
      </c>
      <c r="I708" s="99">
        <v>45306</v>
      </c>
    </row>
    <row r="709" spans="1:9" ht="13.9">
      <c r="A709" s="2" t="s">
        <v>958</v>
      </c>
      <c r="B709" s="3"/>
      <c r="C709" s="91" t="s">
        <v>1399</v>
      </c>
      <c r="D709" s="91" t="s">
        <v>960</v>
      </c>
      <c r="E709" s="79" t="s">
        <v>1402</v>
      </c>
      <c r="F709" s="5" t="str">
        <f t="shared" si="11"/>
        <v>oconnors.se</v>
      </c>
      <c r="G709" s="5" t="s">
        <v>4</v>
      </c>
      <c r="H709" s="5" t="s">
        <v>5</v>
      </c>
      <c r="I709" s="99">
        <v>45306</v>
      </c>
    </row>
    <row r="710" spans="1:9" ht="13.9">
      <c r="A710" s="2" t="s">
        <v>1112</v>
      </c>
      <c r="B710" s="3"/>
      <c r="C710" s="91" t="s">
        <v>1400</v>
      </c>
      <c r="D710" s="91" t="s">
        <v>1211</v>
      </c>
      <c r="E710" s="79" t="s">
        <v>1403</v>
      </c>
      <c r="F710" s="5" t="str">
        <f t="shared" si="11"/>
        <v>triwa.com</v>
      </c>
      <c r="G710" s="5" t="s">
        <v>4</v>
      </c>
      <c r="H710" s="5" t="s">
        <v>345</v>
      </c>
      <c r="I710" s="99">
        <v>45306</v>
      </c>
    </row>
    <row r="711" spans="1:9" ht="13.9">
      <c r="A711" s="2" t="s">
        <v>325</v>
      </c>
      <c r="B711" s="3"/>
      <c r="C711" s="105" t="s">
        <v>1404</v>
      </c>
      <c r="D711" s="91" t="s">
        <v>1244</v>
      </c>
      <c r="E711" s="79" t="s">
        <v>1405</v>
      </c>
      <c r="F711" s="5" t="str">
        <f t="shared" si="11"/>
        <v>tiotak.se</v>
      </c>
      <c r="G711" s="5" t="s">
        <v>1344</v>
      </c>
      <c r="H711" s="5" t="s">
        <v>5</v>
      </c>
      <c r="I711" s="99">
        <v>45306</v>
      </c>
    </row>
    <row r="712" spans="1:9" ht="13.9">
      <c r="A712" s="2" t="s">
        <v>464</v>
      </c>
      <c r="B712" s="3"/>
      <c r="C712" s="105" t="s">
        <v>1406</v>
      </c>
      <c r="D712" s="91" t="s">
        <v>466</v>
      </c>
      <c r="E712" s="79" t="s">
        <v>1401</v>
      </c>
      <c r="F712" s="5" t="str">
        <f t="shared" si="11"/>
        <v>villarelining.se</v>
      </c>
      <c r="G712" s="5" t="s">
        <v>1344</v>
      </c>
      <c r="H712" s="5" t="s">
        <v>5</v>
      </c>
      <c r="I712" s="99">
        <v>45306</v>
      </c>
    </row>
    <row r="713" spans="1:9" ht="13.5">
      <c r="A713" s="82" t="s">
        <v>1301</v>
      </c>
      <c r="B713" s="3"/>
      <c r="C713" s="91" t="s">
        <v>1407</v>
      </c>
      <c r="D713" s="91" t="s">
        <v>1303</v>
      </c>
      <c r="E713" s="79" t="s">
        <v>1304</v>
      </c>
      <c r="F713" s="5" t="str">
        <f t="shared" si="11"/>
        <v>w3solenergi.se</v>
      </c>
      <c r="G713" s="5" t="s">
        <v>4</v>
      </c>
      <c r="H713" s="5" t="s">
        <v>5</v>
      </c>
      <c r="I713" s="6">
        <v>45306</v>
      </c>
    </row>
    <row r="714" spans="1:9" ht="13.9">
      <c r="A714" s="2" t="s">
        <v>1301</v>
      </c>
      <c r="B714" s="3"/>
      <c r="C714" s="91" t="s">
        <v>1407</v>
      </c>
      <c r="D714" s="91" t="s">
        <v>1303</v>
      </c>
      <c r="E714" s="79" t="s">
        <v>1408</v>
      </c>
      <c r="F714" s="5" t="str">
        <f t="shared" si="11"/>
        <v>w3solenergi.se</v>
      </c>
      <c r="G714" s="5" t="s">
        <v>4</v>
      </c>
      <c r="H714" s="5" t="s">
        <v>5</v>
      </c>
      <c r="I714" s="99">
        <v>45306</v>
      </c>
    </row>
    <row r="715" spans="1:9" ht="13.5">
      <c r="A715" s="82" t="s">
        <v>435</v>
      </c>
      <c r="B715" s="3"/>
      <c r="C715" s="91" t="s">
        <v>1409</v>
      </c>
      <c r="D715" s="91" t="s">
        <v>834</v>
      </c>
      <c r="E715" s="79" t="s">
        <v>438</v>
      </c>
      <c r="F715" s="5" t="str">
        <f t="shared" si="11"/>
        <v>fairinvestments.se</v>
      </c>
      <c r="G715" s="5" t="s">
        <v>4</v>
      </c>
      <c r="H715" s="5" t="s">
        <v>5</v>
      </c>
      <c r="I715" s="6">
        <v>45307</v>
      </c>
    </row>
    <row r="716" spans="1:9" ht="13.5">
      <c r="A716" s="82" t="s">
        <v>703</v>
      </c>
      <c r="B716" s="3"/>
      <c r="C716" s="91" t="s">
        <v>1410</v>
      </c>
      <c r="D716" s="91" t="s">
        <v>729</v>
      </c>
      <c r="E716" s="79" t="s">
        <v>1411</v>
      </c>
      <c r="F716" s="5" t="str">
        <f t="shared" si="11"/>
        <v>distansinstitutet.se</v>
      </c>
      <c r="G716" s="5" t="s">
        <v>4</v>
      </c>
      <c r="H716" s="5" t="s">
        <v>5</v>
      </c>
      <c r="I716" s="6">
        <v>45307</v>
      </c>
    </row>
    <row r="717" spans="1:9" ht="13.5">
      <c r="A717" s="82" t="s">
        <v>435</v>
      </c>
      <c r="B717" s="3"/>
      <c r="C717" s="91" t="s">
        <v>1412</v>
      </c>
      <c r="D717" s="91" t="s">
        <v>1413</v>
      </c>
      <c r="E717" s="79" t="s">
        <v>438</v>
      </c>
      <c r="F717" s="5" t="str">
        <f t="shared" si="11"/>
        <v>fairinvestments.se</v>
      </c>
      <c r="G717" s="5" t="s">
        <v>4</v>
      </c>
      <c r="H717" s="5" t="s">
        <v>5</v>
      </c>
      <c r="I717" s="6">
        <v>45307</v>
      </c>
    </row>
    <row r="718" spans="1:9" ht="13.5">
      <c r="A718" s="82" t="s">
        <v>264</v>
      </c>
      <c r="B718" s="3"/>
      <c r="C718" s="91" t="s">
        <v>1414</v>
      </c>
      <c r="D718" s="91" t="s">
        <v>626</v>
      </c>
      <c r="E718" s="87" t="s">
        <v>644</v>
      </c>
      <c r="F718" s="5" t="str">
        <f t="shared" si="11"/>
        <v>creditsafe.se</v>
      </c>
      <c r="G718" s="5" t="s">
        <v>4</v>
      </c>
      <c r="H718" s="5" t="s">
        <v>5</v>
      </c>
      <c r="I718" s="6">
        <v>45307</v>
      </c>
    </row>
    <row r="719" spans="1:9" ht="13.5">
      <c r="A719" s="82" t="s">
        <v>723</v>
      </c>
      <c r="B719" s="3"/>
      <c r="C719" s="91" t="s">
        <v>1415</v>
      </c>
      <c r="D719" s="91" t="s">
        <v>725</v>
      </c>
      <c r="E719" s="87" t="s">
        <v>723</v>
      </c>
      <c r="F719" s="5" t="str">
        <f t="shared" si="11"/>
        <v>aretrotale.com</v>
      </c>
      <c r="G719" s="5" t="s">
        <v>4</v>
      </c>
      <c r="H719" s="5" t="s">
        <v>23</v>
      </c>
      <c r="I719" s="6">
        <v>45307</v>
      </c>
    </row>
    <row r="720" spans="1:9" ht="13.9">
      <c r="A720" s="2" t="s">
        <v>723</v>
      </c>
      <c r="B720" s="3"/>
      <c r="C720" s="91" t="s">
        <v>1415</v>
      </c>
      <c r="D720" s="91" t="s">
        <v>725</v>
      </c>
      <c r="E720" s="79" t="s">
        <v>723</v>
      </c>
      <c r="F720" s="5" t="str">
        <f t="shared" si="11"/>
        <v>aretrotale.com</v>
      </c>
      <c r="G720" s="5" t="s">
        <v>4</v>
      </c>
      <c r="H720" s="5" t="s">
        <v>23</v>
      </c>
      <c r="I720" s="99">
        <v>45307</v>
      </c>
    </row>
    <row r="721" spans="1:9" ht="13.9">
      <c r="A721" s="2" t="s">
        <v>703</v>
      </c>
      <c r="B721" s="3"/>
      <c r="C721" s="91" t="s">
        <v>1410</v>
      </c>
      <c r="D721" s="91" t="s">
        <v>729</v>
      </c>
      <c r="E721" s="79" t="s">
        <v>1416</v>
      </c>
      <c r="F721" s="5" t="str">
        <f t="shared" si="11"/>
        <v>distansinstitutet.se</v>
      </c>
      <c r="G721" s="5" t="s">
        <v>4</v>
      </c>
      <c r="H721" s="5" t="s">
        <v>5</v>
      </c>
      <c r="I721" s="99">
        <v>45307</v>
      </c>
    </row>
    <row r="722" spans="1:9" ht="13.9">
      <c r="A722" s="2" t="s">
        <v>435</v>
      </c>
      <c r="B722" s="3"/>
      <c r="C722" s="91" t="s">
        <v>1412</v>
      </c>
      <c r="D722" s="91" t="s">
        <v>1413</v>
      </c>
      <c r="E722" s="79" t="s">
        <v>1417</v>
      </c>
      <c r="F722" s="5" t="str">
        <f t="shared" si="11"/>
        <v>fairinvestments.se</v>
      </c>
      <c r="G722" s="5" t="s">
        <v>4</v>
      </c>
      <c r="H722" s="5" t="s">
        <v>5</v>
      </c>
      <c r="I722" s="99">
        <v>45307</v>
      </c>
    </row>
    <row r="723" spans="1:9" ht="13.9">
      <c r="A723" s="2" t="s">
        <v>264</v>
      </c>
      <c r="B723" s="3"/>
      <c r="C723" s="91" t="s">
        <v>1414</v>
      </c>
      <c r="D723" s="91" t="s">
        <v>626</v>
      </c>
      <c r="E723" s="79" t="s">
        <v>644</v>
      </c>
      <c r="F723" s="5" t="str">
        <f t="shared" si="11"/>
        <v>creditsafe.se</v>
      </c>
      <c r="G723" s="5" t="s">
        <v>4</v>
      </c>
      <c r="H723" s="5" t="s">
        <v>262</v>
      </c>
      <c r="I723" s="99">
        <v>45307</v>
      </c>
    </row>
    <row r="724" spans="1:9" ht="13.9">
      <c r="A724" s="2" t="s">
        <v>435</v>
      </c>
      <c r="B724" s="3"/>
      <c r="C724" s="91" t="s">
        <v>1409</v>
      </c>
      <c r="D724" s="91" t="s">
        <v>834</v>
      </c>
      <c r="E724" s="79" t="s">
        <v>1418</v>
      </c>
      <c r="F724" s="5" t="str">
        <f t="shared" si="11"/>
        <v>fairinvestments.se</v>
      </c>
      <c r="G724" s="5" t="s">
        <v>4</v>
      </c>
      <c r="H724" s="5" t="s">
        <v>5</v>
      </c>
      <c r="I724" s="99">
        <v>45307</v>
      </c>
    </row>
    <row r="725" spans="1:9" ht="13.9">
      <c r="A725" s="2" t="s">
        <v>1271</v>
      </c>
      <c r="B725" s="3"/>
      <c r="C725" s="91" t="s">
        <v>1419</v>
      </c>
      <c r="D725" s="91" t="s">
        <v>1420</v>
      </c>
      <c r="E725" s="79" t="s">
        <v>1421</v>
      </c>
      <c r="F725" s="5" t="str">
        <f t="shared" si="11"/>
        <v>alexbyggkonsult.se</v>
      </c>
      <c r="G725" s="5" t="s">
        <v>1344</v>
      </c>
      <c r="H725" s="5" t="s">
        <v>5</v>
      </c>
      <c r="I725" s="99">
        <v>45307</v>
      </c>
    </row>
    <row r="726" spans="1:9" ht="13.5">
      <c r="A726" s="2" t="s">
        <v>1112</v>
      </c>
      <c r="B726" s="3"/>
      <c r="C726" s="71" t="s">
        <v>1422</v>
      </c>
      <c r="D726" s="4" t="s">
        <v>1423</v>
      </c>
      <c r="E726" s="22" t="s">
        <v>1112</v>
      </c>
      <c r="F726" s="5" t="str">
        <f t="shared" si="11"/>
        <v>triwa.com</v>
      </c>
      <c r="G726" s="5" t="s">
        <v>4</v>
      </c>
      <c r="H726" s="5" t="s">
        <v>23</v>
      </c>
      <c r="I726" s="6">
        <v>45308</v>
      </c>
    </row>
    <row r="727" spans="1:9" ht="13.5">
      <c r="A727" s="82" t="s">
        <v>435</v>
      </c>
      <c r="B727" s="3"/>
      <c r="C727" s="91" t="s">
        <v>1424</v>
      </c>
      <c r="D727" s="91" t="s">
        <v>1093</v>
      </c>
      <c r="E727" s="79" t="s">
        <v>1398</v>
      </c>
      <c r="F727" s="5" t="str">
        <f t="shared" si="11"/>
        <v>fairinvestments.se</v>
      </c>
      <c r="G727" s="5" t="s">
        <v>4</v>
      </c>
      <c r="H727" s="5" t="s">
        <v>5</v>
      </c>
      <c r="I727" s="6">
        <v>45308</v>
      </c>
    </row>
    <row r="728" spans="1:9" ht="13.5">
      <c r="A728" s="82" t="s">
        <v>1239</v>
      </c>
      <c r="B728" s="3"/>
      <c r="C728" s="95" t="s">
        <v>1425</v>
      </c>
      <c r="D728" s="91" t="s">
        <v>1241</v>
      </c>
      <c r="E728" s="79" t="s">
        <v>1426</v>
      </c>
      <c r="F728" s="5" t="str">
        <f t="shared" si="11"/>
        <v>freckeus.se</v>
      </c>
      <c r="G728" s="5" t="s">
        <v>4</v>
      </c>
      <c r="H728" s="5" t="s">
        <v>5</v>
      </c>
      <c r="I728" s="6">
        <v>45308</v>
      </c>
    </row>
    <row r="729" spans="1:9" ht="13.5">
      <c r="A729" s="82" t="s">
        <v>803</v>
      </c>
      <c r="B729" s="3"/>
      <c r="C729" s="91" t="s">
        <v>1427</v>
      </c>
      <c r="D729" s="91" t="s">
        <v>1222</v>
      </c>
      <c r="E729" s="79" t="s">
        <v>1428</v>
      </c>
      <c r="F729" s="5" t="str">
        <f t="shared" si="11"/>
        <v>foyen.se</v>
      </c>
      <c r="G729" s="5" t="s">
        <v>4</v>
      </c>
      <c r="H729" s="5" t="s">
        <v>5</v>
      </c>
      <c r="I729" s="6">
        <v>45308</v>
      </c>
    </row>
    <row r="730" spans="1:9" ht="13.5">
      <c r="A730" s="82" t="s">
        <v>405</v>
      </c>
      <c r="B730" s="3"/>
      <c r="C730" s="91" t="s">
        <v>1429</v>
      </c>
      <c r="D730" s="91" t="s">
        <v>610</v>
      </c>
      <c r="E730" s="88" t="s">
        <v>1430</v>
      </c>
      <c r="F730" s="5" t="str">
        <f t="shared" si="11"/>
        <v>rehabgrossisten.com</v>
      </c>
      <c r="G730" s="5" t="s">
        <v>4</v>
      </c>
      <c r="H730" s="5" t="s">
        <v>5</v>
      </c>
      <c r="I730" s="6">
        <v>45308</v>
      </c>
    </row>
    <row r="731" spans="1:9" ht="13.5">
      <c r="A731" s="82" t="s">
        <v>1105</v>
      </c>
      <c r="B731" s="3"/>
      <c r="C731" s="106" t="s">
        <v>1431</v>
      </c>
      <c r="D731" s="106" t="s">
        <v>1110</v>
      </c>
      <c r="E731" s="79" t="s">
        <v>1258</v>
      </c>
      <c r="F731" s="5" t="str">
        <f t="shared" si="11"/>
        <v>ritty.se</v>
      </c>
      <c r="G731" s="5" t="s">
        <v>4</v>
      </c>
      <c r="H731" s="5" t="s">
        <v>5</v>
      </c>
      <c r="I731" s="6">
        <v>45308</v>
      </c>
    </row>
    <row r="732" spans="1:9" ht="13.9">
      <c r="A732" s="2" t="s">
        <v>405</v>
      </c>
      <c r="B732" s="3"/>
      <c r="C732" s="91" t="s">
        <v>1429</v>
      </c>
      <c r="D732" s="91" t="s">
        <v>610</v>
      </c>
      <c r="E732" s="79" t="s">
        <v>1432</v>
      </c>
      <c r="F732" s="5" t="str">
        <f t="shared" si="11"/>
        <v>rehabgrossisten.com</v>
      </c>
      <c r="G732" s="5" t="s">
        <v>4</v>
      </c>
      <c r="H732" s="5" t="s">
        <v>5</v>
      </c>
      <c r="I732" s="99">
        <v>45308</v>
      </c>
    </row>
    <row r="733" spans="1:9" ht="13.9">
      <c r="A733" s="2" t="s">
        <v>1105</v>
      </c>
      <c r="B733" s="3"/>
      <c r="C733" s="106" t="s">
        <v>1431</v>
      </c>
      <c r="D733" s="106" t="s">
        <v>1110</v>
      </c>
      <c r="E733" s="79" t="s">
        <v>1433</v>
      </c>
      <c r="F733" s="5" t="str">
        <f t="shared" si="11"/>
        <v>ritty.se</v>
      </c>
      <c r="G733" s="5" t="s">
        <v>4</v>
      </c>
      <c r="H733" s="5" t="s">
        <v>5</v>
      </c>
      <c r="I733" s="107">
        <v>45308</v>
      </c>
    </row>
    <row r="734" spans="1:9" ht="13.9">
      <c r="A734" s="2" t="s">
        <v>435</v>
      </c>
      <c r="B734" s="3"/>
      <c r="C734" s="91" t="s">
        <v>1434</v>
      </c>
      <c r="D734" s="91" t="s">
        <v>1435</v>
      </c>
      <c r="E734" s="79" t="s">
        <v>1436</v>
      </c>
      <c r="F734" s="5" t="str">
        <f t="shared" si="11"/>
        <v>fairinvestments.se</v>
      </c>
      <c r="G734" s="5" t="s">
        <v>4</v>
      </c>
      <c r="H734" s="5" t="s">
        <v>5</v>
      </c>
      <c r="I734" s="99">
        <v>45308</v>
      </c>
    </row>
    <row r="735" spans="1:9" ht="13.9">
      <c r="A735" s="2" t="s">
        <v>435</v>
      </c>
      <c r="B735" s="3"/>
      <c r="C735" s="91" t="s">
        <v>1424</v>
      </c>
      <c r="D735" s="91" t="s">
        <v>1093</v>
      </c>
      <c r="E735" s="79" t="s">
        <v>1398</v>
      </c>
      <c r="F735" s="5" t="str">
        <f t="shared" si="11"/>
        <v>fairinvestments.se</v>
      </c>
      <c r="G735" s="5" t="s">
        <v>4</v>
      </c>
      <c r="H735" s="5" t="s">
        <v>5</v>
      </c>
      <c r="I735" s="99">
        <v>45308</v>
      </c>
    </row>
    <row r="736" spans="1:9" ht="13.9">
      <c r="A736" s="2" t="s">
        <v>803</v>
      </c>
      <c r="B736" s="3"/>
      <c r="C736" s="91" t="s">
        <v>1427</v>
      </c>
      <c r="D736" s="91" t="s">
        <v>1222</v>
      </c>
      <c r="E736" s="79" t="s">
        <v>1437</v>
      </c>
      <c r="F736" s="5" t="str">
        <f t="shared" si="11"/>
        <v>foyen.se</v>
      </c>
      <c r="G736" s="5" t="s">
        <v>4</v>
      </c>
      <c r="H736" s="5" t="s">
        <v>5</v>
      </c>
      <c r="I736" s="99">
        <v>45308</v>
      </c>
    </row>
    <row r="737" spans="1:9" ht="13.9">
      <c r="A737" s="2" t="s">
        <v>1239</v>
      </c>
      <c r="B737" s="3"/>
      <c r="C737" s="91" t="s">
        <v>1425</v>
      </c>
      <c r="D737" s="91" t="s">
        <v>1241</v>
      </c>
      <c r="E737" s="79" t="s">
        <v>1438</v>
      </c>
      <c r="F737" s="5" t="str">
        <f t="shared" si="11"/>
        <v>freckeus.se</v>
      </c>
      <c r="G737" s="5" t="s">
        <v>4</v>
      </c>
      <c r="H737" s="5" t="s">
        <v>5</v>
      </c>
      <c r="I737" s="99">
        <v>45308</v>
      </c>
    </row>
    <row r="738" spans="1:9" ht="13.5">
      <c r="A738" s="82" t="s">
        <v>1259</v>
      </c>
      <c r="B738" s="3"/>
      <c r="C738" s="91" t="s">
        <v>1439</v>
      </c>
      <c r="D738" s="91" t="s">
        <v>1261</v>
      </c>
      <c r="E738" s="79" t="s">
        <v>1440</v>
      </c>
      <c r="F738" s="5" t="str">
        <f t="shared" si="11"/>
        <v>saneringscompaniet.se</v>
      </c>
      <c r="G738" s="5" t="s">
        <v>4</v>
      </c>
      <c r="H738" s="5" t="s">
        <v>5</v>
      </c>
      <c r="I738" s="6">
        <v>45309</v>
      </c>
    </row>
    <row r="739" spans="1:9" ht="13.5">
      <c r="A739" s="82" t="s">
        <v>703</v>
      </c>
      <c r="B739" s="3"/>
      <c r="C739" s="91" t="s">
        <v>1441</v>
      </c>
      <c r="D739" s="91" t="s">
        <v>1335</v>
      </c>
      <c r="E739" s="79" t="s">
        <v>1336</v>
      </c>
      <c r="F739" s="5" t="str">
        <f t="shared" si="11"/>
        <v>distansinstitutet.se</v>
      </c>
      <c r="G739" s="5" t="s">
        <v>4</v>
      </c>
      <c r="H739" s="5" t="s">
        <v>5</v>
      </c>
      <c r="I739" s="6">
        <v>45309</v>
      </c>
    </row>
    <row r="740" spans="1:9" ht="14.25">
      <c r="A740" s="7" t="s">
        <v>1275</v>
      </c>
      <c r="B740" s="3"/>
      <c r="C740" s="91" t="s">
        <v>1442</v>
      </c>
      <c r="D740" s="91" t="s">
        <v>1443</v>
      </c>
      <c r="E740" s="102" t="s">
        <v>1444</v>
      </c>
      <c r="F740" s="5" t="str">
        <f t="shared" si="11"/>
        <v>spoors.health</v>
      </c>
      <c r="G740" s="5" t="s">
        <v>4</v>
      </c>
      <c r="H740" s="5" t="s">
        <v>5</v>
      </c>
      <c r="I740" s="6">
        <v>45309</v>
      </c>
    </row>
    <row r="741" spans="1:9" ht="13.5">
      <c r="A741" s="82" t="s">
        <v>435</v>
      </c>
      <c r="B741" s="3"/>
      <c r="C741" s="91" t="s">
        <v>1445</v>
      </c>
      <c r="D741" s="91" t="s">
        <v>1446</v>
      </c>
      <c r="E741" s="79" t="s">
        <v>438</v>
      </c>
      <c r="F741" s="5" t="str">
        <f t="shared" si="11"/>
        <v>fairinvestments.se</v>
      </c>
      <c r="G741" s="5" t="s">
        <v>4</v>
      </c>
      <c r="H741" s="5" t="s">
        <v>5</v>
      </c>
      <c r="I741" s="6">
        <v>45309</v>
      </c>
    </row>
    <row r="742" spans="1:9" ht="13.5">
      <c r="A742" s="82" t="s">
        <v>535</v>
      </c>
      <c r="B742" s="3"/>
      <c r="C742" s="91" t="s">
        <v>1447</v>
      </c>
      <c r="D742" s="91" t="s">
        <v>536</v>
      </c>
      <c r="E742" s="79" t="s">
        <v>1448</v>
      </c>
      <c r="F742" s="5" t="str">
        <f t="shared" si="11"/>
        <v>tryggbil.se</v>
      </c>
      <c r="G742" s="5" t="s">
        <v>4</v>
      </c>
      <c r="H742" s="5" t="s">
        <v>5</v>
      </c>
      <c r="I742" s="108">
        <v>45309</v>
      </c>
    </row>
    <row r="743" spans="1:9" ht="13.9">
      <c r="A743" s="2" t="s">
        <v>703</v>
      </c>
      <c r="B743" s="3"/>
      <c r="C743" s="91" t="s">
        <v>1441</v>
      </c>
      <c r="D743" s="91" t="s">
        <v>1335</v>
      </c>
      <c r="E743" s="79" t="s">
        <v>1449</v>
      </c>
      <c r="F743" s="5" t="str">
        <f t="shared" si="11"/>
        <v>distansinstitutet.se</v>
      </c>
      <c r="G743" s="5" t="s">
        <v>4</v>
      </c>
      <c r="H743" s="5" t="s">
        <v>5</v>
      </c>
      <c r="I743" s="99">
        <v>45309</v>
      </c>
    </row>
    <row r="744" spans="1:9" ht="13.9">
      <c r="A744" s="2" t="s">
        <v>1259</v>
      </c>
      <c r="B744" s="3"/>
      <c r="C744" s="91" t="s">
        <v>1439</v>
      </c>
      <c r="D744" s="91" t="s">
        <v>1261</v>
      </c>
      <c r="E744" s="79" t="s">
        <v>1450</v>
      </c>
      <c r="F744" s="5" t="str">
        <f t="shared" si="11"/>
        <v>saneringscompaniet.se</v>
      </c>
      <c r="G744" s="5" t="s">
        <v>4</v>
      </c>
      <c r="H744" s="5" t="s">
        <v>5</v>
      </c>
      <c r="I744" s="99">
        <v>45309</v>
      </c>
    </row>
    <row r="745" spans="1:9" ht="13.9">
      <c r="A745" s="2" t="s">
        <v>435</v>
      </c>
      <c r="B745" s="3"/>
      <c r="C745" s="91" t="s">
        <v>1451</v>
      </c>
      <c r="D745" s="91" t="s">
        <v>973</v>
      </c>
      <c r="E745" s="79" t="s">
        <v>1452</v>
      </c>
      <c r="F745" s="5" t="str">
        <f t="shared" si="11"/>
        <v>fairinvestments.se</v>
      </c>
      <c r="G745" s="5" t="s">
        <v>4</v>
      </c>
      <c r="H745" s="5" t="s">
        <v>5</v>
      </c>
      <c r="I745" s="99">
        <v>45309</v>
      </c>
    </row>
    <row r="746" spans="1:9" ht="13.9">
      <c r="A746" s="2" t="s">
        <v>435</v>
      </c>
      <c r="B746" s="3"/>
      <c r="C746" s="91" t="s">
        <v>1445</v>
      </c>
      <c r="D746" s="91" t="s">
        <v>1446</v>
      </c>
      <c r="E746" s="79" t="s">
        <v>1453</v>
      </c>
      <c r="F746" s="5" t="str">
        <f t="shared" si="11"/>
        <v>fairinvestments.se</v>
      </c>
      <c r="G746" s="5" t="s">
        <v>4</v>
      </c>
      <c r="H746" s="5" t="s">
        <v>5</v>
      </c>
      <c r="I746" s="99">
        <v>45309</v>
      </c>
    </row>
    <row r="747" spans="1:9" ht="13.9">
      <c r="A747" s="2" t="s">
        <v>535</v>
      </c>
      <c r="B747" s="3"/>
      <c r="C747" s="91" t="s">
        <v>1447</v>
      </c>
      <c r="D747" s="91" t="s">
        <v>536</v>
      </c>
      <c r="E747" s="79" t="s">
        <v>1454</v>
      </c>
      <c r="F747" s="5" t="str">
        <f t="shared" si="11"/>
        <v>tryggbil.se</v>
      </c>
      <c r="G747" s="5" t="s">
        <v>4</v>
      </c>
      <c r="H747" s="5" t="s">
        <v>5</v>
      </c>
      <c r="I747" s="99">
        <v>45309</v>
      </c>
    </row>
    <row r="748" spans="1:9" ht="13.5">
      <c r="A748" s="82" t="s">
        <v>1297</v>
      </c>
      <c r="B748" s="3"/>
      <c r="C748" s="91" t="s">
        <v>1362</v>
      </c>
      <c r="D748" s="76" t="s">
        <v>1299</v>
      </c>
      <c r="E748" s="79" t="s">
        <v>1300</v>
      </c>
      <c r="F748" s="5" t="str">
        <f t="shared" si="11"/>
        <v>sundsvallbergvarme.se</v>
      </c>
      <c r="G748" s="5" t="s">
        <v>4</v>
      </c>
      <c r="H748" s="5" t="s">
        <v>5</v>
      </c>
      <c r="I748" s="6">
        <v>45309</v>
      </c>
    </row>
    <row r="749" spans="1:9" ht="13.5">
      <c r="A749" s="82" t="s">
        <v>308</v>
      </c>
      <c r="B749" s="3"/>
      <c r="C749" s="91" t="s">
        <v>1455</v>
      </c>
      <c r="D749" s="91" t="s">
        <v>1309</v>
      </c>
      <c r="E749" s="79" t="s">
        <v>1456</v>
      </c>
      <c r="F749" s="5" t="str">
        <f t="shared" si="11"/>
        <v>lansfast.se</v>
      </c>
      <c r="G749" s="5" t="s">
        <v>4</v>
      </c>
      <c r="H749" s="5" t="s">
        <v>5</v>
      </c>
      <c r="I749" s="109">
        <v>45310</v>
      </c>
    </row>
    <row r="750" spans="1:9" ht="13.5">
      <c r="A750" s="82" t="s">
        <v>435</v>
      </c>
      <c r="B750" s="3"/>
      <c r="C750" s="91" t="s">
        <v>1451</v>
      </c>
      <c r="D750" s="91" t="s">
        <v>973</v>
      </c>
      <c r="E750" s="79" t="s">
        <v>1398</v>
      </c>
      <c r="F750" s="5" t="str">
        <f t="shared" si="11"/>
        <v>fairinvestments.se</v>
      </c>
      <c r="G750" s="5" t="s">
        <v>4</v>
      </c>
      <c r="H750" s="5" t="s">
        <v>5</v>
      </c>
      <c r="I750" s="6">
        <v>45310</v>
      </c>
    </row>
    <row r="751" spans="1:9" ht="13.5">
      <c r="A751" s="82" t="s">
        <v>803</v>
      </c>
      <c r="B751" s="3"/>
      <c r="C751" s="91" t="s">
        <v>1457</v>
      </c>
      <c r="D751" s="91" t="s">
        <v>1458</v>
      </c>
      <c r="E751" s="79" t="s">
        <v>1459</v>
      </c>
      <c r="F751" s="5" t="str">
        <f t="shared" si="11"/>
        <v>foyen.se</v>
      </c>
      <c r="G751" s="5" t="s">
        <v>4</v>
      </c>
      <c r="H751" s="5" t="s">
        <v>5</v>
      </c>
      <c r="I751" s="6">
        <v>45310</v>
      </c>
    </row>
    <row r="752" spans="1:9" ht="13.5">
      <c r="A752" s="82" t="s">
        <v>1284</v>
      </c>
      <c r="B752" s="3"/>
      <c r="C752" s="91" t="s">
        <v>1460</v>
      </c>
      <c r="D752" s="91" t="s">
        <v>1286</v>
      </c>
      <c r="E752" s="87" t="s">
        <v>1286</v>
      </c>
      <c r="F752" s="5" t="str">
        <f t="shared" si="11"/>
        <v>norteam.se</v>
      </c>
      <c r="G752" s="5" t="s">
        <v>4</v>
      </c>
      <c r="H752" s="5" t="s">
        <v>5</v>
      </c>
      <c r="I752" s="6">
        <v>45310</v>
      </c>
    </row>
    <row r="753" spans="1:9" ht="13.5">
      <c r="A753" s="82" t="s">
        <v>1291</v>
      </c>
      <c r="B753" s="3"/>
      <c r="C753" s="91" t="s">
        <v>1461</v>
      </c>
      <c r="D753" s="91" t="s">
        <v>1293</v>
      </c>
      <c r="E753" s="79" t="s">
        <v>1296</v>
      </c>
      <c r="F753" s="5" t="str">
        <f t="shared" si="11"/>
        <v>hvvs.se</v>
      </c>
      <c r="G753" s="5" t="s">
        <v>4</v>
      </c>
      <c r="H753" s="5" t="s">
        <v>5</v>
      </c>
      <c r="I753" s="6">
        <v>45310</v>
      </c>
    </row>
    <row r="754" spans="1:9" ht="13.9">
      <c r="A754" s="2" t="s">
        <v>1291</v>
      </c>
      <c r="B754" s="3"/>
      <c r="C754" s="91" t="s">
        <v>1461</v>
      </c>
      <c r="D754" s="91" t="s">
        <v>1293</v>
      </c>
      <c r="E754" s="79" t="s">
        <v>1462</v>
      </c>
      <c r="F754" s="5" t="str">
        <f t="shared" si="11"/>
        <v>hvvs.se</v>
      </c>
      <c r="G754" s="5" t="s">
        <v>4</v>
      </c>
      <c r="H754" s="5" t="s">
        <v>5</v>
      </c>
      <c r="I754" s="99">
        <v>45310</v>
      </c>
    </row>
    <row r="755" spans="1:9" ht="13.9">
      <c r="A755" s="2" t="s">
        <v>803</v>
      </c>
      <c r="B755" s="3"/>
      <c r="C755" s="91" t="s">
        <v>1457</v>
      </c>
      <c r="D755" s="91" t="s">
        <v>1458</v>
      </c>
      <c r="E755" s="79" t="s">
        <v>1463</v>
      </c>
      <c r="F755" s="5" t="str">
        <f t="shared" si="11"/>
        <v>foyen.se</v>
      </c>
      <c r="G755" s="5" t="s">
        <v>4</v>
      </c>
      <c r="H755" s="5" t="s">
        <v>5</v>
      </c>
      <c r="I755" s="99">
        <v>45310</v>
      </c>
    </row>
    <row r="756" spans="1:9" ht="13.9">
      <c r="A756" s="2" t="s">
        <v>308</v>
      </c>
      <c r="B756" s="3"/>
      <c r="C756" s="91" t="s">
        <v>1455</v>
      </c>
      <c r="D756" s="91" t="s">
        <v>1309</v>
      </c>
      <c r="E756" s="79" t="s">
        <v>1326</v>
      </c>
      <c r="F756" s="5" t="str">
        <f t="shared" si="11"/>
        <v>lansfast.se</v>
      </c>
      <c r="G756" s="5" t="s">
        <v>4</v>
      </c>
      <c r="H756" s="5" t="s">
        <v>5</v>
      </c>
      <c r="I756" s="99">
        <v>45310</v>
      </c>
    </row>
    <row r="757" spans="1:9" ht="13.9">
      <c r="A757" s="2" t="s">
        <v>1284</v>
      </c>
      <c r="B757" s="3"/>
      <c r="C757" s="91" t="s">
        <v>1460</v>
      </c>
      <c r="D757" s="91" t="s">
        <v>1286</v>
      </c>
      <c r="E757" s="110" t="s">
        <v>1284</v>
      </c>
      <c r="F757" s="5" t="str">
        <f t="shared" si="11"/>
        <v>norteam.se</v>
      </c>
      <c r="G757" s="5" t="s">
        <v>4</v>
      </c>
      <c r="H757" s="5" t="s">
        <v>5</v>
      </c>
      <c r="I757" s="99">
        <v>45310</v>
      </c>
    </row>
    <row r="758" spans="1:9" ht="13.9">
      <c r="A758" s="7" t="s">
        <v>224</v>
      </c>
      <c r="B758" s="3"/>
      <c r="C758" s="91" t="s">
        <v>1464</v>
      </c>
      <c r="D758" s="91" t="s">
        <v>1341</v>
      </c>
      <c r="E758" s="79" t="s">
        <v>1465</v>
      </c>
      <c r="F758" s="5" t="str">
        <f t="shared" si="11"/>
        <v>swedoffice</v>
      </c>
      <c r="G758" s="5" t="s">
        <v>4</v>
      </c>
      <c r="H758" s="5" t="s">
        <v>5</v>
      </c>
      <c r="I758" s="99">
        <v>45310</v>
      </c>
    </row>
    <row r="759" spans="1:9" ht="13.5">
      <c r="A759" s="2" t="s">
        <v>1466</v>
      </c>
      <c r="B759" s="3"/>
      <c r="C759" s="5" t="s">
        <v>1467</v>
      </c>
      <c r="D759" s="5" t="s">
        <v>1468</v>
      </c>
      <c r="E759" s="5" t="s">
        <v>1469</v>
      </c>
      <c r="F759" s="5" t="str">
        <f t="shared" si="11"/>
        <v>svenskaeljouren.se</v>
      </c>
      <c r="G759" s="5" t="s">
        <v>4</v>
      </c>
      <c r="H759" s="5" t="s">
        <v>5</v>
      </c>
      <c r="I759" s="6">
        <v>45310</v>
      </c>
    </row>
    <row r="760" spans="1:9" ht="13.5">
      <c r="A760" s="2" t="s">
        <v>1180</v>
      </c>
      <c r="B760" s="3"/>
      <c r="C760" s="71" t="s">
        <v>1470</v>
      </c>
      <c r="D760" s="4" t="s">
        <v>1471</v>
      </c>
      <c r="E760" s="5" t="s">
        <v>1195</v>
      </c>
      <c r="F760" s="5" t="str">
        <f t="shared" si="11"/>
        <v>e-ciggbolaget.se</v>
      </c>
      <c r="G760" s="5" t="s">
        <v>4</v>
      </c>
      <c r="H760" s="5" t="s">
        <v>5</v>
      </c>
      <c r="I760" s="6">
        <v>45311</v>
      </c>
    </row>
    <row r="761" spans="1:9" ht="14.25">
      <c r="A761" s="7" t="s">
        <v>1324</v>
      </c>
      <c r="B761" s="3"/>
      <c r="C761" s="71" t="s">
        <v>1472</v>
      </c>
      <c r="D761" s="4" t="s">
        <v>1309</v>
      </c>
      <c r="E761" s="111" t="s">
        <v>1473</v>
      </c>
      <c r="F761" s="5" t="str">
        <f t="shared" si="11"/>
        <v>Lansfast Danderyd &amp; täby</v>
      </c>
      <c r="G761" s="5" t="s">
        <v>4</v>
      </c>
      <c r="H761" s="5" t="s">
        <v>5</v>
      </c>
      <c r="I761" s="6">
        <v>45311</v>
      </c>
    </row>
    <row r="762" spans="1:9" ht="13.5">
      <c r="A762" s="82" t="s">
        <v>535</v>
      </c>
      <c r="B762" s="3"/>
      <c r="C762" s="91" t="s">
        <v>1474</v>
      </c>
      <c r="D762" s="91" t="s">
        <v>536</v>
      </c>
      <c r="E762" s="79" t="s">
        <v>1475</v>
      </c>
      <c r="F762" s="5" t="str">
        <f t="shared" si="11"/>
        <v>tryggbil.se</v>
      </c>
      <c r="G762" s="5" t="s">
        <v>4</v>
      </c>
      <c r="H762" s="5" t="s">
        <v>5</v>
      </c>
      <c r="I762" s="6">
        <v>45311</v>
      </c>
    </row>
    <row r="763" spans="1:9" ht="13.5">
      <c r="A763" s="7" t="s">
        <v>329</v>
      </c>
      <c r="B763" s="3"/>
      <c r="C763" s="91" t="s">
        <v>1476</v>
      </c>
      <c r="D763" s="91" t="s">
        <v>1365</v>
      </c>
      <c r="E763" s="79" t="s">
        <v>1477</v>
      </c>
      <c r="F763" s="5" t="str">
        <f t="shared" si="11"/>
        <v>vont</v>
      </c>
      <c r="G763" s="5" t="s">
        <v>4</v>
      </c>
      <c r="H763" s="5" t="s">
        <v>5</v>
      </c>
      <c r="I763" s="6">
        <v>45311</v>
      </c>
    </row>
    <row r="764" spans="1:9" ht="13.5">
      <c r="A764" s="82" t="s">
        <v>992</v>
      </c>
      <c r="B764" s="3"/>
      <c r="C764" s="91" t="s">
        <v>1478</v>
      </c>
      <c r="D764" s="91" t="s">
        <v>993</v>
      </c>
      <c r="E764" s="79" t="s">
        <v>1479</v>
      </c>
      <c r="F764" s="5" t="str">
        <f t="shared" si="11"/>
        <v>ledkungen.se</v>
      </c>
      <c r="G764" s="5" t="s">
        <v>4</v>
      </c>
      <c r="H764" s="5" t="s">
        <v>5</v>
      </c>
      <c r="I764" s="6">
        <v>45311</v>
      </c>
    </row>
    <row r="765" spans="1:9" ht="13.5">
      <c r="A765" s="82" t="s">
        <v>703</v>
      </c>
      <c r="B765" s="3"/>
      <c r="C765" s="91" t="s">
        <v>1480</v>
      </c>
      <c r="D765" s="91" t="s">
        <v>1098</v>
      </c>
      <c r="E765" s="87" t="s">
        <v>1481</v>
      </c>
      <c r="F765" s="5" t="str">
        <f t="shared" si="11"/>
        <v>distansinstitutet.se</v>
      </c>
      <c r="G765" s="5" t="s">
        <v>4</v>
      </c>
      <c r="H765" s="5" t="s">
        <v>5</v>
      </c>
      <c r="I765" s="6">
        <v>45311</v>
      </c>
    </row>
    <row r="766" spans="1:9" ht="13.5">
      <c r="A766" s="82" t="s">
        <v>846</v>
      </c>
      <c r="B766" s="3"/>
      <c r="C766" s="91" t="s">
        <v>1482</v>
      </c>
      <c r="D766" s="91" t="s">
        <v>848</v>
      </c>
      <c r="E766" s="79" t="s">
        <v>1483</v>
      </c>
      <c r="F766" s="5" t="str">
        <f t="shared" si="11"/>
        <v>tandea.se</v>
      </c>
      <c r="G766" s="5" t="s">
        <v>4</v>
      </c>
      <c r="H766" s="5" t="s">
        <v>5</v>
      </c>
      <c r="I766" s="6">
        <v>45311</v>
      </c>
    </row>
    <row r="767" spans="1:9" ht="13.5">
      <c r="A767" s="7" t="s">
        <v>386</v>
      </c>
      <c r="B767" s="3"/>
      <c r="C767" s="71" t="s">
        <v>1484</v>
      </c>
      <c r="D767" s="4" t="s">
        <v>1202</v>
      </c>
      <c r="E767" s="5" t="s">
        <v>1485</v>
      </c>
      <c r="F767" s="5" t="str">
        <f t="shared" si="11"/>
        <v>pontech</v>
      </c>
      <c r="G767" s="5" t="s">
        <v>4</v>
      </c>
      <c r="H767" s="5" t="s">
        <v>5</v>
      </c>
      <c r="I767" s="6">
        <v>45311</v>
      </c>
    </row>
    <row r="768" spans="1:9" ht="13.9">
      <c r="A768" s="2" t="s">
        <v>992</v>
      </c>
      <c r="B768" s="3"/>
      <c r="C768" s="91" t="s">
        <v>1478</v>
      </c>
      <c r="D768" s="91" t="s">
        <v>993</v>
      </c>
      <c r="E768" s="79" t="s">
        <v>1486</v>
      </c>
      <c r="F768" s="5" t="str">
        <f t="shared" si="11"/>
        <v>ledkungen.se</v>
      </c>
      <c r="G768" s="5" t="s">
        <v>4</v>
      </c>
      <c r="H768" s="5" t="s">
        <v>5</v>
      </c>
      <c r="I768" s="99">
        <v>45311</v>
      </c>
    </row>
    <row r="769" spans="1:9" ht="13.9">
      <c r="A769" s="2" t="s">
        <v>846</v>
      </c>
      <c r="B769" s="3"/>
      <c r="C769" s="91" t="s">
        <v>1482</v>
      </c>
      <c r="D769" s="91" t="s">
        <v>848</v>
      </c>
      <c r="E769" s="79" t="s">
        <v>1067</v>
      </c>
      <c r="F769" s="5" t="str">
        <f t="shared" si="11"/>
        <v>tandea.se</v>
      </c>
      <c r="G769" s="5" t="s">
        <v>4</v>
      </c>
      <c r="H769" s="5" t="s">
        <v>5</v>
      </c>
      <c r="I769" s="99">
        <v>45311</v>
      </c>
    </row>
    <row r="770" spans="1:9" ht="13.9">
      <c r="A770" s="2" t="s">
        <v>535</v>
      </c>
      <c r="B770" s="3"/>
      <c r="C770" s="91" t="s">
        <v>1474</v>
      </c>
      <c r="D770" s="91" t="s">
        <v>536</v>
      </c>
      <c r="E770" s="79" t="s">
        <v>1487</v>
      </c>
      <c r="F770" s="5" t="str">
        <f t="shared" si="11"/>
        <v>tryggbil.se</v>
      </c>
      <c r="G770" s="5" t="s">
        <v>4</v>
      </c>
      <c r="H770" s="5" t="s">
        <v>5</v>
      </c>
      <c r="I770" s="99">
        <v>45311</v>
      </c>
    </row>
    <row r="771" spans="1:9" ht="13.9">
      <c r="A771" s="2" t="s">
        <v>703</v>
      </c>
      <c r="B771" s="3"/>
      <c r="C771" s="91" t="s">
        <v>1480</v>
      </c>
      <c r="D771" s="91" t="s">
        <v>1098</v>
      </c>
      <c r="E771" s="79" t="s">
        <v>1099</v>
      </c>
      <c r="F771" s="5" t="str">
        <f t="shared" ref="F771:F834" si="12">A771</f>
        <v>distansinstitutet.se</v>
      </c>
      <c r="G771" s="5" t="s">
        <v>4</v>
      </c>
      <c r="H771" s="5" t="s">
        <v>5</v>
      </c>
      <c r="I771" s="99">
        <v>45311</v>
      </c>
    </row>
    <row r="772" spans="1:9" ht="13.9">
      <c r="A772" s="101" t="s">
        <v>329</v>
      </c>
      <c r="B772" s="3"/>
      <c r="C772" s="91" t="s">
        <v>1476</v>
      </c>
      <c r="D772" s="91" t="s">
        <v>1488</v>
      </c>
      <c r="E772" s="79" t="s">
        <v>1489</v>
      </c>
      <c r="F772" s="5" t="str">
        <f t="shared" si="12"/>
        <v>vont</v>
      </c>
      <c r="G772" s="5" t="s">
        <v>4</v>
      </c>
      <c r="H772" s="5" t="s">
        <v>5</v>
      </c>
      <c r="I772" s="99">
        <v>45311</v>
      </c>
    </row>
    <row r="773" spans="1:9" ht="13.9">
      <c r="A773" s="2" t="s">
        <v>857</v>
      </c>
      <c r="B773" s="3"/>
      <c r="C773" s="91" t="s">
        <v>1490</v>
      </c>
      <c r="D773" s="91" t="s">
        <v>859</v>
      </c>
      <c r="E773" s="79" t="s">
        <v>1491</v>
      </c>
      <c r="F773" s="5" t="str">
        <f t="shared" si="12"/>
        <v>veterinarklinikenbirsta.se</v>
      </c>
      <c r="G773" s="5" t="s">
        <v>1344</v>
      </c>
      <c r="H773" s="5" t="s">
        <v>5</v>
      </c>
      <c r="I773" s="99">
        <v>45311</v>
      </c>
    </row>
    <row r="774" spans="1:9" ht="13.5">
      <c r="A774" s="2" t="s">
        <v>1492</v>
      </c>
      <c r="B774" s="3"/>
      <c r="C774" s="4" t="s">
        <v>1493</v>
      </c>
      <c r="D774" s="4" t="s">
        <v>1494</v>
      </c>
      <c r="E774" s="5" t="s">
        <v>1495</v>
      </c>
      <c r="F774" s="5" t="str">
        <f t="shared" si="12"/>
        <v>cdg.io</v>
      </c>
      <c r="G774" s="5" t="s">
        <v>4</v>
      </c>
      <c r="H774" s="5" t="s">
        <v>5</v>
      </c>
      <c r="I774" s="6">
        <v>45311</v>
      </c>
    </row>
    <row r="775" spans="1:9" ht="13.5">
      <c r="A775" s="82" t="s">
        <v>703</v>
      </c>
      <c r="B775" s="3"/>
      <c r="C775" s="91" t="s">
        <v>1496</v>
      </c>
      <c r="D775" s="91" t="s">
        <v>1335</v>
      </c>
      <c r="E775" s="79" t="s">
        <v>1336</v>
      </c>
      <c r="F775" s="5" t="str">
        <f t="shared" si="12"/>
        <v>distansinstitutet.se</v>
      </c>
      <c r="G775" s="5" t="s">
        <v>4</v>
      </c>
      <c r="H775" s="5" t="s">
        <v>5</v>
      </c>
      <c r="I775" s="6">
        <v>45312</v>
      </c>
    </row>
    <row r="776" spans="1:9" ht="13.5">
      <c r="A776" s="82" t="s">
        <v>703</v>
      </c>
      <c r="B776" s="3"/>
      <c r="C776" s="91" t="s">
        <v>1497</v>
      </c>
      <c r="D776" s="91" t="s">
        <v>1335</v>
      </c>
      <c r="E776" s="79" t="s">
        <v>1336</v>
      </c>
      <c r="F776" s="5" t="str">
        <f t="shared" si="12"/>
        <v>distansinstitutet.se</v>
      </c>
      <c r="G776" s="5" t="s">
        <v>4</v>
      </c>
      <c r="H776" s="5" t="s">
        <v>5</v>
      </c>
      <c r="I776" s="6">
        <v>45312</v>
      </c>
    </row>
    <row r="777" spans="1:9" ht="13.5">
      <c r="A777" s="82" t="s">
        <v>464</v>
      </c>
      <c r="B777" s="3"/>
      <c r="C777" s="91" t="s">
        <v>1498</v>
      </c>
      <c r="D777" s="91" t="s">
        <v>466</v>
      </c>
      <c r="E777" s="79" t="s">
        <v>1499</v>
      </c>
      <c r="F777" s="5" t="str">
        <f t="shared" si="12"/>
        <v>villarelining.se</v>
      </c>
      <c r="G777" s="5" t="s">
        <v>4</v>
      </c>
      <c r="H777" s="5" t="s">
        <v>5</v>
      </c>
      <c r="I777" s="108">
        <v>45312</v>
      </c>
    </row>
    <row r="778" spans="1:9" ht="13.9">
      <c r="A778" s="2" t="s">
        <v>703</v>
      </c>
      <c r="B778" s="3"/>
      <c r="C778" s="91" t="s">
        <v>1496</v>
      </c>
      <c r="D778" s="91" t="s">
        <v>1335</v>
      </c>
      <c r="E778" s="79" t="s">
        <v>1500</v>
      </c>
      <c r="F778" s="5" t="str">
        <f t="shared" si="12"/>
        <v>distansinstitutet.se</v>
      </c>
      <c r="G778" s="5" t="s">
        <v>4</v>
      </c>
      <c r="H778" s="5" t="s">
        <v>5</v>
      </c>
      <c r="I778" s="99">
        <v>45312</v>
      </c>
    </row>
    <row r="779" spans="1:9" ht="13.9">
      <c r="A779" s="2" t="s">
        <v>703</v>
      </c>
      <c r="B779" s="3"/>
      <c r="C779" s="91" t="s">
        <v>1497</v>
      </c>
      <c r="D779" s="91" t="s">
        <v>1335</v>
      </c>
      <c r="E779" s="79" t="s">
        <v>1449</v>
      </c>
      <c r="F779" s="5" t="str">
        <f t="shared" si="12"/>
        <v>distansinstitutet.se</v>
      </c>
      <c r="G779" s="5" t="s">
        <v>4</v>
      </c>
      <c r="H779" s="5" t="s">
        <v>5</v>
      </c>
      <c r="I779" s="99">
        <v>45312</v>
      </c>
    </row>
    <row r="780" spans="1:9" ht="13.9">
      <c r="A780" s="2" t="s">
        <v>464</v>
      </c>
      <c r="B780" s="3"/>
      <c r="C780" s="91" t="s">
        <v>1498</v>
      </c>
      <c r="D780" s="91" t="s">
        <v>466</v>
      </c>
      <c r="E780" s="79" t="s">
        <v>1501</v>
      </c>
      <c r="F780" s="5" t="str">
        <f t="shared" si="12"/>
        <v>villarelining.se</v>
      </c>
      <c r="G780" s="5" t="s">
        <v>4</v>
      </c>
      <c r="H780" s="5" t="s">
        <v>5</v>
      </c>
      <c r="I780" s="99">
        <v>45312</v>
      </c>
    </row>
    <row r="781" spans="1:9" ht="13.9">
      <c r="A781" s="7" t="s">
        <v>329</v>
      </c>
      <c r="B781" s="3"/>
      <c r="C781" s="91" t="s">
        <v>1328</v>
      </c>
      <c r="D781" s="91" t="s">
        <v>1329</v>
      </c>
      <c r="E781" s="79" t="s">
        <v>1330</v>
      </c>
      <c r="F781" s="5" t="str">
        <f t="shared" si="12"/>
        <v>vont</v>
      </c>
      <c r="G781" s="5" t="s">
        <v>4</v>
      </c>
      <c r="H781" s="5" t="s">
        <v>262</v>
      </c>
      <c r="I781" s="99">
        <v>45312</v>
      </c>
    </row>
    <row r="782" spans="1:9" ht="13.9">
      <c r="A782" s="2" t="s">
        <v>1112</v>
      </c>
      <c r="B782" s="3"/>
      <c r="C782" s="91" t="s">
        <v>1502</v>
      </c>
      <c r="D782" s="91" t="s">
        <v>1114</v>
      </c>
      <c r="E782" s="79" t="s">
        <v>1503</v>
      </c>
      <c r="F782" s="5" t="str">
        <f t="shared" si="12"/>
        <v>triwa.com</v>
      </c>
      <c r="G782" s="5" t="s">
        <v>1344</v>
      </c>
      <c r="H782" s="5" t="s">
        <v>345</v>
      </c>
      <c r="I782" s="99">
        <v>45312</v>
      </c>
    </row>
    <row r="783" spans="1:9" ht="13.9">
      <c r="A783" s="2" t="s">
        <v>171</v>
      </c>
      <c r="B783" s="3"/>
      <c r="C783" s="91" t="s">
        <v>1504</v>
      </c>
      <c r="D783" s="91" t="s">
        <v>261</v>
      </c>
      <c r="E783" s="79" t="s">
        <v>1505</v>
      </c>
      <c r="F783" s="5" t="str">
        <f t="shared" si="12"/>
        <v>arctic.se</v>
      </c>
      <c r="G783" s="5" t="s">
        <v>1344</v>
      </c>
      <c r="H783" s="5" t="s">
        <v>262</v>
      </c>
      <c r="I783" s="99">
        <v>45312</v>
      </c>
    </row>
    <row r="784" spans="1:9" ht="13.5">
      <c r="A784" s="82" t="s">
        <v>1112</v>
      </c>
      <c r="B784" s="3"/>
      <c r="C784" s="91" t="s">
        <v>1338</v>
      </c>
      <c r="D784" s="91" t="s">
        <v>1114</v>
      </c>
      <c r="E784" s="79" t="s">
        <v>1506</v>
      </c>
      <c r="F784" s="5" t="str">
        <f t="shared" si="12"/>
        <v>triwa.com</v>
      </c>
      <c r="G784" s="5" t="s">
        <v>4</v>
      </c>
      <c r="H784" s="5" t="s">
        <v>23</v>
      </c>
      <c r="I784" s="6">
        <v>45313</v>
      </c>
    </row>
    <row r="785" spans="1:9" ht="13.5">
      <c r="A785" s="7" t="s">
        <v>329</v>
      </c>
      <c r="B785" s="3"/>
      <c r="C785" s="91" t="s">
        <v>1507</v>
      </c>
      <c r="D785" s="91" t="s">
        <v>1388</v>
      </c>
      <c r="E785" s="79" t="s">
        <v>542</v>
      </c>
      <c r="F785" s="5" t="str">
        <f t="shared" si="12"/>
        <v>vont</v>
      </c>
      <c r="G785" s="5" t="s">
        <v>4</v>
      </c>
      <c r="H785" s="5" t="s">
        <v>5</v>
      </c>
      <c r="I785" s="6">
        <v>45313</v>
      </c>
    </row>
    <row r="786" spans="1:9" ht="13.9">
      <c r="A786" s="2" t="s">
        <v>1213</v>
      </c>
      <c r="B786" s="3"/>
      <c r="C786" s="91" t="s">
        <v>1508</v>
      </c>
      <c r="D786" s="91" t="s">
        <v>1314</v>
      </c>
      <c r="E786" s="79" t="s">
        <v>1509</v>
      </c>
      <c r="F786" s="5" t="str">
        <f t="shared" si="12"/>
        <v>mariatand.se</v>
      </c>
      <c r="G786" s="5" t="s">
        <v>4</v>
      </c>
      <c r="H786" s="5" t="s">
        <v>5</v>
      </c>
      <c r="I786" s="99">
        <v>45313</v>
      </c>
    </row>
    <row r="787" spans="1:9" ht="13.9">
      <c r="A787" s="7" t="s">
        <v>1275</v>
      </c>
      <c r="B787" s="3"/>
      <c r="C787" s="91" t="s">
        <v>1510</v>
      </c>
      <c r="D787" s="91" t="s">
        <v>1443</v>
      </c>
      <c r="E787" s="79" t="s">
        <v>1444</v>
      </c>
      <c r="F787" s="5" t="str">
        <f t="shared" si="12"/>
        <v>spoors.health</v>
      </c>
      <c r="G787" s="5" t="s">
        <v>4</v>
      </c>
      <c r="H787" s="5" t="s">
        <v>5</v>
      </c>
      <c r="I787" s="99">
        <v>45313</v>
      </c>
    </row>
    <row r="788" spans="1:9" ht="13.9">
      <c r="A788" s="2" t="s">
        <v>1112</v>
      </c>
      <c r="B788" s="3"/>
      <c r="C788" s="76"/>
      <c r="D788" s="91" t="s">
        <v>1114</v>
      </c>
      <c r="E788" s="79" t="s">
        <v>1511</v>
      </c>
      <c r="F788" s="5" t="str">
        <f t="shared" si="12"/>
        <v>triwa.com</v>
      </c>
      <c r="G788" s="5" t="s">
        <v>4</v>
      </c>
      <c r="H788" s="5" t="s">
        <v>345</v>
      </c>
      <c r="I788" s="99">
        <v>45313</v>
      </c>
    </row>
    <row r="789" spans="1:9" ht="13.9">
      <c r="A789" s="101" t="s">
        <v>329</v>
      </c>
      <c r="B789" s="3"/>
      <c r="C789" s="91" t="s">
        <v>1350</v>
      </c>
      <c r="D789" s="91" t="s">
        <v>1351</v>
      </c>
      <c r="E789" s="79" t="s">
        <v>1352</v>
      </c>
      <c r="F789" s="5" t="str">
        <f t="shared" si="12"/>
        <v>vont</v>
      </c>
      <c r="G789" s="5" t="s">
        <v>4</v>
      </c>
      <c r="H789" s="5" t="s">
        <v>262</v>
      </c>
      <c r="I789" s="99">
        <v>45313</v>
      </c>
    </row>
    <row r="790" spans="1:9" ht="13.9">
      <c r="A790" s="101" t="s">
        <v>329</v>
      </c>
      <c r="B790" s="3"/>
      <c r="C790" s="91" t="s">
        <v>1507</v>
      </c>
      <c r="D790" s="91" t="s">
        <v>1388</v>
      </c>
      <c r="E790" s="79" t="s">
        <v>1512</v>
      </c>
      <c r="F790" s="5" t="str">
        <f t="shared" si="12"/>
        <v>vont</v>
      </c>
      <c r="G790" s="5" t="s">
        <v>4</v>
      </c>
      <c r="H790" s="5" t="s">
        <v>5</v>
      </c>
      <c r="I790" s="99">
        <v>45313</v>
      </c>
    </row>
    <row r="791" spans="1:9" ht="13.9">
      <c r="A791" s="2" t="s">
        <v>308</v>
      </c>
      <c r="B791" s="3"/>
      <c r="C791" s="91" t="s">
        <v>1513</v>
      </c>
      <c r="D791" s="91" t="s">
        <v>1309</v>
      </c>
      <c r="E791" s="79" t="s">
        <v>1456</v>
      </c>
      <c r="F791" s="5" t="str">
        <f t="shared" si="12"/>
        <v>lansfast.se</v>
      </c>
      <c r="G791" s="5" t="s">
        <v>1344</v>
      </c>
      <c r="H791" s="5" t="s">
        <v>5</v>
      </c>
      <c r="I791" s="99">
        <v>45313</v>
      </c>
    </row>
    <row r="792" spans="1:9" ht="13.5">
      <c r="A792" s="82" t="s">
        <v>325</v>
      </c>
      <c r="B792" s="3"/>
      <c r="C792" s="91" t="s">
        <v>1514</v>
      </c>
      <c r="D792" s="91" t="s">
        <v>1244</v>
      </c>
      <c r="E792" s="79" t="s">
        <v>1515</v>
      </c>
      <c r="F792" s="5" t="str">
        <f t="shared" si="12"/>
        <v>tiotak.se</v>
      </c>
      <c r="G792" s="5" t="s">
        <v>4</v>
      </c>
      <c r="H792" s="5" t="s">
        <v>5</v>
      </c>
      <c r="I792" s="6">
        <v>45314</v>
      </c>
    </row>
    <row r="793" spans="1:9" ht="13.5">
      <c r="A793" s="82" t="s">
        <v>308</v>
      </c>
      <c r="B793" s="3"/>
      <c r="C793" s="91" t="s">
        <v>1516</v>
      </c>
      <c r="D793" s="91" t="s">
        <v>1309</v>
      </c>
      <c r="E793" s="79" t="s">
        <v>1310</v>
      </c>
      <c r="F793" s="5" t="str">
        <f t="shared" si="12"/>
        <v>lansfast.se</v>
      </c>
      <c r="G793" s="5" t="s">
        <v>4</v>
      </c>
      <c r="H793" s="5" t="s">
        <v>5</v>
      </c>
      <c r="I793" s="6">
        <v>45314</v>
      </c>
    </row>
    <row r="794" spans="1:9" ht="13.9">
      <c r="A794" s="2" t="s">
        <v>703</v>
      </c>
      <c r="B794" s="3"/>
      <c r="C794" s="91" t="s">
        <v>1334</v>
      </c>
      <c r="D794" s="91" t="s">
        <v>1335</v>
      </c>
      <c r="E794" s="79" t="s">
        <v>1517</v>
      </c>
      <c r="F794" s="5" t="str">
        <f t="shared" si="12"/>
        <v>distansinstitutet.se</v>
      </c>
      <c r="G794" s="5" t="s">
        <v>4</v>
      </c>
      <c r="H794" s="5" t="s">
        <v>5</v>
      </c>
      <c r="I794" s="99">
        <v>45314</v>
      </c>
    </row>
    <row r="795" spans="1:9" ht="13.9">
      <c r="A795" s="2" t="s">
        <v>1</v>
      </c>
      <c r="B795" s="3"/>
      <c r="C795" s="91" t="s">
        <v>1518</v>
      </c>
      <c r="D795" s="91" t="s">
        <v>1226</v>
      </c>
      <c r="E795" s="79" t="s">
        <v>1519</v>
      </c>
      <c r="F795" s="5" t="str">
        <f t="shared" si="12"/>
        <v>haxan.se</v>
      </c>
      <c r="G795" s="5" t="s">
        <v>4</v>
      </c>
      <c r="H795" s="5" t="s">
        <v>5</v>
      </c>
      <c r="I795" s="99">
        <v>45314</v>
      </c>
    </row>
    <row r="796" spans="1:9" ht="13.9">
      <c r="A796" s="2" t="s">
        <v>325</v>
      </c>
      <c r="B796" s="3"/>
      <c r="C796" s="91" t="s">
        <v>1514</v>
      </c>
      <c r="D796" s="91" t="s">
        <v>1244</v>
      </c>
      <c r="E796" s="79" t="s">
        <v>1520</v>
      </c>
      <c r="F796" s="5" t="str">
        <f t="shared" si="12"/>
        <v>tiotak.se</v>
      </c>
      <c r="G796" s="5" t="s">
        <v>4</v>
      </c>
      <c r="H796" s="5" t="s">
        <v>5</v>
      </c>
      <c r="I796" s="99">
        <v>45314</v>
      </c>
    </row>
    <row r="797" spans="1:9" ht="13.9">
      <c r="A797" s="2" t="s">
        <v>308</v>
      </c>
      <c r="B797" s="3"/>
      <c r="C797" s="91" t="s">
        <v>1516</v>
      </c>
      <c r="D797" s="91" t="s">
        <v>1309</v>
      </c>
      <c r="E797" s="79" t="s">
        <v>1521</v>
      </c>
      <c r="F797" s="5" t="str">
        <f t="shared" si="12"/>
        <v>lansfast.se</v>
      </c>
      <c r="G797" s="5" t="s">
        <v>4</v>
      </c>
      <c r="H797" s="5" t="s">
        <v>5</v>
      </c>
      <c r="I797" s="99">
        <v>45314</v>
      </c>
    </row>
    <row r="798" spans="1:9" ht="13.9">
      <c r="A798" s="2" t="s">
        <v>435</v>
      </c>
      <c r="B798" s="3"/>
      <c r="C798" s="91" t="s">
        <v>1522</v>
      </c>
      <c r="D798" s="91" t="s">
        <v>1446</v>
      </c>
      <c r="E798" s="79" t="s">
        <v>1398</v>
      </c>
      <c r="F798" s="5" t="str">
        <f t="shared" si="12"/>
        <v>fairinvestments.se</v>
      </c>
      <c r="G798" s="5" t="s">
        <v>4</v>
      </c>
      <c r="H798" s="5" t="s">
        <v>5</v>
      </c>
      <c r="I798" s="99">
        <v>45314</v>
      </c>
    </row>
    <row r="799" spans="1:9" ht="13.9">
      <c r="A799" s="2" t="s">
        <v>1284</v>
      </c>
      <c r="B799" s="3"/>
      <c r="C799" s="91" t="s">
        <v>1523</v>
      </c>
      <c r="D799" s="91" t="s">
        <v>1286</v>
      </c>
      <c r="E799" s="87" t="s">
        <v>1284</v>
      </c>
      <c r="F799" s="5" t="str">
        <f t="shared" si="12"/>
        <v>norteam.se</v>
      </c>
      <c r="G799" s="5" t="s">
        <v>1344</v>
      </c>
      <c r="H799" s="5" t="s">
        <v>5</v>
      </c>
      <c r="I799" s="99">
        <v>45314</v>
      </c>
    </row>
    <row r="800" spans="1:9" ht="13.5">
      <c r="A800" s="82" t="s">
        <v>703</v>
      </c>
      <c r="B800" s="3"/>
      <c r="C800" s="91" t="s">
        <v>1524</v>
      </c>
      <c r="D800" s="91" t="s">
        <v>912</v>
      </c>
      <c r="E800" s="112" t="s">
        <v>703</v>
      </c>
      <c r="F800" s="5" t="str">
        <f t="shared" si="12"/>
        <v>distansinstitutet.se</v>
      </c>
      <c r="G800" s="5" t="s">
        <v>4</v>
      </c>
      <c r="H800" s="5" t="s">
        <v>5</v>
      </c>
      <c r="I800" s="6">
        <v>45315</v>
      </c>
    </row>
    <row r="801" spans="1:9" ht="13.5">
      <c r="A801" s="82" t="s">
        <v>171</v>
      </c>
      <c r="B801" s="3"/>
      <c r="C801" s="91" t="s">
        <v>1525</v>
      </c>
      <c r="D801" s="91" t="s">
        <v>1095</v>
      </c>
      <c r="E801" s="79" t="s">
        <v>1349</v>
      </c>
      <c r="F801" s="5" t="str">
        <f t="shared" si="12"/>
        <v>arctic.se</v>
      </c>
      <c r="G801" s="5" t="s">
        <v>4</v>
      </c>
      <c r="H801" s="5" t="s">
        <v>5</v>
      </c>
      <c r="I801" s="6">
        <v>45315</v>
      </c>
    </row>
    <row r="802" spans="1:9" ht="13.5">
      <c r="A802" s="82" t="s">
        <v>846</v>
      </c>
      <c r="B802" s="3"/>
      <c r="C802" s="91" t="s">
        <v>1526</v>
      </c>
      <c r="D802" s="91" t="s">
        <v>848</v>
      </c>
      <c r="E802" s="79" t="s">
        <v>1483</v>
      </c>
      <c r="F802" s="5" t="str">
        <f t="shared" si="12"/>
        <v>tandea.se</v>
      </c>
      <c r="G802" s="5" t="s">
        <v>4</v>
      </c>
      <c r="H802" s="5" t="s">
        <v>5</v>
      </c>
      <c r="I802" s="6">
        <v>45315</v>
      </c>
    </row>
    <row r="803" spans="1:9" ht="13.5">
      <c r="A803" s="82" t="s">
        <v>765</v>
      </c>
      <c r="B803" s="3"/>
      <c r="C803" s="91" t="s">
        <v>1527</v>
      </c>
      <c r="D803" s="97" t="s">
        <v>1443</v>
      </c>
      <c r="E803" s="79" t="s">
        <v>1528</v>
      </c>
      <c r="F803" s="5" t="str">
        <f t="shared" si="12"/>
        <v>lemontree.se</v>
      </c>
      <c r="G803" s="5" t="s">
        <v>4</v>
      </c>
      <c r="H803" s="5" t="s">
        <v>5</v>
      </c>
      <c r="I803" s="6">
        <v>45315</v>
      </c>
    </row>
    <row r="804" spans="1:9" ht="13.5">
      <c r="A804" s="7" t="s">
        <v>329</v>
      </c>
      <c r="B804" s="3"/>
      <c r="C804" s="91" t="s">
        <v>1529</v>
      </c>
      <c r="D804" s="91" t="s">
        <v>1530</v>
      </c>
      <c r="E804" s="79" t="s">
        <v>1531</v>
      </c>
      <c r="F804" s="5" t="str">
        <f t="shared" si="12"/>
        <v>vont</v>
      </c>
      <c r="G804" s="5" t="s">
        <v>4</v>
      </c>
      <c r="H804" s="5" t="s">
        <v>262</v>
      </c>
      <c r="I804" s="6">
        <v>45315</v>
      </c>
    </row>
    <row r="805" spans="1:9" ht="13.5">
      <c r="A805" s="7" t="s">
        <v>224</v>
      </c>
      <c r="B805" s="3"/>
      <c r="C805" s="91" t="s">
        <v>1532</v>
      </c>
      <c r="D805" s="91" t="s">
        <v>226</v>
      </c>
      <c r="E805" s="79" t="s">
        <v>640</v>
      </c>
      <c r="F805" s="5" t="str">
        <f t="shared" si="12"/>
        <v>swedoffice</v>
      </c>
      <c r="G805" s="5" t="s">
        <v>4</v>
      </c>
      <c r="H805" s="5" t="s">
        <v>5</v>
      </c>
      <c r="I805" s="6">
        <v>45315</v>
      </c>
    </row>
    <row r="806" spans="1:9" ht="13.9">
      <c r="A806" s="2" t="s">
        <v>171</v>
      </c>
      <c r="B806" s="3"/>
      <c r="C806" s="91" t="s">
        <v>1525</v>
      </c>
      <c r="D806" s="91" t="s">
        <v>1095</v>
      </c>
      <c r="E806" s="79" t="s">
        <v>1533</v>
      </c>
      <c r="F806" s="5" t="str">
        <f t="shared" si="12"/>
        <v>arctic.se</v>
      </c>
      <c r="G806" s="5" t="s">
        <v>4</v>
      </c>
      <c r="H806" s="5" t="s">
        <v>5</v>
      </c>
      <c r="I806" s="99">
        <v>45315</v>
      </c>
    </row>
    <row r="807" spans="1:9" ht="15">
      <c r="A807" s="2" t="s">
        <v>703</v>
      </c>
      <c r="B807" s="3"/>
      <c r="C807" s="91" t="s">
        <v>1524</v>
      </c>
      <c r="D807" s="91" t="s">
        <v>912</v>
      </c>
      <c r="E807" s="87" t="s">
        <v>703</v>
      </c>
      <c r="F807" s="5" t="str">
        <f t="shared" si="12"/>
        <v>distansinstitutet.se</v>
      </c>
      <c r="G807" s="5" t="s">
        <v>4</v>
      </c>
      <c r="H807" s="5" t="s">
        <v>5</v>
      </c>
      <c r="I807" s="113">
        <v>45315</v>
      </c>
    </row>
    <row r="808" spans="1:9" ht="13.9">
      <c r="A808" s="2" t="s">
        <v>765</v>
      </c>
      <c r="B808" s="3"/>
      <c r="C808" s="91" t="s">
        <v>1527</v>
      </c>
      <c r="D808" s="91" t="s">
        <v>1534</v>
      </c>
      <c r="E808" s="79" t="s">
        <v>1528</v>
      </c>
      <c r="F808" s="5" t="str">
        <f t="shared" si="12"/>
        <v>lemontree.se</v>
      </c>
      <c r="G808" s="5" t="s">
        <v>4</v>
      </c>
      <c r="H808" s="5" t="s">
        <v>5</v>
      </c>
      <c r="I808" s="99">
        <v>45315</v>
      </c>
    </row>
    <row r="809" spans="1:9" ht="13.9">
      <c r="A809" s="2" t="s">
        <v>846</v>
      </c>
      <c r="B809" s="3"/>
      <c r="C809" s="91" t="s">
        <v>1526</v>
      </c>
      <c r="D809" s="91" t="s">
        <v>848</v>
      </c>
      <c r="E809" s="79" t="s">
        <v>1535</v>
      </c>
      <c r="F809" s="5" t="str">
        <f t="shared" si="12"/>
        <v>tandea.se</v>
      </c>
      <c r="G809" s="5" t="s">
        <v>4</v>
      </c>
      <c r="H809" s="5" t="s">
        <v>5</v>
      </c>
      <c r="I809" s="99">
        <v>45315</v>
      </c>
    </row>
    <row r="810" spans="1:9" ht="13.9">
      <c r="A810" s="101" t="s">
        <v>329</v>
      </c>
      <c r="B810" s="3"/>
      <c r="C810" s="91" t="s">
        <v>1529</v>
      </c>
      <c r="D810" s="91" t="s">
        <v>1530</v>
      </c>
      <c r="E810" s="79" t="s">
        <v>1531</v>
      </c>
      <c r="F810" s="5" t="str">
        <f t="shared" si="12"/>
        <v>vont</v>
      </c>
      <c r="G810" s="5" t="s">
        <v>4</v>
      </c>
      <c r="H810" s="5" t="s">
        <v>262</v>
      </c>
      <c r="I810" s="99">
        <v>45315</v>
      </c>
    </row>
    <row r="811" spans="1:9" ht="13.5">
      <c r="A811" s="2" t="s">
        <v>1180</v>
      </c>
      <c r="B811" s="3"/>
      <c r="C811" s="71" t="s">
        <v>1536</v>
      </c>
      <c r="D811" s="4" t="s">
        <v>1537</v>
      </c>
      <c r="E811" s="5" t="s">
        <v>655</v>
      </c>
      <c r="F811" s="5" t="str">
        <f t="shared" si="12"/>
        <v>e-ciggbolaget.se</v>
      </c>
      <c r="G811" s="5" t="s">
        <v>4</v>
      </c>
      <c r="H811" s="5" t="s">
        <v>5</v>
      </c>
      <c r="I811" s="6">
        <v>45316</v>
      </c>
    </row>
    <row r="812" spans="1:9" ht="13.5">
      <c r="A812" s="82" t="s">
        <v>723</v>
      </c>
      <c r="B812" s="3"/>
      <c r="C812" s="91" t="s">
        <v>1538</v>
      </c>
      <c r="D812" s="91" t="s">
        <v>725</v>
      </c>
      <c r="E812" s="87" t="s">
        <v>723</v>
      </c>
      <c r="F812" s="5" t="str">
        <f t="shared" si="12"/>
        <v>aretrotale.com</v>
      </c>
      <c r="G812" s="5" t="s">
        <v>4</v>
      </c>
      <c r="H812" s="5" t="s">
        <v>23</v>
      </c>
      <c r="I812" s="6">
        <v>45316</v>
      </c>
    </row>
    <row r="813" spans="1:9" ht="13.5">
      <c r="A813" s="7" t="s">
        <v>224</v>
      </c>
      <c r="B813" s="3"/>
      <c r="C813" s="71" t="s">
        <v>1539</v>
      </c>
      <c r="D813" s="4" t="s">
        <v>226</v>
      </c>
      <c r="E813" s="5" t="s">
        <v>368</v>
      </c>
      <c r="F813" s="5" t="str">
        <f t="shared" si="12"/>
        <v>swedoffice</v>
      </c>
      <c r="G813" s="5" t="s">
        <v>4</v>
      </c>
      <c r="H813" s="5" t="s">
        <v>5</v>
      </c>
      <c r="I813" s="6">
        <v>45316</v>
      </c>
    </row>
    <row r="814" spans="1:9" ht="13.5">
      <c r="A814" s="2" t="s">
        <v>803</v>
      </c>
      <c r="B814" s="3"/>
      <c r="C814" s="71" t="s">
        <v>1540</v>
      </c>
      <c r="D814" s="4" t="s">
        <v>991</v>
      </c>
      <c r="E814" s="5" t="s">
        <v>1541</v>
      </c>
      <c r="F814" s="5" t="str">
        <f t="shared" si="12"/>
        <v>foyen.se</v>
      </c>
      <c r="G814" s="5" t="s">
        <v>4</v>
      </c>
      <c r="H814" s="5" t="s">
        <v>5</v>
      </c>
      <c r="I814" s="6">
        <v>45316</v>
      </c>
    </row>
    <row r="815" spans="1:9" ht="13.9">
      <c r="A815" s="2" t="s">
        <v>723</v>
      </c>
      <c r="B815" s="3"/>
      <c r="C815" s="91" t="s">
        <v>1538</v>
      </c>
      <c r="D815" s="91" t="s">
        <v>725</v>
      </c>
      <c r="E815" s="79" t="s">
        <v>723</v>
      </c>
      <c r="F815" s="5" t="str">
        <f t="shared" si="12"/>
        <v>aretrotale.com</v>
      </c>
      <c r="G815" s="5" t="s">
        <v>4</v>
      </c>
      <c r="H815" s="5" t="s">
        <v>23</v>
      </c>
      <c r="I815" s="99">
        <v>45316</v>
      </c>
    </row>
    <row r="816" spans="1:9" ht="13.5">
      <c r="A816" s="2" t="s">
        <v>846</v>
      </c>
      <c r="B816" s="3"/>
      <c r="C816" s="71" t="s">
        <v>1542</v>
      </c>
      <c r="D816" s="4" t="s">
        <v>848</v>
      </c>
      <c r="E816" s="5" t="s">
        <v>1543</v>
      </c>
      <c r="F816" s="5" t="str">
        <f t="shared" si="12"/>
        <v>tandea.se</v>
      </c>
      <c r="G816" s="5" t="s">
        <v>4</v>
      </c>
      <c r="H816" s="5" t="s">
        <v>5</v>
      </c>
      <c r="I816" s="6">
        <v>45317</v>
      </c>
    </row>
    <row r="817" spans="1:9" ht="13.5">
      <c r="A817" s="2" t="s">
        <v>1544</v>
      </c>
      <c r="B817" s="3"/>
      <c r="C817" s="71" t="s">
        <v>1545</v>
      </c>
      <c r="D817" s="4" t="s">
        <v>1546</v>
      </c>
      <c r="E817" s="5" t="s">
        <v>1547</v>
      </c>
      <c r="F817" s="5" t="str">
        <f t="shared" si="12"/>
        <v>Finansplassen.no</v>
      </c>
      <c r="G817" s="5" t="s">
        <v>4</v>
      </c>
      <c r="H817" s="5" t="s">
        <v>382</v>
      </c>
      <c r="I817" s="6">
        <v>45317</v>
      </c>
    </row>
    <row r="818" spans="1:9" ht="13.5">
      <c r="A818" s="82" t="s">
        <v>703</v>
      </c>
      <c r="B818" s="3"/>
      <c r="C818" s="91" t="s">
        <v>1548</v>
      </c>
      <c r="D818" s="91" t="s">
        <v>1335</v>
      </c>
      <c r="E818" s="79" t="s">
        <v>1336</v>
      </c>
      <c r="F818" s="5" t="str">
        <f t="shared" si="12"/>
        <v>distansinstitutet.se</v>
      </c>
      <c r="G818" s="5" t="s">
        <v>4</v>
      </c>
      <c r="H818" s="5" t="s">
        <v>5</v>
      </c>
      <c r="I818" s="6">
        <v>45317</v>
      </c>
    </row>
    <row r="819" spans="1:9" ht="13.5">
      <c r="A819" s="82" t="s">
        <v>689</v>
      </c>
      <c r="B819" s="3"/>
      <c r="C819" s="91" t="s">
        <v>1549</v>
      </c>
      <c r="D819" s="91" t="s">
        <v>691</v>
      </c>
      <c r="E819" s="79" t="s">
        <v>825</v>
      </c>
      <c r="F819" s="5" t="str">
        <f t="shared" si="12"/>
        <v>conclean.se</v>
      </c>
      <c r="G819" s="5" t="s">
        <v>4</v>
      </c>
      <c r="H819" s="5" t="s">
        <v>5</v>
      </c>
      <c r="I819" s="6">
        <v>45317</v>
      </c>
    </row>
    <row r="820" spans="1:9" ht="13.9">
      <c r="A820" s="2" t="s">
        <v>689</v>
      </c>
      <c r="B820" s="3"/>
      <c r="C820" s="91" t="s">
        <v>1549</v>
      </c>
      <c r="D820" s="91" t="s">
        <v>691</v>
      </c>
      <c r="E820" s="79" t="s">
        <v>825</v>
      </c>
      <c r="F820" s="5" t="str">
        <f t="shared" si="12"/>
        <v>conclean.se</v>
      </c>
      <c r="G820" s="5" t="s">
        <v>4</v>
      </c>
      <c r="H820" s="5" t="s">
        <v>5</v>
      </c>
      <c r="I820" s="99">
        <v>45317</v>
      </c>
    </row>
    <row r="821" spans="1:9" ht="15">
      <c r="A821" s="2" t="s">
        <v>703</v>
      </c>
      <c r="B821" s="3"/>
      <c r="C821" s="91" t="s">
        <v>1548</v>
      </c>
      <c r="D821" s="91" t="s">
        <v>1335</v>
      </c>
      <c r="E821" s="79" t="s">
        <v>1550</v>
      </c>
      <c r="F821" s="5" t="str">
        <f t="shared" si="12"/>
        <v>distansinstitutet.se</v>
      </c>
      <c r="G821" s="5" t="s">
        <v>4</v>
      </c>
      <c r="H821" s="5" t="s">
        <v>5</v>
      </c>
      <c r="I821" s="113">
        <v>45317</v>
      </c>
    </row>
    <row r="822" spans="1:9" ht="13.9">
      <c r="A822" s="2" t="s">
        <v>435</v>
      </c>
      <c r="B822" s="3"/>
      <c r="C822" s="105" t="s">
        <v>1551</v>
      </c>
      <c r="D822" s="87" t="s">
        <v>1384</v>
      </c>
      <c r="E822" s="79" t="s">
        <v>1385</v>
      </c>
      <c r="F822" s="5" t="str">
        <f t="shared" si="12"/>
        <v>fairinvestments.se</v>
      </c>
      <c r="G822" s="5" t="s">
        <v>4</v>
      </c>
      <c r="H822" s="5" t="s">
        <v>5</v>
      </c>
      <c r="I822" s="99">
        <v>45317</v>
      </c>
    </row>
    <row r="823" spans="1:9" ht="13.9">
      <c r="A823" s="2" t="s">
        <v>803</v>
      </c>
      <c r="B823" s="3"/>
      <c r="C823" s="91" t="s">
        <v>1540</v>
      </c>
      <c r="D823" s="79" t="s">
        <v>953</v>
      </c>
      <c r="E823" s="79" t="s">
        <v>806</v>
      </c>
      <c r="F823" s="5" t="str">
        <f t="shared" si="12"/>
        <v>foyen.se</v>
      </c>
      <c r="G823" s="5" t="s">
        <v>4</v>
      </c>
      <c r="H823" s="5" t="s">
        <v>5</v>
      </c>
      <c r="I823" s="99">
        <v>45317</v>
      </c>
    </row>
    <row r="824" spans="1:9" ht="13.9">
      <c r="A824" s="101" t="s">
        <v>329</v>
      </c>
      <c r="B824" s="3"/>
      <c r="C824" s="91" t="s">
        <v>1552</v>
      </c>
      <c r="D824" s="87" t="s">
        <v>1388</v>
      </c>
      <c r="E824" s="79" t="s">
        <v>1553</v>
      </c>
      <c r="F824" s="5" t="str">
        <f t="shared" si="12"/>
        <v>vont</v>
      </c>
      <c r="G824" s="5" t="s">
        <v>4</v>
      </c>
      <c r="H824" s="5" t="s">
        <v>5</v>
      </c>
      <c r="I824" s="99">
        <v>45317</v>
      </c>
    </row>
    <row r="825" spans="1:9" ht="13.5">
      <c r="A825" s="2" t="s">
        <v>1466</v>
      </c>
      <c r="B825" s="3"/>
      <c r="C825" s="5" t="s">
        <v>1554</v>
      </c>
      <c r="D825" s="5" t="s">
        <v>1468</v>
      </c>
      <c r="E825" s="5" t="s">
        <v>1469</v>
      </c>
      <c r="F825" s="5" t="str">
        <f t="shared" si="12"/>
        <v>svenskaeljouren.se</v>
      </c>
      <c r="G825" s="5" t="s">
        <v>4</v>
      </c>
      <c r="H825" s="5" t="s">
        <v>5</v>
      </c>
      <c r="I825" s="6">
        <v>45317</v>
      </c>
    </row>
    <row r="826" spans="1:9" ht="13.5">
      <c r="A826" s="2" t="s">
        <v>1466</v>
      </c>
      <c r="B826" s="3"/>
      <c r="C826" s="5" t="s">
        <v>1555</v>
      </c>
      <c r="D826" s="5" t="s">
        <v>1468</v>
      </c>
      <c r="E826" s="5" t="s">
        <v>1556</v>
      </c>
      <c r="F826" s="5" t="str">
        <f t="shared" si="12"/>
        <v>svenskaeljouren.se</v>
      </c>
      <c r="G826" s="5" t="s">
        <v>4</v>
      </c>
      <c r="H826" s="5" t="s">
        <v>5</v>
      </c>
      <c r="I826" s="6">
        <v>45317</v>
      </c>
    </row>
    <row r="827" spans="1:9" ht="13.5">
      <c r="A827" s="7" t="s">
        <v>1557</v>
      </c>
      <c r="B827" s="3"/>
      <c r="C827" s="5" t="s">
        <v>1558</v>
      </c>
      <c r="D827" s="5" t="s">
        <v>1557</v>
      </c>
      <c r="E827" s="5" t="s">
        <v>1557</v>
      </c>
      <c r="F827" s="5" t="str">
        <f t="shared" si="12"/>
        <v>rörmokare.nu</v>
      </c>
      <c r="G827" s="5" t="s">
        <v>4</v>
      </c>
      <c r="H827" s="5" t="s">
        <v>5</v>
      </c>
      <c r="I827" s="6">
        <v>45317</v>
      </c>
    </row>
    <row r="828" spans="1:9" ht="13.5">
      <c r="A828" s="7" t="s">
        <v>1559</v>
      </c>
      <c r="B828" s="3"/>
      <c r="C828" s="5" t="s">
        <v>1560</v>
      </c>
      <c r="D828" s="5" t="s">
        <v>1561</v>
      </c>
      <c r="E828" s="5" t="s">
        <v>1562</v>
      </c>
      <c r="F828" s="5" t="str">
        <f t="shared" si="12"/>
        <v>rorjour247.se</v>
      </c>
      <c r="G828" s="5" t="s">
        <v>4</v>
      </c>
      <c r="H828" s="5" t="s">
        <v>5</v>
      </c>
      <c r="I828" s="6">
        <v>45317</v>
      </c>
    </row>
    <row r="829" spans="1:9" ht="13.5">
      <c r="A829" s="7" t="s">
        <v>1559</v>
      </c>
      <c r="B829" s="3"/>
      <c r="C829" s="5" t="s">
        <v>1563</v>
      </c>
      <c r="D829" s="5" t="s">
        <v>1561</v>
      </c>
      <c r="E829" s="5" t="s">
        <v>1564</v>
      </c>
      <c r="F829" s="5" t="str">
        <f t="shared" si="12"/>
        <v>rorjour247.se</v>
      </c>
      <c r="G829" s="5" t="s">
        <v>4</v>
      </c>
      <c r="H829" s="5" t="s">
        <v>5</v>
      </c>
      <c r="I829" s="6">
        <v>45317</v>
      </c>
    </row>
    <row r="830" spans="1:9" ht="13.5">
      <c r="A830" s="7" t="s">
        <v>1557</v>
      </c>
      <c r="B830" s="3"/>
      <c r="C830" s="5" t="s">
        <v>1565</v>
      </c>
      <c r="D830" s="5" t="s">
        <v>1566</v>
      </c>
      <c r="E830" s="5" t="s">
        <v>1567</v>
      </c>
      <c r="F830" s="5" t="str">
        <f t="shared" si="12"/>
        <v>rörmokare.nu</v>
      </c>
      <c r="G830" s="5" t="s">
        <v>4</v>
      </c>
      <c r="H830" s="5" t="s">
        <v>5</v>
      </c>
      <c r="I830" s="6">
        <v>45317</v>
      </c>
    </row>
    <row r="831" spans="1:9" ht="13.5">
      <c r="A831" s="2" t="s">
        <v>1180</v>
      </c>
      <c r="B831" s="3"/>
      <c r="C831" s="71" t="s">
        <v>1568</v>
      </c>
      <c r="D831" s="4" t="s">
        <v>1569</v>
      </c>
      <c r="E831" s="5" t="s">
        <v>1570</v>
      </c>
      <c r="F831" s="5" t="str">
        <f t="shared" si="12"/>
        <v>e-ciggbolaget.se</v>
      </c>
      <c r="G831" s="5" t="s">
        <v>4</v>
      </c>
      <c r="H831" s="5" t="s">
        <v>5</v>
      </c>
      <c r="I831" s="6">
        <v>45318</v>
      </c>
    </row>
    <row r="832" spans="1:9" ht="13.9">
      <c r="A832" s="2" t="s">
        <v>703</v>
      </c>
      <c r="B832" s="3"/>
      <c r="C832" s="91" t="s">
        <v>1571</v>
      </c>
      <c r="D832" s="87" t="s">
        <v>1335</v>
      </c>
      <c r="E832" s="79" t="s">
        <v>1336</v>
      </c>
      <c r="F832" s="5" t="str">
        <f t="shared" si="12"/>
        <v>distansinstitutet.se</v>
      </c>
      <c r="G832" s="5" t="s">
        <v>4</v>
      </c>
      <c r="H832" s="5" t="s">
        <v>5</v>
      </c>
      <c r="I832" s="99">
        <v>45318</v>
      </c>
    </row>
    <row r="833" spans="1:9" ht="13.9">
      <c r="A833" s="7" t="s">
        <v>386</v>
      </c>
      <c r="B833" s="3"/>
      <c r="C833" s="91" t="s">
        <v>1484</v>
      </c>
      <c r="D833" s="87" t="s">
        <v>1202</v>
      </c>
      <c r="E833" s="79" t="s">
        <v>1485</v>
      </c>
      <c r="F833" s="5" t="str">
        <f t="shared" si="12"/>
        <v>pontech</v>
      </c>
      <c r="G833" s="5" t="s">
        <v>4</v>
      </c>
      <c r="H833" s="5" t="s">
        <v>5</v>
      </c>
      <c r="I833" s="99">
        <v>45318</v>
      </c>
    </row>
    <row r="834" spans="1:9" ht="13.9">
      <c r="A834" s="7" t="s">
        <v>1275</v>
      </c>
      <c r="B834" s="3"/>
      <c r="C834" s="91" t="s">
        <v>1572</v>
      </c>
      <c r="D834" s="91" t="s">
        <v>1443</v>
      </c>
      <c r="E834" s="79" t="s">
        <v>1573</v>
      </c>
      <c r="F834" s="5" t="str">
        <f t="shared" si="12"/>
        <v>spoors.health</v>
      </c>
      <c r="G834" s="5" t="s">
        <v>4</v>
      </c>
      <c r="H834" s="5" t="s">
        <v>5</v>
      </c>
      <c r="I834" s="99">
        <v>45318</v>
      </c>
    </row>
    <row r="835" spans="1:9" ht="13.9">
      <c r="A835" s="2" t="s">
        <v>1263</v>
      </c>
      <c r="B835" s="3"/>
      <c r="C835" s="91" t="s">
        <v>1574</v>
      </c>
      <c r="D835" s="91" t="s">
        <v>1265</v>
      </c>
      <c r="E835" s="79" t="s">
        <v>1575</v>
      </c>
      <c r="F835" s="5" t="str">
        <f t="shared" ref="F835:F898" si="13">A835</f>
        <v>notyfile.se/sv</v>
      </c>
      <c r="G835" s="5" t="s">
        <v>1344</v>
      </c>
      <c r="H835" s="5" t="s">
        <v>5</v>
      </c>
      <c r="I835" s="99">
        <v>45318</v>
      </c>
    </row>
    <row r="836" spans="1:9" ht="13.9">
      <c r="A836" s="2" t="s">
        <v>1342</v>
      </c>
      <c r="B836" s="3"/>
      <c r="C836" s="91" t="s">
        <v>1576</v>
      </c>
      <c r="D836" s="91" t="s">
        <v>1143</v>
      </c>
      <c r="E836" s="79" t="s">
        <v>1360</v>
      </c>
      <c r="F836" s="5" t="str">
        <f t="shared" si="13"/>
        <v>pontonhamnar.se</v>
      </c>
      <c r="G836" s="5" t="s">
        <v>1344</v>
      </c>
      <c r="H836" s="5" t="s">
        <v>5</v>
      </c>
      <c r="I836" s="99">
        <v>45318</v>
      </c>
    </row>
    <row r="837" spans="1:9" ht="13.9">
      <c r="A837" s="2" t="s">
        <v>272</v>
      </c>
      <c r="B837" s="3"/>
      <c r="C837" s="91" t="s">
        <v>1577</v>
      </c>
      <c r="D837" s="91" t="s">
        <v>274</v>
      </c>
      <c r="E837" s="79" t="s">
        <v>1361</v>
      </c>
      <c r="F837" s="5" t="str">
        <f t="shared" si="13"/>
        <v>schjodt.com</v>
      </c>
      <c r="G837" s="5" t="s">
        <v>1344</v>
      </c>
      <c r="H837" s="5" t="s">
        <v>5</v>
      </c>
      <c r="I837" s="99">
        <v>45318</v>
      </c>
    </row>
    <row r="838" spans="1:9" ht="13.9">
      <c r="A838" s="2" t="s">
        <v>308</v>
      </c>
      <c r="B838" s="3"/>
      <c r="C838" s="91" t="s">
        <v>1308</v>
      </c>
      <c r="D838" s="91" t="s">
        <v>1309</v>
      </c>
      <c r="E838" s="79" t="s">
        <v>1578</v>
      </c>
      <c r="F838" s="5" t="str">
        <f t="shared" si="13"/>
        <v>lansfast.se</v>
      </c>
      <c r="G838" s="5" t="s">
        <v>1344</v>
      </c>
      <c r="H838" s="5" t="s">
        <v>5</v>
      </c>
      <c r="I838" s="99">
        <v>45318</v>
      </c>
    </row>
    <row r="839" spans="1:9" ht="13.5">
      <c r="A839" s="2" t="s">
        <v>1180</v>
      </c>
      <c r="B839" s="3"/>
      <c r="C839" s="71" t="s">
        <v>1579</v>
      </c>
      <c r="D839" s="4" t="s">
        <v>1580</v>
      </c>
      <c r="E839" s="5" t="s">
        <v>1581</v>
      </c>
      <c r="F839" s="5" t="str">
        <f t="shared" si="13"/>
        <v>e-ciggbolaget.se</v>
      </c>
      <c r="G839" s="5" t="s">
        <v>4</v>
      </c>
      <c r="H839" s="5" t="s">
        <v>5</v>
      </c>
      <c r="I839" s="6">
        <v>45319</v>
      </c>
    </row>
    <row r="840" spans="1:9" ht="13.5">
      <c r="A840" s="2" t="s">
        <v>1180</v>
      </c>
      <c r="B840" s="3"/>
      <c r="C840" s="71" t="s">
        <v>1582</v>
      </c>
      <c r="D840" s="4" t="s">
        <v>1569</v>
      </c>
      <c r="E840" s="5" t="s">
        <v>1583</v>
      </c>
      <c r="F840" s="5" t="str">
        <f t="shared" si="13"/>
        <v>e-ciggbolaget.se</v>
      </c>
      <c r="G840" s="5" t="s">
        <v>4</v>
      </c>
      <c r="H840" s="5" t="s">
        <v>5</v>
      </c>
      <c r="I840" s="6">
        <v>45319</v>
      </c>
    </row>
    <row r="841" spans="1:9" ht="13.5">
      <c r="A841" s="82" t="s">
        <v>703</v>
      </c>
      <c r="B841" s="3"/>
      <c r="C841" s="91" t="s">
        <v>1584</v>
      </c>
      <c r="D841" s="91" t="s">
        <v>1335</v>
      </c>
      <c r="E841" s="79" t="s">
        <v>1336</v>
      </c>
      <c r="F841" s="5" t="str">
        <f t="shared" si="13"/>
        <v>distansinstitutet.se</v>
      </c>
      <c r="G841" s="5" t="s">
        <v>4</v>
      </c>
      <c r="H841" s="5" t="s">
        <v>5</v>
      </c>
      <c r="I841" s="6">
        <v>45319</v>
      </c>
    </row>
    <row r="842" spans="1:9" ht="14.25">
      <c r="A842" s="82" t="s">
        <v>1138</v>
      </c>
      <c r="B842" s="3"/>
      <c r="C842" s="91" t="s">
        <v>1585</v>
      </c>
      <c r="D842" s="91" t="s">
        <v>1236</v>
      </c>
      <c r="E842" s="114" t="s">
        <v>1586</v>
      </c>
      <c r="F842" s="5" t="str">
        <f t="shared" si="13"/>
        <v>hemplybalance.com</v>
      </c>
      <c r="G842" s="5" t="s">
        <v>4</v>
      </c>
      <c r="H842" s="5" t="s">
        <v>5</v>
      </c>
      <c r="I842" s="6">
        <v>45319</v>
      </c>
    </row>
    <row r="843" spans="1:9" ht="13.9">
      <c r="A843" s="2" t="s">
        <v>1138</v>
      </c>
      <c r="B843" s="3"/>
      <c r="C843" s="91" t="s">
        <v>1585</v>
      </c>
      <c r="D843" s="91" t="s">
        <v>1236</v>
      </c>
      <c r="E843" s="79" t="s">
        <v>1587</v>
      </c>
      <c r="F843" s="5" t="str">
        <f t="shared" si="13"/>
        <v>hemplybalance.com</v>
      </c>
      <c r="G843" s="5" t="s">
        <v>4</v>
      </c>
      <c r="H843" s="5" t="s">
        <v>5</v>
      </c>
      <c r="I843" s="99">
        <v>45319</v>
      </c>
    </row>
    <row r="844" spans="1:9" ht="13.9">
      <c r="A844" s="2" t="s">
        <v>703</v>
      </c>
      <c r="B844" s="3"/>
      <c r="C844" s="91" t="s">
        <v>1588</v>
      </c>
      <c r="D844" s="91" t="s">
        <v>1335</v>
      </c>
      <c r="E844" s="79" t="s">
        <v>1589</v>
      </c>
      <c r="F844" s="5" t="str">
        <f t="shared" si="13"/>
        <v>distansinstitutet.se</v>
      </c>
      <c r="G844" s="5" t="s">
        <v>1344</v>
      </c>
      <c r="H844" s="5" t="s">
        <v>5</v>
      </c>
      <c r="I844" s="99">
        <v>45319</v>
      </c>
    </row>
    <row r="845" spans="1:9" ht="13.9">
      <c r="A845" s="2" t="s">
        <v>1</v>
      </c>
      <c r="B845" s="3"/>
      <c r="C845" s="91" t="s">
        <v>1353</v>
      </c>
      <c r="D845" s="91" t="s">
        <v>864</v>
      </c>
      <c r="E845" s="79" t="s">
        <v>1590</v>
      </c>
      <c r="F845" s="5" t="str">
        <f t="shared" si="13"/>
        <v>haxan.se</v>
      </c>
      <c r="G845" s="5" t="s">
        <v>1344</v>
      </c>
      <c r="H845" s="5" t="s">
        <v>5</v>
      </c>
      <c r="I845" s="99">
        <v>45319</v>
      </c>
    </row>
    <row r="846" spans="1:9" ht="13.9">
      <c r="A846" s="2" t="s">
        <v>765</v>
      </c>
      <c r="B846" s="3"/>
      <c r="C846" s="91" t="s">
        <v>1327</v>
      </c>
      <c r="D846" s="91" t="s">
        <v>1136</v>
      </c>
      <c r="E846" s="79" t="s">
        <v>1591</v>
      </c>
      <c r="F846" s="5" t="str">
        <f t="shared" si="13"/>
        <v>lemontree.se</v>
      </c>
      <c r="G846" s="5" t="s">
        <v>1344</v>
      </c>
      <c r="H846" s="5" t="s">
        <v>5</v>
      </c>
      <c r="I846" s="99">
        <v>45319</v>
      </c>
    </row>
    <row r="847" spans="1:9" ht="13.9">
      <c r="A847" s="101" t="s">
        <v>329</v>
      </c>
      <c r="B847" s="3"/>
      <c r="C847" s="91" t="s">
        <v>1387</v>
      </c>
      <c r="D847" s="91" t="s">
        <v>1388</v>
      </c>
      <c r="E847" s="79" t="s">
        <v>1592</v>
      </c>
      <c r="F847" s="5" t="str">
        <f t="shared" si="13"/>
        <v>vont</v>
      </c>
      <c r="G847" s="5" t="s">
        <v>1344</v>
      </c>
      <c r="H847" s="5" t="s">
        <v>5</v>
      </c>
      <c r="I847" s="99">
        <v>45319</v>
      </c>
    </row>
    <row r="848" spans="1:9" ht="13.5">
      <c r="A848" s="2" t="s">
        <v>1544</v>
      </c>
      <c r="B848" s="3"/>
      <c r="C848" s="71" t="s">
        <v>1593</v>
      </c>
      <c r="D848" s="4" t="s">
        <v>1594</v>
      </c>
      <c r="E848" s="5" t="s">
        <v>1595</v>
      </c>
      <c r="F848" s="5" t="str">
        <f t="shared" si="13"/>
        <v>Finansplassen.no</v>
      </c>
      <c r="G848" s="5" t="s">
        <v>4</v>
      </c>
      <c r="H848" s="5" t="s">
        <v>382</v>
      </c>
      <c r="I848" s="6">
        <v>45320</v>
      </c>
    </row>
    <row r="849" spans="1:9" ht="13.9">
      <c r="A849" s="2" t="s">
        <v>703</v>
      </c>
      <c r="B849" s="3"/>
      <c r="C849" s="91" t="s">
        <v>1584</v>
      </c>
      <c r="D849" s="91" t="s">
        <v>1335</v>
      </c>
      <c r="E849" s="79" t="s">
        <v>1596</v>
      </c>
      <c r="F849" s="5" t="str">
        <f t="shared" si="13"/>
        <v>distansinstitutet.se</v>
      </c>
      <c r="G849" s="5" t="s">
        <v>4</v>
      </c>
      <c r="H849" s="5" t="s">
        <v>5</v>
      </c>
      <c r="I849" s="99">
        <v>45320</v>
      </c>
    </row>
    <row r="850" spans="1:9" ht="13.5">
      <c r="A850" s="2" t="s">
        <v>1180</v>
      </c>
      <c r="B850" s="3"/>
      <c r="C850" s="71" t="s">
        <v>1597</v>
      </c>
      <c r="D850" s="4" t="s">
        <v>1598</v>
      </c>
      <c r="E850" s="5" t="s">
        <v>1599</v>
      </c>
      <c r="F850" s="5" t="str">
        <f t="shared" si="13"/>
        <v>e-ciggbolaget.se</v>
      </c>
      <c r="G850" s="5" t="s">
        <v>4</v>
      </c>
      <c r="H850" s="5" t="s">
        <v>5</v>
      </c>
      <c r="I850" s="6">
        <v>45321</v>
      </c>
    </row>
    <row r="851" spans="1:9" ht="13.5">
      <c r="A851" s="2" t="s">
        <v>714</v>
      </c>
      <c r="B851" s="3"/>
      <c r="C851" s="71" t="s">
        <v>1600</v>
      </c>
      <c r="D851" s="4" t="s">
        <v>1190</v>
      </c>
      <c r="E851" s="5" t="s">
        <v>1191</v>
      </c>
      <c r="F851" s="5" t="str">
        <f t="shared" si="13"/>
        <v>Alfa.no</v>
      </c>
      <c r="G851" s="5" t="s">
        <v>4</v>
      </c>
      <c r="H851" s="5" t="s">
        <v>5</v>
      </c>
      <c r="I851" s="6">
        <v>45321</v>
      </c>
    </row>
    <row r="852" spans="1:9" ht="13.5">
      <c r="A852" s="2" t="s">
        <v>714</v>
      </c>
      <c r="B852" s="3"/>
      <c r="C852" s="71" t="s">
        <v>1601</v>
      </c>
      <c r="D852" s="4" t="s">
        <v>1602</v>
      </c>
      <c r="E852" s="5" t="s">
        <v>1220</v>
      </c>
      <c r="F852" s="5" t="str">
        <f t="shared" si="13"/>
        <v>Alfa.no</v>
      </c>
      <c r="G852" s="5" t="s">
        <v>4</v>
      </c>
      <c r="H852" s="5" t="s">
        <v>382</v>
      </c>
      <c r="I852" s="6">
        <v>45321</v>
      </c>
    </row>
    <row r="853" spans="1:9" ht="13.5">
      <c r="A853" s="2" t="s">
        <v>1180</v>
      </c>
      <c r="B853" s="3"/>
      <c r="C853" s="71" t="s">
        <v>1603</v>
      </c>
      <c r="D853" s="4" t="s">
        <v>1604</v>
      </c>
      <c r="E853" s="5" t="s">
        <v>1605</v>
      </c>
      <c r="F853" s="5" t="str">
        <f t="shared" si="13"/>
        <v>e-ciggbolaget.se</v>
      </c>
      <c r="G853" s="5" t="s">
        <v>4</v>
      </c>
      <c r="H853" s="5" t="s">
        <v>5</v>
      </c>
      <c r="I853" s="6">
        <v>45321</v>
      </c>
    </row>
    <row r="854" spans="1:9" ht="13.5">
      <c r="A854" s="2" t="s">
        <v>1180</v>
      </c>
      <c r="B854" s="3"/>
      <c r="C854" s="71" t="s">
        <v>1606</v>
      </c>
      <c r="D854" s="4" t="s">
        <v>1604</v>
      </c>
      <c r="E854" s="5" t="s">
        <v>1607</v>
      </c>
      <c r="F854" s="5" t="str">
        <f t="shared" si="13"/>
        <v>e-ciggbolaget.se</v>
      </c>
      <c r="G854" s="5" t="s">
        <v>4</v>
      </c>
      <c r="H854" s="5" t="s">
        <v>5</v>
      </c>
      <c r="I854" s="6">
        <v>45321</v>
      </c>
    </row>
    <row r="855" spans="1:9" ht="13.5">
      <c r="A855" s="2" t="s">
        <v>1180</v>
      </c>
      <c r="B855" s="3"/>
      <c r="C855" s="71" t="s">
        <v>1608</v>
      </c>
      <c r="D855" s="4" t="s">
        <v>1609</v>
      </c>
      <c r="E855" s="5" t="s">
        <v>1610</v>
      </c>
      <c r="F855" s="5" t="str">
        <f t="shared" si="13"/>
        <v>e-ciggbolaget.se</v>
      </c>
      <c r="G855" s="5" t="s">
        <v>4</v>
      </c>
      <c r="H855" s="5" t="s">
        <v>5</v>
      </c>
      <c r="I855" s="6">
        <v>45321</v>
      </c>
    </row>
    <row r="856" spans="1:9" ht="13.5">
      <c r="A856" s="2" t="s">
        <v>1342</v>
      </c>
      <c r="B856" s="3"/>
      <c r="C856" s="71" t="s">
        <v>1611</v>
      </c>
      <c r="D856" s="4" t="s">
        <v>1001</v>
      </c>
      <c r="E856" s="5" t="s">
        <v>1612</v>
      </c>
      <c r="F856" s="5" t="str">
        <f t="shared" si="13"/>
        <v>pontonhamnar.se</v>
      </c>
      <c r="G856" s="5" t="s">
        <v>4</v>
      </c>
      <c r="H856" s="5" t="s">
        <v>5</v>
      </c>
      <c r="I856" s="6">
        <v>45321</v>
      </c>
    </row>
    <row r="857" spans="1:9" ht="13.9">
      <c r="A857" s="2" t="s">
        <v>703</v>
      </c>
      <c r="B857" s="3"/>
      <c r="C857" s="105" t="s">
        <v>1613</v>
      </c>
      <c r="D857" s="105" t="s">
        <v>1335</v>
      </c>
      <c r="E857" s="79" t="s">
        <v>1614</v>
      </c>
      <c r="F857" s="5" t="str">
        <f t="shared" si="13"/>
        <v>distansinstitutet.se</v>
      </c>
      <c r="G857" s="5" t="s">
        <v>1344</v>
      </c>
      <c r="H857" s="5" t="s">
        <v>5</v>
      </c>
      <c r="I857" s="99">
        <v>45321</v>
      </c>
    </row>
    <row r="858" spans="1:9" ht="13.5">
      <c r="A858" s="2" t="s">
        <v>1615</v>
      </c>
      <c r="B858" s="3"/>
      <c r="C858" s="4" t="s">
        <v>1616</v>
      </c>
      <c r="D858" s="4" t="s">
        <v>1617</v>
      </c>
      <c r="E858" s="5" t="s">
        <v>1619</v>
      </c>
      <c r="F858" s="5" t="str">
        <f t="shared" si="13"/>
        <v>kamux.fi</v>
      </c>
      <c r="G858" s="5" t="s">
        <v>4</v>
      </c>
      <c r="H858" s="5" t="s">
        <v>1618</v>
      </c>
      <c r="I858" s="6">
        <v>45559</v>
      </c>
    </row>
    <row r="859" spans="1:9" ht="13.5">
      <c r="A859" s="2" t="s">
        <v>1615</v>
      </c>
      <c r="B859" s="3"/>
      <c r="C859" s="4" t="s">
        <v>1620</v>
      </c>
      <c r="D859" s="4" t="s">
        <v>1617</v>
      </c>
      <c r="E859" s="5" t="s">
        <v>1619</v>
      </c>
      <c r="F859" s="5" t="str">
        <f t="shared" si="13"/>
        <v>kamux.fi</v>
      </c>
      <c r="G859" s="5" t="s">
        <v>4</v>
      </c>
      <c r="H859" s="5" t="s">
        <v>1618</v>
      </c>
      <c r="I859" s="6">
        <v>45559</v>
      </c>
    </row>
    <row r="860" spans="1:9" ht="13.9">
      <c r="A860" s="2" t="s">
        <v>1342</v>
      </c>
      <c r="B860" s="3"/>
      <c r="C860" s="91" t="s">
        <v>1611</v>
      </c>
      <c r="D860" s="79" t="s">
        <v>1001</v>
      </c>
      <c r="E860" s="79" t="s">
        <v>1621</v>
      </c>
      <c r="F860" s="5" t="str">
        <f t="shared" si="13"/>
        <v>pontonhamnar.se</v>
      </c>
      <c r="G860" s="5" t="s">
        <v>4</v>
      </c>
      <c r="H860" s="5" t="s">
        <v>5</v>
      </c>
      <c r="I860" s="99">
        <v>45322</v>
      </c>
    </row>
    <row r="861" spans="1:9" ht="13.9">
      <c r="A861" s="101" t="s">
        <v>329</v>
      </c>
      <c r="B861" s="3"/>
      <c r="C861" s="91" t="s">
        <v>1622</v>
      </c>
      <c r="D861" s="87" t="s">
        <v>472</v>
      </c>
      <c r="E861" s="79" t="s">
        <v>473</v>
      </c>
      <c r="F861" s="5" t="str">
        <f t="shared" si="13"/>
        <v>vont</v>
      </c>
      <c r="G861" s="5" t="s">
        <v>4</v>
      </c>
      <c r="H861" s="5" t="s">
        <v>5</v>
      </c>
      <c r="I861" s="99">
        <v>45322</v>
      </c>
    </row>
    <row r="862" spans="1:9" ht="13.5">
      <c r="A862" s="2" t="s">
        <v>1180</v>
      </c>
      <c r="B862" s="3"/>
      <c r="C862" s="71" t="s">
        <v>1623</v>
      </c>
      <c r="D862" s="4" t="s">
        <v>1609</v>
      </c>
      <c r="E862" s="5" t="s">
        <v>1624</v>
      </c>
      <c r="F862" s="5" t="str">
        <f t="shared" si="13"/>
        <v>e-ciggbolaget.se</v>
      </c>
      <c r="G862" s="5" t="s">
        <v>4</v>
      </c>
      <c r="H862" s="5" t="s">
        <v>5</v>
      </c>
      <c r="I862" s="6">
        <v>45323</v>
      </c>
    </row>
    <row r="863" spans="1:9" ht="13.5">
      <c r="A863" s="2" t="s">
        <v>1180</v>
      </c>
      <c r="B863" s="3"/>
      <c r="C863" s="71" t="s">
        <v>1625</v>
      </c>
      <c r="D863" s="4" t="s">
        <v>1569</v>
      </c>
      <c r="E863" s="5" t="s">
        <v>1626</v>
      </c>
      <c r="F863" s="5" t="str">
        <f t="shared" si="13"/>
        <v>e-ciggbolaget.se</v>
      </c>
      <c r="G863" s="5" t="s">
        <v>4</v>
      </c>
      <c r="H863" s="5" t="s">
        <v>5</v>
      </c>
      <c r="I863" s="6">
        <v>45323</v>
      </c>
    </row>
    <row r="864" spans="1:9" ht="13.9">
      <c r="A864" s="2" t="s">
        <v>703</v>
      </c>
      <c r="B864" s="3"/>
      <c r="C864" s="105" t="s">
        <v>1627</v>
      </c>
      <c r="D864" s="105" t="s">
        <v>1335</v>
      </c>
      <c r="E864" s="79" t="s">
        <v>1628</v>
      </c>
      <c r="F864" s="5" t="str">
        <f t="shared" si="13"/>
        <v>distansinstitutet.se</v>
      </c>
      <c r="G864" s="5" t="s">
        <v>1344</v>
      </c>
      <c r="H864" s="5" t="s">
        <v>5</v>
      </c>
      <c r="I864" s="99">
        <v>45323</v>
      </c>
    </row>
    <row r="865" spans="1:9" ht="13.5">
      <c r="A865" s="2" t="s">
        <v>1180</v>
      </c>
      <c r="B865" s="3"/>
      <c r="C865" s="71" t="s">
        <v>1629</v>
      </c>
      <c r="D865" s="4" t="s">
        <v>1630</v>
      </c>
      <c r="E865" s="5" t="s">
        <v>1631</v>
      </c>
      <c r="F865" s="5" t="str">
        <f t="shared" si="13"/>
        <v>e-ciggbolaget.se</v>
      </c>
      <c r="G865" s="5" t="s">
        <v>4</v>
      </c>
      <c r="H865" s="5" t="s">
        <v>5</v>
      </c>
      <c r="I865" s="6">
        <v>45324</v>
      </c>
    </row>
    <row r="866" spans="1:9" ht="13.5">
      <c r="A866" s="2" t="s">
        <v>714</v>
      </c>
      <c r="B866" s="3"/>
      <c r="C866" s="71" t="s">
        <v>1632</v>
      </c>
      <c r="D866" s="4" t="s">
        <v>1633</v>
      </c>
      <c r="E866" s="5" t="s">
        <v>1634</v>
      </c>
      <c r="F866" s="5" t="str">
        <f t="shared" si="13"/>
        <v>Alfa.no</v>
      </c>
      <c r="G866" s="5" t="s">
        <v>4</v>
      </c>
      <c r="H866" s="5" t="s">
        <v>382</v>
      </c>
      <c r="I866" s="6">
        <v>45325</v>
      </c>
    </row>
    <row r="867" spans="1:9" ht="13.9">
      <c r="A867" s="2" t="s">
        <v>703</v>
      </c>
      <c r="B867" s="3"/>
      <c r="C867" s="105" t="s">
        <v>1635</v>
      </c>
      <c r="D867" s="105" t="s">
        <v>1335</v>
      </c>
      <c r="E867" s="79" t="s">
        <v>1636</v>
      </c>
      <c r="F867" s="5" t="str">
        <f t="shared" si="13"/>
        <v>distansinstitutet.se</v>
      </c>
      <c r="G867" s="5" t="s">
        <v>4</v>
      </c>
      <c r="H867" s="5" t="s">
        <v>5</v>
      </c>
      <c r="I867" s="99">
        <v>45325</v>
      </c>
    </row>
    <row r="868" spans="1:9" ht="13.5">
      <c r="A868" s="2" t="s">
        <v>1180</v>
      </c>
      <c r="B868" s="3"/>
      <c r="C868" s="71" t="s">
        <v>1637</v>
      </c>
      <c r="D868" s="4" t="s">
        <v>1580</v>
      </c>
      <c r="E868" s="5" t="s">
        <v>1638</v>
      </c>
      <c r="F868" s="5" t="str">
        <f t="shared" si="13"/>
        <v>e-ciggbolaget.se</v>
      </c>
      <c r="G868" s="5" t="s">
        <v>4</v>
      </c>
      <c r="H868" s="5" t="s">
        <v>5</v>
      </c>
      <c r="I868" s="6">
        <v>45326</v>
      </c>
    </row>
    <row r="869" spans="1:9" ht="13.5">
      <c r="A869" s="2" t="s">
        <v>1180</v>
      </c>
      <c r="B869" s="3"/>
      <c r="C869" s="71" t="s">
        <v>1639</v>
      </c>
      <c r="D869" s="4" t="s">
        <v>1640</v>
      </c>
      <c r="E869" s="5" t="s">
        <v>1641</v>
      </c>
      <c r="F869" s="5" t="str">
        <f t="shared" si="13"/>
        <v>e-ciggbolaget.se</v>
      </c>
      <c r="G869" s="5" t="s">
        <v>4</v>
      </c>
      <c r="H869" s="5" t="s">
        <v>5</v>
      </c>
      <c r="I869" s="6">
        <v>45328</v>
      </c>
    </row>
    <row r="870" spans="1:9" ht="14.25">
      <c r="A870" s="2" t="s">
        <v>703</v>
      </c>
      <c r="B870" s="3"/>
      <c r="C870" s="115" t="s">
        <v>1642</v>
      </c>
      <c r="D870" s="114" t="s">
        <v>912</v>
      </c>
      <c r="E870" s="78" t="s">
        <v>703</v>
      </c>
      <c r="F870" s="5" t="str">
        <f t="shared" si="13"/>
        <v>distansinstitutet.se</v>
      </c>
      <c r="G870" s="5" t="s">
        <v>1643</v>
      </c>
      <c r="H870" s="5" t="s">
        <v>5</v>
      </c>
      <c r="I870" s="116">
        <v>45330</v>
      </c>
    </row>
    <row r="871" spans="1:9" ht="13.5">
      <c r="A871" s="2" t="s">
        <v>703</v>
      </c>
      <c r="B871" s="3"/>
      <c r="C871" s="115" t="s">
        <v>1644</v>
      </c>
      <c r="D871" s="87" t="s">
        <v>729</v>
      </c>
      <c r="E871" s="79" t="s">
        <v>1645</v>
      </c>
      <c r="F871" s="5" t="str">
        <f t="shared" si="13"/>
        <v>distansinstitutet.se</v>
      </c>
      <c r="G871" s="5" t="s">
        <v>1643</v>
      </c>
      <c r="H871" s="5" t="s">
        <v>5</v>
      </c>
      <c r="I871" s="116">
        <v>45330</v>
      </c>
    </row>
    <row r="872" spans="1:9" ht="13.5">
      <c r="A872" s="2" t="s">
        <v>435</v>
      </c>
      <c r="B872" s="3"/>
      <c r="C872" s="115" t="s">
        <v>1646</v>
      </c>
      <c r="D872" s="87" t="s">
        <v>1384</v>
      </c>
      <c r="E872" s="79" t="s">
        <v>1647</v>
      </c>
      <c r="F872" s="5" t="str">
        <f t="shared" si="13"/>
        <v>fairinvestments.se</v>
      </c>
      <c r="G872" s="5" t="s">
        <v>1643</v>
      </c>
      <c r="H872" s="5" t="s">
        <v>5</v>
      </c>
      <c r="I872" s="116">
        <v>45330</v>
      </c>
    </row>
    <row r="873" spans="1:9" ht="13.5">
      <c r="A873" s="2" t="s">
        <v>765</v>
      </c>
      <c r="B873" s="3"/>
      <c r="C873" s="115" t="s">
        <v>1648</v>
      </c>
      <c r="D873" s="87" t="s">
        <v>1379</v>
      </c>
      <c r="E873" s="79" t="s">
        <v>1380</v>
      </c>
      <c r="F873" s="5" t="str">
        <f t="shared" si="13"/>
        <v>lemontree.se</v>
      </c>
      <c r="G873" s="5" t="s">
        <v>1643</v>
      </c>
      <c r="H873" s="5" t="s">
        <v>5</v>
      </c>
      <c r="I873" s="116">
        <v>45330</v>
      </c>
    </row>
    <row r="874" spans="1:9" ht="13.5">
      <c r="A874" s="2" t="s">
        <v>1649</v>
      </c>
      <c r="B874" s="3"/>
      <c r="C874" s="115" t="s">
        <v>1650</v>
      </c>
      <c r="D874" s="87" t="s">
        <v>1651</v>
      </c>
      <c r="E874" s="79" t="s">
        <v>1652</v>
      </c>
      <c r="F874" s="5" t="str">
        <f t="shared" si="13"/>
        <v>nordenhydralic.se</v>
      </c>
      <c r="G874" s="5" t="s">
        <v>1643</v>
      </c>
      <c r="H874" s="5" t="s">
        <v>5</v>
      </c>
      <c r="I874" s="116">
        <v>45330</v>
      </c>
    </row>
    <row r="875" spans="1:9" ht="13.5">
      <c r="A875" s="2" t="s">
        <v>765</v>
      </c>
      <c r="B875" s="3"/>
      <c r="C875" s="4" t="s">
        <v>1653</v>
      </c>
      <c r="D875" s="71" t="s">
        <v>1534</v>
      </c>
      <c r="E875" s="5" t="s">
        <v>1528</v>
      </c>
      <c r="F875" s="5" t="str">
        <f t="shared" si="13"/>
        <v>lemontree.se</v>
      </c>
      <c r="G875" s="5" t="s">
        <v>4</v>
      </c>
      <c r="H875" s="5" t="s">
        <v>5</v>
      </c>
      <c r="I875" s="6">
        <v>45331</v>
      </c>
    </row>
    <row r="876" spans="1:9" ht="13.5">
      <c r="A876" s="2" t="s">
        <v>171</v>
      </c>
      <c r="B876" s="3"/>
      <c r="C876" s="117" t="s">
        <v>1654</v>
      </c>
      <c r="D876" s="105" t="s">
        <v>1095</v>
      </c>
      <c r="E876" s="79" t="s">
        <v>1655</v>
      </c>
      <c r="F876" s="5" t="str">
        <f t="shared" si="13"/>
        <v>arctic.se</v>
      </c>
      <c r="G876" s="5" t="s">
        <v>1344</v>
      </c>
      <c r="H876" s="5" t="s">
        <v>5</v>
      </c>
      <c r="I876" s="116">
        <v>45331</v>
      </c>
    </row>
    <row r="877" spans="1:9" ht="13.5">
      <c r="A877" s="2" t="s">
        <v>703</v>
      </c>
      <c r="B877" s="3"/>
      <c r="C877" s="115" t="s">
        <v>1656</v>
      </c>
      <c r="D877" s="87" t="s">
        <v>1335</v>
      </c>
      <c r="E877" s="79" t="s">
        <v>1657</v>
      </c>
      <c r="F877" s="5" t="str">
        <f t="shared" si="13"/>
        <v>distansinstitutet.se</v>
      </c>
      <c r="G877" s="5" t="s">
        <v>1643</v>
      </c>
      <c r="H877" s="5" t="s">
        <v>5</v>
      </c>
      <c r="I877" s="116">
        <v>45331</v>
      </c>
    </row>
    <row r="878" spans="1:9" ht="13.5">
      <c r="A878" s="2" t="s">
        <v>1</v>
      </c>
      <c r="B878" s="3"/>
      <c r="C878" s="115" t="s">
        <v>1658</v>
      </c>
      <c r="D878" s="87" t="s">
        <v>1659</v>
      </c>
      <c r="E878" s="79" t="s">
        <v>1661</v>
      </c>
      <c r="F878" s="5" t="str">
        <f t="shared" si="13"/>
        <v>haxan.se</v>
      </c>
      <c r="G878" s="5" t="s">
        <v>1660</v>
      </c>
      <c r="H878" s="5" t="s">
        <v>5</v>
      </c>
      <c r="I878" s="116">
        <v>45331</v>
      </c>
    </row>
    <row r="879" spans="1:9" ht="13.5">
      <c r="A879" s="7" t="s">
        <v>1324</v>
      </c>
      <c r="B879" s="3"/>
      <c r="C879" s="115" t="s">
        <v>1662</v>
      </c>
      <c r="D879" s="87" t="s">
        <v>1309</v>
      </c>
      <c r="E879" s="79" t="s">
        <v>1663</v>
      </c>
      <c r="F879" s="5" t="str">
        <f t="shared" si="13"/>
        <v>Lansfast Danderyd &amp; täby</v>
      </c>
      <c r="G879" s="5" t="s">
        <v>1643</v>
      </c>
      <c r="H879" s="5" t="s">
        <v>5</v>
      </c>
      <c r="I879" s="116">
        <v>45331</v>
      </c>
    </row>
    <row r="880" spans="1:9" ht="13.5">
      <c r="A880" s="2" t="s">
        <v>435</v>
      </c>
      <c r="B880" s="3"/>
      <c r="C880" s="115" t="s">
        <v>1664</v>
      </c>
      <c r="D880" s="87" t="s">
        <v>1446</v>
      </c>
      <c r="E880" s="79" t="s">
        <v>839</v>
      </c>
      <c r="F880" s="5" t="str">
        <f t="shared" si="13"/>
        <v>fairinvestments.se</v>
      </c>
      <c r="G880" s="5" t="s">
        <v>1660</v>
      </c>
      <c r="H880" s="5" t="s">
        <v>5</v>
      </c>
      <c r="I880" s="116">
        <v>45331</v>
      </c>
    </row>
    <row r="881" spans="1:9" ht="13.5">
      <c r="A881" s="2" t="s">
        <v>1247</v>
      </c>
      <c r="B881" s="3"/>
      <c r="C881" s="115" t="s">
        <v>1665</v>
      </c>
      <c r="D881" s="87" t="s">
        <v>1249</v>
      </c>
      <c r="E881" s="79" t="s">
        <v>1666</v>
      </c>
      <c r="F881" s="5" t="str">
        <f t="shared" si="13"/>
        <v>carpcon.se</v>
      </c>
      <c r="G881" s="5" t="s">
        <v>1643</v>
      </c>
      <c r="H881" s="5" t="s">
        <v>5</v>
      </c>
      <c r="I881" s="116">
        <v>45332</v>
      </c>
    </row>
    <row r="882" spans="1:9" ht="13.5">
      <c r="A882" s="2" t="s">
        <v>1667</v>
      </c>
      <c r="B882" s="3"/>
      <c r="C882" s="71" t="s">
        <v>1668</v>
      </c>
      <c r="D882" s="4" t="s">
        <v>1669</v>
      </c>
      <c r="E882" s="5" t="s">
        <v>1670</v>
      </c>
      <c r="F882" s="5" t="str">
        <f t="shared" si="13"/>
        <v>Alfa.se</v>
      </c>
      <c r="G882" s="5" t="s">
        <v>4</v>
      </c>
      <c r="H882" s="5" t="s">
        <v>5</v>
      </c>
      <c r="I882" s="6">
        <v>45332</v>
      </c>
    </row>
    <row r="883" spans="1:9" ht="13.5">
      <c r="A883" s="7" t="s">
        <v>329</v>
      </c>
      <c r="B883" s="3"/>
      <c r="C883" s="115" t="s">
        <v>1671</v>
      </c>
      <c r="D883" s="87" t="s">
        <v>1488</v>
      </c>
      <c r="E883" s="79" t="s">
        <v>1672</v>
      </c>
      <c r="F883" s="5" t="str">
        <f t="shared" si="13"/>
        <v>vont</v>
      </c>
      <c r="G883" s="5" t="s">
        <v>1643</v>
      </c>
      <c r="H883" s="5" t="s">
        <v>5</v>
      </c>
      <c r="I883" s="116">
        <v>45332</v>
      </c>
    </row>
    <row r="884" spans="1:9" ht="13.5">
      <c r="A884" s="2" t="s">
        <v>1138</v>
      </c>
      <c r="B884" s="3"/>
      <c r="C884" s="115" t="s">
        <v>1673</v>
      </c>
      <c r="D884" s="87" t="s">
        <v>1236</v>
      </c>
      <c r="E884" s="79" t="s">
        <v>1674</v>
      </c>
      <c r="F884" s="5" t="str">
        <f t="shared" si="13"/>
        <v>hemplybalance.com</v>
      </c>
      <c r="G884" s="5" t="s">
        <v>1643</v>
      </c>
      <c r="H884" s="5" t="s">
        <v>5</v>
      </c>
      <c r="I884" s="116">
        <v>45332</v>
      </c>
    </row>
    <row r="885" spans="1:9" ht="13.5">
      <c r="A885" s="7" t="s">
        <v>386</v>
      </c>
      <c r="B885" s="3"/>
      <c r="C885" s="115" t="s">
        <v>1675</v>
      </c>
      <c r="D885" s="87" t="s">
        <v>452</v>
      </c>
      <c r="E885" s="78" t="s">
        <v>1676</v>
      </c>
      <c r="F885" s="5" t="str">
        <f t="shared" si="13"/>
        <v>pontech</v>
      </c>
      <c r="G885" s="5" t="s">
        <v>1643</v>
      </c>
      <c r="H885" s="5" t="s">
        <v>5</v>
      </c>
      <c r="I885" s="116">
        <v>45332</v>
      </c>
    </row>
    <row r="886" spans="1:9" ht="13.5">
      <c r="A886" s="2" t="s">
        <v>1284</v>
      </c>
      <c r="B886" s="3"/>
      <c r="C886" s="115" t="s">
        <v>1677</v>
      </c>
      <c r="D886" s="87" t="s">
        <v>1286</v>
      </c>
      <c r="E886" s="78" t="s">
        <v>1284</v>
      </c>
      <c r="F886" s="5" t="str">
        <f t="shared" si="13"/>
        <v>norteam.se</v>
      </c>
      <c r="G886" s="5" t="s">
        <v>1344</v>
      </c>
      <c r="H886" s="5" t="s">
        <v>5</v>
      </c>
      <c r="I886" s="116">
        <v>45332</v>
      </c>
    </row>
    <row r="887" spans="1:9" ht="13.5">
      <c r="A887" s="7" t="s">
        <v>224</v>
      </c>
      <c r="B887" s="3"/>
      <c r="C887" s="115" t="s">
        <v>1678</v>
      </c>
      <c r="D887" s="87" t="s">
        <v>1341</v>
      </c>
      <c r="E887" s="79" t="s">
        <v>1679</v>
      </c>
      <c r="F887" s="5" t="str">
        <f t="shared" si="13"/>
        <v>swedoffice</v>
      </c>
      <c r="G887" s="5" t="s">
        <v>1344</v>
      </c>
      <c r="H887" s="5" t="s">
        <v>5</v>
      </c>
      <c r="I887" s="116">
        <v>45333</v>
      </c>
    </row>
    <row r="888" spans="1:9" ht="13.5">
      <c r="A888" s="2" t="s">
        <v>689</v>
      </c>
      <c r="B888" s="3"/>
      <c r="C888" s="115" t="s">
        <v>1654</v>
      </c>
      <c r="D888" s="87" t="s">
        <v>691</v>
      </c>
      <c r="E888" s="79" t="s">
        <v>1680</v>
      </c>
      <c r="F888" s="5" t="str">
        <f t="shared" si="13"/>
        <v>conclean.se</v>
      </c>
      <c r="G888" s="5" t="s">
        <v>1643</v>
      </c>
      <c r="H888" s="5" t="s">
        <v>5</v>
      </c>
      <c r="I888" s="116">
        <v>45333</v>
      </c>
    </row>
    <row r="889" spans="1:9" ht="13.5">
      <c r="A889" s="2" t="s">
        <v>703</v>
      </c>
      <c r="B889" s="3"/>
      <c r="C889" s="115" t="s">
        <v>1681</v>
      </c>
      <c r="D889" s="87" t="s">
        <v>1335</v>
      </c>
      <c r="E889" s="79" t="s">
        <v>1682</v>
      </c>
      <c r="F889" s="5" t="str">
        <f t="shared" si="13"/>
        <v>distansinstitutet.se</v>
      </c>
      <c r="G889" s="5" t="s">
        <v>1643</v>
      </c>
      <c r="H889" s="5" t="s">
        <v>5</v>
      </c>
      <c r="I889" s="116">
        <v>45333</v>
      </c>
    </row>
    <row r="890" spans="1:9" ht="13.5">
      <c r="A890" s="2" t="s">
        <v>325</v>
      </c>
      <c r="B890" s="3"/>
      <c r="C890" s="87" t="s">
        <v>1244</v>
      </c>
      <c r="D890" s="87" t="s">
        <v>1244</v>
      </c>
      <c r="E890" s="79" t="s">
        <v>1683</v>
      </c>
      <c r="F890" s="5" t="str">
        <f t="shared" si="13"/>
        <v>tiotak.se</v>
      </c>
      <c r="G890" s="5" t="s">
        <v>1643</v>
      </c>
      <c r="H890" s="5" t="s">
        <v>5</v>
      </c>
      <c r="I890" s="116">
        <v>45333</v>
      </c>
    </row>
    <row r="891" spans="1:9" ht="13.5">
      <c r="A891" s="2" t="s">
        <v>1213</v>
      </c>
      <c r="B891" s="3"/>
      <c r="C891" s="87" t="s">
        <v>1684</v>
      </c>
      <c r="D891" s="87" t="s">
        <v>1215</v>
      </c>
      <c r="E891" s="79" t="s">
        <v>1685</v>
      </c>
      <c r="F891" s="5" t="str">
        <f t="shared" si="13"/>
        <v>mariatand.se</v>
      </c>
      <c r="G891" s="5" t="s">
        <v>1660</v>
      </c>
      <c r="H891" s="5" t="s">
        <v>5</v>
      </c>
      <c r="I891" s="116">
        <v>45333</v>
      </c>
    </row>
    <row r="892" spans="1:9" ht="13.5">
      <c r="A892" s="2" t="s">
        <v>435</v>
      </c>
      <c r="B892" s="3"/>
      <c r="C892" s="87" t="s">
        <v>1686</v>
      </c>
      <c r="D892" s="87" t="s">
        <v>1687</v>
      </c>
      <c r="E892" s="79" t="s">
        <v>1688</v>
      </c>
      <c r="F892" s="5" t="str">
        <f t="shared" si="13"/>
        <v>fairinvestments.se</v>
      </c>
      <c r="G892" s="5" t="s">
        <v>1643</v>
      </c>
      <c r="H892" s="5" t="s">
        <v>5</v>
      </c>
      <c r="I892" s="116">
        <v>45334</v>
      </c>
    </row>
    <row r="893" spans="1:9" ht="13.5">
      <c r="A893" s="2" t="s">
        <v>1342</v>
      </c>
      <c r="B893" s="3"/>
      <c r="C893" s="87" t="s">
        <v>1689</v>
      </c>
      <c r="D893" s="87" t="s">
        <v>1001</v>
      </c>
      <c r="E893" s="79" t="s">
        <v>1690</v>
      </c>
      <c r="F893" s="5" t="str">
        <f t="shared" si="13"/>
        <v>pontonhamnar.se</v>
      </c>
      <c r="G893" s="5" t="s">
        <v>1643</v>
      </c>
      <c r="H893" s="5" t="s">
        <v>5</v>
      </c>
      <c r="I893" s="116">
        <v>45334</v>
      </c>
    </row>
    <row r="894" spans="1:9" ht="13.5">
      <c r="A894" s="7" t="s">
        <v>1275</v>
      </c>
      <c r="B894" s="3"/>
      <c r="C894" s="87" t="s">
        <v>1691</v>
      </c>
      <c r="D894" s="87" t="s">
        <v>1692</v>
      </c>
      <c r="E894" s="79" t="s">
        <v>1693</v>
      </c>
      <c r="F894" s="5" t="str">
        <f t="shared" si="13"/>
        <v>spoors.health</v>
      </c>
      <c r="G894" s="5" t="s">
        <v>1660</v>
      </c>
      <c r="H894" s="5" t="s">
        <v>5</v>
      </c>
      <c r="I894" s="116">
        <v>45334</v>
      </c>
    </row>
    <row r="895" spans="1:9" ht="13.5">
      <c r="A895" s="2" t="s">
        <v>703</v>
      </c>
      <c r="B895" s="3"/>
      <c r="C895" s="87" t="s">
        <v>1694</v>
      </c>
      <c r="D895" s="87" t="s">
        <v>1098</v>
      </c>
      <c r="E895" s="79" t="s">
        <v>1099</v>
      </c>
      <c r="F895" s="5" t="str">
        <f t="shared" si="13"/>
        <v>distansinstitutet.se</v>
      </c>
      <c r="G895" s="5" t="s">
        <v>1643</v>
      </c>
      <c r="H895" s="5" t="s">
        <v>5</v>
      </c>
      <c r="I895" s="116">
        <v>45334</v>
      </c>
    </row>
    <row r="896" spans="1:9" ht="13.5">
      <c r="A896" s="2" t="s">
        <v>1544</v>
      </c>
      <c r="B896" s="3"/>
      <c r="C896" s="71" t="s">
        <v>1695</v>
      </c>
      <c r="D896" s="4" t="s">
        <v>1546</v>
      </c>
      <c r="E896" s="5" t="s">
        <v>1696</v>
      </c>
      <c r="F896" s="5" t="str">
        <f t="shared" si="13"/>
        <v>Finansplassen.no</v>
      </c>
      <c r="G896" s="5" t="s">
        <v>4</v>
      </c>
      <c r="H896" s="5" t="s">
        <v>382</v>
      </c>
      <c r="I896" s="6">
        <v>45335</v>
      </c>
    </row>
    <row r="897" spans="1:9" ht="13.5">
      <c r="A897" s="2" t="s">
        <v>846</v>
      </c>
      <c r="B897" s="3"/>
      <c r="C897" s="87" t="s">
        <v>1697</v>
      </c>
      <c r="D897" s="87" t="s">
        <v>848</v>
      </c>
      <c r="E897" s="79" t="s">
        <v>1698</v>
      </c>
      <c r="F897" s="5" t="str">
        <f t="shared" si="13"/>
        <v>tandea.se</v>
      </c>
      <c r="G897" s="5" t="s">
        <v>1643</v>
      </c>
      <c r="H897" s="5" t="s">
        <v>5</v>
      </c>
      <c r="I897" s="116">
        <v>45335</v>
      </c>
    </row>
    <row r="898" spans="1:9" ht="13.5">
      <c r="A898" s="2" t="s">
        <v>703</v>
      </c>
      <c r="B898" s="3"/>
      <c r="C898" s="87" t="s">
        <v>1699</v>
      </c>
      <c r="D898" s="87" t="s">
        <v>1335</v>
      </c>
      <c r="E898" s="79" t="s">
        <v>1700</v>
      </c>
      <c r="F898" s="5" t="str">
        <f t="shared" si="13"/>
        <v>distansinstitutet.se</v>
      </c>
      <c r="G898" s="5" t="s">
        <v>1344</v>
      </c>
      <c r="H898" s="5" t="s">
        <v>5</v>
      </c>
      <c r="I898" s="116">
        <v>45335</v>
      </c>
    </row>
    <row r="899" spans="1:9" ht="13.5">
      <c r="A899" s="7" t="s">
        <v>1324</v>
      </c>
      <c r="B899" s="3"/>
      <c r="C899" s="87" t="s">
        <v>1701</v>
      </c>
      <c r="D899" s="87" t="s">
        <v>1309</v>
      </c>
      <c r="E899" s="79" t="s">
        <v>1702</v>
      </c>
      <c r="F899" s="5" t="str">
        <f t="shared" ref="F899:F962" si="14">A899</f>
        <v>Lansfast Danderyd &amp; täby</v>
      </c>
      <c r="G899" s="5" t="s">
        <v>1643</v>
      </c>
      <c r="H899" s="5" t="s">
        <v>5</v>
      </c>
      <c r="I899" s="116">
        <v>45335</v>
      </c>
    </row>
    <row r="900" spans="1:9" ht="13.5">
      <c r="A900" s="2" t="s">
        <v>435</v>
      </c>
      <c r="B900" s="3"/>
      <c r="C900" s="87" t="s">
        <v>1703</v>
      </c>
      <c r="D900" s="87" t="s">
        <v>1704</v>
      </c>
      <c r="E900" s="79" t="s">
        <v>1705</v>
      </c>
      <c r="F900" s="5" t="str">
        <f t="shared" si="14"/>
        <v>fairinvestments.se</v>
      </c>
      <c r="G900" s="5" t="s">
        <v>1643</v>
      </c>
      <c r="H900" s="5" t="s">
        <v>5</v>
      </c>
      <c r="I900" s="116">
        <v>45335</v>
      </c>
    </row>
    <row r="901" spans="1:9" ht="13.5">
      <c r="A901" s="2" t="s">
        <v>723</v>
      </c>
      <c r="B901" s="3"/>
      <c r="C901" s="105" t="s">
        <v>1706</v>
      </c>
      <c r="D901" s="87" t="s">
        <v>725</v>
      </c>
      <c r="E901" s="79" t="s">
        <v>723</v>
      </c>
      <c r="F901" s="5" t="str">
        <f t="shared" si="14"/>
        <v>aretrotale.com</v>
      </c>
      <c r="G901" s="5" t="s">
        <v>1643</v>
      </c>
      <c r="H901" s="5" t="s">
        <v>23</v>
      </c>
      <c r="I901" s="116">
        <v>45336</v>
      </c>
    </row>
    <row r="902" spans="1:9" ht="13.5">
      <c r="A902" s="2" t="s">
        <v>171</v>
      </c>
      <c r="B902" s="3"/>
      <c r="C902" s="87" t="s">
        <v>1707</v>
      </c>
      <c r="D902" s="87" t="s">
        <v>1708</v>
      </c>
      <c r="E902" s="79" t="s">
        <v>1505</v>
      </c>
      <c r="F902" s="5" t="str">
        <f t="shared" si="14"/>
        <v>arctic.se</v>
      </c>
      <c r="G902" s="5" t="s">
        <v>1643</v>
      </c>
      <c r="H902" s="5" t="s">
        <v>262</v>
      </c>
      <c r="I902" s="116">
        <v>45336</v>
      </c>
    </row>
    <row r="903" spans="1:9" ht="13.5">
      <c r="A903" s="2" t="s">
        <v>992</v>
      </c>
      <c r="B903" s="3"/>
      <c r="C903" s="87" t="s">
        <v>1709</v>
      </c>
      <c r="D903" s="87" t="s">
        <v>1392</v>
      </c>
      <c r="E903" s="79" t="s">
        <v>1710</v>
      </c>
      <c r="F903" s="5" t="str">
        <f t="shared" si="14"/>
        <v>ledkungen.se</v>
      </c>
      <c r="G903" s="5" t="s">
        <v>1660</v>
      </c>
      <c r="H903" s="5" t="s">
        <v>5</v>
      </c>
      <c r="I903" s="116">
        <v>45336</v>
      </c>
    </row>
    <row r="904" spans="1:9" ht="13.5">
      <c r="A904" s="2" t="s">
        <v>632</v>
      </c>
      <c r="B904" s="3"/>
      <c r="C904" s="87" t="s">
        <v>1711</v>
      </c>
      <c r="D904" s="87" t="s">
        <v>634</v>
      </c>
      <c r="E904" s="79" t="s">
        <v>1712</v>
      </c>
      <c r="F904" s="5" t="str">
        <f t="shared" si="14"/>
        <v>miamipool.se</v>
      </c>
      <c r="G904" s="5" t="s">
        <v>1643</v>
      </c>
      <c r="H904" s="5" t="s">
        <v>5</v>
      </c>
      <c r="I904" s="116">
        <v>45336</v>
      </c>
    </row>
    <row r="905" spans="1:9" ht="13.5">
      <c r="A905" s="101" t="s">
        <v>329</v>
      </c>
      <c r="B905" s="3"/>
      <c r="C905" s="87" t="s">
        <v>1713</v>
      </c>
      <c r="D905" s="87" t="s">
        <v>1388</v>
      </c>
      <c r="E905" s="79" t="s">
        <v>1714</v>
      </c>
      <c r="F905" s="5" t="str">
        <f t="shared" si="14"/>
        <v>vont</v>
      </c>
      <c r="G905" s="5" t="s">
        <v>1643</v>
      </c>
      <c r="H905" s="5" t="s">
        <v>5</v>
      </c>
      <c r="I905" s="116">
        <v>45336</v>
      </c>
    </row>
    <row r="906" spans="1:9" ht="13.5">
      <c r="A906" s="2" t="s">
        <v>703</v>
      </c>
      <c r="B906" s="3"/>
      <c r="C906" s="87" t="s">
        <v>1715</v>
      </c>
      <c r="D906" s="87" t="s">
        <v>1335</v>
      </c>
      <c r="E906" s="79" t="s">
        <v>773</v>
      </c>
      <c r="F906" s="5" t="str">
        <f t="shared" si="14"/>
        <v>distansinstitutet.se</v>
      </c>
      <c r="G906" s="5" t="s">
        <v>1643</v>
      </c>
      <c r="H906" s="5" t="s">
        <v>5</v>
      </c>
      <c r="I906" s="116">
        <v>45337</v>
      </c>
    </row>
    <row r="907" spans="1:9" ht="13.5">
      <c r="A907" s="2" t="s">
        <v>1263</v>
      </c>
      <c r="B907" s="3"/>
      <c r="C907" s="87" t="s">
        <v>1716</v>
      </c>
      <c r="D907" s="87" t="s">
        <v>1717</v>
      </c>
      <c r="E907" s="79" t="s">
        <v>1718</v>
      </c>
      <c r="F907" s="5" t="str">
        <f t="shared" si="14"/>
        <v>notyfile.se/sv</v>
      </c>
      <c r="G907" s="5" t="s">
        <v>1643</v>
      </c>
      <c r="H907" s="5" t="s">
        <v>5</v>
      </c>
      <c r="I907" s="116">
        <v>45337</v>
      </c>
    </row>
    <row r="908" spans="1:9" ht="13.5">
      <c r="A908" s="2" t="s">
        <v>1259</v>
      </c>
      <c r="B908" s="3"/>
      <c r="C908" s="87" t="s">
        <v>1719</v>
      </c>
      <c r="D908" s="87" t="s">
        <v>1261</v>
      </c>
      <c r="E908" s="79" t="s">
        <v>1720</v>
      </c>
      <c r="F908" s="5" t="str">
        <f t="shared" si="14"/>
        <v>saneringscompaniet.se</v>
      </c>
      <c r="G908" s="5" t="s">
        <v>1643</v>
      </c>
      <c r="H908" s="5" t="s">
        <v>5</v>
      </c>
      <c r="I908" s="116">
        <v>45337</v>
      </c>
    </row>
    <row r="909" spans="1:9" ht="13.5">
      <c r="A909" s="2" t="s">
        <v>435</v>
      </c>
      <c r="B909" s="3"/>
      <c r="C909" s="87" t="s">
        <v>1721</v>
      </c>
      <c r="D909" s="87" t="s">
        <v>1413</v>
      </c>
      <c r="E909" s="79" t="s">
        <v>1722</v>
      </c>
      <c r="F909" s="5" t="str">
        <f t="shared" si="14"/>
        <v>fairinvestments.se</v>
      </c>
      <c r="G909" s="5" t="s">
        <v>1660</v>
      </c>
      <c r="H909" s="5" t="s">
        <v>5</v>
      </c>
      <c r="I909" s="116">
        <v>45337</v>
      </c>
    </row>
    <row r="910" spans="1:9" ht="13.5">
      <c r="A910" s="2" t="s">
        <v>765</v>
      </c>
      <c r="B910" s="3"/>
      <c r="C910" s="87" t="s">
        <v>1723</v>
      </c>
      <c r="D910" s="87" t="s">
        <v>1534</v>
      </c>
      <c r="E910" s="79" t="s">
        <v>1724</v>
      </c>
      <c r="F910" s="5" t="str">
        <f t="shared" si="14"/>
        <v>lemontree.se</v>
      </c>
      <c r="G910" s="5" t="s">
        <v>1660</v>
      </c>
      <c r="H910" s="5" t="s">
        <v>5</v>
      </c>
      <c r="I910" s="116">
        <v>45338</v>
      </c>
    </row>
    <row r="911" spans="1:9" ht="13.5">
      <c r="A911" s="2" t="s">
        <v>405</v>
      </c>
      <c r="B911" s="3"/>
      <c r="C911" s="87" t="s">
        <v>1725</v>
      </c>
      <c r="D911" s="87" t="s">
        <v>610</v>
      </c>
      <c r="E911" s="79" t="s">
        <v>1726</v>
      </c>
      <c r="F911" s="5" t="str">
        <f t="shared" si="14"/>
        <v>rehabgrossisten.com</v>
      </c>
      <c r="G911" s="5" t="s">
        <v>1643</v>
      </c>
      <c r="H911" s="5" t="s">
        <v>5</v>
      </c>
      <c r="I911" s="116">
        <v>45338</v>
      </c>
    </row>
    <row r="912" spans="1:9" ht="13.5">
      <c r="A912" s="2" t="s">
        <v>435</v>
      </c>
      <c r="B912" s="3"/>
      <c r="C912" s="87" t="s">
        <v>1727</v>
      </c>
      <c r="D912" s="87" t="s">
        <v>834</v>
      </c>
      <c r="E912" s="79" t="s">
        <v>438</v>
      </c>
      <c r="F912" s="5" t="str">
        <f t="shared" si="14"/>
        <v>fairinvestments.se</v>
      </c>
      <c r="G912" s="5" t="s">
        <v>1643</v>
      </c>
      <c r="H912" s="5" t="s">
        <v>5</v>
      </c>
      <c r="I912" s="116">
        <v>45338</v>
      </c>
    </row>
    <row r="913" spans="1:9" ht="13.5">
      <c r="A913" s="2" t="s">
        <v>1112</v>
      </c>
      <c r="B913" s="3"/>
      <c r="C913" s="87" t="s">
        <v>1728</v>
      </c>
      <c r="D913" s="87" t="s">
        <v>1211</v>
      </c>
      <c r="E913" s="79" t="s">
        <v>1729</v>
      </c>
      <c r="F913" s="5" t="str">
        <f t="shared" si="14"/>
        <v>triwa.com</v>
      </c>
      <c r="G913" s="5" t="s">
        <v>1643</v>
      </c>
      <c r="H913" s="5" t="s">
        <v>345</v>
      </c>
      <c r="I913" s="116">
        <v>45338</v>
      </c>
    </row>
    <row r="914" spans="1:9" ht="13.5">
      <c r="A914" s="7" t="s">
        <v>329</v>
      </c>
      <c r="B914" s="3"/>
      <c r="C914" s="87" t="s">
        <v>1730</v>
      </c>
      <c r="D914" s="87" t="s">
        <v>1329</v>
      </c>
      <c r="E914" s="79" t="s">
        <v>1330</v>
      </c>
      <c r="F914" s="5" t="str">
        <f t="shared" si="14"/>
        <v>vont</v>
      </c>
      <c r="G914" s="5" t="s">
        <v>1643</v>
      </c>
      <c r="H914" s="5" t="s">
        <v>262</v>
      </c>
      <c r="I914" s="116">
        <v>45338</v>
      </c>
    </row>
    <row r="915" spans="1:9" ht="13.5">
      <c r="A915" s="2" t="s">
        <v>703</v>
      </c>
      <c r="B915" s="3"/>
      <c r="C915" s="87" t="s">
        <v>1731</v>
      </c>
      <c r="D915" s="87" t="s">
        <v>1335</v>
      </c>
      <c r="E915" s="79" t="s">
        <v>1732</v>
      </c>
      <c r="F915" s="5" t="str">
        <f t="shared" si="14"/>
        <v>distansinstitutet.se</v>
      </c>
      <c r="G915" s="5" t="s">
        <v>1643</v>
      </c>
      <c r="H915" s="5" t="s">
        <v>5</v>
      </c>
      <c r="I915" s="116">
        <v>45339</v>
      </c>
    </row>
    <row r="916" spans="1:9" ht="13.5">
      <c r="A916" s="2" t="s">
        <v>435</v>
      </c>
      <c r="B916" s="3"/>
      <c r="C916" s="87" t="s">
        <v>1733</v>
      </c>
      <c r="D916" s="87" t="s">
        <v>1734</v>
      </c>
      <c r="E916" s="79" t="s">
        <v>1735</v>
      </c>
      <c r="F916" s="5" t="str">
        <f t="shared" si="14"/>
        <v>fairinvestments.se</v>
      </c>
      <c r="G916" s="5" t="s">
        <v>1643</v>
      </c>
      <c r="H916" s="5" t="s">
        <v>5</v>
      </c>
      <c r="I916" s="116">
        <v>45339</v>
      </c>
    </row>
    <row r="917" spans="1:9" ht="13.5">
      <c r="A917" s="2" t="s">
        <v>846</v>
      </c>
      <c r="B917" s="3"/>
      <c r="C917" s="80" t="s">
        <v>1736</v>
      </c>
      <c r="D917" s="87" t="s">
        <v>848</v>
      </c>
      <c r="E917" s="79" t="s">
        <v>1039</v>
      </c>
      <c r="F917" s="5" t="str">
        <f t="shared" si="14"/>
        <v>tandea.se</v>
      </c>
      <c r="G917" s="5" t="s">
        <v>1660</v>
      </c>
      <c r="H917" s="5" t="s">
        <v>5</v>
      </c>
      <c r="I917" s="116">
        <v>45339</v>
      </c>
    </row>
    <row r="918" spans="1:9" ht="13.5">
      <c r="A918" s="2" t="s">
        <v>464</v>
      </c>
      <c r="B918" s="3"/>
      <c r="C918" s="87" t="s">
        <v>1737</v>
      </c>
      <c r="D918" s="87" t="s">
        <v>466</v>
      </c>
      <c r="E918" s="79" t="s">
        <v>1738</v>
      </c>
      <c r="F918" s="5" t="str">
        <f t="shared" si="14"/>
        <v>villarelining.se</v>
      </c>
      <c r="G918" s="5" t="s">
        <v>1643</v>
      </c>
      <c r="H918" s="5" t="s">
        <v>5</v>
      </c>
      <c r="I918" s="116">
        <v>45339</v>
      </c>
    </row>
    <row r="919" spans="1:9" ht="13.5">
      <c r="A919" s="7" t="s">
        <v>329</v>
      </c>
      <c r="B919" s="3"/>
      <c r="C919" s="87" t="s">
        <v>1739</v>
      </c>
      <c r="D919" s="87" t="s">
        <v>1488</v>
      </c>
      <c r="E919" s="79" t="s">
        <v>1740</v>
      </c>
      <c r="F919" s="5" t="str">
        <f t="shared" si="14"/>
        <v>vont</v>
      </c>
      <c r="G919" s="5" t="s">
        <v>1643</v>
      </c>
      <c r="H919" s="5" t="s">
        <v>5</v>
      </c>
      <c r="I919" s="116">
        <v>45339</v>
      </c>
    </row>
    <row r="920" spans="1:9" ht="13.5">
      <c r="A920" s="2" t="s">
        <v>1544</v>
      </c>
      <c r="B920" s="3"/>
      <c r="C920" s="71" t="s">
        <v>1741</v>
      </c>
      <c r="D920" s="4" t="s">
        <v>1594</v>
      </c>
      <c r="E920" s="5" t="s">
        <v>1742</v>
      </c>
      <c r="F920" s="5" t="str">
        <f t="shared" si="14"/>
        <v>Finansplassen.no</v>
      </c>
      <c r="G920" s="5" t="s">
        <v>4</v>
      </c>
      <c r="H920" s="5" t="s">
        <v>382</v>
      </c>
      <c r="I920" s="6">
        <v>45341</v>
      </c>
    </row>
    <row r="921" spans="1:9" ht="13.5">
      <c r="A921" s="2" t="s">
        <v>703</v>
      </c>
      <c r="B921" s="3"/>
      <c r="C921" s="87" t="s">
        <v>1743</v>
      </c>
      <c r="D921" s="87" t="s">
        <v>1335</v>
      </c>
      <c r="E921" s="79" t="s">
        <v>1744</v>
      </c>
      <c r="F921" s="5" t="str">
        <f t="shared" si="14"/>
        <v>distansinstitutet.se</v>
      </c>
      <c r="G921" s="5" t="s">
        <v>1643</v>
      </c>
      <c r="H921" s="5" t="s">
        <v>5</v>
      </c>
      <c r="I921" s="116">
        <v>45341</v>
      </c>
    </row>
    <row r="922" spans="1:9" ht="13.5">
      <c r="A922" s="2" t="s">
        <v>1</v>
      </c>
      <c r="B922" s="3"/>
      <c r="C922" s="87" t="s">
        <v>1745</v>
      </c>
      <c r="D922" s="87" t="s">
        <v>1069</v>
      </c>
      <c r="E922" s="79" t="s">
        <v>1070</v>
      </c>
      <c r="F922" s="5" t="str">
        <f t="shared" si="14"/>
        <v>haxan.se</v>
      </c>
      <c r="G922" s="5" t="s">
        <v>1643</v>
      </c>
      <c r="H922" s="5" t="s">
        <v>5</v>
      </c>
      <c r="I922" s="116">
        <v>45341</v>
      </c>
    </row>
    <row r="923" spans="1:9" ht="13.5">
      <c r="A923" s="2" t="s">
        <v>1138</v>
      </c>
      <c r="B923" s="3"/>
      <c r="C923" s="87" t="s">
        <v>1746</v>
      </c>
      <c r="D923" s="87" t="s">
        <v>1236</v>
      </c>
      <c r="E923" s="79" t="s">
        <v>1747</v>
      </c>
      <c r="F923" s="5" t="str">
        <f t="shared" si="14"/>
        <v>hemplybalance.com</v>
      </c>
      <c r="G923" s="5" t="s">
        <v>1660</v>
      </c>
      <c r="H923" s="5" t="s">
        <v>5</v>
      </c>
      <c r="I923" s="116">
        <v>45341</v>
      </c>
    </row>
    <row r="924" spans="1:9" ht="13.5">
      <c r="A924" s="2" t="s">
        <v>435</v>
      </c>
      <c r="B924" s="3"/>
      <c r="C924" s="87" t="s">
        <v>1748</v>
      </c>
      <c r="D924" s="87" t="s">
        <v>973</v>
      </c>
      <c r="E924" s="79" t="s">
        <v>1398</v>
      </c>
      <c r="F924" s="5" t="str">
        <f t="shared" si="14"/>
        <v>fairinvestments.se</v>
      </c>
      <c r="G924" s="5" t="s">
        <v>1660</v>
      </c>
      <c r="H924" s="5" t="s">
        <v>5</v>
      </c>
      <c r="I924" s="116">
        <v>45341</v>
      </c>
    </row>
    <row r="925" spans="1:9" ht="13.5">
      <c r="A925" s="7" t="s">
        <v>329</v>
      </c>
      <c r="B925" s="3"/>
      <c r="C925" s="87" t="s">
        <v>1749</v>
      </c>
      <c r="D925" s="87" t="s">
        <v>472</v>
      </c>
      <c r="E925" s="79" t="s">
        <v>473</v>
      </c>
      <c r="F925" s="5" t="str">
        <f t="shared" si="14"/>
        <v>vont</v>
      </c>
      <c r="G925" s="5" t="s">
        <v>1643</v>
      </c>
      <c r="H925" s="5" t="s">
        <v>5</v>
      </c>
      <c r="I925" s="116">
        <v>45341</v>
      </c>
    </row>
    <row r="926" spans="1:9" ht="13.5">
      <c r="A926" s="2" t="s">
        <v>1750</v>
      </c>
      <c r="B926" s="3"/>
      <c r="C926" s="71" t="s">
        <v>1751</v>
      </c>
      <c r="D926" s="4" t="s">
        <v>1752</v>
      </c>
      <c r="E926" s="5" t="s">
        <v>1141</v>
      </c>
      <c r="F926" s="5" t="str">
        <f t="shared" si="14"/>
        <v>cannabislight.se</v>
      </c>
      <c r="G926" s="5" t="s">
        <v>4</v>
      </c>
      <c r="H926" s="5" t="s">
        <v>5</v>
      </c>
      <c r="I926" s="6">
        <v>45342</v>
      </c>
    </row>
    <row r="927" spans="1:9" ht="13.5">
      <c r="A927" s="2" t="s">
        <v>1750</v>
      </c>
      <c r="B927" s="3"/>
      <c r="C927" s="71" t="s">
        <v>1753</v>
      </c>
      <c r="D927" s="4" t="s">
        <v>1754</v>
      </c>
      <c r="E927" s="22" t="s">
        <v>1750</v>
      </c>
      <c r="F927" s="5" t="str">
        <f t="shared" si="14"/>
        <v>cannabislight.se</v>
      </c>
      <c r="G927" s="5" t="s">
        <v>4</v>
      </c>
      <c r="H927" s="5" t="s">
        <v>5</v>
      </c>
      <c r="I927" s="6">
        <v>45342</v>
      </c>
    </row>
    <row r="928" spans="1:9" ht="13.5">
      <c r="A928" s="2" t="s">
        <v>1755</v>
      </c>
      <c r="B928" s="3"/>
      <c r="C928" s="71" t="s">
        <v>1756</v>
      </c>
      <c r="D928" s="4" t="s">
        <v>1757</v>
      </c>
      <c r="E928" s="9" t="s">
        <v>1757</v>
      </c>
      <c r="F928" s="5" t="str">
        <f t="shared" si="14"/>
        <v>glitnor.com</v>
      </c>
      <c r="G928" s="5" t="s">
        <v>4</v>
      </c>
      <c r="H928" s="5" t="s">
        <v>1758</v>
      </c>
      <c r="I928" s="6">
        <v>45342</v>
      </c>
    </row>
    <row r="929" spans="1:9" ht="13.5">
      <c r="A929" s="2" t="s">
        <v>703</v>
      </c>
      <c r="B929" s="3"/>
      <c r="C929" s="87" t="s">
        <v>1759</v>
      </c>
      <c r="D929" s="87" t="s">
        <v>1335</v>
      </c>
      <c r="E929" s="79" t="s">
        <v>1760</v>
      </c>
      <c r="F929" s="5" t="str">
        <f t="shared" si="14"/>
        <v>distansinstitutet.se</v>
      </c>
      <c r="G929" s="5" t="s">
        <v>1643</v>
      </c>
      <c r="H929" s="5" t="s">
        <v>5</v>
      </c>
      <c r="I929" s="116">
        <v>45343</v>
      </c>
    </row>
    <row r="930" spans="1:9" ht="13.5">
      <c r="A930" s="2" t="s">
        <v>435</v>
      </c>
      <c r="B930" s="3"/>
      <c r="C930" s="87" t="s">
        <v>1761</v>
      </c>
      <c r="D930" s="87" t="s">
        <v>1384</v>
      </c>
      <c r="E930" s="79" t="s">
        <v>1762</v>
      </c>
      <c r="F930" s="5" t="str">
        <f t="shared" si="14"/>
        <v>fairinvestments.se</v>
      </c>
      <c r="G930" s="5" t="s">
        <v>1643</v>
      </c>
      <c r="H930" s="5" t="s">
        <v>5</v>
      </c>
      <c r="I930" s="116">
        <v>45343</v>
      </c>
    </row>
    <row r="931" spans="1:9" ht="13.5">
      <c r="A931" s="7" t="s">
        <v>1324</v>
      </c>
      <c r="B931" s="3"/>
      <c r="C931" s="87" t="s">
        <v>1763</v>
      </c>
      <c r="D931" s="87" t="s">
        <v>1309</v>
      </c>
      <c r="E931" s="79" t="s">
        <v>1764</v>
      </c>
      <c r="F931" s="5" t="str">
        <f t="shared" si="14"/>
        <v>Lansfast Danderyd &amp; täby</v>
      </c>
      <c r="G931" s="5" t="s">
        <v>1660</v>
      </c>
      <c r="H931" s="5" t="s">
        <v>5</v>
      </c>
      <c r="I931" s="116">
        <v>45343</v>
      </c>
    </row>
    <row r="932" spans="1:9" ht="13.5">
      <c r="A932" s="2" t="s">
        <v>703</v>
      </c>
      <c r="B932" s="3"/>
      <c r="C932" s="87" t="s">
        <v>1671</v>
      </c>
      <c r="D932" s="87" t="s">
        <v>1335</v>
      </c>
      <c r="E932" s="79" t="s">
        <v>1765</v>
      </c>
      <c r="F932" s="5" t="str">
        <f t="shared" si="14"/>
        <v>distansinstitutet.se</v>
      </c>
      <c r="G932" s="5" t="s">
        <v>1660</v>
      </c>
      <c r="H932" s="5" t="s">
        <v>5</v>
      </c>
      <c r="I932" s="116">
        <v>45345</v>
      </c>
    </row>
    <row r="933" spans="1:9" ht="13.5">
      <c r="A933" s="2" t="s">
        <v>435</v>
      </c>
      <c r="B933" s="3"/>
      <c r="C933" s="87" t="s">
        <v>1766</v>
      </c>
      <c r="D933" s="87" t="s">
        <v>1446</v>
      </c>
      <c r="E933" s="79" t="s">
        <v>839</v>
      </c>
      <c r="F933" s="5" t="str">
        <f t="shared" si="14"/>
        <v>fairinvestments.se</v>
      </c>
      <c r="G933" s="5" t="s">
        <v>1643</v>
      </c>
      <c r="H933" s="5" t="s">
        <v>5</v>
      </c>
      <c r="I933" s="116">
        <v>45345</v>
      </c>
    </row>
    <row r="934" spans="1:9" ht="13.5">
      <c r="A934" s="2" t="s">
        <v>1180</v>
      </c>
      <c r="B934" s="3"/>
      <c r="C934" s="71" t="s">
        <v>1767</v>
      </c>
      <c r="D934" s="4" t="s">
        <v>1604</v>
      </c>
      <c r="E934" s="5" t="s">
        <v>1605</v>
      </c>
      <c r="F934" s="5" t="str">
        <f t="shared" si="14"/>
        <v>e-ciggbolaget.se</v>
      </c>
      <c r="G934" s="5" t="s">
        <v>4</v>
      </c>
      <c r="H934" s="5" t="s">
        <v>5</v>
      </c>
      <c r="I934" s="6">
        <v>45346</v>
      </c>
    </row>
    <row r="935" spans="1:9" ht="13.5">
      <c r="A935" s="2" t="s">
        <v>1180</v>
      </c>
      <c r="B935" s="3"/>
      <c r="C935" s="71" t="s">
        <v>1768</v>
      </c>
      <c r="D935" s="4" t="s">
        <v>1598</v>
      </c>
      <c r="E935" s="5" t="s">
        <v>1769</v>
      </c>
      <c r="F935" s="5" t="str">
        <f t="shared" si="14"/>
        <v>e-ciggbolaget.se</v>
      </c>
      <c r="G935" s="5" t="s">
        <v>4</v>
      </c>
      <c r="H935" s="5" t="s">
        <v>5</v>
      </c>
      <c r="I935" s="6">
        <v>45346</v>
      </c>
    </row>
    <row r="936" spans="1:9" ht="13.5">
      <c r="A936" s="2" t="s">
        <v>1180</v>
      </c>
      <c r="B936" s="3"/>
      <c r="C936" s="71" t="s">
        <v>1770</v>
      </c>
      <c r="D936" s="4" t="s">
        <v>1640</v>
      </c>
      <c r="E936" s="5" t="s">
        <v>1771</v>
      </c>
      <c r="F936" s="5" t="str">
        <f t="shared" si="14"/>
        <v>e-ciggbolaget.se</v>
      </c>
      <c r="G936" s="5" t="s">
        <v>4</v>
      </c>
      <c r="H936" s="5" t="s">
        <v>5</v>
      </c>
      <c r="I936" s="6">
        <v>45346</v>
      </c>
    </row>
    <row r="937" spans="1:9" ht="13.5">
      <c r="A937" s="2" t="s">
        <v>1180</v>
      </c>
      <c r="B937" s="3"/>
      <c r="C937" s="71" t="s">
        <v>1772</v>
      </c>
      <c r="D937" s="4" t="s">
        <v>1640</v>
      </c>
      <c r="E937" s="5" t="s">
        <v>1773</v>
      </c>
      <c r="F937" s="5" t="str">
        <f t="shared" si="14"/>
        <v>e-ciggbolaget.se</v>
      </c>
      <c r="G937" s="5" t="s">
        <v>4</v>
      </c>
      <c r="H937" s="5" t="s">
        <v>5</v>
      </c>
      <c r="I937" s="6">
        <v>45346</v>
      </c>
    </row>
    <row r="938" spans="1:9" ht="13.5">
      <c r="A938" s="2" t="s">
        <v>714</v>
      </c>
      <c r="B938" s="3"/>
      <c r="C938" s="71" t="s">
        <v>1774</v>
      </c>
      <c r="D938" s="4" t="s">
        <v>719</v>
      </c>
      <c r="E938" s="5" t="s">
        <v>1775</v>
      </c>
      <c r="F938" s="5" t="str">
        <f t="shared" si="14"/>
        <v>Alfa.no</v>
      </c>
      <c r="G938" s="5" t="s">
        <v>4</v>
      </c>
      <c r="H938" s="5" t="s">
        <v>382</v>
      </c>
      <c r="I938" s="6">
        <v>45346</v>
      </c>
    </row>
    <row r="939" spans="1:9" ht="13.5">
      <c r="A939" s="2" t="s">
        <v>1755</v>
      </c>
      <c r="B939" s="3"/>
      <c r="C939" s="71" t="s">
        <v>1776</v>
      </c>
      <c r="D939" s="118" t="s">
        <v>1777</v>
      </c>
      <c r="E939" s="5" t="s">
        <v>1778</v>
      </c>
      <c r="F939" s="5" t="str">
        <f t="shared" si="14"/>
        <v>glitnor.com</v>
      </c>
      <c r="G939" s="5" t="s">
        <v>4</v>
      </c>
      <c r="H939" s="5" t="s">
        <v>1618</v>
      </c>
      <c r="I939" s="6">
        <v>45346</v>
      </c>
    </row>
    <row r="940" spans="1:9" ht="13.5">
      <c r="A940" s="2" t="s">
        <v>1755</v>
      </c>
      <c r="B940" s="3"/>
      <c r="C940" s="71" t="s">
        <v>1779</v>
      </c>
      <c r="D940" s="4" t="s">
        <v>1780</v>
      </c>
      <c r="E940" s="5" t="s">
        <v>1781</v>
      </c>
      <c r="F940" s="5" t="str">
        <f t="shared" si="14"/>
        <v>glitnor.com</v>
      </c>
      <c r="G940" s="5" t="s">
        <v>4</v>
      </c>
      <c r="H940" s="5" t="s">
        <v>5</v>
      </c>
      <c r="I940" s="6">
        <v>45346</v>
      </c>
    </row>
    <row r="941" spans="1:9" ht="13.5">
      <c r="A941" s="2" t="s">
        <v>1755</v>
      </c>
      <c r="B941" s="3"/>
      <c r="C941" s="71" t="s">
        <v>1782</v>
      </c>
      <c r="D941" s="118" t="s">
        <v>1783</v>
      </c>
      <c r="E941" s="5" t="s">
        <v>1784</v>
      </c>
      <c r="F941" s="5" t="str">
        <f t="shared" si="14"/>
        <v>glitnor.com</v>
      </c>
      <c r="G941" s="5" t="s">
        <v>4</v>
      </c>
      <c r="H941" s="5" t="s">
        <v>1618</v>
      </c>
      <c r="I941" s="6">
        <v>45346</v>
      </c>
    </row>
    <row r="942" spans="1:9" ht="13.5">
      <c r="A942" s="2" t="s">
        <v>1755</v>
      </c>
      <c r="B942" s="3"/>
      <c r="C942" s="119" t="s">
        <v>1785</v>
      </c>
      <c r="D942" s="4" t="s">
        <v>1786</v>
      </c>
      <c r="E942" s="5" t="s">
        <v>1787</v>
      </c>
      <c r="F942" s="5" t="str">
        <f t="shared" si="14"/>
        <v>glitnor.com</v>
      </c>
      <c r="G942" s="5" t="s">
        <v>4</v>
      </c>
      <c r="H942" s="5" t="s">
        <v>5</v>
      </c>
      <c r="I942" s="6">
        <v>45346</v>
      </c>
    </row>
    <row r="943" spans="1:9" ht="16.5">
      <c r="A943" s="2" t="s">
        <v>1755</v>
      </c>
      <c r="B943" s="3"/>
      <c r="C943" s="71" t="s">
        <v>1788</v>
      </c>
      <c r="D943" s="4" t="s">
        <v>1789</v>
      </c>
      <c r="E943" s="120" t="s">
        <v>1790</v>
      </c>
      <c r="F943" s="5" t="str">
        <f t="shared" si="14"/>
        <v>glitnor.com</v>
      </c>
      <c r="G943" s="5" t="s">
        <v>4</v>
      </c>
      <c r="H943" s="5" t="s">
        <v>5</v>
      </c>
      <c r="I943" s="6">
        <v>45346</v>
      </c>
    </row>
    <row r="944" spans="1:9" ht="13.5">
      <c r="A944" s="2" t="s">
        <v>1755</v>
      </c>
      <c r="B944" s="3"/>
      <c r="C944" s="71" t="s">
        <v>1791</v>
      </c>
      <c r="D944" s="4" t="s">
        <v>1792</v>
      </c>
      <c r="E944" s="5" t="s">
        <v>1793</v>
      </c>
      <c r="F944" s="5" t="str">
        <f t="shared" si="14"/>
        <v>glitnor.com</v>
      </c>
      <c r="G944" s="5" t="s">
        <v>4</v>
      </c>
      <c r="H944" s="5" t="s">
        <v>5</v>
      </c>
      <c r="I944" s="6">
        <v>45346</v>
      </c>
    </row>
    <row r="945" spans="1:9" ht="13.5">
      <c r="A945" s="2" t="s">
        <v>1755</v>
      </c>
      <c r="B945" s="3"/>
      <c r="C945" s="71" t="s">
        <v>1794</v>
      </c>
      <c r="D945" s="4" t="s">
        <v>1783</v>
      </c>
      <c r="E945" s="5" t="s">
        <v>1795</v>
      </c>
      <c r="F945" s="5" t="str">
        <f t="shared" si="14"/>
        <v>glitnor.com</v>
      </c>
      <c r="G945" s="5" t="s">
        <v>4</v>
      </c>
      <c r="H945" s="5" t="s">
        <v>1618</v>
      </c>
      <c r="I945" s="6">
        <v>45346</v>
      </c>
    </row>
    <row r="946" spans="1:9" ht="13.5">
      <c r="A946" s="2" t="s">
        <v>1755</v>
      </c>
      <c r="B946" s="3"/>
      <c r="C946" s="71" t="s">
        <v>1796</v>
      </c>
      <c r="D946" s="8" t="s">
        <v>1783</v>
      </c>
      <c r="E946" s="9" t="s">
        <v>1783</v>
      </c>
      <c r="F946" s="5" t="str">
        <f t="shared" si="14"/>
        <v>glitnor.com</v>
      </c>
      <c r="G946" s="5" t="s">
        <v>4</v>
      </c>
      <c r="H946" s="5" t="s">
        <v>1618</v>
      </c>
      <c r="I946" s="6">
        <v>45346</v>
      </c>
    </row>
    <row r="947" spans="1:9" ht="13.5">
      <c r="A947" s="2" t="s">
        <v>1755</v>
      </c>
      <c r="B947" s="3"/>
      <c r="C947" s="71" t="s">
        <v>1797</v>
      </c>
      <c r="D947" s="4" t="s">
        <v>1757</v>
      </c>
      <c r="E947" s="9" t="s">
        <v>1757</v>
      </c>
      <c r="F947" s="5" t="str">
        <f t="shared" si="14"/>
        <v>glitnor.com</v>
      </c>
      <c r="G947" s="5" t="s">
        <v>4</v>
      </c>
      <c r="H947" s="5" t="s">
        <v>1758</v>
      </c>
      <c r="I947" s="6">
        <v>45346</v>
      </c>
    </row>
    <row r="948" spans="1:9" ht="13.5">
      <c r="A948" s="2" t="s">
        <v>1213</v>
      </c>
      <c r="B948" s="3"/>
      <c r="C948" s="87" t="s">
        <v>1798</v>
      </c>
      <c r="D948" s="87" t="s">
        <v>1314</v>
      </c>
      <c r="E948" s="79" t="s">
        <v>1799</v>
      </c>
      <c r="F948" s="5" t="str">
        <f t="shared" si="14"/>
        <v>mariatand.se</v>
      </c>
      <c r="G948" s="5" t="s">
        <v>1660</v>
      </c>
      <c r="H948" s="5" t="s">
        <v>5</v>
      </c>
      <c r="I948" s="116">
        <v>45346</v>
      </c>
    </row>
    <row r="949" spans="1:9" ht="13.5">
      <c r="A949" s="7" t="s">
        <v>224</v>
      </c>
      <c r="B949" s="3"/>
      <c r="C949" s="87" t="s">
        <v>1800</v>
      </c>
      <c r="D949" s="87" t="s">
        <v>461</v>
      </c>
      <c r="E949" s="79" t="s">
        <v>1117</v>
      </c>
      <c r="F949" s="5" t="str">
        <f t="shared" si="14"/>
        <v>swedoffice</v>
      </c>
      <c r="G949" s="5" t="s">
        <v>1643</v>
      </c>
      <c r="H949" s="5" t="s">
        <v>5</v>
      </c>
      <c r="I949" s="116">
        <v>45346</v>
      </c>
    </row>
    <row r="950" spans="1:9" ht="13.5">
      <c r="A950" s="7" t="s">
        <v>329</v>
      </c>
      <c r="B950" s="3"/>
      <c r="C950" s="87" t="s">
        <v>1801</v>
      </c>
      <c r="D950" s="87" t="s">
        <v>1388</v>
      </c>
      <c r="E950" s="79" t="s">
        <v>1802</v>
      </c>
      <c r="F950" s="5" t="str">
        <f t="shared" si="14"/>
        <v>vont</v>
      </c>
      <c r="G950" s="5" t="s">
        <v>1643</v>
      </c>
      <c r="H950" s="5" t="s">
        <v>5</v>
      </c>
      <c r="I950" s="116">
        <v>45346</v>
      </c>
    </row>
    <row r="951" spans="1:9" ht="13.5">
      <c r="A951" s="2" t="s">
        <v>1544</v>
      </c>
      <c r="B951" s="3"/>
      <c r="C951" s="71" t="s">
        <v>1803</v>
      </c>
      <c r="D951" s="4" t="s">
        <v>1594</v>
      </c>
      <c r="E951" s="5" t="s">
        <v>1804</v>
      </c>
      <c r="F951" s="5" t="str">
        <f t="shared" si="14"/>
        <v>Finansplassen.no</v>
      </c>
      <c r="G951" s="5" t="s">
        <v>4</v>
      </c>
      <c r="H951" s="5" t="s">
        <v>5</v>
      </c>
      <c r="I951" s="6">
        <v>45347</v>
      </c>
    </row>
    <row r="952" spans="1:9" ht="13.5">
      <c r="A952" s="2" t="s">
        <v>171</v>
      </c>
      <c r="B952" s="3"/>
      <c r="C952" s="87" t="s">
        <v>1805</v>
      </c>
      <c r="D952" s="87" t="s">
        <v>1095</v>
      </c>
      <c r="E952" s="79" t="s">
        <v>1806</v>
      </c>
      <c r="F952" s="5" t="str">
        <f t="shared" si="14"/>
        <v>arctic.se</v>
      </c>
      <c r="G952" s="5" t="s">
        <v>1643</v>
      </c>
      <c r="H952" s="5" t="s">
        <v>5</v>
      </c>
      <c r="I952" s="116">
        <v>45347</v>
      </c>
    </row>
    <row r="953" spans="1:9" ht="13.5">
      <c r="A953" s="2" t="s">
        <v>703</v>
      </c>
      <c r="B953" s="3"/>
      <c r="C953" s="87" t="s">
        <v>1807</v>
      </c>
      <c r="D953" s="87" t="s">
        <v>1335</v>
      </c>
      <c r="E953" s="79" t="s">
        <v>1808</v>
      </c>
      <c r="F953" s="5" t="str">
        <f t="shared" si="14"/>
        <v>distansinstitutet.se</v>
      </c>
      <c r="G953" s="5" t="s">
        <v>1643</v>
      </c>
      <c r="H953" s="5" t="s">
        <v>5</v>
      </c>
      <c r="I953" s="116">
        <v>45347</v>
      </c>
    </row>
    <row r="954" spans="1:9" ht="13.5">
      <c r="A954" s="7" t="s">
        <v>1071</v>
      </c>
      <c r="B954" s="3"/>
      <c r="C954" s="87" t="s">
        <v>1809</v>
      </c>
      <c r="D954" s="87" t="s">
        <v>1810</v>
      </c>
      <c r="E954" s="79" t="s">
        <v>1811</v>
      </c>
      <c r="F954" s="5" t="str">
        <f t="shared" si="14"/>
        <v>???</v>
      </c>
      <c r="G954" s="5" t="s">
        <v>1643</v>
      </c>
      <c r="H954" s="5" t="s">
        <v>5</v>
      </c>
      <c r="I954" s="116">
        <v>45347</v>
      </c>
    </row>
    <row r="955" spans="1:9" ht="13.5">
      <c r="A955" s="2" t="s">
        <v>435</v>
      </c>
      <c r="B955" s="3"/>
      <c r="C955" s="87" t="s">
        <v>1812</v>
      </c>
      <c r="D955" s="87" t="s">
        <v>1813</v>
      </c>
      <c r="E955" s="79" t="s">
        <v>1814</v>
      </c>
      <c r="F955" s="5" t="str">
        <f t="shared" si="14"/>
        <v>fairinvestments.se</v>
      </c>
      <c r="G955" s="5" t="s">
        <v>1643</v>
      </c>
      <c r="H955" s="5" t="s">
        <v>5</v>
      </c>
      <c r="I955" s="116">
        <v>45348</v>
      </c>
    </row>
    <row r="956" spans="1:9" ht="13.5">
      <c r="A956" s="2" t="s">
        <v>325</v>
      </c>
      <c r="B956" s="3"/>
      <c r="C956" s="87" t="s">
        <v>1815</v>
      </c>
      <c r="D956" s="87" t="s">
        <v>1244</v>
      </c>
      <c r="E956" s="79" t="s">
        <v>1816</v>
      </c>
      <c r="F956" s="5" t="str">
        <f t="shared" si="14"/>
        <v>tiotak.se</v>
      </c>
      <c r="G956" s="5" t="s">
        <v>1643</v>
      </c>
      <c r="H956" s="5" t="s">
        <v>5</v>
      </c>
      <c r="I956" s="116">
        <v>45348</v>
      </c>
    </row>
    <row r="957" spans="1:9" ht="13.5">
      <c r="A957" s="2" t="s">
        <v>1213</v>
      </c>
      <c r="B957" s="3"/>
      <c r="C957" s="87" t="s">
        <v>1817</v>
      </c>
      <c r="D957" s="87" t="s">
        <v>1215</v>
      </c>
      <c r="E957" s="79" t="s">
        <v>1818</v>
      </c>
      <c r="F957" s="5" t="str">
        <f t="shared" si="14"/>
        <v>mariatand.se</v>
      </c>
      <c r="G957" s="5" t="s">
        <v>1660</v>
      </c>
      <c r="H957" s="5" t="s">
        <v>5</v>
      </c>
      <c r="I957" s="116">
        <v>45348</v>
      </c>
    </row>
    <row r="958" spans="1:9" ht="13.5">
      <c r="A958" s="2" t="s">
        <v>1284</v>
      </c>
      <c r="B958" s="3"/>
      <c r="C958" s="87" t="s">
        <v>1819</v>
      </c>
      <c r="D958" s="87" t="s">
        <v>1286</v>
      </c>
      <c r="E958" s="79" t="s">
        <v>1284</v>
      </c>
      <c r="F958" s="5" t="str">
        <f t="shared" si="14"/>
        <v>norteam.se</v>
      </c>
      <c r="G958" s="5" t="s">
        <v>1643</v>
      </c>
      <c r="H958" s="5" t="s">
        <v>5</v>
      </c>
      <c r="I958" s="116">
        <v>45348</v>
      </c>
    </row>
    <row r="959" spans="1:9" ht="13.5">
      <c r="A959" s="7" t="s">
        <v>224</v>
      </c>
      <c r="B959" s="3"/>
      <c r="C959" s="87" t="s">
        <v>1820</v>
      </c>
      <c r="D959" s="87" t="s">
        <v>1341</v>
      </c>
      <c r="E959" s="79" t="s">
        <v>1821</v>
      </c>
      <c r="F959" s="5" t="str">
        <f t="shared" si="14"/>
        <v>swedoffice</v>
      </c>
      <c r="G959" s="5" t="s">
        <v>1344</v>
      </c>
      <c r="H959" s="5" t="s">
        <v>5</v>
      </c>
      <c r="I959" s="116">
        <v>45348</v>
      </c>
    </row>
    <row r="960" spans="1:9" ht="13.5">
      <c r="A960" s="2" t="s">
        <v>689</v>
      </c>
      <c r="B960" s="3"/>
      <c r="C960" s="87" t="s">
        <v>1822</v>
      </c>
      <c r="D960" s="87" t="s">
        <v>691</v>
      </c>
      <c r="E960" s="79" t="s">
        <v>1823</v>
      </c>
      <c r="F960" s="5" t="str">
        <f t="shared" si="14"/>
        <v>conclean.se</v>
      </c>
      <c r="G960" s="5" t="s">
        <v>1643</v>
      </c>
      <c r="H960" s="5" t="s">
        <v>5</v>
      </c>
      <c r="I960" s="116">
        <v>45349</v>
      </c>
    </row>
    <row r="961" spans="1:9" ht="13.5">
      <c r="A961" s="2" t="s">
        <v>703</v>
      </c>
      <c r="B961" s="3"/>
      <c r="C961" s="87" t="s">
        <v>1824</v>
      </c>
      <c r="D961" s="87" t="s">
        <v>1335</v>
      </c>
      <c r="E961" s="79" t="s">
        <v>1449</v>
      </c>
      <c r="F961" s="5" t="str">
        <f t="shared" si="14"/>
        <v>distansinstitutet.se</v>
      </c>
      <c r="G961" s="5" t="s">
        <v>1643</v>
      </c>
      <c r="H961" s="5" t="s">
        <v>5</v>
      </c>
      <c r="I961" s="116">
        <v>45349</v>
      </c>
    </row>
    <row r="962" spans="1:9" ht="13.5">
      <c r="A962" s="2" t="s">
        <v>1342</v>
      </c>
      <c r="B962" s="3"/>
      <c r="C962" s="87" t="s">
        <v>1825</v>
      </c>
      <c r="D962" s="87" t="s">
        <v>1143</v>
      </c>
      <c r="E962" s="79" t="s">
        <v>879</v>
      </c>
      <c r="F962" s="5" t="str">
        <f t="shared" si="14"/>
        <v>pontonhamnar.se</v>
      </c>
      <c r="G962" s="5" t="s">
        <v>1643</v>
      </c>
      <c r="H962" s="5" t="s">
        <v>5</v>
      </c>
      <c r="I962" s="116">
        <v>45349</v>
      </c>
    </row>
    <row r="963" spans="1:9" ht="13.5">
      <c r="A963" s="2" t="s">
        <v>435</v>
      </c>
      <c r="B963" s="3"/>
      <c r="C963" s="87" t="s">
        <v>1826</v>
      </c>
      <c r="D963" s="87" t="s">
        <v>1012</v>
      </c>
      <c r="E963" s="79" t="s">
        <v>1827</v>
      </c>
      <c r="F963" s="5" t="str">
        <f t="shared" ref="F963:F1026" si="15">A963</f>
        <v>fairinvestments.se</v>
      </c>
      <c r="G963" s="5" t="s">
        <v>1643</v>
      </c>
      <c r="H963" s="5" t="s">
        <v>5</v>
      </c>
      <c r="I963" s="116">
        <v>45349</v>
      </c>
    </row>
    <row r="964" spans="1:9" ht="13.5">
      <c r="A964" s="2" t="s">
        <v>1755</v>
      </c>
      <c r="B964" s="3"/>
      <c r="C964" s="71" t="s">
        <v>1828</v>
      </c>
      <c r="D964" s="4" t="s">
        <v>1829</v>
      </c>
      <c r="E964" s="9" t="s">
        <v>1829</v>
      </c>
      <c r="F964" s="5" t="str">
        <f t="shared" si="15"/>
        <v>glitnor.com</v>
      </c>
      <c r="G964" s="5" t="s">
        <v>4</v>
      </c>
      <c r="H964" s="5" t="s">
        <v>1758</v>
      </c>
      <c r="I964" s="6">
        <v>45350</v>
      </c>
    </row>
    <row r="965" spans="1:9" ht="13.5">
      <c r="A965" s="2" t="s">
        <v>1755</v>
      </c>
      <c r="B965" s="3"/>
      <c r="C965" s="71" t="s">
        <v>1830</v>
      </c>
      <c r="D965" s="4" t="s">
        <v>1831</v>
      </c>
      <c r="E965" s="5" t="s">
        <v>1833</v>
      </c>
      <c r="F965" s="5" t="str">
        <f t="shared" si="15"/>
        <v>glitnor.com</v>
      </c>
      <c r="G965" s="5" t="s">
        <v>4</v>
      </c>
      <c r="H965" s="5" t="s">
        <v>1832</v>
      </c>
      <c r="I965" s="6">
        <v>45350</v>
      </c>
    </row>
    <row r="966" spans="1:9" ht="13.5">
      <c r="A966" s="2" t="s">
        <v>1755</v>
      </c>
      <c r="B966" s="3"/>
      <c r="C966" s="71" t="s">
        <v>1834</v>
      </c>
      <c r="D966" s="4" t="s">
        <v>1835</v>
      </c>
      <c r="E966" s="5" t="s">
        <v>1836</v>
      </c>
      <c r="F966" s="5" t="str">
        <f t="shared" si="15"/>
        <v>glitnor.com</v>
      </c>
      <c r="G966" s="5" t="s">
        <v>4</v>
      </c>
      <c r="H966" s="5" t="s">
        <v>1832</v>
      </c>
      <c r="I966" s="6">
        <v>45350</v>
      </c>
    </row>
    <row r="967" spans="1:9" ht="13.5">
      <c r="A967" s="2" t="s">
        <v>1755</v>
      </c>
      <c r="B967" s="3"/>
      <c r="C967" s="71" t="s">
        <v>1837</v>
      </c>
      <c r="D967" s="4" t="s">
        <v>1838</v>
      </c>
      <c r="E967" s="5" t="s">
        <v>1839</v>
      </c>
      <c r="F967" s="5" t="str">
        <f t="shared" si="15"/>
        <v>glitnor.com</v>
      </c>
      <c r="G967" s="5" t="s">
        <v>4</v>
      </c>
      <c r="H967" s="5" t="s">
        <v>5</v>
      </c>
      <c r="I967" s="6">
        <v>45350</v>
      </c>
    </row>
    <row r="968" spans="1:9" ht="13.5">
      <c r="A968" s="2" t="s">
        <v>1755</v>
      </c>
      <c r="B968" s="3"/>
      <c r="C968" s="71" t="s">
        <v>1840</v>
      </c>
      <c r="D968" s="4" t="s">
        <v>1841</v>
      </c>
      <c r="E968" s="5" t="s">
        <v>1842</v>
      </c>
      <c r="F968" s="5" t="str">
        <f t="shared" si="15"/>
        <v>glitnor.com</v>
      </c>
      <c r="G968" s="5" t="s">
        <v>4</v>
      </c>
      <c r="H968" s="5" t="s">
        <v>5</v>
      </c>
      <c r="I968" s="6">
        <v>45350</v>
      </c>
    </row>
    <row r="969" spans="1:9" ht="13.5">
      <c r="A969" s="2" t="s">
        <v>1755</v>
      </c>
      <c r="B969" s="3"/>
      <c r="C969" s="71" t="s">
        <v>1843</v>
      </c>
      <c r="D969" s="4" t="s">
        <v>1838</v>
      </c>
      <c r="E969" s="5" t="s">
        <v>1844</v>
      </c>
      <c r="F969" s="5" t="str">
        <f t="shared" si="15"/>
        <v>glitnor.com</v>
      </c>
      <c r="G969" s="5" t="s">
        <v>4</v>
      </c>
      <c r="H969" s="5" t="s">
        <v>5</v>
      </c>
      <c r="I969" s="6">
        <v>45350</v>
      </c>
    </row>
    <row r="970" spans="1:9" ht="13.5">
      <c r="A970" s="2" t="s">
        <v>1318</v>
      </c>
      <c r="B970" s="3"/>
      <c r="C970" s="71" t="s">
        <v>1845</v>
      </c>
      <c r="D970" s="4" t="s">
        <v>1320</v>
      </c>
      <c r="E970" s="9" t="s">
        <v>1846</v>
      </c>
      <c r="F970" s="5" t="str">
        <f t="shared" si="15"/>
        <v>spelklubben.se</v>
      </c>
      <c r="G970" s="5" t="s">
        <v>4</v>
      </c>
      <c r="H970" s="5" t="s">
        <v>5</v>
      </c>
      <c r="I970" s="6">
        <v>45350</v>
      </c>
    </row>
    <row r="971" spans="1:9" ht="13.5">
      <c r="A971" s="2" t="s">
        <v>1318</v>
      </c>
      <c r="B971" s="3"/>
      <c r="C971" s="71" t="s">
        <v>1847</v>
      </c>
      <c r="D971" s="4" t="s">
        <v>1320</v>
      </c>
      <c r="E971" s="9" t="s">
        <v>1846</v>
      </c>
      <c r="F971" s="5" t="str">
        <f t="shared" si="15"/>
        <v>spelklubben.se</v>
      </c>
      <c r="G971" s="5" t="s">
        <v>4</v>
      </c>
      <c r="H971" s="5" t="s">
        <v>5</v>
      </c>
      <c r="I971" s="6">
        <v>45350</v>
      </c>
    </row>
    <row r="972" spans="1:9" ht="13.5">
      <c r="A972" s="2" t="s">
        <v>1755</v>
      </c>
      <c r="B972" s="3"/>
      <c r="C972" s="71" t="s">
        <v>1848</v>
      </c>
      <c r="D972" s="4" t="s">
        <v>1835</v>
      </c>
      <c r="E972" s="9" t="s">
        <v>1835</v>
      </c>
      <c r="F972" s="5" t="str">
        <f t="shared" si="15"/>
        <v>glitnor.com</v>
      </c>
      <c r="G972" s="5" t="s">
        <v>4</v>
      </c>
      <c r="H972" s="5" t="s">
        <v>1832</v>
      </c>
      <c r="I972" s="6">
        <v>45350</v>
      </c>
    </row>
    <row r="973" spans="1:9" ht="13.5">
      <c r="A973" s="2" t="s">
        <v>1544</v>
      </c>
      <c r="B973" s="3"/>
      <c r="C973" s="71" t="s">
        <v>1849</v>
      </c>
      <c r="D973" s="4" t="s">
        <v>1850</v>
      </c>
      <c r="E973" s="5" t="s">
        <v>1851</v>
      </c>
      <c r="F973" s="5" t="str">
        <f t="shared" si="15"/>
        <v>Finansplassen.no</v>
      </c>
      <c r="G973" s="5" t="s">
        <v>4</v>
      </c>
      <c r="H973" s="5" t="s">
        <v>382</v>
      </c>
      <c r="I973" s="6">
        <v>45350</v>
      </c>
    </row>
    <row r="974" spans="1:9" ht="13.5">
      <c r="A974" s="2" t="s">
        <v>1318</v>
      </c>
      <c r="B974" s="3"/>
      <c r="C974" s="71" t="s">
        <v>1852</v>
      </c>
      <c r="D974" s="18" t="s">
        <v>1320</v>
      </c>
      <c r="E974" s="5" t="s">
        <v>1605</v>
      </c>
      <c r="F974" s="5" t="str">
        <f t="shared" si="15"/>
        <v>spelklubben.se</v>
      </c>
      <c r="G974" s="5" t="s">
        <v>4</v>
      </c>
      <c r="H974" s="5" t="s">
        <v>5</v>
      </c>
      <c r="I974" s="6">
        <v>45350</v>
      </c>
    </row>
    <row r="975" spans="1:9" ht="13.5">
      <c r="A975" s="2" t="s">
        <v>1318</v>
      </c>
      <c r="B975" s="3"/>
      <c r="C975" s="71" t="s">
        <v>1853</v>
      </c>
      <c r="D975" s="4" t="s">
        <v>1320</v>
      </c>
      <c r="E975" s="22" t="s">
        <v>1318</v>
      </c>
      <c r="F975" s="5" t="str">
        <f t="shared" si="15"/>
        <v>spelklubben.se</v>
      </c>
      <c r="G975" s="5" t="s">
        <v>4</v>
      </c>
      <c r="H975" s="5" t="s">
        <v>5</v>
      </c>
      <c r="I975" s="6">
        <v>45350</v>
      </c>
    </row>
    <row r="976" spans="1:9" ht="13.5">
      <c r="A976" s="2" t="s">
        <v>1318</v>
      </c>
      <c r="B976" s="3"/>
      <c r="C976" s="93" t="s">
        <v>1854</v>
      </c>
      <c r="D976" s="4" t="s">
        <v>1320</v>
      </c>
      <c r="E976" s="5" t="s">
        <v>1855</v>
      </c>
      <c r="F976" s="5" t="str">
        <f t="shared" si="15"/>
        <v>spelklubben.se</v>
      </c>
      <c r="G976" s="5" t="s">
        <v>4</v>
      </c>
      <c r="H976" s="5" t="s">
        <v>5</v>
      </c>
      <c r="I976" s="6">
        <v>45350</v>
      </c>
    </row>
    <row r="977" spans="1:9" ht="15.4">
      <c r="A977" s="2" t="s">
        <v>1318</v>
      </c>
      <c r="B977" s="3"/>
      <c r="C977" s="71" t="s">
        <v>1856</v>
      </c>
      <c r="D977" s="4" t="s">
        <v>1318</v>
      </c>
      <c r="E977" s="121" t="s">
        <v>1318</v>
      </c>
      <c r="F977" s="5" t="str">
        <f t="shared" si="15"/>
        <v>spelklubben.se</v>
      </c>
      <c r="G977" s="5" t="s">
        <v>4</v>
      </c>
      <c r="H977" s="5" t="s">
        <v>5</v>
      </c>
      <c r="I977" s="6">
        <v>45350</v>
      </c>
    </row>
    <row r="978" spans="1:9" ht="13.5">
      <c r="A978" s="2" t="s">
        <v>1318</v>
      </c>
      <c r="B978" s="3"/>
      <c r="C978" s="71" t="s">
        <v>1857</v>
      </c>
      <c r="D978" s="4" t="s">
        <v>1320</v>
      </c>
      <c r="E978" s="5" t="s">
        <v>1858</v>
      </c>
      <c r="F978" s="5" t="str">
        <f t="shared" si="15"/>
        <v>spelklubben.se</v>
      </c>
      <c r="G978" s="5" t="s">
        <v>4</v>
      </c>
      <c r="H978" s="5" t="s">
        <v>5</v>
      </c>
      <c r="I978" s="6">
        <v>45350</v>
      </c>
    </row>
    <row r="979" spans="1:9" ht="13.5">
      <c r="A979" s="2" t="s">
        <v>1318</v>
      </c>
      <c r="B979" s="3"/>
      <c r="C979" s="71" t="s">
        <v>1859</v>
      </c>
      <c r="D979" s="4" t="s">
        <v>1320</v>
      </c>
      <c r="E979" s="5" t="s">
        <v>1860</v>
      </c>
      <c r="F979" s="5" t="str">
        <f t="shared" si="15"/>
        <v>spelklubben.se</v>
      </c>
      <c r="G979" s="5" t="s">
        <v>4</v>
      </c>
      <c r="H979" s="5" t="s">
        <v>5</v>
      </c>
      <c r="I979" s="6">
        <v>45350</v>
      </c>
    </row>
    <row r="980" spans="1:9" ht="13.5">
      <c r="A980" s="2" t="s">
        <v>714</v>
      </c>
      <c r="B980" s="3"/>
      <c r="C980" s="71" t="s">
        <v>1861</v>
      </c>
      <c r="D980" s="4" t="s">
        <v>1148</v>
      </c>
      <c r="E980" s="5" t="s">
        <v>1149</v>
      </c>
      <c r="F980" s="5" t="str">
        <f t="shared" si="15"/>
        <v>Alfa.no</v>
      </c>
      <c r="G980" s="5" t="s">
        <v>4</v>
      </c>
      <c r="H980" s="5" t="s">
        <v>382</v>
      </c>
      <c r="I980" s="6">
        <v>45350</v>
      </c>
    </row>
    <row r="981" spans="1:9" ht="13.5">
      <c r="A981" s="2" t="s">
        <v>1180</v>
      </c>
      <c r="B981" s="3"/>
      <c r="C981" s="71" t="s">
        <v>1862</v>
      </c>
      <c r="D981" s="4" t="s">
        <v>1569</v>
      </c>
      <c r="E981" s="5" t="s">
        <v>1863</v>
      </c>
      <c r="F981" s="5" t="str">
        <f t="shared" si="15"/>
        <v>e-ciggbolaget.se</v>
      </c>
      <c r="G981" s="5" t="s">
        <v>4</v>
      </c>
      <c r="H981" s="5" t="s">
        <v>5</v>
      </c>
      <c r="I981" s="6">
        <v>45350</v>
      </c>
    </row>
    <row r="982" spans="1:9" ht="13.5">
      <c r="A982" s="2" t="s">
        <v>723</v>
      </c>
      <c r="B982" s="3"/>
      <c r="C982" s="87" t="s">
        <v>1864</v>
      </c>
      <c r="D982" s="87" t="s">
        <v>725</v>
      </c>
      <c r="E982" s="79" t="s">
        <v>723</v>
      </c>
      <c r="F982" s="5" t="str">
        <f t="shared" si="15"/>
        <v>aretrotale.com</v>
      </c>
      <c r="G982" s="5" t="s">
        <v>1643</v>
      </c>
      <c r="H982" s="5" t="s">
        <v>23</v>
      </c>
      <c r="I982" s="116">
        <v>45350</v>
      </c>
    </row>
    <row r="983" spans="1:9" ht="13.5">
      <c r="A983" s="2" t="s">
        <v>1</v>
      </c>
      <c r="B983" s="3"/>
      <c r="C983" s="87" t="s">
        <v>1865</v>
      </c>
      <c r="D983" s="87" t="s">
        <v>864</v>
      </c>
      <c r="E983" s="79" t="s">
        <v>1866</v>
      </c>
      <c r="F983" s="5" t="str">
        <f t="shared" si="15"/>
        <v>haxan.se</v>
      </c>
      <c r="G983" s="5" t="s">
        <v>1643</v>
      </c>
      <c r="H983" s="5" t="s">
        <v>5</v>
      </c>
      <c r="I983" s="116">
        <v>45350</v>
      </c>
    </row>
    <row r="984" spans="1:9" ht="13.5">
      <c r="A984" s="7" t="s">
        <v>1275</v>
      </c>
      <c r="B984" s="3"/>
      <c r="C984" s="87" t="s">
        <v>1817</v>
      </c>
      <c r="D984" s="87" t="s">
        <v>1443</v>
      </c>
      <c r="E984" s="110" t="s">
        <v>1867</v>
      </c>
      <c r="F984" s="5" t="str">
        <f t="shared" si="15"/>
        <v>spoors.health</v>
      </c>
      <c r="G984" s="5" t="s">
        <v>1660</v>
      </c>
      <c r="H984" s="5" t="s">
        <v>5</v>
      </c>
      <c r="I984" s="116">
        <v>45350</v>
      </c>
    </row>
    <row r="985" spans="1:9" ht="13.5">
      <c r="A985" s="101" t="s">
        <v>329</v>
      </c>
      <c r="B985" s="3"/>
      <c r="C985" s="87" t="s">
        <v>1868</v>
      </c>
      <c r="D985" s="87" t="s">
        <v>1530</v>
      </c>
      <c r="E985" s="79" t="s">
        <v>1531</v>
      </c>
      <c r="F985" s="5" t="str">
        <f t="shared" si="15"/>
        <v>vont</v>
      </c>
      <c r="G985" s="5" t="s">
        <v>1643</v>
      </c>
      <c r="H985" s="5" t="s">
        <v>262</v>
      </c>
      <c r="I985" s="116">
        <v>45350</v>
      </c>
    </row>
    <row r="986" spans="1:9" ht="13.5">
      <c r="A986" s="2" t="s">
        <v>1318</v>
      </c>
      <c r="B986" s="3"/>
      <c r="C986" s="71" t="s">
        <v>1869</v>
      </c>
      <c r="D986" s="4" t="s">
        <v>1870</v>
      </c>
      <c r="E986" s="5" t="s">
        <v>1871</v>
      </c>
      <c r="F986" s="5" t="str">
        <f t="shared" si="15"/>
        <v>spelklubben.se</v>
      </c>
      <c r="G986" s="5" t="s">
        <v>4</v>
      </c>
      <c r="H986" s="5" t="s">
        <v>5</v>
      </c>
      <c r="I986" s="6">
        <v>45350</v>
      </c>
    </row>
    <row r="987" spans="1:9" ht="13.5">
      <c r="A987" s="2" t="s">
        <v>1318</v>
      </c>
      <c r="B987" s="3"/>
      <c r="C987" s="71" t="s">
        <v>1872</v>
      </c>
      <c r="D987" s="4" t="s">
        <v>1870</v>
      </c>
      <c r="E987" s="22" t="s">
        <v>1846</v>
      </c>
      <c r="F987" s="5" t="str">
        <f t="shared" si="15"/>
        <v>spelklubben.se</v>
      </c>
      <c r="G987" s="5" t="s">
        <v>4</v>
      </c>
      <c r="H987" s="5" t="s">
        <v>5</v>
      </c>
      <c r="I987" s="6">
        <v>45350</v>
      </c>
    </row>
    <row r="988" spans="1:9" ht="13.5">
      <c r="A988" s="2" t="s">
        <v>435</v>
      </c>
      <c r="B988" s="3"/>
      <c r="C988" s="71" t="s">
        <v>1873</v>
      </c>
      <c r="D988" s="4" t="s">
        <v>1446</v>
      </c>
      <c r="E988" s="5" t="s">
        <v>839</v>
      </c>
      <c r="F988" s="5" t="str">
        <f t="shared" si="15"/>
        <v>fairinvestments.se</v>
      </c>
      <c r="G988" s="5" t="s">
        <v>4</v>
      </c>
      <c r="H988" s="5" t="s">
        <v>5</v>
      </c>
      <c r="I988" s="6">
        <v>45351</v>
      </c>
    </row>
    <row r="989" spans="1:9" ht="13.5">
      <c r="A989" s="2" t="s">
        <v>1755</v>
      </c>
      <c r="B989" s="3"/>
      <c r="C989" s="71" t="s">
        <v>1874</v>
      </c>
      <c r="D989" s="4" t="s">
        <v>1875</v>
      </c>
      <c r="E989" s="5" t="s">
        <v>1876</v>
      </c>
      <c r="F989" s="5" t="str">
        <f t="shared" si="15"/>
        <v>glitnor.com</v>
      </c>
      <c r="G989" s="5" t="s">
        <v>4</v>
      </c>
      <c r="H989" s="5" t="s">
        <v>5</v>
      </c>
      <c r="I989" s="6">
        <v>45351</v>
      </c>
    </row>
    <row r="990" spans="1:9" ht="13.5">
      <c r="A990" s="2" t="s">
        <v>846</v>
      </c>
      <c r="B990" s="3"/>
      <c r="C990" s="71" t="s">
        <v>1877</v>
      </c>
      <c r="D990" s="4" t="s">
        <v>848</v>
      </c>
      <c r="E990" s="5" t="s">
        <v>1187</v>
      </c>
      <c r="F990" s="5" t="str">
        <f t="shared" si="15"/>
        <v>tandea.se</v>
      </c>
      <c r="G990" s="5" t="s">
        <v>4</v>
      </c>
      <c r="H990" s="5" t="s">
        <v>5</v>
      </c>
      <c r="I990" s="6">
        <v>45351</v>
      </c>
    </row>
    <row r="991" spans="1:9" ht="13.5">
      <c r="A991" s="2" t="s">
        <v>1755</v>
      </c>
      <c r="B991" s="3"/>
      <c r="C991" s="71" t="s">
        <v>1878</v>
      </c>
      <c r="D991" s="4" t="s">
        <v>1780</v>
      </c>
      <c r="E991" s="5" t="s">
        <v>1879</v>
      </c>
      <c r="F991" s="5" t="str">
        <f t="shared" si="15"/>
        <v>glitnor.com</v>
      </c>
      <c r="G991" s="5" t="s">
        <v>4</v>
      </c>
      <c r="H991" s="5" t="s">
        <v>5</v>
      </c>
      <c r="I991" s="6">
        <v>45351</v>
      </c>
    </row>
    <row r="992" spans="1:9" ht="13.5">
      <c r="A992" s="2" t="s">
        <v>1755</v>
      </c>
      <c r="B992" s="3"/>
      <c r="C992" s="71" t="s">
        <v>1880</v>
      </c>
      <c r="D992" s="4" t="s">
        <v>1881</v>
      </c>
      <c r="E992" s="5" t="s">
        <v>1882</v>
      </c>
      <c r="F992" s="5" t="str">
        <f t="shared" si="15"/>
        <v>glitnor.com</v>
      </c>
      <c r="G992" s="5" t="s">
        <v>4</v>
      </c>
      <c r="H992" s="5" t="s">
        <v>1758</v>
      </c>
      <c r="I992" s="6">
        <v>45351</v>
      </c>
    </row>
    <row r="993" spans="1:9" ht="13.5">
      <c r="A993" s="2" t="s">
        <v>703</v>
      </c>
      <c r="B993" s="3"/>
      <c r="C993" s="87" t="s">
        <v>1883</v>
      </c>
      <c r="D993" s="87" t="s">
        <v>1335</v>
      </c>
      <c r="E993" s="79" t="s">
        <v>1884</v>
      </c>
      <c r="F993" s="5" t="str">
        <f t="shared" si="15"/>
        <v>distansinstitutet.se</v>
      </c>
      <c r="G993" s="5" t="s">
        <v>1643</v>
      </c>
      <c r="H993" s="5" t="s">
        <v>5</v>
      </c>
      <c r="I993" s="116">
        <v>45351</v>
      </c>
    </row>
    <row r="994" spans="1:9" ht="13.5">
      <c r="A994" s="2" t="s">
        <v>765</v>
      </c>
      <c r="B994" s="3"/>
      <c r="C994" s="87" t="s">
        <v>1885</v>
      </c>
      <c r="D994" s="87" t="s">
        <v>1136</v>
      </c>
      <c r="E994" s="79" t="s">
        <v>1234</v>
      </c>
      <c r="F994" s="5" t="str">
        <f t="shared" si="15"/>
        <v>lemontree.se</v>
      </c>
      <c r="G994" s="5" t="s">
        <v>1643</v>
      </c>
      <c r="H994" s="5" t="s">
        <v>5</v>
      </c>
      <c r="I994" s="116">
        <v>45351</v>
      </c>
    </row>
    <row r="995" spans="1:9" ht="13.5">
      <c r="A995" s="7" t="s">
        <v>1324</v>
      </c>
      <c r="B995" s="3"/>
      <c r="C995" s="87" t="s">
        <v>1723</v>
      </c>
      <c r="D995" s="87" t="s">
        <v>1309</v>
      </c>
      <c r="E995" s="79" t="s">
        <v>1326</v>
      </c>
      <c r="F995" s="5" t="str">
        <f t="shared" si="15"/>
        <v>Lansfast Danderyd &amp; täby</v>
      </c>
      <c r="G995" s="5" t="s">
        <v>1660</v>
      </c>
      <c r="H995" s="5" t="s">
        <v>5</v>
      </c>
      <c r="I995" s="116">
        <v>45351</v>
      </c>
    </row>
    <row r="996" spans="1:9" ht="13.5">
      <c r="A996" s="7" t="s">
        <v>1071</v>
      </c>
      <c r="B996" s="3"/>
      <c r="C996" s="87" t="s">
        <v>1886</v>
      </c>
      <c r="D996" s="87" t="s">
        <v>1887</v>
      </c>
      <c r="E996" s="79" t="s">
        <v>1705</v>
      </c>
      <c r="F996" s="5" t="str">
        <f t="shared" si="15"/>
        <v>???</v>
      </c>
      <c r="G996" s="5" t="s">
        <v>1660</v>
      </c>
      <c r="H996" s="5" t="s">
        <v>5</v>
      </c>
      <c r="I996" s="116">
        <v>45351</v>
      </c>
    </row>
    <row r="997" spans="1:9" ht="13.5">
      <c r="A997" s="7" t="s">
        <v>329</v>
      </c>
      <c r="B997" s="3"/>
      <c r="C997" s="87" t="s">
        <v>1888</v>
      </c>
      <c r="D997" s="87" t="s">
        <v>1388</v>
      </c>
      <c r="E997" s="79" t="s">
        <v>1889</v>
      </c>
      <c r="F997" s="5" t="str">
        <f t="shared" si="15"/>
        <v>vont</v>
      </c>
      <c r="G997" s="5" t="s">
        <v>1643</v>
      </c>
      <c r="H997" s="5" t="s">
        <v>5</v>
      </c>
      <c r="I997" s="116">
        <v>45351</v>
      </c>
    </row>
    <row r="998" spans="1:9" ht="13.5">
      <c r="A998" s="2" t="s">
        <v>1180</v>
      </c>
      <c r="B998" s="3"/>
      <c r="C998" s="71" t="s">
        <v>1890</v>
      </c>
      <c r="D998" s="4" t="s">
        <v>1604</v>
      </c>
      <c r="E998" s="5" t="s">
        <v>1891</v>
      </c>
      <c r="F998" s="5" t="str">
        <f t="shared" si="15"/>
        <v>e-ciggbolaget.se</v>
      </c>
      <c r="G998" s="5" t="s">
        <v>4</v>
      </c>
      <c r="H998" s="5" t="s">
        <v>5</v>
      </c>
      <c r="I998" s="6">
        <v>45352</v>
      </c>
    </row>
    <row r="999" spans="1:9" ht="13.5">
      <c r="A999" s="2" t="s">
        <v>1180</v>
      </c>
      <c r="B999" s="3"/>
      <c r="C999" s="71" t="s">
        <v>1892</v>
      </c>
      <c r="D999" s="4" t="s">
        <v>1609</v>
      </c>
      <c r="E999" s="5" t="s">
        <v>1893</v>
      </c>
      <c r="F999" s="5" t="str">
        <f t="shared" si="15"/>
        <v>e-ciggbolaget.se</v>
      </c>
      <c r="G999" s="5" t="s">
        <v>4</v>
      </c>
      <c r="H999" s="5" t="s">
        <v>5</v>
      </c>
      <c r="I999" s="6">
        <v>45352</v>
      </c>
    </row>
    <row r="1000" spans="1:9" ht="13.5">
      <c r="A1000" s="2" t="s">
        <v>1180</v>
      </c>
      <c r="B1000" s="3"/>
      <c r="C1000" s="71" t="s">
        <v>1894</v>
      </c>
      <c r="D1000" s="4" t="s">
        <v>1580</v>
      </c>
      <c r="E1000" s="5" t="s">
        <v>1895</v>
      </c>
      <c r="F1000" s="5" t="str">
        <f t="shared" si="15"/>
        <v>e-ciggbolaget.se</v>
      </c>
      <c r="G1000" s="5" t="s">
        <v>4</v>
      </c>
      <c r="H1000" s="5" t="s">
        <v>5</v>
      </c>
      <c r="I1000" s="6">
        <v>45353</v>
      </c>
    </row>
    <row r="1001" spans="1:9" ht="13.5">
      <c r="A1001" s="2" t="s">
        <v>1180</v>
      </c>
      <c r="B1001" s="3"/>
      <c r="C1001" s="71" t="s">
        <v>1896</v>
      </c>
      <c r="D1001" s="4" t="s">
        <v>1580</v>
      </c>
      <c r="E1001" s="5" t="s">
        <v>1581</v>
      </c>
      <c r="F1001" s="5" t="str">
        <f t="shared" si="15"/>
        <v>e-ciggbolaget.se</v>
      </c>
      <c r="G1001" s="5" t="s">
        <v>4</v>
      </c>
      <c r="H1001" s="5" t="s">
        <v>5</v>
      </c>
      <c r="I1001" s="6">
        <v>45353</v>
      </c>
    </row>
    <row r="1002" spans="1:9" ht="14.25">
      <c r="A1002" s="2" t="s">
        <v>1180</v>
      </c>
      <c r="B1002" s="3"/>
      <c r="C1002" s="122" t="s">
        <v>1897</v>
      </c>
      <c r="D1002" s="4" t="s">
        <v>1898</v>
      </c>
      <c r="E1002" s="5" t="s">
        <v>1581</v>
      </c>
      <c r="F1002" s="5" t="str">
        <f t="shared" si="15"/>
        <v>e-ciggbolaget.se</v>
      </c>
      <c r="G1002" s="5" t="s">
        <v>4</v>
      </c>
      <c r="H1002" s="5" t="s">
        <v>5</v>
      </c>
      <c r="I1002" s="6">
        <v>45355</v>
      </c>
    </row>
    <row r="1003" spans="1:9" ht="13.5">
      <c r="A1003" s="2" t="s">
        <v>714</v>
      </c>
      <c r="B1003" s="3"/>
      <c r="C1003" s="93" t="s">
        <v>1899</v>
      </c>
      <c r="D1003" s="4" t="s">
        <v>1167</v>
      </c>
      <c r="E1003" s="5" t="s">
        <v>1900</v>
      </c>
      <c r="F1003" s="5" t="str">
        <f t="shared" si="15"/>
        <v>Alfa.no</v>
      </c>
      <c r="G1003" s="5" t="s">
        <v>4</v>
      </c>
      <c r="H1003" s="5" t="s">
        <v>382</v>
      </c>
      <c r="I1003" s="6">
        <v>45359</v>
      </c>
    </row>
    <row r="1004" spans="1:9" ht="13.5">
      <c r="A1004" s="2" t="s">
        <v>1755</v>
      </c>
      <c r="B1004" s="3"/>
      <c r="C1004" s="93" t="s">
        <v>1901</v>
      </c>
      <c r="D1004" s="8" t="s">
        <v>1783</v>
      </c>
      <c r="E1004" s="5" t="s">
        <v>1795</v>
      </c>
      <c r="F1004" s="5" t="str">
        <f t="shared" si="15"/>
        <v>glitnor.com</v>
      </c>
      <c r="G1004" s="5" t="s">
        <v>4</v>
      </c>
      <c r="H1004" s="5" t="s">
        <v>1618</v>
      </c>
      <c r="I1004" s="6">
        <v>45359</v>
      </c>
    </row>
    <row r="1005" spans="1:9" ht="13.5">
      <c r="A1005" s="2" t="s">
        <v>1755</v>
      </c>
      <c r="B1005" s="3"/>
      <c r="C1005" s="71" t="s">
        <v>1902</v>
      </c>
      <c r="D1005" s="4" t="s">
        <v>1777</v>
      </c>
      <c r="E1005" s="5" t="s">
        <v>1903</v>
      </c>
      <c r="F1005" s="5" t="str">
        <f t="shared" si="15"/>
        <v>glitnor.com</v>
      </c>
      <c r="G1005" s="5" t="s">
        <v>4</v>
      </c>
      <c r="H1005" s="5" t="s">
        <v>1618</v>
      </c>
      <c r="I1005" s="6">
        <v>45359</v>
      </c>
    </row>
    <row r="1006" spans="1:9" ht="13.5">
      <c r="A1006" s="2" t="s">
        <v>1755</v>
      </c>
      <c r="B1006" s="3"/>
      <c r="C1006" s="71" t="s">
        <v>1904</v>
      </c>
      <c r="D1006" s="4" t="s">
        <v>1783</v>
      </c>
      <c r="E1006" s="5" t="s">
        <v>1905</v>
      </c>
      <c r="F1006" s="5" t="str">
        <f t="shared" si="15"/>
        <v>glitnor.com</v>
      </c>
      <c r="G1006" s="5" t="s">
        <v>4</v>
      </c>
      <c r="H1006" s="5" t="s">
        <v>1618</v>
      </c>
      <c r="I1006" s="6">
        <v>45359</v>
      </c>
    </row>
    <row r="1007" spans="1:9" ht="13.5">
      <c r="A1007" s="2" t="s">
        <v>1906</v>
      </c>
      <c r="B1007" s="3"/>
      <c r="C1007" s="71" t="s">
        <v>1907</v>
      </c>
      <c r="D1007" s="4" t="s">
        <v>1908</v>
      </c>
      <c r="E1007" s="5" t="s">
        <v>1909</v>
      </c>
      <c r="F1007" s="5" t="str">
        <f t="shared" si="15"/>
        <v>elavtaldirekt.se</v>
      </c>
      <c r="G1007" s="5" t="s">
        <v>4</v>
      </c>
      <c r="H1007" s="5" t="s">
        <v>5</v>
      </c>
      <c r="I1007" s="6">
        <v>45359</v>
      </c>
    </row>
    <row r="1008" spans="1:9" ht="13.5">
      <c r="A1008" s="7" t="s">
        <v>1910</v>
      </c>
      <c r="B1008" s="3"/>
      <c r="C1008" s="71" t="s">
        <v>1911</v>
      </c>
      <c r="D1008" s="8" t="s">
        <v>1912</v>
      </c>
      <c r="E1008" s="5" t="s">
        <v>1913</v>
      </c>
      <c r="F1008" s="5" t="str">
        <f t="shared" si="15"/>
        <v>kelleher-international</v>
      </c>
      <c r="G1008" s="5" t="s">
        <v>4</v>
      </c>
      <c r="H1008" s="5" t="s">
        <v>345</v>
      </c>
      <c r="I1008" s="6">
        <v>45363</v>
      </c>
    </row>
    <row r="1009" spans="1:9" ht="13.5">
      <c r="A1009" s="2" t="s">
        <v>1755</v>
      </c>
      <c r="B1009" s="3"/>
      <c r="C1009" s="71" t="s">
        <v>1914</v>
      </c>
      <c r="D1009" s="4" t="s">
        <v>1915</v>
      </c>
      <c r="E1009" s="5" t="s">
        <v>1876</v>
      </c>
      <c r="F1009" s="5" t="str">
        <f t="shared" si="15"/>
        <v>glitnor.com</v>
      </c>
      <c r="G1009" s="5" t="s">
        <v>4</v>
      </c>
      <c r="H1009" s="5" t="s">
        <v>5</v>
      </c>
      <c r="I1009" s="6">
        <v>45364</v>
      </c>
    </row>
    <row r="1010" spans="1:9" ht="13.5">
      <c r="A1010" s="2" t="s">
        <v>1755</v>
      </c>
      <c r="B1010" s="3"/>
      <c r="C1010" s="71" t="s">
        <v>1916</v>
      </c>
      <c r="D1010" s="4" t="s">
        <v>1915</v>
      </c>
      <c r="E1010" s="5" t="s">
        <v>1917</v>
      </c>
      <c r="F1010" s="5" t="str">
        <f t="shared" si="15"/>
        <v>glitnor.com</v>
      </c>
      <c r="G1010" s="5" t="s">
        <v>4</v>
      </c>
      <c r="H1010" s="5" t="s">
        <v>5</v>
      </c>
      <c r="I1010" s="6">
        <v>45365</v>
      </c>
    </row>
    <row r="1011" spans="1:9" ht="13.5">
      <c r="A1011" s="2" t="s">
        <v>1544</v>
      </c>
      <c r="B1011" s="3"/>
      <c r="C1011" s="71" t="s">
        <v>1918</v>
      </c>
      <c r="D1011" s="4" t="s">
        <v>1850</v>
      </c>
      <c r="E1011" s="5" t="s">
        <v>1595</v>
      </c>
      <c r="F1011" s="5" t="str">
        <f t="shared" si="15"/>
        <v>Finansplassen.no</v>
      </c>
      <c r="G1011" s="5" t="s">
        <v>4</v>
      </c>
      <c r="H1011" s="5" t="s">
        <v>5</v>
      </c>
      <c r="I1011" s="6">
        <v>45366</v>
      </c>
    </row>
    <row r="1012" spans="1:9" ht="13.5">
      <c r="A1012" s="2" t="s">
        <v>1755</v>
      </c>
      <c r="B1012" s="3"/>
      <c r="C1012" s="71" t="s">
        <v>1919</v>
      </c>
      <c r="D1012" s="4" t="s">
        <v>1915</v>
      </c>
      <c r="E1012" s="9" t="s">
        <v>1790</v>
      </c>
      <c r="F1012" s="5" t="str">
        <f t="shared" si="15"/>
        <v>glitnor.com</v>
      </c>
      <c r="G1012" s="5" t="s">
        <v>4</v>
      </c>
      <c r="H1012" s="5" t="s">
        <v>5</v>
      </c>
      <c r="I1012" s="6">
        <v>45366</v>
      </c>
    </row>
    <row r="1013" spans="1:9" ht="13.5">
      <c r="A1013" s="7" t="s">
        <v>224</v>
      </c>
      <c r="B1013" s="3"/>
      <c r="C1013" s="119" t="s">
        <v>1920</v>
      </c>
      <c r="D1013" s="4" t="s">
        <v>226</v>
      </c>
      <c r="E1013" s="5" t="s">
        <v>368</v>
      </c>
      <c r="F1013" s="5" t="str">
        <f t="shared" si="15"/>
        <v>swedoffice</v>
      </c>
      <c r="G1013" s="5" t="s">
        <v>4</v>
      </c>
      <c r="H1013" s="5" t="s">
        <v>5</v>
      </c>
      <c r="I1013" s="6">
        <v>45367</v>
      </c>
    </row>
    <row r="1014" spans="1:9" ht="13.5">
      <c r="A1014" s="2" t="s">
        <v>1755</v>
      </c>
      <c r="B1014" s="3"/>
      <c r="C1014" s="71" t="s">
        <v>1921</v>
      </c>
      <c r="D1014" s="4" t="s">
        <v>1921</v>
      </c>
      <c r="E1014" s="5" t="s">
        <v>1922</v>
      </c>
      <c r="F1014" s="5" t="str">
        <f t="shared" si="15"/>
        <v>glitnor.com</v>
      </c>
      <c r="G1014" s="5" t="s">
        <v>4</v>
      </c>
      <c r="H1014" s="5" t="s">
        <v>5</v>
      </c>
      <c r="I1014" s="6">
        <v>45369</v>
      </c>
    </row>
    <row r="1015" spans="1:9" ht="13.5">
      <c r="A1015" s="2" t="s">
        <v>1755</v>
      </c>
      <c r="B1015" s="3"/>
      <c r="C1015" s="71" t="s">
        <v>1923</v>
      </c>
      <c r="D1015" s="4" t="s">
        <v>1780</v>
      </c>
      <c r="E1015" s="5" t="s">
        <v>1876</v>
      </c>
      <c r="F1015" s="5" t="str">
        <f t="shared" si="15"/>
        <v>glitnor.com</v>
      </c>
      <c r="G1015" s="5" t="s">
        <v>4</v>
      </c>
      <c r="H1015" s="5" t="s">
        <v>5</v>
      </c>
      <c r="I1015" s="6">
        <v>45369</v>
      </c>
    </row>
    <row r="1016" spans="1:9" ht="13.5">
      <c r="A1016" s="2" t="s">
        <v>1750</v>
      </c>
      <c r="B1016" s="3"/>
      <c r="C1016" s="71" t="s">
        <v>1924</v>
      </c>
      <c r="D1016" s="4" t="s">
        <v>1752</v>
      </c>
      <c r="E1016" s="5" t="s">
        <v>1237</v>
      </c>
      <c r="F1016" s="5" t="str">
        <f t="shared" si="15"/>
        <v>cannabislight.se</v>
      </c>
      <c r="G1016" s="5" t="s">
        <v>4</v>
      </c>
      <c r="H1016" s="5" t="s">
        <v>5</v>
      </c>
      <c r="I1016" s="6">
        <v>45369</v>
      </c>
    </row>
    <row r="1017" spans="1:9" ht="13.5">
      <c r="A1017" s="7" t="s">
        <v>1557</v>
      </c>
      <c r="B1017" s="3"/>
      <c r="C1017" s="5" t="s">
        <v>1925</v>
      </c>
      <c r="D1017" s="5" t="s">
        <v>1566</v>
      </c>
      <c r="E1017" s="5" t="s">
        <v>1926</v>
      </c>
      <c r="F1017" s="5" t="str">
        <f t="shared" si="15"/>
        <v>rörmokare.nu</v>
      </c>
      <c r="G1017" s="5" t="s">
        <v>4</v>
      </c>
      <c r="H1017" s="5" t="s">
        <v>5</v>
      </c>
      <c r="I1017" s="6">
        <v>45369</v>
      </c>
    </row>
    <row r="1018" spans="1:9" ht="13.5">
      <c r="A1018" s="2" t="s">
        <v>1750</v>
      </c>
      <c r="B1018" s="3"/>
      <c r="C1018" s="71" t="s">
        <v>1927</v>
      </c>
      <c r="D1018" s="8" t="s">
        <v>1928</v>
      </c>
      <c r="E1018" s="22" t="s">
        <v>1928</v>
      </c>
      <c r="F1018" s="5" t="str">
        <f t="shared" si="15"/>
        <v>cannabislight.se</v>
      </c>
      <c r="G1018" s="5" t="s">
        <v>4</v>
      </c>
      <c r="H1018" s="5" t="s">
        <v>5</v>
      </c>
      <c r="I1018" s="6">
        <v>45370</v>
      </c>
    </row>
    <row r="1019" spans="1:9" ht="13.5">
      <c r="A1019" s="2" t="s">
        <v>1755</v>
      </c>
      <c r="B1019" s="3"/>
      <c r="C1019" s="71" t="s">
        <v>1929</v>
      </c>
      <c r="D1019" s="4" t="s">
        <v>1915</v>
      </c>
      <c r="E1019" s="5" t="s">
        <v>1930</v>
      </c>
      <c r="F1019" s="5" t="str">
        <f t="shared" si="15"/>
        <v>glitnor.com</v>
      </c>
      <c r="G1019" s="5" t="s">
        <v>4</v>
      </c>
      <c r="H1019" s="5" t="s">
        <v>5</v>
      </c>
      <c r="I1019" s="6">
        <v>45370</v>
      </c>
    </row>
    <row r="1020" spans="1:9" ht="13.5">
      <c r="A1020" s="2" t="s">
        <v>846</v>
      </c>
      <c r="B1020" s="3"/>
      <c r="C1020" s="71" t="s">
        <v>1931</v>
      </c>
      <c r="D1020" s="4" t="s">
        <v>848</v>
      </c>
      <c r="E1020" s="5" t="s">
        <v>854</v>
      </c>
      <c r="F1020" s="5" t="str">
        <f t="shared" si="15"/>
        <v>tandea.se</v>
      </c>
      <c r="G1020" s="5" t="s">
        <v>4</v>
      </c>
      <c r="H1020" s="5" t="s">
        <v>5</v>
      </c>
      <c r="I1020" s="6">
        <v>45370</v>
      </c>
    </row>
    <row r="1021" spans="1:9" ht="13.5">
      <c r="A1021" s="7" t="s">
        <v>329</v>
      </c>
      <c r="B1021" s="3"/>
      <c r="C1021" s="71" t="s">
        <v>1932</v>
      </c>
      <c r="D1021" s="4" t="s">
        <v>1932</v>
      </c>
      <c r="E1021" s="5" t="s">
        <v>655</v>
      </c>
      <c r="F1021" s="5" t="str">
        <f t="shared" si="15"/>
        <v>vont</v>
      </c>
      <c r="G1021" s="5" t="s">
        <v>4</v>
      </c>
      <c r="H1021" s="5" t="s">
        <v>5</v>
      </c>
      <c r="I1021" s="6">
        <v>45370</v>
      </c>
    </row>
    <row r="1022" spans="1:9" ht="13.5">
      <c r="A1022" s="2" t="s">
        <v>1755</v>
      </c>
      <c r="B1022" s="3"/>
      <c r="C1022" s="71" t="s">
        <v>1933</v>
      </c>
      <c r="D1022" s="4" t="s">
        <v>1786</v>
      </c>
      <c r="E1022" s="5" t="s">
        <v>1934</v>
      </c>
      <c r="F1022" s="5" t="str">
        <f t="shared" si="15"/>
        <v>glitnor.com</v>
      </c>
      <c r="G1022" s="5" t="s">
        <v>4</v>
      </c>
      <c r="H1022" s="5" t="s">
        <v>5</v>
      </c>
      <c r="I1022" s="6">
        <v>45370</v>
      </c>
    </row>
    <row r="1023" spans="1:9" ht="13.5">
      <c r="A1023" s="2" t="s">
        <v>1755</v>
      </c>
      <c r="B1023" s="3"/>
      <c r="C1023" s="71" t="s">
        <v>1935</v>
      </c>
      <c r="D1023" s="4" t="s">
        <v>1838</v>
      </c>
      <c r="E1023" s="5" t="s">
        <v>1936</v>
      </c>
      <c r="F1023" s="5" t="str">
        <f t="shared" si="15"/>
        <v>glitnor.com</v>
      </c>
      <c r="G1023" s="5" t="s">
        <v>4</v>
      </c>
      <c r="H1023" s="5" t="s">
        <v>5</v>
      </c>
      <c r="I1023" s="6">
        <v>45370</v>
      </c>
    </row>
    <row r="1024" spans="1:9" ht="13.5">
      <c r="A1024" s="2" t="s">
        <v>1544</v>
      </c>
      <c r="B1024" s="3"/>
      <c r="C1024" s="71" t="s">
        <v>1937</v>
      </c>
      <c r="D1024" s="4" t="s">
        <v>1594</v>
      </c>
      <c r="E1024" s="5" t="s">
        <v>1938</v>
      </c>
      <c r="F1024" s="5" t="str">
        <f t="shared" si="15"/>
        <v>Finansplassen.no</v>
      </c>
      <c r="G1024" s="5" t="s">
        <v>4</v>
      </c>
      <c r="H1024" s="5" t="s">
        <v>382</v>
      </c>
      <c r="I1024" s="6">
        <v>45370</v>
      </c>
    </row>
    <row r="1025" spans="1:9" ht="13.5">
      <c r="A1025" s="7" t="s">
        <v>1557</v>
      </c>
      <c r="B1025" s="3"/>
      <c r="C1025" s="5" t="s">
        <v>1939</v>
      </c>
      <c r="D1025" s="5" t="s">
        <v>1566</v>
      </c>
      <c r="E1025" s="5" t="s">
        <v>1940</v>
      </c>
      <c r="F1025" s="5" t="str">
        <f t="shared" si="15"/>
        <v>rörmokare.nu</v>
      </c>
      <c r="G1025" s="5" t="s">
        <v>4</v>
      </c>
      <c r="H1025" s="5" t="s">
        <v>5</v>
      </c>
      <c r="I1025" s="6">
        <v>45370</v>
      </c>
    </row>
    <row r="1026" spans="1:9" ht="13.5">
      <c r="A1026" s="2" t="s">
        <v>1318</v>
      </c>
      <c r="B1026" s="3"/>
      <c r="C1026" s="71" t="s">
        <v>1941</v>
      </c>
      <c r="D1026" s="4" t="s">
        <v>1942</v>
      </c>
      <c r="E1026" s="5" t="s">
        <v>1943</v>
      </c>
      <c r="F1026" s="5" t="str">
        <f t="shared" si="15"/>
        <v>spelklubben.se</v>
      </c>
      <c r="G1026" s="5" t="s">
        <v>4</v>
      </c>
      <c r="H1026" s="5" t="s">
        <v>5</v>
      </c>
      <c r="I1026" s="6">
        <v>45371</v>
      </c>
    </row>
    <row r="1027" spans="1:9" ht="13.5">
      <c r="A1027" s="2" t="s">
        <v>1318</v>
      </c>
      <c r="B1027" s="3"/>
      <c r="C1027" s="71" t="s">
        <v>1944</v>
      </c>
      <c r="D1027" s="4" t="s">
        <v>1846</v>
      </c>
      <c r="E1027" s="5" t="s">
        <v>1945</v>
      </c>
      <c r="F1027" s="5" t="str">
        <f t="shared" ref="F1027:F1090" si="16">A1027</f>
        <v>spelklubben.se</v>
      </c>
      <c r="G1027" s="5" t="s">
        <v>4</v>
      </c>
      <c r="H1027" s="5" t="s">
        <v>5</v>
      </c>
      <c r="I1027" s="6">
        <v>45371</v>
      </c>
    </row>
    <row r="1028" spans="1:9" ht="13.5">
      <c r="A1028" s="2" t="s">
        <v>1318</v>
      </c>
      <c r="B1028" s="3"/>
      <c r="C1028" s="71" t="s">
        <v>1946</v>
      </c>
      <c r="D1028" s="4" t="s">
        <v>1870</v>
      </c>
      <c r="E1028" s="5" t="s">
        <v>1947</v>
      </c>
      <c r="F1028" s="5" t="str">
        <f t="shared" si="16"/>
        <v>spelklubben.se</v>
      </c>
      <c r="G1028" s="5" t="s">
        <v>4</v>
      </c>
      <c r="H1028" s="5" t="s">
        <v>5</v>
      </c>
      <c r="I1028" s="6">
        <v>45371</v>
      </c>
    </row>
    <row r="1029" spans="1:9" ht="13.5">
      <c r="A1029" s="2" t="s">
        <v>1318</v>
      </c>
      <c r="B1029" s="3"/>
      <c r="C1029" s="71" t="s">
        <v>1948</v>
      </c>
      <c r="D1029" s="4" t="s">
        <v>1846</v>
      </c>
      <c r="E1029" s="5" t="s">
        <v>1949</v>
      </c>
      <c r="F1029" s="5" t="str">
        <f t="shared" si="16"/>
        <v>spelklubben.se</v>
      </c>
      <c r="G1029" s="5" t="s">
        <v>4</v>
      </c>
      <c r="H1029" s="5" t="s">
        <v>5</v>
      </c>
      <c r="I1029" s="6">
        <v>45371</v>
      </c>
    </row>
    <row r="1030" spans="1:9" ht="13.5">
      <c r="A1030" s="2" t="s">
        <v>1318</v>
      </c>
      <c r="B1030" s="3"/>
      <c r="C1030" s="71" t="s">
        <v>1950</v>
      </c>
      <c r="D1030" s="4" t="s">
        <v>1942</v>
      </c>
      <c r="E1030" s="5" t="s">
        <v>1951</v>
      </c>
      <c r="F1030" s="5" t="str">
        <f t="shared" si="16"/>
        <v>spelklubben.se</v>
      </c>
      <c r="G1030" s="5" t="s">
        <v>4</v>
      </c>
      <c r="H1030" s="5" t="s">
        <v>5</v>
      </c>
      <c r="I1030" s="6">
        <v>45371</v>
      </c>
    </row>
    <row r="1031" spans="1:9" ht="13.5">
      <c r="A1031" s="2" t="s">
        <v>1318</v>
      </c>
      <c r="B1031" s="3"/>
      <c r="C1031" s="71" t="s">
        <v>1952</v>
      </c>
      <c r="D1031" s="4" t="s">
        <v>1846</v>
      </c>
      <c r="E1031" s="5" t="s">
        <v>1953</v>
      </c>
      <c r="F1031" s="5" t="str">
        <f t="shared" si="16"/>
        <v>spelklubben.se</v>
      </c>
      <c r="G1031" s="5" t="s">
        <v>4</v>
      </c>
      <c r="H1031" s="5" t="s">
        <v>5</v>
      </c>
      <c r="I1031" s="6">
        <v>45371</v>
      </c>
    </row>
    <row r="1032" spans="1:9" ht="13.5">
      <c r="A1032" s="2" t="s">
        <v>1318</v>
      </c>
      <c r="B1032" s="3"/>
      <c r="C1032" s="71" t="s">
        <v>1954</v>
      </c>
      <c r="D1032" s="4" t="s">
        <v>1955</v>
      </c>
      <c r="E1032" s="5" t="s">
        <v>1956</v>
      </c>
      <c r="F1032" s="5" t="str">
        <f t="shared" si="16"/>
        <v>spelklubben.se</v>
      </c>
      <c r="G1032" s="5" t="s">
        <v>4</v>
      </c>
      <c r="H1032" s="5" t="s">
        <v>5</v>
      </c>
      <c r="I1032" s="6">
        <v>45371</v>
      </c>
    </row>
    <row r="1033" spans="1:9" ht="13.5">
      <c r="A1033" s="2" t="s">
        <v>1180</v>
      </c>
      <c r="B1033" s="3"/>
      <c r="C1033" s="71" t="s">
        <v>1957</v>
      </c>
      <c r="D1033" s="4" t="s">
        <v>1958</v>
      </c>
      <c r="E1033" s="5" t="s">
        <v>1959</v>
      </c>
      <c r="F1033" s="5" t="str">
        <f t="shared" si="16"/>
        <v>e-ciggbolaget.se</v>
      </c>
      <c r="G1033" s="5" t="s">
        <v>4</v>
      </c>
      <c r="H1033" s="5" t="s">
        <v>5</v>
      </c>
      <c r="I1033" s="6">
        <v>45372</v>
      </c>
    </row>
    <row r="1034" spans="1:9" ht="13.5">
      <c r="A1034" s="7" t="s">
        <v>1910</v>
      </c>
      <c r="B1034" s="3"/>
      <c r="C1034" s="71" t="s">
        <v>1960</v>
      </c>
      <c r="D1034" s="4" t="s">
        <v>1912</v>
      </c>
      <c r="E1034" s="5" t="s">
        <v>1961</v>
      </c>
      <c r="F1034" s="5" t="str">
        <f t="shared" si="16"/>
        <v>kelleher-international</v>
      </c>
      <c r="G1034" s="5" t="s">
        <v>4</v>
      </c>
      <c r="H1034" s="5" t="s">
        <v>345</v>
      </c>
      <c r="I1034" s="6">
        <v>45373</v>
      </c>
    </row>
    <row r="1035" spans="1:9" ht="13.5">
      <c r="A1035" s="2" t="s">
        <v>1180</v>
      </c>
      <c r="B1035" s="3"/>
      <c r="C1035" s="71" t="s">
        <v>1962</v>
      </c>
      <c r="D1035" s="4" t="s">
        <v>1963</v>
      </c>
      <c r="E1035" s="5" t="s">
        <v>1964</v>
      </c>
      <c r="F1035" s="5" t="str">
        <f t="shared" si="16"/>
        <v>e-ciggbolaget.se</v>
      </c>
      <c r="G1035" s="5" t="s">
        <v>4</v>
      </c>
      <c r="H1035" s="5" t="s">
        <v>5</v>
      </c>
      <c r="I1035" s="6">
        <v>45373</v>
      </c>
    </row>
    <row r="1036" spans="1:9" ht="13.5">
      <c r="A1036" s="2" t="s">
        <v>1180</v>
      </c>
      <c r="B1036" s="3"/>
      <c r="C1036" s="71" t="s">
        <v>1965</v>
      </c>
      <c r="D1036" s="4" t="s">
        <v>1966</v>
      </c>
      <c r="E1036" s="5" t="s">
        <v>1624</v>
      </c>
      <c r="F1036" s="5" t="str">
        <f t="shared" si="16"/>
        <v>e-ciggbolaget.se</v>
      </c>
      <c r="G1036" s="5" t="s">
        <v>4</v>
      </c>
      <c r="H1036" s="5" t="s">
        <v>5</v>
      </c>
      <c r="I1036" s="6">
        <v>45373</v>
      </c>
    </row>
    <row r="1037" spans="1:9" ht="13.5">
      <c r="A1037" s="2" t="s">
        <v>1180</v>
      </c>
      <c r="B1037" s="3"/>
      <c r="C1037" s="71" t="s">
        <v>1967</v>
      </c>
      <c r="D1037" s="4" t="s">
        <v>1966</v>
      </c>
      <c r="E1037" s="5" t="s">
        <v>1968</v>
      </c>
      <c r="F1037" s="5" t="str">
        <f t="shared" si="16"/>
        <v>e-ciggbolaget.se</v>
      </c>
      <c r="G1037" s="5" t="s">
        <v>4</v>
      </c>
      <c r="H1037" s="5" t="s">
        <v>5</v>
      </c>
      <c r="I1037" s="6">
        <v>45373</v>
      </c>
    </row>
    <row r="1038" spans="1:9" ht="13.5">
      <c r="A1038" s="2" t="s">
        <v>1180</v>
      </c>
      <c r="B1038" s="3"/>
      <c r="C1038" s="71" t="s">
        <v>1969</v>
      </c>
      <c r="D1038" s="4" t="s">
        <v>1970</v>
      </c>
      <c r="E1038" s="5" t="s">
        <v>1581</v>
      </c>
      <c r="F1038" s="5" t="str">
        <f t="shared" si="16"/>
        <v>e-ciggbolaget.se</v>
      </c>
      <c r="G1038" s="5" t="s">
        <v>4</v>
      </c>
      <c r="H1038" s="5" t="s">
        <v>5</v>
      </c>
      <c r="I1038" s="6">
        <v>45373</v>
      </c>
    </row>
    <row r="1039" spans="1:9" ht="13.5">
      <c r="A1039" s="2" t="s">
        <v>1906</v>
      </c>
      <c r="B1039" s="3"/>
      <c r="C1039" s="71" t="s">
        <v>1971</v>
      </c>
      <c r="D1039" s="4" t="s">
        <v>1908</v>
      </c>
      <c r="E1039" s="5" t="s">
        <v>1972</v>
      </c>
      <c r="F1039" s="5" t="str">
        <f t="shared" si="16"/>
        <v>elavtaldirekt.se</v>
      </c>
      <c r="G1039" s="5" t="s">
        <v>4</v>
      </c>
      <c r="H1039" s="5" t="s">
        <v>5</v>
      </c>
      <c r="I1039" s="6">
        <v>45373</v>
      </c>
    </row>
    <row r="1040" spans="1:9" ht="13.5">
      <c r="A1040" s="2" t="s">
        <v>846</v>
      </c>
      <c r="B1040" s="3"/>
      <c r="C1040" s="71" t="s">
        <v>1973</v>
      </c>
      <c r="D1040" s="4" t="s">
        <v>848</v>
      </c>
      <c r="E1040" s="5" t="s">
        <v>1039</v>
      </c>
      <c r="F1040" s="5" t="str">
        <f t="shared" si="16"/>
        <v>tandea.se</v>
      </c>
      <c r="G1040" s="5" t="s">
        <v>4</v>
      </c>
      <c r="H1040" s="5" t="s">
        <v>5</v>
      </c>
      <c r="I1040" s="6">
        <v>45373</v>
      </c>
    </row>
    <row r="1041" spans="1:9" ht="13.5">
      <c r="A1041" s="2" t="s">
        <v>1974</v>
      </c>
      <c r="B1041" s="3"/>
      <c r="C1041" s="71" t="s">
        <v>1975</v>
      </c>
      <c r="D1041" s="4" t="s">
        <v>1976</v>
      </c>
      <c r="E1041" s="5" t="s">
        <v>1977</v>
      </c>
      <c r="F1041" s="5" t="str">
        <f t="shared" si="16"/>
        <v>tryggvi.se</v>
      </c>
      <c r="G1041" s="5" t="s">
        <v>4</v>
      </c>
      <c r="H1041" s="5" t="s">
        <v>5</v>
      </c>
      <c r="I1041" s="6">
        <v>45373</v>
      </c>
    </row>
    <row r="1042" spans="1:9" ht="13.5">
      <c r="A1042" s="2" t="s">
        <v>435</v>
      </c>
      <c r="B1042" s="3"/>
      <c r="C1042" s="71" t="s">
        <v>1978</v>
      </c>
      <c r="D1042" s="4" t="s">
        <v>973</v>
      </c>
      <c r="E1042" s="5" t="s">
        <v>839</v>
      </c>
      <c r="F1042" s="5" t="str">
        <f t="shared" si="16"/>
        <v>fairinvestments.se</v>
      </c>
      <c r="G1042" s="5" t="s">
        <v>4</v>
      </c>
      <c r="H1042" s="5" t="s">
        <v>5</v>
      </c>
      <c r="I1042" s="6">
        <v>45373</v>
      </c>
    </row>
    <row r="1043" spans="1:9" ht="13.5">
      <c r="A1043" s="2" t="s">
        <v>1318</v>
      </c>
      <c r="B1043" s="3"/>
      <c r="C1043" s="123" t="s">
        <v>1979</v>
      </c>
      <c r="D1043" s="4" t="s">
        <v>1942</v>
      </c>
      <c r="E1043" s="5" t="s">
        <v>1980</v>
      </c>
      <c r="F1043" s="5" t="str">
        <f t="shared" si="16"/>
        <v>spelklubben.se</v>
      </c>
      <c r="G1043" s="5" t="s">
        <v>4</v>
      </c>
      <c r="H1043" s="5" t="s">
        <v>5</v>
      </c>
      <c r="I1043" s="6">
        <v>45373</v>
      </c>
    </row>
    <row r="1044" spans="1:9" ht="13.5">
      <c r="A1044" s="2" t="s">
        <v>1180</v>
      </c>
      <c r="B1044" s="3"/>
      <c r="C1044" s="71" t="s">
        <v>1981</v>
      </c>
      <c r="D1044" s="4" t="s">
        <v>1640</v>
      </c>
      <c r="E1044" s="5" t="s">
        <v>1982</v>
      </c>
      <c r="F1044" s="5" t="str">
        <f t="shared" si="16"/>
        <v>e-ciggbolaget.se</v>
      </c>
      <c r="G1044" s="5" t="s">
        <v>4</v>
      </c>
      <c r="H1044" s="5" t="s">
        <v>5</v>
      </c>
      <c r="I1044" s="6">
        <v>45374</v>
      </c>
    </row>
    <row r="1045" spans="1:9" ht="13.5">
      <c r="A1045" s="2" t="s">
        <v>1318</v>
      </c>
      <c r="B1045" s="3"/>
      <c r="C1045" s="119" t="s">
        <v>1983</v>
      </c>
      <c r="D1045" s="4" t="s">
        <v>1942</v>
      </c>
      <c r="E1045" s="5" t="s">
        <v>1984</v>
      </c>
      <c r="F1045" s="5" t="str">
        <f t="shared" si="16"/>
        <v>spelklubben.se</v>
      </c>
      <c r="G1045" s="5" t="s">
        <v>4</v>
      </c>
      <c r="H1045" s="5" t="s">
        <v>5</v>
      </c>
      <c r="I1045" s="6">
        <v>45374</v>
      </c>
    </row>
    <row r="1046" spans="1:9" ht="13.5">
      <c r="A1046" s="2" t="s">
        <v>1318</v>
      </c>
      <c r="B1046" s="3"/>
      <c r="C1046" s="119" t="s">
        <v>1985</v>
      </c>
      <c r="D1046" s="4" t="s">
        <v>1942</v>
      </c>
      <c r="E1046" s="5" t="s">
        <v>1855</v>
      </c>
      <c r="F1046" s="5" t="str">
        <f t="shared" si="16"/>
        <v>spelklubben.se</v>
      </c>
      <c r="G1046" s="5" t="s">
        <v>4</v>
      </c>
      <c r="H1046" s="5" t="s">
        <v>5</v>
      </c>
      <c r="I1046" s="6">
        <v>45375</v>
      </c>
    </row>
    <row r="1047" spans="1:9" ht="13.5">
      <c r="A1047" s="2" t="s">
        <v>714</v>
      </c>
      <c r="B1047" s="3"/>
      <c r="C1047" s="119" t="s">
        <v>1986</v>
      </c>
      <c r="D1047" s="4" t="s">
        <v>1987</v>
      </c>
      <c r="E1047" s="5" t="s">
        <v>1988</v>
      </c>
      <c r="F1047" s="5" t="str">
        <f t="shared" si="16"/>
        <v>Alfa.no</v>
      </c>
      <c r="G1047" s="5" t="s">
        <v>4</v>
      </c>
      <c r="H1047" s="5" t="s">
        <v>382</v>
      </c>
      <c r="I1047" s="6">
        <v>45375</v>
      </c>
    </row>
    <row r="1048" spans="1:9" ht="13.5">
      <c r="A1048" s="2" t="s">
        <v>1318</v>
      </c>
      <c r="B1048" s="3"/>
      <c r="C1048" s="119" t="s">
        <v>1989</v>
      </c>
      <c r="D1048" s="4" t="s">
        <v>1942</v>
      </c>
      <c r="E1048" s="9" t="s">
        <v>1846</v>
      </c>
      <c r="F1048" s="5" t="str">
        <f t="shared" si="16"/>
        <v>spelklubben.se</v>
      </c>
      <c r="G1048" s="5" t="s">
        <v>4</v>
      </c>
      <c r="H1048" s="5" t="s">
        <v>5</v>
      </c>
      <c r="I1048" s="6">
        <v>45376</v>
      </c>
    </row>
    <row r="1049" spans="1:9" ht="13.5">
      <c r="A1049" s="2" t="s">
        <v>1318</v>
      </c>
      <c r="B1049" s="3"/>
      <c r="C1049" s="119" t="s">
        <v>1990</v>
      </c>
      <c r="D1049" s="4" t="s">
        <v>1942</v>
      </c>
      <c r="E1049" s="5" t="s">
        <v>1605</v>
      </c>
      <c r="F1049" s="5" t="str">
        <f t="shared" si="16"/>
        <v>spelklubben.se</v>
      </c>
      <c r="G1049" s="5" t="s">
        <v>4</v>
      </c>
      <c r="H1049" s="5" t="s">
        <v>5</v>
      </c>
      <c r="I1049" s="6">
        <v>45376</v>
      </c>
    </row>
    <row r="1050" spans="1:9" ht="13.5">
      <c r="A1050" s="2" t="s">
        <v>1667</v>
      </c>
      <c r="B1050" s="3"/>
      <c r="C1050" s="71" t="s">
        <v>1991</v>
      </c>
      <c r="D1050" s="4" t="s">
        <v>1669</v>
      </c>
      <c r="E1050" s="5" t="s">
        <v>1992</v>
      </c>
      <c r="F1050" s="5" t="str">
        <f t="shared" si="16"/>
        <v>Alfa.se</v>
      </c>
      <c r="G1050" s="5" t="s">
        <v>4</v>
      </c>
      <c r="H1050" s="5" t="s">
        <v>5</v>
      </c>
      <c r="I1050" s="6">
        <v>45377</v>
      </c>
    </row>
    <row r="1051" spans="1:9" ht="13.5">
      <c r="A1051" s="2" t="s">
        <v>1993</v>
      </c>
      <c r="B1051" s="3"/>
      <c r="C1051" s="71" t="s">
        <v>1994</v>
      </c>
      <c r="D1051" s="4" t="s">
        <v>1995</v>
      </c>
      <c r="E1051" s="5" t="s">
        <v>1996</v>
      </c>
      <c r="F1051" s="5" t="str">
        <f t="shared" si="16"/>
        <v>filippa-k.com/se/sv/</v>
      </c>
      <c r="G1051" s="5" t="s">
        <v>4</v>
      </c>
      <c r="H1051" s="5" t="s">
        <v>5</v>
      </c>
      <c r="I1051" s="6">
        <v>45377</v>
      </c>
    </row>
    <row r="1052" spans="1:9" ht="13.5">
      <c r="A1052" s="2" t="s">
        <v>1993</v>
      </c>
      <c r="B1052" s="3"/>
      <c r="C1052" s="71" t="s">
        <v>1997</v>
      </c>
      <c r="D1052" s="4" t="s">
        <v>1998</v>
      </c>
      <c r="E1052" s="5" t="s">
        <v>1999</v>
      </c>
      <c r="F1052" s="5" t="str">
        <f t="shared" si="16"/>
        <v>filippa-k.com/se/sv/</v>
      </c>
      <c r="G1052" s="5" t="s">
        <v>4</v>
      </c>
      <c r="H1052" s="5" t="s">
        <v>5</v>
      </c>
      <c r="I1052" s="6">
        <v>45377</v>
      </c>
    </row>
    <row r="1053" spans="1:9" ht="13.5">
      <c r="A1053" s="2" t="s">
        <v>1318</v>
      </c>
      <c r="B1053" s="3"/>
      <c r="C1053" s="71" t="s">
        <v>2000</v>
      </c>
      <c r="D1053" s="4" t="s">
        <v>1942</v>
      </c>
      <c r="E1053" s="5" t="s">
        <v>2001</v>
      </c>
      <c r="F1053" s="5" t="str">
        <f t="shared" si="16"/>
        <v>spelklubben.se</v>
      </c>
      <c r="G1053" s="5" t="s">
        <v>4</v>
      </c>
      <c r="H1053" s="5" t="s">
        <v>5</v>
      </c>
      <c r="I1053" s="6">
        <v>45378</v>
      </c>
    </row>
    <row r="1054" spans="1:9" ht="13.5">
      <c r="A1054" s="2" t="s">
        <v>2002</v>
      </c>
      <c r="B1054" s="3"/>
      <c r="C1054" s="93" t="s">
        <v>2003</v>
      </c>
      <c r="D1054" s="8" t="s">
        <v>2004</v>
      </c>
      <c r="E1054" s="20" t="s">
        <v>2004</v>
      </c>
      <c r="F1054" s="5" t="str">
        <f t="shared" si="16"/>
        <v>awaio.com</v>
      </c>
      <c r="G1054" s="5" t="s">
        <v>4</v>
      </c>
      <c r="H1054" s="5" t="s">
        <v>5</v>
      </c>
      <c r="I1054" s="6">
        <v>45378</v>
      </c>
    </row>
    <row r="1055" spans="1:9" ht="13.5">
      <c r="A1055" s="2" t="s">
        <v>1318</v>
      </c>
      <c r="B1055" s="3"/>
      <c r="C1055" s="119" t="s">
        <v>2005</v>
      </c>
      <c r="D1055" s="4" t="s">
        <v>1942</v>
      </c>
      <c r="E1055" s="5" t="s">
        <v>2006</v>
      </c>
      <c r="F1055" s="5" t="str">
        <f t="shared" si="16"/>
        <v>spelklubben.se</v>
      </c>
      <c r="G1055" s="5" t="s">
        <v>4</v>
      </c>
      <c r="H1055" s="5" t="s">
        <v>5</v>
      </c>
      <c r="I1055" s="6">
        <v>45380</v>
      </c>
    </row>
    <row r="1056" spans="1:9" ht="13.5">
      <c r="A1056" s="2" t="s">
        <v>1318</v>
      </c>
      <c r="B1056" s="3"/>
      <c r="C1056" s="123" t="s">
        <v>2007</v>
      </c>
      <c r="D1056" s="4" t="s">
        <v>1942</v>
      </c>
      <c r="E1056" s="5" t="s">
        <v>2008</v>
      </c>
      <c r="F1056" s="5" t="str">
        <f t="shared" si="16"/>
        <v>spelklubben.se</v>
      </c>
      <c r="G1056" s="5" t="s">
        <v>4</v>
      </c>
      <c r="H1056" s="5" t="s">
        <v>5</v>
      </c>
      <c r="I1056" s="6">
        <v>45380</v>
      </c>
    </row>
    <row r="1057" spans="1:9" ht="13.5">
      <c r="A1057" s="2" t="s">
        <v>1318</v>
      </c>
      <c r="B1057" s="3"/>
      <c r="C1057" s="119" t="s">
        <v>2009</v>
      </c>
      <c r="D1057" s="4" t="s">
        <v>1942</v>
      </c>
      <c r="E1057" s="22" t="s">
        <v>1846</v>
      </c>
      <c r="F1057" s="5" t="str">
        <f t="shared" si="16"/>
        <v>spelklubben.se</v>
      </c>
      <c r="G1057" s="5" t="s">
        <v>4</v>
      </c>
      <c r="H1057" s="5" t="s">
        <v>5</v>
      </c>
      <c r="I1057" s="6">
        <v>45380</v>
      </c>
    </row>
    <row r="1058" spans="1:9" ht="13.5">
      <c r="A1058" s="2" t="s">
        <v>1318</v>
      </c>
      <c r="B1058" s="3"/>
      <c r="C1058" s="119" t="s">
        <v>2010</v>
      </c>
      <c r="D1058" s="4" t="s">
        <v>1942</v>
      </c>
      <c r="E1058" s="5" t="s">
        <v>2011</v>
      </c>
      <c r="F1058" s="5" t="str">
        <f t="shared" si="16"/>
        <v>spelklubben.se</v>
      </c>
      <c r="G1058" s="5" t="s">
        <v>4</v>
      </c>
      <c r="H1058" s="5" t="s">
        <v>5</v>
      </c>
      <c r="I1058" s="6">
        <v>45380</v>
      </c>
    </row>
    <row r="1059" spans="1:9" ht="13.5">
      <c r="A1059" s="2" t="s">
        <v>1318</v>
      </c>
      <c r="B1059" s="3"/>
      <c r="C1059" s="119" t="s">
        <v>2012</v>
      </c>
      <c r="D1059" s="8" t="s">
        <v>1846</v>
      </c>
      <c r="E1059" s="9" t="s">
        <v>2013</v>
      </c>
      <c r="F1059" s="5" t="str">
        <f t="shared" si="16"/>
        <v>spelklubben.se</v>
      </c>
      <c r="G1059" s="5" t="s">
        <v>4</v>
      </c>
      <c r="H1059" s="5" t="s">
        <v>5</v>
      </c>
      <c r="I1059" s="6">
        <v>45380</v>
      </c>
    </row>
    <row r="1060" spans="1:9" ht="13.5">
      <c r="A1060" s="2" t="s">
        <v>1318</v>
      </c>
      <c r="B1060" s="3"/>
      <c r="C1060" s="119" t="s">
        <v>2014</v>
      </c>
      <c r="D1060" s="4" t="s">
        <v>1942</v>
      </c>
      <c r="E1060" s="5" t="s">
        <v>1876</v>
      </c>
      <c r="F1060" s="5" t="str">
        <f t="shared" si="16"/>
        <v>spelklubben.se</v>
      </c>
      <c r="G1060" s="5" t="s">
        <v>4</v>
      </c>
      <c r="H1060" s="5" t="s">
        <v>5</v>
      </c>
      <c r="I1060" s="6">
        <v>45380</v>
      </c>
    </row>
    <row r="1061" spans="1:9" ht="13.5">
      <c r="A1061" s="2" t="s">
        <v>1318</v>
      </c>
      <c r="B1061" s="3"/>
      <c r="C1061" s="124" t="s">
        <v>2015</v>
      </c>
      <c r="D1061" s="4" t="s">
        <v>1942</v>
      </c>
      <c r="E1061" s="5" t="s">
        <v>2016</v>
      </c>
      <c r="F1061" s="5" t="str">
        <f t="shared" si="16"/>
        <v>spelklubben.se</v>
      </c>
      <c r="G1061" s="5" t="s">
        <v>4</v>
      </c>
      <c r="H1061" s="5" t="s">
        <v>5</v>
      </c>
      <c r="I1061" s="6">
        <v>45380</v>
      </c>
    </row>
    <row r="1062" spans="1:9" ht="13.5">
      <c r="A1062" s="2" t="s">
        <v>1974</v>
      </c>
      <c r="B1062" s="3"/>
      <c r="C1062" s="71" t="s">
        <v>2017</v>
      </c>
      <c r="D1062" s="4" t="s">
        <v>2018</v>
      </c>
      <c r="E1062" s="22" t="s">
        <v>2019</v>
      </c>
      <c r="F1062" s="5" t="str">
        <f t="shared" si="16"/>
        <v>tryggvi.se</v>
      </c>
      <c r="G1062" s="5" t="s">
        <v>4</v>
      </c>
      <c r="H1062" s="5" t="s">
        <v>5</v>
      </c>
      <c r="I1062" s="6">
        <v>45384</v>
      </c>
    </row>
    <row r="1063" spans="1:9" ht="13.5">
      <c r="A1063" s="2" t="s">
        <v>1906</v>
      </c>
      <c r="B1063" s="3"/>
      <c r="C1063" s="71" t="s">
        <v>2020</v>
      </c>
      <c r="D1063" s="4" t="s">
        <v>2021</v>
      </c>
      <c r="E1063" s="5" t="s">
        <v>2022</v>
      </c>
      <c r="F1063" s="5" t="str">
        <f t="shared" si="16"/>
        <v>elavtaldirekt.se</v>
      </c>
      <c r="G1063" s="5" t="s">
        <v>4</v>
      </c>
      <c r="H1063" s="5" t="s">
        <v>5</v>
      </c>
      <c r="I1063" s="6">
        <v>45385</v>
      </c>
    </row>
    <row r="1064" spans="1:9" ht="13.5">
      <c r="A1064" s="2" t="s">
        <v>703</v>
      </c>
      <c r="B1064" s="3"/>
      <c r="C1064" s="91" t="s">
        <v>1763</v>
      </c>
      <c r="D1064" s="91" t="s">
        <v>2023</v>
      </c>
      <c r="E1064" s="125" t="s">
        <v>703</v>
      </c>
      <c r="F1064" s="5" t="str">
        <f t="shared" si="16"/>
        <v>distansinstitutet.se</v>
      </c>
      <c r="G1064" s="5" t="s">
        <v>1660</v>
      </c>
      <c r="H1064" s="5" t="s">
        <v>5</v>
      </c>
      <c r="I1064" s="116">
        <v>45385</v>
      </c>
    </row>
    <row r="1065" spans="1:9" ht="13.5">
      <c r="A1065" s="2" t="s">
        <v>1247</v>
      </c>
      <c r="B1065" s="3"/>
      <c r="C1065" s="93" t="s">
        <v>2024</v>
      </c>
      <c r="D1065" s="8" t="s">
        <v>1249</v>
      </c>
      <c r="E1065" s="5" t="s">
        <v>1250</v>
      </c>
      <c r="F1065" s="5" t="str">
        <f t="shared" si="16"/>
        <v>carpcon.se</v>
      </c>
      <c r="G1065" s="5" t="s">
        <v>4</v>
      </c>
      <c r="H1065" s="5" t="s">
        <v>5</v>
      </c>
      <c r="I1065" s="6">
        <v>45386</v>
      </c>
    </row>
    <row r="1066" spans="1:9" ht="13.5">
      <c r="A1066" s="2" t="s">
        <v>1291</v>
      </c>
      <c r="B1066" s="3"/>
      <c r="C1066" s="93" t="s">
        <v>2025</v>
      </c>
      <c r="D1066" s="8" t="s">
        <v>1293</v>
      </c>
      <c r="E1066" s="5" t="s">
        <v>2026</v>
      </c>
      <c r="F1066" s="5" t="str">
        <f t="shared" si="16"/>
        <v>hvvs.se</v>
      </c>
      <c r="G1066" s="5" t="s">
        <v>4</v>
      </c>
      <c r="H1066" s="5" t="s">
        <v>5</v>
      </c>
      <c r="I1066" s="6">
        <v>45386</v>
      </c>
    </row>
    <row r="1067" spans="1:9" ht="13.5">
      <c r="A1067" s="2" t="s">
        <v>1291</v>
      </c>
      <c r="B1067" s="3"/>
      <c r="C1067" s="93" t="s">
        <v>2027</v>
      </c>
      <c r="D1067" s="8" t="s">
        <v>1293</v>
      </c>
      <c r="E1067" s="5" t="s">
        <v>2028</v>
      </c>
      <c r="F1067" s="5" t="str">
        <f t="shared" si="16"/>
        <v>hvvs.se</v>
      </c>
      <c r="G1067" s="5" t="s">
        <v>4</v>
      </c>
      <c r="H1067" s="5" t="s">
        <v>5</v>
      </c>
      <c r="I1067" s="6">
        <v>45386</v>
      </c>
    </row>
    <row r="1068" spans="1:9" ht="13.5">
      <c r="A1068" s="2" t="s">
        <v>2029</v>
      </c>
      <c r="B1068" s="3"/>
      <c r="C1068" s="93" t="s">
        <v>2030</v>
      </c>
      <c r="D1068" s="8" t="s">
        <v>2031</v>
      </c>
      <c r="E1068" s="5" t="s">
        <v>2032</v>
      </c>
      <c r="F1068" s="5" t="str">
        <f t="shared" si="16"/>
        <v>legendbygg.com</v>
      </c>
      <c r="G1068" s="5" t="s">
        <v>4</v>
      </c>
      <c r="H1068" s="5" t="s">
        <v>5</v>
      </c>
      <c r="I1068" s="6">
        <v>45386</v>
      </c>
    </row>
    <row r="1069" spans="1:9" ht="13.5">
      <c r="A1069" s="2" t="s">
        <v>2033</v>
      </c>
      <c r="B1069" s="3"/>
      <c r="C1069" s="93" t="s">
        <v>2034</v>
      </c>
      <c r="D1069" s="8" t="s">
        <v>2035</v>
      </c>
      <c r="E1069" s="5" t="s">
        <v>2036</v>
      </c>
      <c r="F1069" s="5" t="str">
        <f t="shared" si="16"/>
        <v>qsundsvall.se</v>
      </c>
      <c r="G1069" s="5" t="s">
        <v>4</v>
      </c>
      <c r="H1069" s="5" t="s">
        <v>5</v>
      </c>
      <c r="I1069" s="6">
        <v>45386</v>
      </c>
    </row>
    <row r="1070" spans="1:9" ht="13.5">
      <c r="A1070" s="2" t="s">
        <v>2002</v>
      </c>
      <c r="B1070" s="3"/>
      <c r="C1070" s="93" t="s">
        <v>2037</v>
      </c>
      <c r="D1070" s="8" t="s">
        <v>2004</v>
      </c>
      <c r="E1070" s="20" t="s">
        <v>2004</v>
      </c>
      <c r="F1070" s="5" t="str">
        <f t="shared" si="16"/>
        <v>awaio.com</v>
      </c>
      <c r="G1070" s="5" t="s">
        <v>4</v>
      </c>
      <c r="H1070" s="5" t="s">
        <v>5</v>
      </c>
      <c r="I1070" s="6">
        <v>45386</v>
      </c>
    </row>
    <row r="1071" spans="1:9" ht="13.5">
      <c r="A1071" s="2" t="s">
        <v>100</v>
      </c>
      <c r="B1071" s="3"/>
      <c r="C1071" s="93" t="s">
        <v>2038</v>
      </c>
      <c r="D1071" s="126" t="s">
        <v>1252</v>
      </c>
      <c r="E1071" s="5" t="s">
        <v>2039</v>
      </c>
      <c r="F1071" s="5" t="str">
        <f t="shared" si="16"/>
        <v>bigbenstandup.com</v>
      </c>
      <c r="G1071" s="5" t="s">
        <v>4</v>
      </c>
      <c r="H1071" s="5" t="s">
        <v>5</v>
      </c>
      <c r="I1071" s="6">
        <v>45386</v>
      </c>
    </row>
    <row r="1072" spans="1:9" ht="13.5">
      <c r="A1072" s="2" t="s">
        <v>803</v>
      </c>
      <c r="B1072" s="3"/>
      <c r="C1072" s="93" t="s">
        <v>2040</v>
      </c>
      <c r="D1072" s="8" t="s">
        <v>1222</v>
      </c>
      <c r="E1072" s="5" t="s">
        <v>2041</v>
      </c>
      <c r="F1072" s="5" t="str">
        <f t="shared" si="16"/>
        <v>foyen.se</v>
      </c>
      <c r="G1072" s="5" t="s">
        <v>4</v>
      </c>
      <c r="H1072" s="5" t="s">
        <v>5</v>
      </c>
      <c r="I1072" s="6">
        <v>45386</v>
      </c>
    </row>
    <row r="1073" spans="1:9" ht="13.5">
      <c r="A1073" s="2" t="s">
        <v>1239</v>
      </c>
      <c r="B1073" s="3"/>
      <c r="C1073" s="93" t="s">
        <v>2042</v>
      </c>
      <c r="D1073" s="8" t="s">
        <v>1241</v>
      </c>
      <c r="E1073" s="5" t="s">
        <v>1426</v>
      </c>
      <c r="F1073" s="5" t="str">
        <f t="shared" si="16"/>
        <v>freckeus.se</v>
      </c>
      <c r="G1073" s="5" t="s">
        <v>4</v>
      </c>
      <c r="H1073" s="5" t="s">
        <v>5</v>
      </c>
      <c r="I1073" s="6">
        <v>45386</v>
      </c>
    </row>
    <row r="1074" spans="1:9" ht="13.5">
      <c r="A1074" s="2" t="s">
        <v>2043</v>
      </c>
      <c r="B1074" s="3"/>
      <c r="C1074" s="93" t="s">
        <v>2044</v>
      </c>
      <c r="D1074" s="8" t="s">
        <v>2045</v>
      </c>
      <c r="E1074" s="5" t="s">
        <v>2046</v>
      </c>
      <c r="F1074" s="5" t="str">
        <f t="shared" si="16"/>
        <v>heteknik.se</v>
      </c>
      <c r="G1074" s="5" t="s">
        <v>4</v>
      </c>
      <c r="H1074" s="5" t="s">
        <v>5</v>
      </c>
      <c r="I1074" s="6">
        <v>45386</v>
      </c>
    </row>
    <row r="1075" spans="1:9" ht="13.5">
      <c r="A1075" s="2" t="s">
        <v>2047</v>
      </c>
      <c r="B1075" s="3"/>
      <c r="C1075" s="93" t="s">
        <v>2048</v>
      </c>
      <c r="D1075" s="8" t="s">
        <v>2049</v>
      </c>
      <c r="E1075" s="5" t="s">
        <v>2050</v>
      </c>
      <c r="F1075" s="5" t="str">
        <f t="shared" si="16"/>
        <v>reveljens.se</v>
      </c>
      <c r="G1075" s="5" t="s">
        <v>4</v>
      </c>
      <c r="H1075" s="5" t="s">
        <v>5</v>
      </c>
      <c r="I1075" s="6">
        <v>45386</v>
      </c>
    </row>
    <row r="1076" spans="1:9" ht="13.5">
      <c r="A1076" s="2" t="s">
        <v>308</v>
      </c>
      <c r="B1076" s="3"/>
      <c r="C1076" s="93" t="s">
        <v>2051</v>
      </c>
      <c r="D1076" s="8" t="s">
        <v>1395</v>
      </c>
      <c r="E1076" s="5" t="s">
        <v>1013</v>
      </c>
      <c r="F1076" s="5" t="str">
        <f t="shared" si="16"/>
        <v>lansfast.se</v>
      </c>
      <c r="G1076" s="5" t="s">
        <v>4</v>
      </c>
      <c r="H1076" s="5" t="s">
        <v>5</v>
      </c>
      <c r="I1076" s="6">
        <v>45386</v>
      </c>
    </row>
    <row r="1077" spans="1:9" ht="13.5">
      <c r="A1077" s="2" t="s">
        <v>2052</v>
      </c>
      <c r="B1077" s="3"/>
      <c r="C1077" s="93" t="s">
        <v>2053</v>
      </c>
      <c r="D1077" s="8" t="s">
        <v>2054</v>
      </c>
      <c r="E1077" s="5" t="s">
        <v>2055</v>
      </c>
      <c r="F1077" s="5" t="str">
        <f t="shared" si="16"/>
        <v>rosapensionat.se</v>
      </c>
      <c r="G1077" s="5" t="s">
        <v>4</v>
      </c>
      <c r="H1077" s="5" t="s">
        <v>5</v>
      </c>
      <c r="I1077" s="6">
        <v>45386</v>
      </c>
    </row>
    <row r="1078" spans="1:9" ht="13.5">
      <c r="A1078" s="2" t="s">
        <v>1213</v>
      </c>
      <c r="B1078" s="3"/>
      <c r="C1078" s="93" t="s">
        <v>2056</v>
      </c>
      <c r="D1078" s="8" t="s">
        <v>1215</v>
      </c>
      <c r="E1078" s="5" t="s">
        <v>2057</v>
      </c>
      <c r="F1078" s="5" t="str">
        <f t="shared" si="16"/>
        <v>mariatand.se</v>
      </c>
      <c r="G1078" s="5" t="s">
        <v>4</v>
      </c>
      <c r="H1078" s="5" t="s">
        <v>5</v>
      </c>
      <c r="I1078" s="6">
        <v>45386</v>
      </c>
    </row>
    <row r="1079" spans="1:9" ht="13.5">
      <c r="A1079" s="2" t="s">
        <v>2058</v>
      </c>
      <c r="B1079" s="3"/>
      <c r="C1079" s="93" t="s">
        <v>2059</v>
      </c>
      <c r="D1079" s="8" t="s">
        <v>2060</v>
      </c>
      <c r="E1079" s="5" t="s">
        <v>2061</v>
      </c>
      <c r="F1079" s="5" t="str">
        <f t="shared" si="16"/>
        <v>m6bygg.se</v>
      </c>
      <c r="G1079" s="5" t="s">
        <v>4</v>
      </c>
      <c r="H1079" s="5" t="s">
        <v>5</v>
      </c>
      <c r="I1079" s="6">
        <v>45386</v>
      </c>
    </row>
    <row r="1080" spans="1:9" ht="13.5">
      <c r="A1080" s="2" t="s">
        <v>1263</v>
      </c>
      <c r="B1080" s="3"/>
      <c r="C1080" s="93" t="s">
        <v>2062</v>
      </c>
      <c r="D1080" s="8" t="s">
        <v>1265</v>
      </c>
      <c r="E1080" s="5" t="s">
        <v>1266</v>
      </c>
      <c r="F1080" s="5" t="str">
        <f t="shared" si="16"/>
        <v>notyfile.se/sv</v>
      </c>
      <c r="G1080" s="5" t="s">
        <v>4</v>
      </c>
      <c r="H1080" s="5" t="s">
        <v>5</v>
      </c>
      <c r="I1080" s="6">
        <v>45386</v>
      </c>
    </row>
    <row r="1081" spans="1:9" ht="13.5">
      <c r="A1081" s="7" t="s">
        <v>386</v>
      </c>
      <c r="B1081" s="3"/>
      <c r="C1081" s="71" t="s">
        <v>2063</v>
      </c>
      <c r="D1081" s="8" t="s">
        <v>452</v>
      </c>
      <c r="E1081" s="5" t="s">
        <v>879</v>
      </c>
      <c r="F1081" s="5" t="str">
        <f t="shared" si="16"/>
        <v>pontech</v>
      </c>
      <c r="G1081" s="5" t="s">
        <v>4</v>
      </c>
      <c r="H1081" s="5" t="s">
        <v>5</v>
      </c>
      <c r="I1081" s="6">
        <v>45386</v>
      </c>
    </row>
    <row r="1082" spans="1:9" ht="13.5">
      <c r="A1082" s="2" t="s">
        <v>1342</v>
      </c>
      <c r="B1082" s="3"/>
      <c r="C1082" s="93" t="s">
        <v>2064</v>
      </c>
      <c r="D1082" s="8" t="s">
        <v>1143</v>
      </c>
      <c r="E1082" s="5" t="s">
        <v>879</v>
      </c>
      <c r="F1082" s="5" t="str">
        <f t="shared" si="16"/>
        <v>pontonhamnar.se</v>
      </c>
      <c r="G1082" s="5" t="s">
        <v>4</v>
      </c>
      <c r="H1082" s="5" t="s">
        <v>5</v>
      </c>
      <c r="I1082" s="6">
        <v>45386</v>
      </c>
    </row>
    <row r="1083" spans="1:9" ht="13.5">
      <c r="A1083" s="2" t="s">
        <v>325</v>
      </c>
      <c r="B1083" s="3"/>
      <c r="C1083" s="93" t="s">
        <v>2065</v>
      </c>
      <c r="D1083" s="8" t="s">
        <v>870</v>
      </c>
      <c r="E1083" s="5" t="s">
        <v>463</v>
      </c>
      <c r="F1083" s="5" t="str">
        <f t="shared" si="16"/>
        <v>tiotak.se</v>
      </c>
      <c r="G1083" s="5" t="s">
        <v>4</v>
      </c>
      <c r="H1083" s="5" t="s">
        <v>5</v>
      </c>
      <c r="I1083" s="6">
        <v>45386</v>
      </c>
    </row>
    <row r="1084" spans="1:9" ht="13.5">
      <c r="A1084" s="2" t="s">
        <v>325</v>
      </c>
      <c r="B1084" s="3"/>
      <c r="C1084" s="93" t="s">
        <v>2066</v>
      </c>
      <c r="D1084" s="8" t="s">
        <v>2067</v>
      </c>
      <c r="E1084" s="5" t="s">
        <v>2068</v>
      </c>
      <c r="F1084" s="5" t="str">
        <f t="shared" si="16"/>
        <v>tiotak.se</v>
      </c>
      <c r="G1084" s="5" t="s">
        <v>4</v>
      </c>
      <c r="H1084" s="5" t="s">
        <v>5</v>
      </c>
      <c r="I1084" s="6">
        <v>45386</v>
      </c>
    </row>
    <row r="1085" spans="1:9" ht="13.5">
      <c r="A1085" s="2" t="s">
        <v>464</v>
      </c>
      <c r="B1085" s="3"/>
      <c r="C1085" s="71" t="s">
        <v>2069</v>
      </c>
      <c r="D1085" s="8" t="s">
        <v>466</v>
      </c>
      <c r="E1085" s="5" t="s">
        <v>2070</v>
      </c>
      <c r="F1085" s="5" t="str">
        <f t="shared" si="16"/>
        <v>villarelining.se</v>
      </c>
      <c r="G1085" s="5" t="s">
        <v>4</v>
      </c>
      <c r="H1085" s="5" t="s">
        <v>5</v>
      </c>
      <c r="I1085" s="6">
        <v>45386</v>
      </c>
    </row>
    <row r="1086" spans="1:9" ht="13.5">
      <c r="A1086" s="2" t="s">
        <v>1297</v>
      </c>
      <c r="B1086" s="3"/>
      <c r="C1086" s="93" t="s">
        <v>2071</v>
      </c>
      <c r="D1086" s="4" t="s">
        <v>1299</v>
      </c>
      <c r="E1086" s="5" t="s">
        <v>2072</v>
      </c>
      <c r="F1086" s="5" t="str">
        <f t="shared" si="16"/>
        <v>sundsvallbergvarme.se</v>
      </c>
      <c r="G1086" s="5" t="s">
        <v>4</v>
      </c>
      <c r="H1086" s="5" t="s">
        <v>5</v>
      </c>
      <c r="I1086" s="6">
        <v>45386</v>
      </c>
    </row>
    <row r="1087" spans="1:9" ht="13.5">
      <c r="A1087" s="2" t="s">
        <v>2073</v>
      </c>
      <c r="B1087" s="3"/>
      <c r="C1087" s="93" t="s">
        <v>2074</v>
      </c>
      <c r="D1087" s="8" t="s">
        <v>2075</v>
      </c>
      <c r="E1087" s="5" t="s">
        <v>2076</v>
      </c>
      <c r="F1087" s="5" t="str">
        <f t="shared" si="16"/>
        <v>alvtorpet.se</v>
      </c>
      <c r="G1087" s="5" t="s">
        <v>4</v>
      </c>
      <c r="H1087" s="5" t="s">
        <v>5</v>
      </c>
      <c r="I1087" s="6">
        <v>45386</v>
      </c>
    </row>
    <row r="1088" spans="1:9" ht="13.5">
      <c r="A1088" s="2" t="s">
        <v>2073</v>
      </c>
      <c r="B1088" s="3"/>
      <c r="C1088" s="71" t="s">
        <v>2077</v>
      </c>
      <c r="D1088" s="4" t="s">
        <v>2075</v>
      </c>
      <c r="E1088" s="5" t="s">
        <v>2078</v>
      </c>
      <c r="F1088" s="5" t="str">
        <f t="shared" si="16"/>
        <v>alvtorpet.se</v>
      </c>
      <c r="G1088" s="5" t="s">
        <v>4</v>
      </c>
      <c r="H1088" s="5" t="s">
        <v>5</v>
      </c>
      <c r="I1088" s="6">
        <v>45386</v>
      </c>
    </row>
    <row r="1089" spans="1:9" ht="13.5">
      <c r="A1089" s="2" t="s">
        <v>2079</v>
      </c>
      <c r="B1089" s="3"/>
      <c r="C1089" s="93" t="s">
        <v>2080</v>
      </c>
      <c r="D1089" s="8" t="s">
        <v>2081</v>
      </c>
      <c r="E1089" s="5" t="s">
        <v>2082</v>
      </c>
      <c r="F1089" s="5" t="str">
        <f t="shared" si="16"/>
        <v>ttsab.nu</v>
      </c>
      <c r="G1089" s="5" t="s">
        <v>4</v>
      </c>
      <c r="H1089" s="5" t="s">
        <v>5</v>
      </c>
      <c r="I1089" s="6">
        <v>45386</v>
      </c>
    </row>
    <row r="1090" spans="1:9" ht="13.5">
      <c r="A1090" s="2" t="s">
        <v>689</v>
      </c>
      <c r="B1090" s="3"/>
      <c r="C1090" s="91" t="s">
        <v>2083</v>
      </c>
      <c r="D1090" s="91" t="s">
        <v>691</v>
      </c>
      <c r="E1090" s="127" t="s">
        <v>2084</v>
      </c>
      <c r="F1090" s="5" t="str">
        <f t="shared" si="16"/>
        <v>conclean.se</v>
      </c>
      <c r="G1090" s="5" t="s">
        <v>1643</v>
      </c>
      <c r="H1090" s="5" t="s">
        <v>5</v>
      </c>
      <c r="I1090" s="116">
        <v>45386</v>
      </c>
    </row>
    <row r="1091" spans="1:9" ht="13.5">
      <c r="A1091" s="2" t="s">
        <v>171</v>
      </c>
      <c r="B1091" s="3"/>
      <c r="C1091" s="128" t="s">
        <v>2085</v>
      </c>
      <c r="D1091" s="91" t="s">
        <v>1095</v>
      </c>
      <c r="E1091" s="76" t="s">
        <v>2086</v>
      </c>
      <c r="F1091" s="5" t="str">
        <f t="shared" ref="F1091:F1154" si="17">A1091</f>
        <v>arctic.se</v>
      </c>
      <c r="G1091" s="5" t="s">
        <v>1643</v>
      </c>
      <c r="H1091" s="5" t="s">
        <v>5</v>
      </c>
      <c r="I1091" s="116">
        <v>45386</v>
      </c>
    </row>
    <row r="1092" spans="1:9" ht="13.5">
      <c r="A1092" s="2" t="s">
        <v>435</v>
      </c>
      <c r="B1092" s="3"/>
      <c r="C1092" s="128" t="s">
        <v>2087</v>
      </c>
      <c r="D1092" s="91" t="s">
        <v>973</v>
      </c>
      <c r="E1092" s="76" t="s">
        <v>2088</v>
      </c>
      <c r="F1092" s="5" t="str">
        <f t="shared" si="17"/>
        <v>fairinvestments.se</v>
      </c>
      <c r="G1092" s="5" t="s">
        <v>1660</v>
      </c>
      <c r="H1092" s="5" t="s">
        <v>5</v>
      </c>
      <c r="I1092" s="116">
        <v>45386</v>
      </c>
    </row>
    <row r="1093" spans="1:9" ht="13.5">
      <c r="A1093" s="2" t="s">
        <v>857</v>
      </c>
      <c r="B1093" s="3"/>
      <c r="C1093" s="93" t="s">
        <v>2089</v>
      </c>
      <c r="D1093" s="8" t="s">
        <v>859</v>
      </c>
      <c r="E1093" s="5" t="s">
        <v>2090</v>
      </c>
      <c r="F1093" s="5" t="str">
        <f t="shared" si="17"/>
        <v>veterinarklinikenbirsta.se</v>
      </c>
      <c r="G1093" s="5" t="s">
        <v>4</v>
      </c>
      <c r="H1093" s="5" t="s">
        <v>5</v>
      </c>
      <c r="I1093" s="6">
        <v>45386</v>
      </c>
    </row>
    <row r="1094" spans="1:9" ht="13.5">
      <c r="A1094" s="2" t="s">
        <v>1301</v>
      </c>
      <c r="B1094" s="3"/>
      <c r="C1094" s="71" t="s">
        <v>2091</v>
      </c>
      <c r="D1094" s="8" t="s">
        <v>1303</v>
      </c>
      <c r="E1094" s="5" t="s">
        <v>1408</v>
      </c>
      <c r="F1094" s="5" t="str">
        <f t="shared" si="17"/>
        <v>w3solenergi.se</v>
      </c>
      <c r="G1094" s="5" t="s">
        <v>4</v>
      </c>
      <c r="H1094" s="5" t="s">
        <v>5</v>
      </c>
      <c r="I1094" s="6">
        <v>45386</v>
      </c>
    </row>
    <row r="1095" spans="1:9" ht="13.5">
      <c r="A1095" s="2" t="s">
        <v>1301</v>
      </c>
      <c r="B1095" s="3"/>
      <c r="C1095" s="93" t="s">
        <v>2092</v>
      </c>
      <c r="D1095" s="8" t="s">
        <v>2093</v>
      </c>
      <c r="E1095" s="5" t="s">
        <v>2094</v>
      </c>
      <c r="F1095" s="5" t="str">
        <f t="shared" si="17"/>
        <v>w3solenergi.se</v>
      </c>
      <c r="G1095" s="5" t="s">
        <v>4</v>
      </c>
      <c r="H1095" s="5" t="s">
        <v>5</v>
      </c>
      <c r="I1095" s="6">
        <v>45386</v>
      </c>
    </row>
    <row r="1096" spans="1:9" ht="13.5">
      <c r="A1096" s="2" t="s">
        <v>308</v>
      </c>
      <c r="B1096" s="3"/>
      <c r="C1096" s="91" t="s">
        <v>2095</v>
      </c>
      <c r="D1096" s="91" t="s">
        <v>1309</v>
      </c>
      <c r="E1096" s="76" t="s">
        <v>2096</v>
      </c>
      <c r="F1096" s="5" t="str">
        <f t="shared" si="17"/>
        <v>lansfast.se</v>
      </c>
      <c r="G1096" s="5" t="s">
        <v>1643</v>
      </c>
      <c r="H1096" s="5" t="s">
        <v>5</v>
      </c>
      <c r="I1096" s="116">
        <v>45387</v>
      </c>
    </row>
    <row r="1097" spans="1:9" ht="13.5">
      <c r="A1097" s="2" t="s">
        <v>1138</v>
      </c>
      <c r="B1097" s="3"/>
      <c r="C1097" s="128" t="s">
        <v>2097</v>
      </c>
      <c r="D1097" s="91" t="s">
        <v>1236</v>
      </c>
      <c r="E1097" s="127" t="s">
        <v>1674</v>
      </c>
      <c r="F1097" s="5" t="str">
        <f t="shared" si="17"/>
        <v>hemplybalance.com</v>
      </c>
      <c r="G1097" s="5" t="s">
        <v>1643</v>
      </c>
      <c r="H1097" s="5" t="s">
        <v>5</v>
      </c>
      <c r="I1097" s="116">
        <v>45387</v>
      </c>
    </row>
    <row r="1098" spans="1:9" ht="13.5">
      <c r="A1098" s="2" t="s">
        <v>1213</v>
      </c>
      <c r="B1098" s="3"/>
      <c r="C1098" s="91" t="s">
        <v>2098</v>
      </c>
      <c r="D1098" s="91" t="s">
        <v>1215</v>
      </c>
      <c r="E1098" s="127" t="s">
        <v>1216</v>
      </c>
      <c r="F1098" s="5" t="str">
        <f t="shared" si="17"/>
        <v>mariatand.se</v>
      </c>
      <c r="G1098" s="5" t="s">
        <v>1643</v>
      </c>
      <c r="H1098" s="5" t="s">
        <v>5</v>
      </c>
      <c r="I1098" s="116">
        <v>45387</v>
      </c>
    </row>
    <row r="1099" spans="1:9" ht="13.5">
      <c r="A1099" s="2" t="s">
        <v>2058</v>
      </c>
      <c r="B1099" s="3"/>
      <c r="C1099" s="91" t="s">
        <v>2099</v>
      </c>
      <c r="D1099" s="91" t="s">
        <v>2100</v>
      </c>
      <c r="E1099" s="76" t="s">
        <v>2101</v>
      </c>
      <c r="F1099" s="5" t="str">
        <f t="shared" si="17"/>
        <v>m6bygg.se</v>
      </c>
      <c r="G1099" s="5" t="s">
        <v>1643</v>
      </c>
      <c r="H1099" s="5" t="s">
        <v>5</v>
      </c>
      <c r="I1099" s="116">
        <v>45388</v>
      </c>
    </row>
    <row r="1100" spans="1:9" ht="13.5">
      <c r="A1100" s="2" t="s">
        <v>703</v>
      </c>
      <c r="B1100" s="3"/>
      <c r="C1100" s="91" t="s">
        <v>2102</v>
      </c>
      <c r="D1100" s="91" t="s">
        <v>2103</v>
      </c>
      <c r="E1100" s="76" t="s">
        <v>2104</v>
      </c>
      <c r="F1100" s="5" t="str">
        <f t="shared" si="17"/>
        <v>distansinstitutet.se</v>
      </c>
      <c r="G1100" s="5" t="s">
        <v>1643</v>
      </c>
      <c r="H1100" s="5" t="s">
        <v>5</v>
      </c>
      <c r="I1100" s="116">
        <v>45388</v>
      </c>
    </row>
    <row r="1101" spans="1:9" ht="13.5">
      <c r="A1101" s="2" t="s">
        <v>435</v>
      </c>
      <c r="B1101" s="3"/>
      <c r="C1101" s="91" t="s">
        <v>2105</v>
      </c>
      <c r="D1101" s="91" t="s">
        <v>1012</v>
      </c>
      <c r="E1101" s="76" t="s">
        <v>563</v>
      </c>
      <c r="F1101" s="5" t="str">
        <f t="shared" si="17"/>
        <v>fairinvestments.se</v>
      </c>
      <c r="G1101" s="5" t="s">
        <v>1643</v>
      </c>
      <c r="H1101" s="5" t="s">
        <v>5</v>
      </c>
      <c r="I1101" s="116">
        <v>45388</v>
      </c>
    </row>
    <row r="1102" spans="1:9" ht="13.5">
      <c r="A1102" s="2" t="s">
        <v>1755</v>
      </c>
      <c r="B1102" s="3"/>
      <c r="C1102" s="71" t="s">
        <v>2106</v>
      </c>
      <c r="D1102" s="105" t="s">
        <v>1780</v>
      </c>
      <c r="E1102" s="5" t="s">
        <v>2107</v>
      </c>
      <c r="F1102" s="5" t="str">
        <f t="shared" si="17"/>
        <v>glitnor.com</v>
      </c>
      <c r="G1102" s="76" t="s">
        <v>4</v>
      </c>
      <c r="H1102" s="5" t="s">
        <v>5</v>
      </c>
      <c r="I1102" s="6">
        <v>45389</v>
      </c>
    </row>
    <row r="1103" spans="1:9" ht="13.5">
      <c r="A1103" s="2" t="s">
        <v>846</v>
      </c>
      <c r="B1103" s="3"/>
      <c r="C1103" s="91" t="s">
        <v>2108</v>
      </c>
      <c r="D1103" s="91" t="s">
        <v>848</v>
      </c>
      <c r="E1103" s="76" t="s">
        <v>963</v>
      </c>
      <c r="F1103" s="5" t="str">
        <f t="shared" si="17"/>
        <v>tandea.se</v>
      </c>
      <c r="G1103" s="5" t="s">
        <v>1643</v>
      </c>
      <c r="H1103" s="5" t="s">
        <v>5</v>
      </c>
      <c r="I1103" s="116">
        <v>45389</v>
      </c>
    </row>
    <row r="1104" spans="1:9" ht="13.5">
      <c r="A1104" s="2" t="s">
        <v>1284</v>
      </c>
      <c r="B1104" s="3"/>
      <c r="C1104" s="128" t="s">
        <v>2109</v>
      </c>
      <c r="D1104" s="91" t="s">
        <v>2110</v>
      </c>
      <c r="E1104" s="76" t="s">
        <v>2111</v>
      </c>
      <c r="F1104" s="5" t="str">
        <f t="shared" si="17"/>
        <v>norteam.se</v>
      </c>
      <c r="G1104" s="5" t="s">
        <v>1643</v>
      </c>
      <c r="H1104" s="5" t="s">
        <v>5</v>
      </c>
      <c r="I1104" s="116">
        <v>45389</v>
      </c>
    </row>
    <row r="1105" spans="1:9" ht="13.5">
      <c r="A1105" s="7" t="s">
        <v>386</v>
      </c>
      <c r="B1105" s="3"/>
      <c r="C1105" s="129" t="s">
        <v>1746</v>
      </c>
      <c r="D1105" s="129" t="s">
        <v>1202</v>
      </c>
      <c r="E1105" s="130" t="s">
        <v>1289</v>
      </c>
      <c r="F1105" s="5" t="str">
        <f t="shared" si="17"/>
        <v>pontech</v>
      </c>
      <c r="G1105" s="5" t="s">
        <v>1660</v>
      </c>
      <c r="H1105" s="5" t="s">
        <v>5</v>
      </c>
      <c r="I1105" s="116">
        <v>45389</v>
      </c>
    </row>
    <row r="1106" spans="1:9" ht="13.5">
      <c r="A1106" s="2" t="s">
        <v>1466</v>
      </c>
      <c r="B1106" s="3"/>
      <c r="C1106" s="5" t="s">
        <v>2112</v>
      </c>
      <c r="D1106" s="5" t="s">
        <v>2113</v>
      </c>
      <c r="E1106" s="5" t="s">
        <v>1469</v>
      </c>
      <c r="F1106" s="5" t="str">
        <f t="shared" si="17"/>
        <v>svenskaeljouren.se</v>
      </c>
      <c r="G1106" s="5" t="s">
        <v>4</v>
      </c>
      <c r="H1106" s="5" t="s">
        <v>5</v>
      </c>
      <c r="I1106" s="6">
        <v>45389</v>
      </c>
    </row>
    <row r="1107" spans="1:9" ht="13.5">
      <c r="A1107" s="2" t="s">
        <v>435</v>
      </c>
      <c r="B1107" s="3"/>
      <c r="C1107" s="91" t="s">
        <v>1684</v>
      </c>
      <c r="D1107" s="91" t="s">
        <v>834</v>
      </c>
      <c r="E1107" s="76" t="s">
        <v>2114</v>
      </c>
      <c r="F1107" s="5" t="str">
        <f t="shared" si="17"/>
        <v>fairinvestments.se</v>
      </c>
      <c r="G1107" s="5" t="s">
        <v>1660</v>
      </c>
      <c r="H1107" s="5" t="s">
        <v>5</v>
      </c>
      <c r="I1107" s="116">
        <v>45390</v>
      </c>
    </row>
    <row r="1108" spans="1:9" ht="13.5">
      <c r="A1108" s="2" t="s">
        <v>1466</v>
      </c>
      <c r="B1108" s="3"/>
      <c r="C1108" s="5" t="s">
        <v>2115</v>
      </c>
      <c r="D1108" s="5" t="s">
        <v>2113</v>
      </c>
      <c r="E1108" s="5" t="s">
        <v>1469</v>
      </c>
      <c r="F1108" s="5" t="str">
        <f t="shared" si="17"/>
        <v>svenskaeljouren.se</v>
      </c>
      <c r="G1108" s="5" t="s">
        <v>4</v>
      </c>
      <c r="H1108" s="5" t="s">
        <v>5</v>
      </c>
      <c r="I1108" s="6">
        <v>45390</v>
      </c>
    </row>
    <row r="1109" spans="1:9" ht="13.5">
      <c r="A1109" s="2" t="s">
        <v>1993</v>
      </c>
      <c r="B1109" s="3"/>
      <c r="C1109" s="71" t="s">
        <v>2116</v>
      </c>
      <c r="D1109" s="4" t="s">
        <v>1995</v>
      </c>
      <c r="E1109" s="72" t="s">
        <v>1996</v>
      </c>
      <c r="F1109" s="5" t="str">
        <f t="shared" si="17"/>
        <v>filippa-k.com/se/sv/</v>
      </c>
      <c r="G1109" s="5" t="s">
        <v>4</v>
      </c>
      <c r="H1109" s="5" t="s">
        <v>5</v>
      </c>
      <c r="I1109" s="6">
        <v>45391</v>
      </c>
    </row>
    <row r="1110" spans="1:9" ht="13.5">
      <c r="A1110" s="2" t="s">
        <v>1544</v>
      </c>
      <c r="B1110" s="3"/>
      <c r="C1110" s="71" t="s">
        <v>2117</v>
      </c>
      <c r="D1110" s="4" t="s">
        <v>1850</v>
      </c>
      <c r="E1110" s="72" t="s">
        <v>1851</v>
      </c>
      <c r="F1110" s="5" t="str">
        <f t="shared" si="17"/>
        <v>Finansplassen.no</v>
      </c>
      <c r="G1110" s="5" t="s">
        <v>4</v>
      </c>
      <c r="H1110" s="5" t="s">
        <v>382</v>
      </c>
      <c r="I1110" s="6">
        <v>45391</v>
      </c>
    </row>
    <row r="1111" spans="1:9" ht="13.5">
      <c r="A1111" s="2" t="s">
        <v>703</v>
      </c>
      <c r="B1111" s="3"/>
      <c r="C1111" s="128" t="s">
        <v>2118</v>
      </c>
      <c r="D1111" s="91" t="s">
        <v>732</v>
      </c>
      <c r="E1111" s="76" t="s">
        <v>2119</v>
      </c>
      <c r="F1111" s="5" t="str">
        <f t="shared" si="17"/>
        <v>distansinstitutet.se</v>
      </c>
      <c r="G1111" s="5" t="s">
        <v>1660</v>
      </c>
      <c r="H1111" s="5" t="s">
        <v>5</v>
      </c>
      <c r="I1111" s="116">
        <v>45391</v>
      </c>
    </row>
    <row r="1112" spans="1:9" ht="13.5">
      <c r="A1112" s="2" t="s">
        <v>1993</v>
      </c>
      <c r="B1112" s="3"/>
      <c r="C1112" s="71" t="s">
        <v>2120</v>
      </c>
      <c r="D1112" s="4" t="s">
        <v>2121</v>
      </c>
      <c r="E1112" s="72" t="s">
        <v>2122</v>
      </c>
      <c r="F1112" s="5" t="str">
        <f t="shared" si="17"/>
        <v>filippa-k.com/se/sv/</v>
      </c>
      <c r="G1112" s="5" t="s">
        <v>4</v>
      </c>
      <c r="H1112" s="5" t="s">
        <v>5</v>
      </c>
      <c r="I1112" s="6">
        <v>45392</v>
      </c>
    </row>
    <row r="1113" spans="1:9" ht="13.5">
      <c r="A1113" s="2" t="s">
        <v>714</v>
      </c>
      <c r="B1113" s="3"/>
      <c r="C1113" s="119" t="s">
        <v>2123</v>
      </c>
      <c r="D1113" s="4" t="s">
        <v>1153</v>
      </c>
      <c r="E1113" s="5" t="s">
        <v>2124</v>
      </c>
      <c r="F1113" s="5" t="str">
        <f t="shared" si="17"/>
        <v>Alfa.no</v>
      </c>
      <c r="G1113" s="5" t="s">
        <v>4</v>
      </c>
      <c r="H1113" s="5" t="s">
        <v>382</v>
      </c>
      <c r="I1113" s="6">
        <v>45392</v>
      </c>
    </row>
    <row r="1114" spans="1:9" ht="13.5">
      <c r="A1114" s="2" t="s">
        <v>435</v>
      </c>
      <c r="B1114" s="3"/>
      <c r="C1114" s="91" t="s">
        <v>2125</v>
      </c>
      <c r="D1114" s="91" t="s">
        <v>1813</v>
      </c>
      <c r="E1114" s="76" t="s">
        <v>2126</v>
      </c>
      <c r="F1114" s="5" t="str">
        <f t="shared" si="17"/>
        <v>fairinvestments.se</v>
      </c>
      <c r="G1114" s="5" t="s">
        <v>1643</v>
      </c>
      <c r="H1114" s="5" t="s">
        <v>5</v>
      </c>
      <c r="I1114" s="116">
        <v>45392</v>
      </c>
    </row>
    <row r="1115" spans="1:9" ht="13.5">
      <c r="A1115" s="2" t="s">
        <v>2127</v>
      </c>
      <c r="B1115" s="3"/>
      <c r="C1115" s="128" t="s">
        <v>2128</v>
      </c>
      <c r="D1115" s="91" t="s">
        <v>2129</v>
      </c>
      <c r="E1115" s="76" t="s">
        <v>2130</v>
      </c>
      <c r="F1115" s="5" t="str">
        <f t="shared" si="17"/>
        <v>startmotor.se</v>
      </c>
      <c r="G1115" s="5" t="s">
        <v>1643</v>
      </c>
      <c r="H1115" s="5" t="s">
        <v>5</v>
      </c>
      <c r="I1115" s="116">
        <v>45392</v>
      </c>
    </row>
    <row r="1116" spans="1:9" ht="13.5">
      <c r="A1116" s="2" t="s">
        <v>1263</v>
      </c>
      <c r="B1116" s="3"/>
      <c r="C1116" s="91" t="s">
        <v>2131</v>
      </c>
      <c r="D1116" s="91" t="s">
        <v>1717</v>
      </c>
      <c r="E1116" s="76" t="s">
        <v>2132</v>
      </c>
      <c r="F1116" s="5" t="str">
        <f t="shared" si="17"/>
        <v>notyfile.se/sv</v>
      </c>
      <c r="G1116" s="5" t="s">
        <v>1643</v>
      </c>
      <c r="H1116" s="5" t="s">
        <v>5</v>
      </c>
      <c r="I1116" s="116">
        <v>45393</v>
      </c>
    </row>
    <row r="1117" spans="1:9" ht="13.5">
      <c r="A1117" s="2" t="s">
        <v>1755</v>
      </c>
      <c r="B1117" s="3"/>
      <c r="C1117" s="71" t="s">
        <v>2133</v>
      </c>
      <c r="D1117" s="4" t="s">
        <v>1841</v>
      </c>
      <c r="E1117" s="5" t="s">
        <v>2134</v>
      </c>
      <c r="F1117" s="5" t="str">
        <f t="shared" si="17"/>
        <v>glitnor.com</v>
      </c>
      <c r="G1117" s="5" t="s">
        <v>4</v>
      </c>
      <c r="H1117" s="5" t="s">
        <v>5</v>
      </c>
      <c r="I1117" s="6">
        <v>45394</v>
      </c>
    </row>
    <row r="1118" spans="1:9" ht="13.5">
      <c r="A1118" s="2" t="s">
        <v>308</v>
      </c>
      <c r="B1118" s="3"/>
      <c r="C1118" s="91" t="s">
        <v>2135</v>
      </c>
      <c r="D1118" s="91" t="s">
        <v>1309</v>
      </c>
      <c r="E1118" s="76" t="s">
        <v>2136</v>
      </c>
      <c r="F1118" s="5" t="str">
        <f t="shared" si="17"/>
        <v>lansfast.se</v>
      </c>
      <c r="G1118" s="5" t="s">
        <v>1643</v>
      </c>
      <c r="H1118" s="5" t="s">
        <v>5</v>
      </c>
      <c r="I1118" s="116">
        <v>45394</v>
      </c>
    </row>
    <row r="1119" spans="1:9" ht="13.5">
      <c r="A1119" s="2" t="s">
        <v>723</v>
      </c>
      <c r="B1119" s="3"/>
      <c r="C1119" s="128" t="s">
        <v>2137</v>
      </c>
      <c r="D1119" s="91" t="s">
        <v>2138</v>
      </c>
      <c r="E1119" s="91" t="s">
        <v>723</v>
      </c>
      <c r="F1119" s="5" t="str">
        <f t="shared" si="17"/>
        <v>aretrotale.com</v>
      </c>
      <c r="G1119" s="5" t="s">
        <v>1643</v>
      </c>
      <c r="H1119" s="5" t="s">
        <v>23</v>
      </c>
      <c r="I1119" s="116">
        <v>45394</v>
      </c>
    </row>
    <row r="1120" spans="1:9" ht="13.5">
      <c r="A1120" s="2" t="s">
        <v>703</v>
      </c>
      <c r="B1120" s="3"/>
      <c r="C1120" s="91" t="s">
        <v>2139</v>
      </c>
      <c r="D1120" s="91" t="s">
        <v>2140</v>
      </c>
      <c r="E1120" s="76" t="s">
        <v>2141</v>
      </c>
      <c r="F1120" s="5" t="str">
        <f t="shared" si="17"/>
        <v>distansinstitutet.se</v>
      </c>
      <c r="G1120" s="5" t="s">
        <v>1643</v>
      </c>
      <c r="H1120" s="5" t="s">
        <v>5</v>
      </c>
      <c r="I1120" s="116">
        <v>45394</v>
      </c>
    </row>
    <row r="1121" spans="1:9" ht="13.5">
      <c r="A1121" s="2" t="s">
        <v>1213</v>
      </c>
      <c r="B1121" s="3"/>
      <c r="C1121" s="128" t="s">
        <v>2142</v>
      </c>
      <c r="D1121" s="91" t="s">
        <v>1314</v>
      </c>
      <c r="E1121" s="76" t="s">
        <v>2143</v>
      </c>
      <c r="F1121" s="5" t="str">
        <f t="shared" si="17"/>
        <v>mariatand.se</v>
      </c>
      <c r="G1121" s="5" t="s">
        <v>1660</v>
      </c>
      <c r="H1121" s="5" t="s">
        <v>5</v>
      </c>
      <c r="I1121" s="116">
        <v>45394</v>
      </c>
    </row>
    <row r="1122" spans="1:9" ht="13.5">
      <c r="A1122" s="2" t="s">
        <v>435</v>
      </c>
      <c r="B1122" s="3"/>
      <c r="C1122" s="91" t="s">
        <v>2144</v>
      </c>
      <c r="D1122" s="91" t="s">
        <v>2145</v>
      </c>
      <c r="E1122" s="131" t="s">
        <v>2146</v>
      </c>
      <c r="F1122" s="5" t="str">
        <f t="shared" si="17"/>
        <v>fairinvestments.se</v>
      </c>
      <c r="G1122" s="5" t="s">
        <v>1344</v>
      </c>
      <c r="H1122" s="5" t="s">
        <v>5</v>
      </c>
      <c r="I1122" s="116">
        <v>45394</v>
      </c>
    </row>
    <row r="1123" spans="1:9" ht="13.5">
      <c r="A1123" s="7" t="s">
        <v>329</v>
      </c>
      <c r="B1123" s="3"/>
      <c r="C1123" s="128" t="s">
        <v>2147</v>
      </c>
      <c r="D1123" s="91" t="s">
        <v>1329</v>
      </c>
      <c r="E1123" s="76" t="s">
        <v>2148</v>
      </c>
      <c r="F1123" s="5" t="str">
        <f t="shared" si="17"/>
        <v>vont</v>
      </c>
      <c r="G1123" s="5" t="s">
        <v>1643</v>
      </c>
      <c r="H1123" s="5" t="s">
        <v>262</v>
      </c>
      <c r="I1123" s="116">
        <v>45395</v>
      </c>
    </row>
    <row r="1124" spans="1:9" ht="13.5">
      <c r="A1124" s="2" t="s">
        <v>171</v>
      </c>
      <c r="B1124" s="3"/>
      <c r="C1124" s="128" t="s">
        <v>2149</v>
      </c>
      <c r="D1124" s="91" t="s">
        <v>1708</v>
      </c>
      <c r="E1124" s="76" t="s">
        <v>1505</v>
      </c>
      <c r="F1124" s="5" t="str">
        <f t="shared" si="17"/>
        <v>arctic.se</v>
      </c>
      <c r="G1124" s="5" t="s">
        <v>1660</v>
      </c>
      <c r="H1124" s="5" t="s">
        <v>262</v>
      </c>
      <c r="I1124" s="116">
        <v>45395</v>
      </c>
    </row>
    <row r="1125" spans="1:9" ht="13.5">
      <c r="A1125" s="2" t="s">
        <v>846</v>
      </c>
      <c r="B1125" s="3"/>
      <c r="C1125" s="91" t="s">
        <v>2150</v>
      </c>
      <c r="D1125" s="91" t="s">
        <v>848</v>
      </c>
      <c r="E1125" s="76" t="s">
        <v>2151</v>
      </c>
      <c r="F1125" s="5" t="str">
        <f t="shared" si="17"/>
        <v>tandea.se</v>
      </c>
      <c r="G1125" s="5" t="s">
        <v>1643</v>
      </c>
      <c r="H1125" s="5" t="s">
        <v>5</v>
      </c>
      <c r="I1125" s="116">
        <v>45396</v>
      </c>
    </row>
    <row r="1126" spans="1:9" ht="13.5">
      <c r="A1126" s="2" t="s">
        <v>435</v>
      </c>
      <c r="B1126" s="3"/>
      <c r="C1126" s="91" t="s">
        <v>1419</v>
      </c>
      <c r="D1126" s="91" t="s">
        <v>1446</v>
      </c>
      <c r="E1126" s="76" t="s">
        <v>2152</v>
      </c>
      <c r="F1126" s="5" t="str">
        <f t="shared" si="17"/>
        <v>fairinvestments.se</v>
      </c>
      <c r="G1126" s="5" t="s">
        <v>1660</v>
      </c>
      <c r="H1126" s="5" t="s">
        <v>5</v>
      </c>
      <c r="I1126" s="116">
        <v>45396</v>
      </c>
    </row>
    <row r="1127" spans="1:9" ht="13.5">
      <c r="A1127" s="7" t="s">
        <v>1910</v>
      </c>
      <c r="B1127" s="3"/>
      <c r="C1127" s="71" t="s">
        <v>2153</v>
      </c>
      <c r="D1127" s="4" t="s">
        <v>1912</v>
      </c>
      <c r="E1127" s="5" t="s">
        <v>2154</v>
      </c>
      <c r="F1127" s="5" t="str">
        <f t="shared" si="17"/>
        <v>kelleher-international</v>
      </c>
      <c r="G1127" s="5" t="s">
        <v>4</v>
      </c>
      <c r="H1127" s="5" t="s">
        <v>345</v>
      </c>
      <c r="I1127" s="6">
        <v>45397</v>
      </c>
    </row>
    <row r="1128" spans="1:9" ht="13.5">
      <c r="A1128" s="2" t="s">
        <v>1755</v>
      </c>
      <c r="B1128" s="3"/>
      <c r="C1128" s="71" t="s">
        <v>2155</v>
      </c>
      <c r="D1128" s="4" t="s">
        <v>2156</v>
      </c>
      <c r="E1128" s="9" t="s">
        <v>2156</v>
      </c>
      <c r="F1128" s="5" t="str">
        <f t="shared" si="17"/>
        <v>glitnor.com</v>
      </c>
      <c r="G1128" s="5" t="s">
        <v>4</v>
      </c>
      <c r="H1128" s="5" t="s">
        <v>5</v>
      </c>
      <c r="I1128" s="6">
        <v>45397</v>
      </c>
    </row>
    <row r="1129" spans="1:9" ht="13.5">
      <c r="A1129" s="2" t="s">
        <v>1755</v>
      </c>
      <c r="B1129" s="3"/>
      <c r="C1129" s="71" t="s">
        <v>2157</v>
      </c>
      <c r="D1129" s="4" t="s">
        <v>1780</v>
      </c>
      <c r="E1129" s="5" t="s">
        <v>2158</v>
      </c>
      <c r="F1129" s="5" t="str">
        <f t="shared" si="17"/>
        <v>glitnor.com</v>
      </c>
      <c r="G1129" s="5" t="s">
        <v>4</v>
      </c>
      <c r="H1129" s="5" t="s">
        <v>5</v>
      </c>
      <c r="I1129" s="6">
        <v>45397</v>
      </c>
    </row>
    <row r="1130" spans="1:9" ht="13.5">
      <c r="A1130" s="7" t="s">
        <v>329</v>
      </c>
      <c r="B1130" s="3"/>
      <c r="C1130" s="128" t="s">
        <v>2159</v>
      </c>
      <c r="D1130" s="91" t="s">
        <v>1388</v>
      </c>
      <c r="E1130" s="76" t="s">
        <v>1570</v>
      </c>
      <c r="F1130" s="5" t="str">
        <f t="shared" si="17"/>
        <v>vont</v>
      </c>
      <c r="G1130" s="5" t="s">
        <v>1643</v>
      </c>
      <c r="H1130" s="5" t="s">
        <v>5</v>
      </c>
      <c r="I1130" s="116">
        <v>45397</v>
      </c>
    </row>
    <row r="1131" spans="1:9" ht="13.5">
      <c r="A1131" s="2" t="s">
        <v>703</v>
      </c>
      <c r="B1131" s="3"/>
      <c r="C1131" s="128" t="s">
        <v>2160</v>
      </c>
      <c r="D1131" s="91" t="s">
        <v>732</v>
      </c>
      <c r="E1131" s="76" t="s">
        <v>2161</v>
      </c>
      <c r="F1131" s="5" t="str">
        <f t="shared" si="17"/>
        <v>distansinstitutet.se</v>
      </c>
      <c r="G1131" s="5" t="s">
        <v>1643</v>
      </c>
      <c r="H1131" s="5" t="s">
        <v>5</v>
      </c>
      <c r="I1131" s="116">
        <v>45397</v>
      </c>
    </row>
    <row r="1132" spans="1:9" ht="13.5">
      <c r="A1132" s="2" t="s">
        <v>1318</v>
      </c>
      <c r="B1132" s="3"/>
      <c r="C1132" s="132" t="s">
        <v>2162</v>
      </c>
      <c r="D1132" s="4" t="s">
        <v>1942</v>
      </c>
      <c r="E1132" s="72" t="s">
        <v>2163</v>
      </c>
      <c r="F1132" s="5" t="str">
        <f t="shared" si="17"/>
        <v>spelklubben.se</v>
      </c>
      <c r="G1132" s="5" t="s">
        <v>4</v>
      </c>
      <c r="H1132" s="5" t="s">
        <v>5</v>
      </c>
      <c r="I1132" s="6">
        <v>45398</v>
      </c>
    </row>
    <row r="1133" spans="1:9" ht="13.5">
      <c r="A1133" s="2" t="s">
        <v>1318</v>
      </c>
      <c r="B1133" s="3"/>
      <c r="C1133" s="132" t="s">
        <v>2164</v>
      </c>
      <c r="D1133" s="4" t="s">
        <v>1870</v>
      </c>
      <c r="E1133" s="72" t="s">
        <v>2165</v>
      </c>
      <c r="F1133" s="5" t="str">
        <f t="shared" si="17"/>
        <v>spelklubben.se</v>
      </c>
      <c r="G1133" s="5" t="s">
        <v>4</v>
      </c>
      <c r="H1133" s="5" t="s">
        <v>5</v>
      </c>
      <c r="I1133" s="6">
        <v>45398</v>
      </c>
    </row>
    <row r="1134" spans="1:9" ht="13.5">
      <c r="A1134" s="2" t="s">
        <v>435</v>
      </c>
      <c r="B1134" s="3"/>
      <c r="C1134" s="91" t="s">
        <v>2166</v>
      </c>
      <c r="D1134" s="91" t="s">
        <v>1413</v>
      </c>
      <c r="E1134" s="76" t="s">
        <v>839</v>
      </c>
      <c r="F1134" s="5" t="str">
        <f t="shared" si="17"/>
        <v>fairinvestments.se</v>
      </c>
      <c r="G1134" s="5" t="s">
        <v>1660</v>
      </c>
      <c r="H1134" s="5" t="s">
        <v>5</v>
      </c>
      <c r="I1134" s="116">
        <v>45398</v>
      </c>
    </row>
    <row r="1135" spans="1:9" ht="13.5">
      <c r="A1135" s="7" t="s">
        <v>224</v>
      </c>
      <c r="B1135" s="3"/>
      <c r="C1135" s="71" t="s">
        <v>2167</v>
      </c>
      <c r="D1135" s="4" t="s">
        <v>461</v>
      </c>
      <c r="E1135" s="5" t="s">
        <v>291</v>
      </c>
      <c r="F1135" s="5" t="str">
        <f t="shared" si="17"/>
        <v>swedoffice</v>
      </c>
      <c r="G1135" s="5" t="s">
        <v>4</v>
      </c>
      <c r="H1135" s="5" t="s">
        <v>5</v>
      </c>
      <c r="I1135" s="6">
        <v>45398</v>
      </c>
    </row>
    <row r="1136" spans="1:9" ht="13.5">
      <c r="A1136" s="2" t="s">
        <v>1318</v>
      </c>
      <c r="B1136" s="3"/>
      <c r="C1136" s="132" t="s">
        <v>2168</v>
      </c>
      <c r="D1136" s="4" t="s">
        <v>1955</v>
      </c>
      <c r="E1136" s="72" t="s">
        <v>2169</v>
      </c>
      <c r="F1136" s="5" t="str">
        <f t="shared" si="17"/>
        <v>spelklubben.se</v>
      </c>
      <c r="G1136" s="5" t="s">
        <v>4</v>
      </c>
      <c r="H1136" s="5" t="s">
        <v>5</v>
      </c>
      <c r="I1136" s="6">
        <v>45399</v>
      </c>
    </row>
    <row r="1137" spans="1:9" ht="13.5">
      <c r="A1137" s="2" t="s">
        <v>1318</v>
      </c>
      <c r="B1137" s="3"/>
      <c r="C1137" s="132" t="s">
        <v>2170</v>
      </c>
      <c r="D1137" s="4" t="s">
        <v>1870</v>
      </c>
      <c r="E1137" s="72" t="s">
        <v>2011</v>
      </c>
      <c r="F1137" s="5" t="str">
        <f t="shared" si="17"/>
        <v>spelklubben.se</v>
      </c>
      <c r="G1137" s="5" t="s">
        <v>4</v>
      </c>
      <c r="H1137" s="5" t="s">
        <v>5</v>
      </c>
      <c r="I1137" s="6">
        <v>45399</v>
      </c>
    </row>
    <row r="1138" spans="1:9" ht="13.5">
      <c r="A1138" s="2" t="s">
        <v>1318</v>
      </c>
      <c r="B1138" s="3"/>
      <c r="C1138" s="132" t="s">
        <v>2171</v>
      </c>
      <c r="D1138" s="4" t="s">
        <v>1870</v>
      </c>
      <c r="E1138" s="72" t="s">
        <v>1605</v>
      </c>
      <c r="F1138" s="5" t="str">
        <f t="shared" si="17"/>
        <v>spelklubben.se</v>
      </c>
      <c r="G1138" s="5" t="s">
        <v>4</v>
      </c>
      <c r="H1138" s="5" t="s">
        <v>5</v>
      </c>
      <c r="I1138" s="6">
        <v>45399</v>
      </c>
    </row>
    <row r="1139" spans="1:9" ht="13.5">
      <c r="A1139" s="2" t="s">
        <v>1318</v>
      </c>
      <c r="B1139" s="3"/>
      <c r="C1139" s="132" t="s">
        <v>2172</v>
      </c>
      <c r="D1139" s="4" t="s">
        <v>1942</v>
      </c>
      <c r="E1139" s="72" t="s">
        <v>2173</v>
      </c>
      <c r="F1139" s="5" t="str">
        <f t="shared" si="17"/>
        <v>spelklubben.se</v>
      </c>
      <c r="G1139" s="5" t="s">
        <v>4</v>
      </c>
      <c r="H1139" s="5" t="s">
        <v>5</v>
      </c>
      <c r="I1139" s="6">
        <v>45399</v>
      </c>
    </row>
    <row r="1140" spans="1:9" ht="13.5">
      <c r="A1140" s="2" t="s">
        <v>1318</v>
      </c>
      <c r="B1140" s="3"/>
      <c r="C1140" s="132" t="s">
        <v>2174</v>
      </c>
      <c r="D1140" s="4" t="s">
        <v>1942</v>
      </c>
      <c r="E1140" s="72" t="s">
        <v>2175</v>
      </c>
      <c r="F1140" s="5" t="str">
        <f t="shared" si="17"/>
        <v>spelklubben.se</v>
      </c>
      <c r="G1140" s="5" t="s">
        <v>4</v>
      </c>
      <c r="H1140" s="5" t="s">
        <v>5</v>
      </c>
      <c r="I1140" s="6">
        <v>45399</v>
      </c>
    </row>
    <row r="1141" spans="1:9" ht="13.5">
      <c r="A1141" s="2" t="s">
        <v>703</v>
      </c>
      <c r="B1141" s="3"/>
      <c r="C1141" s="128" t="s">
        <v>2176</v>
      </c>
      <c r="D1141" s="91" t="s">
        <v>2177</v>
      </c>
      <c r="E1141" s="76" t="s">
        <v>2178</v>
      </c>
      <c r="F1141" s="5" t="str">
        <f t="shared" si="17"/>
        <v>distansinstitutet.se</v>
      </c>
      <c r="G1141" s="5" t="s">
        <v>1643</v>
      </c>
      <c r="H1141" s="5" t="s">
        <v>5</v>
      </c>
      <c r="I1141" s="116">
        <v>45400</v>
      </c>
    </row>
    <row r="1142" spans="1:9" ht="13.5">
      <c r="A1142" s="2" t="s">
        <v>435</v>
      </c>
      <c r="B1142" s="3"/>
      <c r="C1142" s="91" t="s">
        <v>1671</v>
      </c>
      <c r="D1142" s="91" t="s">
        <v>1384</v>
      </c>
      <c r="E1142" s="76" t="s">
        <v>2179</v>
      </c>
      <c r="F1142" s="5" t="str">
        <f t="shared" si="17"/>
        <v>fairinvestments.se</v>
      </c>
      <c r="G1142" s="5" t="s">
        <v>1660</v>
      </c>
      <c r="H1142" s="5" t="s">
        <v>5</v>
      </c>
      <c r="I1142" s="116">
        <v>45400</v>
      </c>
    </row>
    <row r="1143" spans="1:9" ht="13.5">
      <c r="A1143" s="2" t="s">
        <v>703</v>
      </c>
      <c r="B1143" s="3"/>
      <c r="C1143" s="91" t="s">
        <v>2180</v>
      </c>
      <c r="D1143" s="91" t="s">
        <v>2181</v>
      </c>
      <c r="E1143" s="76" t="s">
        <v>2182</v>
      </c>
      <c r="F1143" s="5" t="str">
        <f t="shared" si="17"/>
        <v>distansinstitutet.se</v>
      </c>
      <c r="G1143" s="5" t="s">
        <v>1643</v>
      </c>
      <c r="H1143" s="5" t="s">
        <v>5</v>
      </c>
      <c r="I1143" s="116">
        <v>45401</v>
      </c>
    </row>
    <row r="1144" spans="1:9" ht="13.5">
      <c r="A1144" s="2" t="s">
        <v>308</v>
      </c>
      <c r="B1144" s="3"/>
      <c r="C1144" s="128" t="s">
        <v>2183</v>
      </c>
      <c r="D1144" s="91" t="s">
        <v>1309</v>
      </c>
      <c r="E1144" s="76" t="s">
        <v>2184</v>
      </c>
      <c r="F1144" s="5" t="str">
        <f t="shared" si="17"/>
        <v>lansfast.se</v>
      </c>
      <c r="G1144" s="5" t="s">
        <v>1660</v>
      </c>
      <c r="H1144" s="5" t="s">
        <v>5</v>
      </c>
      <c r="I1144" s="116">
        <v>45401</v>
      </c>
    </row>
    <row r="1145" spans="1:9" ht="13.5">
      <c r="A1145" s="2" t="s">
        <v>435</v>
      </c>
      <c r="B1145" s="3"/>
      <c r="C1145" s="91" t="s">
        <v>2185</v>
      </c>
      <c r="D1145" s="91" t="s">
        <v>1446</v>
      </c>
      <c r="E1145" s="76" t="s">
        <v>2186</v>
      </c>
      <c r="F1145" s="5" t="str">
        <f t="shared" si="17"/>
        <v>fairinvestments.se</v>
      </c>
      <c r="G1145" s="5" t="s">
        <v>1660</v>
      </c>
      <c r="H1145" s="5" t="s">
        <v>5</v>
      </c>
      <c r="I1145" s="116">
        <v>45402</v>
      </c>
    </row>
    <row r="1146" spans="1:9" ht="13.5">
      <c r="A1146" s="2" t="s">
        <v>703</v>
      </c>
      <c r="B1146" s="3"/>
      <c r="C1146" s="128" t="s">
        <v>2187</v>
      </c>
      <c r="D1146" s="91" t="s">
        <v>2140</v>
      </c>
      <c r="E1146" s="76" t="s">
        <v>2188</v>
      </c>
      <c r="F1146" s="5" t="str">
        <f t="shared" si="17"/>
        <v>distansinstitutet.se</v>
      </c>
      <c r="G1146" s="5" t="s">
        <v>1643</v>
      </c>
      <c r="H1146" s="5" t="s">
        <v>5</v>
      </c>
      <c r="I1146" s="116">
        <v>45403</v>
      </c>
    </row>
    <row r="1147" spans="1:9" ht="13.5">
      <c r="A1147" s="2" t="s">
        <v>846</v>
      </c>
      <c r="B1147" s="3"/>
      <c r="C1147" s="128" t="s">
        <v>2189</v>
      </c>
      <c r="D1147" s="91" t="s">
        <v>1207</v>
      </c>
      <c r="E1147" s="76" t="s">
        <v>1208</v>
      </c>
      <c r="F1147" s="5" t="str">
        <f t="shared" si="17"/>
        <v>tandea.se</v>
      </c>
      <c r="G1147" s="5" t="s">
        <v>1643</v>
      </c>
      <c r="H1147" s="5" t="s">
        <v>5</v>
      </c>
      <c r="I1147" s="116">
        <v>45403</v>
      </c>
    </row>
    <row r="1148" spans="1:9" ht="13.5">
      <c r="A1148" s="2" t="s">
        <v>435</v>
      </c>
      <c r="B1148" s="3"/>
      <c r="C1148" s="128" t="s">
        <v>2190</v>
      </c>
      <c r="D1148" s="91" t="s">
        <v>1704</v>
      </c>
      <c r="E1148" s="76" t="s">
        <v>2191</v>
      </c>
      <c r="F1148" s="5" t="str">
        <f t="shared" si="17"/>
        <v>fairinvestments.se</v>
      </c>
      <c r="G1148" s="5" t="s">
        <v>1643</v>
      </c>
      <c r="H1148" s="5" t="s">
        <v>5</v>
      </c>
      <c r="I1148" s="116">
        <v>45404</v>
      </c>
    </row>
    <row r="1149" spans="1:9" ht="13.5">
      <c r="A1149" s="7" t="s">
        <v>1910</v>
      </c>
      <c r="B1149" s="3"/>
      <c r="C1149" s="71" t="s">
        <v>2192</v>
      </c>
      <c r="D1149" s="4" t="s">
        <v>1912</v>
      </c>
      <c r="E1149" s="5" t="s">
        <v>1913</v>
      </c>
      <c r="F1149" s="5" t="str">
        <f t="shared" si="17"/>
        <v>kelleher-international</v>
      </c>
      <c r="G1149" s="5" t="s">
        <v>4</v>
      </c>
      <c r="H1149" s="5" t="s">
        <v>345</v>
      </c>
      <c r="I1149" s="6">
        <v>45405</v>
      </c>
    </row>
    <row r="1150" spans="1:9" ht="13.5">
      <c r="A1150" s="2" t="s">
        <v>1544</v>
      </c>
      <c r="B1150" s="3"/>
      <c r="C1150" s="71" t="s">
        <v>2193</v>
      </c>
      <c r="D1150" s="4" t="s">
        <v>1546</v>
      </c>
      <c r="E1150" s="5" t="s">
        <v>1547</v>
      </c>
      <c r="F1150" s="5" t="str">
        <f t="shared" si="17"/>
        <v>Finansplassen.no</v>
      </c>
      <c r="G1150" s="5" t="s">
        <v>4</v>
      </c>
      <c r="H1150" s="5" t="s">
        <v>382</v>
      </c>
      <c r="I1150" s="6">
        <v>45405</v>
      </c>
    </row>
    <row r="1151" spans="1:9" ht="13.5">
      <c r="A1151" s="2" t="s">
        <v>1247</v>
      </c>
      <c r="B1151" s="3"/>
      <c r="C1151" s="93" t="s">
        <v>2194</v>
      </c>
      <c r="D1151" s="133" t="s">
        <v>1249</v>
      </c>
      <c r="E1151" s="134" t="s">
        <v>1250</v>
      </c>
      <c r="F1151" s="5" t="str">
        <f t="shared" si="17"/>
        <v>carpcon.se</v>
      </c>
      <c r="G1151" s="5" t="s">
        <v>4</v>
      </c>
      <c r="H1151" s="5" t="s">
        <v>5</v>
      </c>
      <c r="I1151" s="6">
        <v>45406</v>
      </c>
    </row>
    <row r="1152" spans="1:9" ht="13.5">
      <c r="A1152" s="2" t="s">
        <v>2029</v>
      </c>
      <c r="B1152" s="3"/>
      <c r="C1152" s="93" t="s">
        <v>2195</v>
      </c>
      <c r="D1152" s="133" t="s">
        <v>2031</v>
      </c>
      <c r="E1152" s="134" t="s">
        <v>2032</v>
      </c>
      <c r="F1152" s="5" t="str">
        <f t="shared" si="17"/>
        <v>legendbygg.com</v>
      </c>
      <c r="G1152" s="5" t="s">
        <v>4</v>
      </c>
      <c r="H1152" s="5" t="s">
        <v>5</v>
      </c>
      <c r="I1152" s="6">
        <v>45406</v>
      </c>
    </row>
    <row r="1153" spans="1:9" ht="13.5">
      <c r="A1153" s="2" t="s">
        <v>1974</v>
      </c>
      <c r="B1153" s="3"/>
      <c r="C1153" s="71" t="s">
        <v>2196</v>
      </c>
      <c r="D1153" s="4" t="s">
        <v>1976</v>
      </c>
      <c r="E1153" s="5" t="s">
        <v>2197</v>
      </c>
      <c r="F1153" s="5" t="str">
        <f t="shared" si="17"/>
        <v>tryggvi.se</v>
      </c>
      <c r="G1153" s="5" t="s">
        <v>4</v>
      </c>
      <c r="H1153" s="5" t="s">
        <v>5</v>
      </c>
      <c r="I1153" s="6">
        <v>45406</v>
      </c>
    </row>
    <row r="1154" spans="1:9" ht="13.5">
      <c r="A1154" s="2" t="s">
        <v>1544</v>
      </c>
      <c r="B1154" s="3"/>
      <c r="C1154" s="71" t="s">
        <v>2198</v>
      </c>
      <c r="D1154" s="4" t="s">
        <v>1594</v>
      </c>
      <c r="E1154" s="5" t="s">
        <v>1742</v>
      </c>
      <c r="F1154" s="5" t="str">
        <f t="shared" si="17"/>
        <v>Finansplassen.no</v>
      </c>
      <c r="G1154" s="5" t="s">
        <v>4</v>
      </c>
      <c r="H1154" s="5" t="s">
        <v>382</v>
      </c>
      <c r="I1154" s="6">
        <v>45406</v>
      </c>
    </row>
    <row r="1155" spans="1:9" ht="13.5">
      <c r="A1155" s="2" t="s">
        <v>2199</v>
      </c>
      <c r="B1155" s="3"/>
      <c r="C1155" s="93" t="s">
        <v>2200</v>
      </c>
      <c r="D1155" s="133" t="s">
        <v>2201</v>
      </c>
      <c r="E1155" s="134" t="s">
        <v>2202</v>
      </c>
      <c r="F1155" s="5" t="str">
        <f t="shared" ref="F1155:F1218" si="18">A1155</f>
        <v>massagestockholm.se</v>
      </c>
      <c r="G1155" s="5" t="s">
        <v>4</v>
      </c>
      <c r="H1155" s="5" t="s">
        <v>5</v>
      </c>
      <c r="I1155" s="6">
        <v>45406</v>
      </c>
    </row>
    <row r="1156" spans="1:9" ht="13.5">
      <c r="A1156" s="2" t="s">
        <v>1180</v>
      </c>
      <c r="B1156" s="3"/>
      <c r="C1156" s="93" t="s">
        <v>2203</v>
      </c>
      <c r="D1156" s="133" t="s">
        <v>2204</v>
      </c>
      <c r="E1156" s="134" t="s">
        <v>1968</v>
      </c>
      <c r="F1156" s="5" t="str">
        <f t="shared" si="18"/>
        <v>e-ciggbolaget.se</v>
      </c>
      <c r="G1156" s="5" t="s">
        <v>4</v>
      </c>
      <c r="H1156" s="5" t="s">
        <v>5</v>
      </c>
      <c r="I1156" s="6">
        <v>45406</v>
      </c>
    </row>
    <row r="1157" spans="1:9" ht="13.5">
      <c r="A1157" s="2" t="s">
        <v>2205</v>
      </c>
      <c r="B1157" s="3"/>
      <c r="C1157" s="93" t="s">
        <v>2206</v>
      </c>
      <c r="D1157" s="133" t="s">
        <v>2207</v>
      </c>
      <c r="E1157" s="134" t="s">
        <v>2208</v>
      </c>
      <c r="F1157" s="5" t="str">
        <f t="shared" si="18"/>
        <v>Aaatak.se</v>
      </c>
      <c r="G1157" s="5" t="s">
        <v>4</v>
      </c>
      <c r="H1157" s="5" t="s">
        <v>5</v>
      </c>
      <c r="I1157" s="6">
        <v>45406</v>
      </c>
    </row>
    <row r="1158" spans="1:9" ht="13.5">
      <c r="A1158" s="2" t="s">
        <v>100</v>
      </c>
      <c r="B1158" s="3"/>
      <c r="C1158" s="93" t="s">
        <v>2209</v>
      </c>
      <c r="D1158" s="133" t="s">
        <v>1252</v>
      </c>
      <c r="E1158" s="134" t="s">
        <v>2039</v>
      </c>
      <c r="F1158" s="5" t="str">
        <f t="shared" si="18"/>
        <v>bigbenstandup.com</v>
      </c>
      <c r="G1158" s="5" t="s">
        <v>4</v>
      </c>
      <c r="H1158" s="5" t="s">
        <v>5</v>
      </c>
      <c r="I1158" s="6">
        <v>45406</v>
      </c>
    </row>
    <row r="1159" spans="1:9" ht="13.5">
      <c r="A1159" s="2" t="s">
        <v>1239</v>
      </c>
      <c r="B1159" s="3"/>
      <c r="C1159" s="93" t="s">
        <v>2210</v>
      </c>
      <c r="D1159" s="135" t="s">
        <v>1241</v>
      </c>
      <c r="E1159" s="134" t="s">
        <v>1426</v>
      </c>
      <c r="F1159" s="5" t="str">
        <f t="shared" si="18"/>
        <v>freckeus.se</v>
      </c>
      <c r="G1159" s="5" t="s">
        <v>4</v>
      </c>
      <c r="H1159" s="5" t="s">
        <v>5</v>
      </c>
      <c r="I1159" s="6">
        <v>45406</v>
      </c>
    </row>
    <row r="1160" spans="1:9" ht="13.5">
      <c r="A1160" s="2" t="s">
        <v>2043</v>
      </c>
      <c r="B1160" s="3"/>
      <c r="C1160" s="93" t="s">
        <v>2211</v>
      </c>
      <c r="D1160" s="133" t="s">
        <v>2045</v>
      </c>
      <c r="E1160" s="134" t="s">
        <v>2046</v>
      </c>
      <c r="F1160" s="5" t="str">
        <f t="shared" si="18"/>
        <v>heteknik.se</v>
      </c>
      <c r="G1160" s="5" t="s">
        <v>4</v>
      </c>
      <c r="H1160" s="5" t="s">
        <v>5</v>
      </c>
      <c r="I1160" s="6">
        <v>45406</v>
      </c>
    </row>
    <row r="1161" spans="1:9" ht="13.5">
      <c r="A1161" s="2" t="s">
        <v>308</v>
      </c>
      <c r="B1161" s="3"/>
      <c r="C1161" s="93" t="s">
        <v>2212</v>
      </c>
      <c r="D1161" s="133" t="s">
        <v>1395</v>
      </c>
      <c r="E1161" s="134" t="s">
        <v>1013</v>
      </c>
      <c r="F1161" s="5" t="str">
        <f t="shared" si="18"/>
        <v>lansfast.se</v>
      </c>
      <c r="G1161" s="5" t="s">
        <v>4</v>
      </c>
      <c r="H1161" s="5" t="s">
        <v>5</v>
      </c>
      <c r="I1161" s="6">
        <v>45406</v>
      </c>
    </row>
    <row r="1162" spans="1:9" ht="13.5">
      <c r="A1162" s="2" t="s">
        <v>1213</v>
      </c>
      <c r="B1162" s="3"/>
      <c r="C1162" s="93" t="s">
        <v>2213</v>
      </c>
      <c r="D1162" s="136" t="s">
        <v>1215</v>
      </c>
      <c r="E1162" s="134" t="s">
        <v>2057</v>
      </c>
      <c r="F1162" s="5" t="str">
        <f t="shared" si="18"/>
        <v>mariatand.se</v>
      </c>
      <c r="G1162" s="5" t="s">
        <v>4</v>
      </c>
      <c r="H1162" s="5" t="s">
        <v>5</v>
      </c>
      <c r="I1162" s="6">
        <v>45406</v>
      </c>
    </row>
    <row r="1163" spans="1:9" ht="13.5">
      <c r="A1163" s="2" t="s">
        <v>2058</v>
      </c>
      <c r="B1163" s="3"/>
      <c r="C1163" s="93" t="s">
        <v>2214</v>
      </c>
      <c r="D1163" s="133" t="s">
        <v>2060</v>
      </c>
      <c r="E1163" s="134" t="s">
        <v>2061</v>
      </c>
      <c r="F1163" s="5" t="str">
        <f t="shared" si="18"/>
        <v>m6bygg.se</v>
      </c>
      <c r="G1163" s="5" t="s">
        <v>4</v>
      </c>
      <c r="H1163" s="5" t="s">
        <v>5</v>
      </c>
      <c r="I1163" s="6">
        <v>45406</v>
      </c>
    </row>
    <row r="1164" spans="1:9" ht="13.5">
      <c r="A1164" s="2" t="s">
        <v>1263</v>
      </c>
      <c r="B1164" s="3"/>
      <c r="C1164" s="93" t="s">
        <v>2215</v>
      </c>
      <c r="D1164" s="133" t="s">
        <v>1265</v>
      </c>
      <c r="E1164" s="134" t="s">
        <v>1266</v>
      </c>
      <c r="F1164" s="5" t="str">
        <f t="shared" si="18"/>
        <v>notyfile.se/sv</v>
      </c>
      <c r="G1164" s="5" t="s">
        <v>4</v>
      </c>
      <c r="H1164" s="5" t="s">
        <v>5</v>
      </c>
      <c r="I1164" s="6">
        <v>45406</v>
      </c>
    </row>
    <row r="1165" spans="1:9" ht="13.5">
      <c r="A1165" s="7" t="s">
        <v>386</v>
      </c>
      <c r="B1165" s="3"/>
      <c r="C1165" s="93" t="s">
        <v>2216</v>
      </c>
      <c r="D1165" s="133" t="s">
        <v>452</v>
      </c>
      <c r="E1165" s="134" t="s">
        <v>879</v>
      </c>
      <c r="F1165" s="5" t="str">
        <f t="shared" si="18"/>
        <v>pontech</v>
      </c>
      <c r="G1165" s="5" t="s">
        <v>4</v>
      </c>
      <c r="H1165" s="5" t="s">
        <v>5</v>
      </c>
      <c r="I1165" s="6">
        <v>45406</v>
      </c>
    </row>
    <row r="1166" spans="1:9" ht="13.5">
      <c r="A1166" s="2" t="s">
        <v>1318</v>
      </c>
      <c r="B1166" s="3"/>
      <c r="C1166" s="71" t="s">
        <v>2217</v>
      </c>
      <c r="D1166" s="4" t="s">
        <v>1942</v>
      </c>
      <c r="E1166" s="5" t="s">
        <v>2006</v>
      </c>
      <c r="F1166" s="5" t="str">
        <f t="shared" si="18"/>
        <v>spelklubben.se</v>
      </c>
      <c r="G1166" s="5" t="s">
        <v>4</v>
      </c>
      <c r="H1166" s="5" t="s">
        <v>5</v>
      </c>
      <c r="I1166" s="6">
        <v>45406</v>
      </c>
    </row>
    <row r="1167" spans="1:9" ht="13.5">
      <c r="A1167" s="2" t="s">
        <v>1993</v>
      </c>
      <c r="B1167" s="3"/>
      <c r="C1167" s="119" t="s">
        <v>2218</v>
      </c>
      <c r="D1167" s="137" t="s">
        <v>2219</v>
      </c>
      <c r="E1167" s="138" t="s">
        <v>2220</v>
      </c>
      <c r="F1167" s="5" t="str">
        <f t="shared" si="18"/>
        <v>filippa-k.com/se/sv/</v>
      </c>
      <c r="G1167" s="5" t="s">
        <v>4</v>
      </c>
      <c r="H1167" s="5" t="s">
        <v>5</v>
      </c>
      <c r="I1167" s="6">
        <v>45406</v>
      </c>
    </row>
    <row r="1168" spans="1:9" ht="13.5">
      <c r="A1168" s="2" t="s">
        <v>435</v>
      </c>
      <c r="B1168" s="3"/>
      <c r="C1168" s="128" t="s">
        <v>2221</v>
      </c>
      <c r="D1168" s="91" t="s">
        <v>1704</v>
      </c>
      <c r="E1168" s="76" t="s">
        <v>2222</v>
      </c>
      <c r="F1168" s="5" t="str">
        <f t="shared" si="18"/>
        <v>fairinvestments.se</v>
      </c>
      <c r="G1168" s="5" t="s">
        <v>1643</v>
      </c>
      <c r="H1168" s="5" t="s">
        <v>5</v>
      </c>
      <c r="I1168" s="116">
        <v>45406</v>
      </c>
    </row>
    <row r="1169" spans="1:9" ht="13.5">
      <c r="A1169" s="2" t="s">
        <v>703</v>
      </c>
      <c r="B1169" s="3"/>
      <c r="C1169" s="91" t="s">
        <v>2223</v>
      </c>
      <c r="D1169" s="91" t="s">
        <v>2103</v>
      </c>
      <c r="E1169" s="76" t="s">
        <v>2224</v>
      </c>
      <c r="F1169" s="5" t="str">
        <f t="shared" si="18"/>
        <v>distansinstitutet.se</v>
      </c>
      <c r="G1169" s="5" t="s">
        <v>1643</v>
      </c>
      <c r="H1169" s="5" t="s">
        <v>5</v>
      </c>
      <c r="I1169" s="116">
        <v>45406</v>
      </c>
    </row>
    <row r="1170" spans="1:9" ht="13.5">
      <c r="A1170" s="2" t="s">
        <v>1318</v>
      </c>
      <c r="B1170" s="3"/>
      <c r="C1170" s="139" t="s">
        <v>2225</v>
      </c>
      <c r="D1170" s="4" t="s">
        <v>1942</v>
      </c>
      <c r="E1170" s="5" t="s">
        <v>1855</v>
      </c>
      <c r="F1170" s="5" t="str">
        <f t="shared" si="18"/>
        <v>spelklubben.se</v>
      </c>
      <c r="G1170" s="5" t="s">
        <v>4</v>
      </c>
      <c r="H1170" s="5" t="s">
        <v>5</v>
      </c>
      <c r="I1170" s="6">
        <v>45407</v>
      </c>
    </row>
    <row r="1171" spans="1:9" ht="13.5">
      <c r="A1171" s="2" t="s">
        <v>1318</v>
      </c>
      <c r="B1171" s="3"/>
      <c r="C1171" s="71" t="s">
        <v>2226</v>
      </c>
      <c r="D1171" s="4" t="s">
        <v>1942</v>
      </c>
      <c r="E1171" s="5" t="s">
        <v>1980</v>
      </c>
      <c r="F1171" s="5" t="str">
        <f t="shared" si="18"/>
        <v>spelklubben.se</v>
      </c>
      <c r="G1171" s="5" t="s">
        <v>4</v>
      </c>
      <c r="H1171" s="5" t="s">
        <v>5</v>
      </c>
      <c r="I1171" s="6">
        <v>45407</v>
      </c>
    </row>
    <row r="1172" spans="1:9" ht="13.5">
      <c r="A1172" s="2" t="s">
        <v>1318</v>
      </c>
      <c r="B1172" s="3"/>
      <c r="C1172" s="71" t="s">
        <v>2227</v>
      </c>
      <c r="D1172" s="4" t="s">
        <v>1942</v>
      </c>
      <c r="E1172" s="9" t="s">
        <v>1846</v>
      </c>
      <c r="F1172" s="5" t="str">
        <f t="shared" si="18"/>
        <v>spelklubben.se</v>
      </c>
      <c r="G1172" s="5" t="s">
        <v>4</v>
      </c>
      <c r="H1172" s="5" t="s">
        <v>5</v>
      </c>
      <c r="I1172" s="6">
        <v>45407</v>
      </c>
    </row>
    <row r="1173" spans="1:9" ht="13.5">
      <c r="A1173" s="2" t="s">
        <v>1318</v>
      </c>
      <c r="B1173" s="3"/>
      <c r="C1173" s="71" t="s">
        <v>2228</v>
      </c>
      <c r="D1173" s="4" t="s">
        <v>1942</v>
      </c>
      <c r="E1173" s="5" t="s">
        <v>2229</v>
      </c>
      <c r="F1173" s="5" t="str">
        <f t="shared" si="18"/>
        <v>spelklubben.se</v>
      </c>
      <c r="G1173" s="5" t="s">
        <v>4</v>
      </c>
      <c r="H1173" s="5" t="s">
        <v>5</v>
      </c>
      <c r="I1173" s="6">
        <v>45407</v>
      </c>
    </row>
    <row r="1174" spans="1:9" ht="13.5">
      <c r="A1174" s="2" t="s">
        <v>1318</v>
      </c>
      <c r="B1174" s="3"/>
      <c r="C1174" s="71" t="s">
        <v>2230</v>
      </c>
      <c r="D1174" s="4" t="s">
        <v>1942</v>
      </c>
      <c r="E1174" s="5" t="s">
        <v>2016</v>
      </c>
      <c r="F1174" s="5" t="str">
        <f t="shared" si="18"/>
        <v>spelklubben.se</v>
      </c>
      <c r="G1174" s="5" t="s">
        <v>4</v>
      </c>
      <c r="H1174" s="5" t="s">
        <v>5</v>
      </c>
      <c r="I1174" s="6">
        <v>45407</v>
      </c>
    </row>
    <row r="1175" spans="1:9" ht="14.25">
      <c r="A1175" s="2" t="s">
        <v>2231</v>
      </c>
      <c r="B1175" s="3"/>
      <c r="C1175" s="71" t="s">
        <v>2232</v>
      </c>
      <c r="D1175" s="4" t="s">
        <v>2233</v>
      </c>
      <c r="E1175" s="140" t="s">
        <v>2234</v>
      </c>
      <c r="F1175" s="5" t="str">
        <f t="shared" si="18"/>
        <v>gordetmedrw.se</v>
      </c>
      <c r="G1175" s="5" t="s">
        <v>4</v>
      </c>
      <c r="H1175" s="5" t="s">
        <v>5</v>
      </c>
      <c r="I1175" s="6">
        <v>45407</v>
      </c>
    </row>
    <row r="1176" spans="1:9" ht="13.5">
      <c r="A1176" s="2" t="s">
        <v>1284</v>
      </c>
      <c r="B1176" s="3"/>
      <c r="C1176" s="128" t="s">
        <v>2235</v>
      </c>
      <c r="D1176" s="91" t="s">
        <v>2236</v>
      </c>
      <c r="E1176" s="76" t="s">
        <v>2237</v>
      </c>
      <c r="F1176" s="5" t="str">
        <f t="shared" si="18"/>
        <v>norteam.se</v>
      </c>
      <c r="G1176" s="5" t="s">
        <v>1643</v>
      </c>
      <c r="H1176" s="5" t="s">
        <v>5</v>
      </c>
      <c r="I1176" s="116">
        <v>45407</v>
      </c>
    </row>
    <row r="1177" spans="1:9" ht="13.5">
      <c r="A1177" s="7" t="s">
        <v>386</v>
      </c>
      <c r="B1177" s="3"/>
      <c r="C1177" s="128" t="s">
        <v>2238</v>
      </c>
      <c r="D1177" s="91" t="s">
        <v>1001</v>
      </c>
      <c r="E1177" s="76" t="s">
        <v>2239</v>
      </c>
      <c r="F1177" s="5" t="str">
        <f t="shared" si="18"/>
        <v>pontech</v>
      </c>
      <c r="G1177" s="5" t="s">
        <v>1643</v>
      </c>
      <c r="H1177" s="5" t="s">
        <v>5</v>
      </c>
      <c r="I1177" s="116">
        <v>45407</v>
      </c>
    </row>
    <row r="1178" spans="1:9" ht="13.5">
      <c r="A1178" s="2" t="s">
        <v>2240</v>
      </c>
      <c r="B1178" s="3"/>
      <c r="C1178" s="124" t="s">
        <v>2241</v>
      </c>
      <c r="D1178" s="4" t="s">
        <v>2242</v>
      </c>
      <c r="E1178" s="9" t="s">
        <v>2240</v>
      </c>
      <c r="F1178" s="5" t="str">
        <f t="shared" si="18"/>
        <v>mrnicco.com</v>
      </c>
      <c r="G1178" s="5" t="s">
        <v>4</v>
      </c>
      <c r="H1178" s="5" t="s">
        <v>2243</v>
      </c>
      <c r="I1178" s="6">
        <v>45408</v>
      </c>
    </row>
    <row r="1179" spans="1:9" ht="14.25">
      <c r="A1179" s="2" t="s">
        <v>2244</v>
      </c>
      <c r="B1179" s="3"/>
      <c r="C1179" s="119" t="s">
        <v>2245</v>
      </c>
      <c r="D1179" s="4" t="s">
        <v>2246</v>
      </c>
      <c r="E1179" s="111" t="s">
        <v>2247</v>
      </c>
      <c r="F1179" s="5" t="str">
        <f t="shared" si="18"/>
        <v>restate.se</v>
      </c>
      <c r="G1179" s="5" t="s">
        <v>4</v>
      </c>
      <c r="H1179" s="5" t="s">
        <v>5</v>
      </c>
      <c r="I1179" s="6">
        <v>45408</v>
      </c>
    </row>
    <row r="1180" spans="1:9" ht="14.25">
      <c r="A1180" s="2" t="s">
        <v>2248</v>
      </c>
      <c r="B1180" s="3"/>
      <c r="C1180" s="119" t="s">
        <v>2249</v>
      </c>
      <c r="D1180" s="4" t="s">
        <v>2250</v>
      </c>
      <c r="E1180" s="111" t="s">
        <v>2251</v>
      </c>
      <c r="F1180" s="5" t="str">
        <f t="shared" si="18"/>
        <v>storgruppen.se</v>
      </c>
      <c r="G1180" s="5" t="s">
        <v>4</v>
      </c>
      <c r="H1180" s="5" t="s">
        <v>5</v>
      </c>
      <c r="I1180" s="6">
        <v>45408</v>
      </c>
    </row>
    <row r="1181" spans="1:9" ht="14.25">
      <c r="A1181" s="2" t="s">
        <v>1974</v>
      </c>
      <c r="B1181" s="3"/>
      <c r="C1181" s="119" t="s">
        <v>2252</v>
      </c>
      <c r="D1181" s="4" t="s">
        <v>2018</v>
      </c>
      <c r="E1181" s="141" t="s">
        <v>2253</v>
      </c>
      <c r="F1181" s="5" t="str">
        <f t="shared" si="18"/>
        <v>tryggvi.se</v>
      </c>
      <c r="G1181" s="5" t="s">
        <v>4</v>
      </c>
      <c r="H1181" s="5" t="s">
        <v>5</v>
      </c>
      <c r="I1181" s="6">
        <v>45408</v>
      </c>
    </row>
    <row r="1182" spans="1:9" ht="13.5">
      <c r="A1182" s="2" t="s">
        <v>308</v>
      </c>
      <c r="B1182" s="3"/>
      <c r="C1182" s="91" t="s">
        <v>2254</v>
      </c>
      <c r="D1182" s="91" t="s">
        <v>1309</v>
      </c>
      <c r="E1182" s="76" t="s">
        <v>2255</v>
      </c>
      <c r="F1182" s="5" t="str">
        <f t="shared" si="18"/>
        <v>lansfast.se</v>
      </c>
      <c r="G1182" s="5" t="s">
        <v>1643</v>
      </c>
      <c r="H1182" s="5" t="s">
        <v>5</v>
      </c>
      <c r="I1182" s="116">
        <v>45408</v>
      </c>
    </row>
    <row r="1183" spans="1:9" ht="13.5">
      <c r="A1183" s="2" t="s">
        <v>2033</v>
      </c>
      <c r="B1183" s="3"/>
      <c r="C1183" s="93" t="s">
        <v>2256</v>
      </c>
      <c r="D1183" s="133" t="s">
        <v>2257</v>
      </c>
      <c r="E1183" s="134" t="s">
        <v>2036</v>
      </c>
      <c r="F1183" s="5" t="str">
        <f t="shared" si="18"/>
        <v>qsundsvall.se</v>
      </c>
      <c r="G1183" s="5" t="s">
        <v>4</v>
      </c>
      <c r="H1183" s="5" t="s">
        <v>5</v>
      </c>
      <c r="I1183" s="6">
        <v>45409</v>
      </c>
    </row>
    <row r="1184" spans="1:9" ht="13.5">
      <c r="A1184" s="2" t="s">
        <v>2052</v>
      </c>
      <c r="B1184" s="3"/>
      <c r="C1184" s="93" t="s">
        <v>2258</v>
      </c>
      <c r="D1184" s="133" t="s">
        <v>2054</v>
      </c>
      <c r="E1184" s="134" t="s">
        <v>2055</v>
      </c>
      <c r="F1184" s="5" t="str">
        <f t="shared" si="18"/>
        <v>rosapensionat.se</v>
      </c>
      <c r="G1184" s="5" t="s">
        <v>4</v>
      </c>
      <c r="H1184" s="5" t="s">
        <v>5</v>
      </c>
      <c r="I1184" s="6">
        <v>45409</v>
      </c>
    </row>
    <row r="1185" spans="1:9" ht="13.5">
      <c r="A1185" s="2" t="s">
        <v>1297</v>
      </c>
      <c r="B1185" s="3"/>
      <c r="C1185" s="93" t="s">
        <v>2259</v>
      </c>
      <c r="D1185" s="133" t="s">
        <v>1299</v>
      </c>
      <c r="E1185" s="134" t="s">
        <v>2260</v>
      </c>
      <c r="F1185" s="5" t="str">
        <f t="shared" si="18"/>
        <v>sundsvallbergvarme.se</v>
      </c>
      <c r="G1185" s="5" t="s">
        <v>4</v>
      </c>
      <c r="H1185" s="5" t="s">
        <v>5</v>
      </c>
      <c r="I1185" s="6">
        <v>45409</v>
      </c>
    </row>
    <row r="1186" spans="1:9" ht="13.5">
      <c r="A1186" s="2" t="s">
        <v>1342</v>
      </c>
      <c r="B1186" s="3"/>
      <c r="C1186" s="93" t="s">
        <v>2261</v>
      </c>
      <c r="D1186" s="133" t="s">
        <v>1143</v>
      </c>
      <c r="E1186" s="134" t="s">
        <v>879</v>
      </c>
      <c r="F1186" s="5" t="str">
        <f t="shared" si="18"/>
        <v>pontonhamnar.se</v>
      </c>
      <c r="G1186" s="5" t="s">
        <v>4</v>
      </c>
      <c r="H1186" s="5" t="s">
        <v>5</v>
      </c>
      <c r="I1186" s="6">
        <v>45409</v>
      </c>
    </row>
    <row r="1187" spans="1:9" ht="13.5">
      <c r="A1187" s="2" t="s">
        <v>325</v>
      </c>
      <c r="B1187" s="3"/>
      <c r="C1187" s="93" t="s">
        <v>2262</v>
      </c>
      <c r="D1187" s="133" t="s">
        <v>1244</v>
      </c>
      <c r="E1187" s="134" t="s">
        <v>463</v>
      </c>
      <c r="F1187" s="5" t="str">
        <f t="shared" si="18"/>
        <v>tiotak.se</v>
      </c>
      <c r="G1187" s="5" t="s">
        <v>4</v>
      </c>
      <c r="H1187" s="5" t="s">
        <v>5</v>
      </c>
      <c r="I1187" s="6">
        <v>45409</v>
      </c>
    </row>
    <row r="1188" spans="1:9" ht="13.5">
      <c r="A1188" s="2" t="s">
        <v>325</v>
      </c>
      <c r="B1188" s="3"/>
      <c r="C1188" s="93" t="s">
        <v>2263</v>
      </c>
      <c r="D1188" s="133" t="s">
        <v>2067</v>
      </c>
      <c r="E1188" s="134" t="s">
        <v>2068</v>
      </c>
      <c r="F1188" s="5" t="str">
        <f t="shared" si="18"/>
        <v>tiotak.se</v>
      </c>
      <c r="G1188" s="5" t="s">
        <v>4</v>
      </c>
      <c r="H1188" s="5" t="s">
        <v>5</v>
      </c>
      <c r="I1188" s="6">
        <v>45409</v>
      </c>
    </row>
    <row r="1189" spans="1:9" ht="13.5">
      <c r="A1189" s="2" t="s">
        <v>2079</v>
      </c>
      <c r="B1189" s="3"/>
      <c r="C1189" s="93" t="s">
        <v>2264</v>
      </c>
      <c r="D1189" s="133" t="s">
        <v>2081</v>
      </c>
      <c r="E1189" s="134" t="s">
        <v>2082</v>
      </c>
      <c r="F1189" s="5" t="str">
        <f t="shared" si="18"/>
        <v>ttsab.nu</v>
      </c>
      <c r="G1189" s="5" t="s">
        <v>4</v>
      </c>
      <c r="H1189" s="5" t="s">
        <v>5</v>
      </c>
      <c r="I1189" s="6">
        <v>45409</v>
      </c>
    </row>
    <row r="1190" spans="1:9" ht="13.5">
      <c r="A1190" s="2" t="s">
        <v>2073</v>
      </c>
      <c r="B1190" s="3"/>
      <c r="C1190" s="71" t="s">
        <v>2265</v>
      </c>
      <c r="D1190" s="133" t="s">
        <v>2075</v>
      </c>
      <c r="E1190" s="134" t="s">
        <v>2266</v>
      </c>
      <c r="F1190" s="5" t="str">
        <f t="shared" si="18"/>
        <v>alvtorpet.se</v>
      </c>
      <c r="G1190" s="5" t="s">
        <v>4</v>
      </c>
      <c r="H1190" s="5" t="s">
        <v>5</v>
      </c>
      <c r="I1190" s="6">
        <v>45409</v>
      </c>
    </row>
    <row r="1191" spans="1:9" ht="13.5">
      <c r="A1191" s="2" t="s">
        <v>2073</v>
      </c>
      <c r="B1191" s="3"/>
      <c r="C1191" s="71" t="s">
        <v>2267</v>
      </c>
      <c r="D1191" s="133" t="s">
        <v>2075</v>
      </c>
      <c r="E1191" s="134" t="s">
        <v>2078</v>
      </c>
      <c r="F1191" s="5" t="str">
        <f t="shared" si="18"/>
        <v>alvtorpet.se</v>
      </c>
      <c r="G1191" s="5" t="s">
        <v>4</v>
      </c>
      <c r="H1191" s="5" t="s">
        <v>5</v>
      </c>
      <c r="I1191" s="6">
        <v>45409</v>
      </c>
    </row>
    <row r="1192" spans="1:9" ht="13.5">
      <c r="A1192" s="2" t="s">
        <v>703</v>
      </c>
      <c r="B1192" s="3"/>
      <c r="C1192" s="91" t="s">
        <v>2268</v>
      </c>
      <c r="D1192" s="91" t="s">
        <v>2177</v>
      </c>
      <c r="E1192" s="76" t="s">
        <v>2269</v>
      </c>
      <c r="F1192" s="5" t="str">
        <f t="shared" si="18"/>
        <v>distansinstitutet.se</v>
      </c>
      <c r="G1192" s="5" t="s">
        <v>1643</v>
      </c>
      <c r="H1192" s="5" t="s">
        <v>5</v>
      </c>
      <c r="I1192" s="116">
        <v>45409</v>
      </c>
    </row>
    <row r="1193" spans="1:9" ht="13.5">
      <c r="A1193" s="2" t="s">
        <v>2058</v>
      </c>
      <c r="B1193" s="3"/>
      <c r="C1193" s="91" t="s">
        <v>2270</v>
      </c>
      <c r="D1193" s="91" t="s">
        <v>2060</v>
      </c>
      <c r="E1193" s="76" t="s">
        <v>2271</v>
      </c>
      <c r="F1193" s="5" t="str">
        <f t="shared" si="18"/>
        <v>m6bygg.se</v>
      </c>
      <c r="G1193" s="5" t="s">
        <v>1643</v>
      </c>
      <c r="H1193" s="5" t="s">
        <v>5</v>
      </c>
      <c r="I1193" s="116">
        <v>45409</v>
      </c>
    </row>
    <row r="1194" spans="1:9" ht="13.5">
      <c r="A1194" s="2" t="s">
        <v>857</v>
      </c>
      <c r="B1194" s="3"/>
      <c r="C1194" s="93" t="s">
        <v>2272</v>
      </c>
      <c r="D1194" s="135" t="s">
        <v>859</v>
      </c>
      <c r="E1194" s="134" t="s">
        <v>2273</v>
      </c>
      <c r="F1194" s="5" t="str">
        <f t="shared" si="18"/>
        <v>veterinarklinikenbirsta.se</v>
      </c>
      <c r="G1194" s="5" t="s">
        <v>4</v>
      </c>
      <c r="H1194" s="5" t="s">
        <v>5</v>
      </c>
      <c r="I1194" s="6">
        <v>45409</v>
      </c>
    </row>
    <row r="1195" spans="1:9" ht="13.5">
      <c r="A1195" s="2" t="s">
        <v>1301</v>
      </c>
      <c r="B1195" s="3"/>
      <c r="C1195" s="93" t="s">
        <v>2274</v>
      </c>
      <c r="D1195" s="133" t="s">
        <v>1303</v>
      </c>
      <c r="E1195" s="134" t="s">
        <v>1304</v>
      </c>
      <c r="F1195" s="5" t="str">
        <f t="shared" si="18"/>
        <v>w3solenergi.se</v>
      </c>
      <c r="G1195" s="5" t="s">
        <v>4</v>
      </c>
      <c r="H1195" s="5" t="s">
        <v>5</v>
      </c>
      <c r="I1195" s="6">
        <v>45409</v>
      </c>
    </row>
    <row r="1196" spans="1:9" ht="13.5">
      <c r="A1196" s="2" t="s">
        <v>1301</v>
      </c>
      <c r="B1196" s="3"/>
      <c r="C1196" s="71" t="s">
        <v>2275</v>
      </c>
      <c r="D1196" s="142" t="s">
        <v>2276</v>
      </c>
      <c r="E1196" s="134" t="s">
        <v>2094</v>
      </c>
      <c r="F1196" s="5" t="str">
        <f t="shared" si="18"/>
        <v>w3solenergi.se</v>
      </c>
      <c r="G1196" s="5" t="s">
        <v>4</v>
      </c>
      <c r="H1196" s="5" t="s">
        <v>5</v>
      </c>
      <c r="I1196" s="6">
        <v>45409</v>
      </c>
    </row>
    <row r="1197" spans="1:9" ht="13.5">
      <c r="A1197" s="2" t="s">
        <v>689</v>
      </c>
      <c r="B1197" s="3"/>
      <c r="C1197" s="128" t="s">
        <v>2277</v>
      </c>
      <c r="D1197" s="91" t="s">
        <v>691</v>
      </c>
      <c r="E1197" s="125" t="s">
        <v>691</v>
      </c>
      <c r="F1197" s="5" t="str">
        <f t="shared" si="18"/>
        <v>conclean.se</v>
      </c>
      <c r="G1197" s="5" t="s">
        <v>1643</v>
      </c>
      <c r="H1197" s="5" t="s">
        <v>5</v>
      </c>
      <c r="I1197" s="116">
        <v>45410</v>
      </c>
    </row>
    <row r="1198" spans="1:9" ht="13.5">
      <c r="A1198" s="2" t="s">
        <v>171</v>
      </c>
      <c r="B1198" s="3"/>
      <c r="C1198" s="91" t="s">
        <v>2278</v>
      </c>
      <c r="D1198" s="91" t="s">
        <v>1095</v>
      </c>
      <c r="E1198" s="76" t="s">
        <v>2279</v>
      </c>
      <c r="F1198" s="5" t="str">
        <f t="shared" si="18"/>
        <v>arctic.se</v>
      </c>
      <c r="G1198" s="5" t="s">
        <v>1643</v>
      </c>
      <c r="H1198" s="5" t="s">
        <v>5</v>
      </c>
      <c r="I1198" s="116">
        <v>45410</v>
      </c>
    </row>
    <row r="1199" spans="1:9" ht="13.5">
      <c r="A1199" s="2" t="s">
        <v>435</v>
      </c>
      <c r="B1199" s="3"/>
      <c r="C1199" s="91" t="s">
        <v>2280</v>
      </c>
      <c r="D1199" s="91" t="s">
        <v>1887</v>
      </c>
      <c r="E1199" s="76" t="s">
        <v>1705</v>
      </c>
      <c r="F1199" s="5" t="str">
        <f t="shared" si="18"/>
        <v>fairinvestments.se</v>
      </c>
      <c r="G1199" s="5" t="s">
        <v>1660</v>
      </c>
      <c r="H1199" s="5" t="s">
        <v>5</v>
      </c>
      <c r="I1199" s="116">
        <v>45410</v>
      </c>
    </row>
    <row r="1200" spans="1:9" ht="13.5">
      <c r="A1200" s="7" t="s">
        <v>2281</v>
      </c>
      <c r="B1200" s="3"/>
      <c r="C1200" s="138" t="s">
        <v>2282</v>
      </c>
      <c r="D1200" s="4" t="s">
        <v>2283</v>
      </c>
      <c r="E1200" s="5" t="s">
        <v>2284</v>
      </c>
      <c r="F1200" s="5" t="str">
        <f t="shared" si="18"/>
        <v>tandläkare.se</v>
      </c>
      <c r="G1200" s="5" t="s">
        <v>4</v>
      </c>
      <c r="H1200" s="5" t="s">
        <v>5</v>
      </c>
      <c r="I1200" s="6">
        <v>45410</v>
      </c>
    </row>
    <row r="1201" spans="1:9" ht="13.5">
      <c r="A1201" s="2" t="s">
        <v>846</v>
      </c>
      <c r="B1201" s="3"/>
      <c r="C1201" s="4" t="s">
        <v>2285</v>
      </c>
      <c r="D1201" s="4" t="s">
        <v>2286</v>
      </c>
      <c r="E1201" s="5" t="s">
        <v>2287</v>
      </c>
      <c r="F1201" s="5" t="str">
        <f t="shared" si="18"/>
        <v>tandea.se</v>
      </c>
      <c r="G1201" s="5" t="s">
        <v>4</v>
      </c>
      <c r="H1201" s="5" t="s">
        <v>5</v>
      </c>
      <c r="I1201" s="6">
        <v>45410</v>
      </c>
    </row>
    <row r="1202" spans="1:9" ht="13.5">
      <c r="A1202" s="101" t="s">
        <v>329</v>
      </c>
      <c r="B1202" s="3"/>
      <c r="C1202" s="91" t="s">
        <v>2288</v>
      </c>
      <c r="D1202" s="91" t="s">
        <v>2289</v>
      </c>
      <c r="E1202" s="76" t="s">
        <v>2290</v>
      </c>
      <c r="F1202" s="5" t="str">
        <f t="shared" si="18"/>
        <v>vont</v>
      </c>
      <c r="G1202" s="5" t="s">
        <v>1643</v>
      </c>
      <c r="H1202" s="5" t="s">
        <v>262</v>
      </c>
      <c r="I1202" s="116">
        <v>45411</v>
      </c>
    </row>
    <row r="1203" spans="1:9" ht="13.5">
      <c r="A1203" s="2" t="s">
        <v>1993</v>
      </c>
      <c r="B1203" s="3"/>
      <c r="C1203" s="119" t="s">
        <v>2291</v>
      </c>
      <c r="D1203" s="4" t="s">
        <v>1998</v>
      </c>
      <c r="E1203" s="72" t="s">
        <v>1999</v>
      </c>
      <c r="F1203" s="5" t="str">
        <f t="shared" si="18"/>
        <v>filippa-k.com/se/sv/</v>
      </c>
      <c r="G1203" s="5" t="s">
        <v>4</v>
      </c>
      <c r="H1203" s="5" t="s">
        <v>5</v>
      </c>
      <c r="I1203" s="6">
        <v>45412</v>
      </c>
    </row>
    <row r="1204" spans="1:9" ht="13.5">
      <c r="A1204" s="2" t="s">
        <v>1993</v>
      </c>
      <c r="B1204" s="3"/>
      <c r="C1204" s="119" t="s">
        <v>2292</v>
      </c>
      <c r="D1204" s="4" t="s">
        <v>1995</v>
      </c>
      <c r="E1204" s="5" t="s">
        <v>2293</v>
      </c>
      <c r="F1204" s="5" t="str">
        <f t="shared" si="18"/>
        <v>filippa-k.com/se/sv/</v>
      </c>
      <c r="G1204" s="5" t="s">
        <v>4</v>
      </c>
      <c r="H1204" s="5" t="s">
        <v>5</v>
      </c>
      <c r="I1204" s="6">
        <v>45412</v>
      </c>
    </row>
    <row r="1205" spans="1:9" ht="13.5">
      <c r="A1205" s="2" t="s">
        <v>1993</v>
      </c>
      <c r="B1205" s="3"/>
      <c r="C1205" s="119" t="s">
        <v>2294</v>
      </c>
      <c r="D1205" s="4" t="s">
        <v>2121</v>
      </c>
      <c r="E1205" s="5" t="s">
        <v>2295</v>
      </c>
      <c r="F1205" s="5" t="str">
        <f t="shared" si="18"/>
        <v>filippa-k.com/se/sv/</v>
      </c>
      <c r="G1205" s="5" t="s">
        <v>4</v>
      </c>
      <c r="H1205" s="5" t="s">
        <v>5</v>
      </c>
      <c r="I1205" s="6">
        <v>45412</v>
      </c>
    </row>
    <row r="1206" spans="1:9" ht="13.5">
      <c r="A1206" s="7" t="s">
        <v>1910</v>
      </c>
      <c r="B1206" s="3"/>
      <c r="C1206" s="71" t="s">
        <v>2296</v>
      </c>
      <c r="D1206" s="4" t="s">
        <v>1912</v>
      </c>
      <c r="E1206" s="5" t="s">
        <v>2154</v>
      </c>
      <c r="F1206" s="5" t="str">
        <f t="shared" si="18"/>
        <v>kelleher-international</v>
      </c>
      <c r="G1206" s="5" t="s">
        <v>4</v>
      </c>
      <c r="H1206" s="5" t="s">
        <v>345</v>
      </c>
      <c r="I1206" s="6">
        <v>45412</v>
      </c>
    </row>
    <row r="1207" spans="1:9" ht="13.5">
      <c r="A1207" s="2" t="s">
        <v>1318</v>
      </c>
      <c r="B1207" s="3"/>
      <c r="C1207" s="76" t="s">
        <v>2297</v>
      </c>
      <c r="D1207" s="4" t="s">
        <v>1942</v>
      </c>
      <c r="E1207" s="9" t="s">
        <v>2013</v>
      </c>
      <c r="F1207" s="5" t="str">
        <f t="shared" si="18"/>
        <v>spelklubben.se</v>
      </c>
      <c r="G1207" s="5" t="s">
        <v>4</v>
      </c>
      <c r="H1207" s="5" t="s">
        <v>5</v>
      </c>
      <c r="I1207" s="6">
        <v>45412</v>
      </c>
    </row>
    <row r="1208" spans="1:9" ht="13.5">
      <c r="A1208" s="2" t="s">
        <v>1180</v>
      </c>
      <c r="B1208" s="3"/>
      <c r="C1208" s="143" t="s">
        <v>2298</v>
      </c>
      <c r="D1208" s="8" t="s">
        <v>1963</v>
      </c>
      <c r="E1208" s="5" t="s">
        <v>2299</v>
      </c>
      <c r="F1208" s="5" t="str">
        <f t="shared" si="18"/>
        <v>e-ciggbolaget.se</v>
      </c>
      <c r="G1208" s="5" t="s">
        <v>4</v>
      </c>
      <c r="H1208" s="5" t="s">
        <v>5</v>
      </c>
      <c r="I1208" s="6">
        <v>45412</v>
      </c>
    </row>
    <row r="1209" spans="1:9" ht="13.5">
      <c r="A1209" s="2" t="s">
        <v>1667</v>
      </c>
      <c r="B1209" s="3"/>
      <c r="C1209" s="144" t="s">
        <v>2300</v>
      </c>
      <c r="D1209" s="8" t="s">
        <v>2301</v>
      </c>
      <c r="E1209" s="5" t="s">
        <v>2302</v>
      </c>
      <c r="F1209" s="5" t="str">
        <f t="shared" si="18"/>
        <v>Alfa.se</v>
      </c>
      <c r="G1209" s="5" t="s">
        <v>4</v>
      </c>
      <c r="H1209" s="5" t="s">
        <v>5</v>
      </c>
      <c r="I1209" s="6">
        <v>45412</v>
      </c>
    </row>
    <row r="1210" spans="1:9" ht="13.5">
      <c r="A1210" s="2" t="s">
        <v>1755</v>
      </c>
      <c r="B1210" s="3"/>
      <c r="C1210" s="144" t="s">
        <v>2303</v>
      </c>
      <c r="D1210" s="8" t="s">
        <v>1915</v>
      </c>
      <c r="E1210" s="22" t="s">
        <v>2304</v>
      </c>
      <c r="F1210" s="5" t="str">
        <f t="shared" si="18"/>
        <v>glitnor.com</v>
      </c>
      <c r="G1210" s="5" t="s">
        <v>4</v>
      </c>
      <c r="H1210" s="5" t="s">
        <v>5</v>
      </c>
      <c r="I1210" s="6">
        <v>45412</v>
      </c>
    </row>
    <row r="1211" spans="1:9" ht="13.5">
      <c r="A1211" s="2" t="s">
        <v>435</v>
      </c>
      <c r="B1211" s="3"/>
      <c r="C1211" s="144" t="s">
        <v>2305</v>
      </c>
      <c r="D1211" s="8" t="s">
        <v>1413</v>
      </c>
      <c r="E1211" s="5" t="s">
        <v>2306</v>
      </c>
      <c r="F1211" s="5" t="str">
        <f t="shared" si="18"/>
        <v>fairinvestments.se</v>
      </c>
      <c r="G1211" s="5" t="s">
        <v>4</v>
      </c>
      <c r="H1211" s="5" t="s">
        <v>5</v>
      </c>
      <c r="I1211" s="6">
        <v>45412</v>
      </c>
    </row>
    <row r="1212" spans="1:9" ht="13.5">
      <c r="A1212" s="7" t="s">
        <v>329</v>
      </c>
      <c r="B1212" s="3"/>
      <c r="C1212" s="144" t="s">
        <v>2307</v>
      </c>
      <c r="D1212" s="8" t="s">
        <v>1388</v>
      </c>
      <c r="E1212" s="5" t="s">
        <v>1570</v>
      </c>
      <c r="F1212" s="5" t="str">
        <f t="shared" si="18"/>
        <v>vont</v>
      </c>
      <c r="G1212" s="5" t="s">
        <v>4</v>
      </c>
      <c r="H1212" s="5" t="s">
        <v>5</v>
      </c>
      <c r="I1212" s="6">
        <v>45412</v>
      </c>
    </row>
    <row r="1213" spans="1:9" ht="13.5">
      <c r="A1213" s="2" t="s">
        <v>1755</v>
      </c>
      <c r="B1213" s="3"/>
      <c r="C1213" s="144" t="s">
        <v>2308</v>
      </c>
      <c r="D1213" s="8" t="s">
        <v>1915</v>
      </c>
      <c r="E1213" s="5" t="s">
        <v>2309</v>
      </c>
      <c r="F1213" s="5" t="str">
        <f t="shared" si="18"/>
        <v>glitnor.com</v>
      </c>
      <c r="G1213" s="5" t="s">
        <v>4</v>
      </c>
      <c r="H1213" s="5" t="s">
        <v>5</v>
      </c>
      <c r="I1213" s="6">
        <v>45412</v>
      </c>
    </row>
    <row r="1214" spans="1:9" ht="13.5">
      <c r="A1214" s="2" t="s">
        <v>1180</v>
      </c>
      <c r="B1214" s="3"/>
      <c r="C1214" s="144" t="s">
        <v>2310</v>
      </c>
      <c r="D1214" s="8" t="s">
        <v>2204</v>
      </c>
      <c r="E1214" s="5" t="s">
        <v>1968</v>
      </c>
      <c r="F1214" s="5" t="str">
        <f t="shared" si="18"/>
        <v>e-ciggbolaget.se</v>
      </c>
      <c r="G1214" s="5" t="s">
        <v>4</v>
      </c>
      <c r="H1214" s="5" t="s">
        <v>5</v>
      </c>
      <c r="I1214" s="6">
        <v>45412</v>
      </c>
    </row>
    <row r="1215" spans="1:9" ht="13.5">
      <c r="A1215" s="145" t="s">
        <v>1755</v>
      </c>
      <c r="B1215" s="146"/>
      <c r="C1215" s="147" t="s">
        <v>2311</v>
      </c>
      <c r="D1215" s="148" t="s">
        <v>1841</v>
      </c>
      <c r="E1215" s="149" t="s">
        <v>2312</v>
      </c>
      <c r="F1215" s="5" t="str">
        <f t="shared" si="18"/>
        <v>glitnor.com</v>
      </c>
      <c r="G1215" s="149" t="s">
        <v>4</v>
      </c>
      <c r="H1215" s="149" t="s">
        <v>5</v>
      </c>
      <c r="I1215" s="150">
        <v>45412</v>
      </c>
    </row>
    <row r="1216" spans="1:9" ht="13.5">
      <c r="A1216" s="2" t="s">
        <v>1755</v>
      </c>
      <c r="B1216" s="3"/>
      <c r="C1216" s="144" t="s">
        <v>2313</v>
      </c>
      <c r="D1216" s="8" t="s">
        <v>1786</v>
      </c>
      <c r="E1216" s="5" t="s">
        <v>2314</v>
      </c>
      <c r="F1216" s="5" t="str">
        <f t="shared" si="18"/>
        <v>glitnor.com</v>
      </c>
      <c r="G1216" s="5" t="s">
        <v>4</v>
      </c>
      <c r="H1216" s="5" t="s">
        <v>5</v>
      </c>
      <c r="I1216" s="6">
        <v>45412</v>
      </c>
    </row>
    <row r="1217" spans="1:9" ht="13.5">
      <c r="A1217" s="2" t="s">
        <v>435</v>
      </c>
      <c r="B1217" s="3"/>
      <c r="C1217" s="144" t="s">
        <v>2315</v>
      </c>
      <c r="D1217" s="8" t="s">
        <v>1446</v>
      </c>
      <c r="E1217" s="5" t="s">
        <v>2306</v>
      </c>
      <c r="F1217" s="5" t="str">
        <f t="shared" si="18"/>
        <v>fairinvestments.se</v>
      </c>
      <c r="G1217" s="5" t="s">
        <v>4</v>
      </c>
      <c r="H1217" s="5" t="s">
        <v>5</v>
      </c>
      <c r="I1217" s="6">
        <v>45412</v>
      </c>
    </row>
    <row r="1218" spans="1:9" ht="13.5">
      <c r="A1218" s="2" t="s">
        <v>846</v>
      </c>
      <c r="B1218" s="3"/>
      <c r="C1218" s="144" t="s">
        <v>2316</v>
      </c>
      <c r="D1218" s="8" t="s">
        <v>848</v>
      </c>
      <c r="E1218" s="5" t="s">
        <v>2317</v>
      </c>
      <c r="F1218" s="5" t="str">
        <f t="shared" si="18"/>
        <v>tandea.se</v>
      </c>
      <c r="G1218" s="5" t="s">
        <v>4</v>
      </c>
      <c r="H1218" s="5" t="s">
        <v>5</v>
      </c>
      <c r="I1218" s="6">
        <v>45412</v>
      </c>
    </row>
    <row r="1219" spans="1:9" ht="13.5">
      <c r="A1219" s="2" t="s">
        <v>1180</v>
      </c>
      <c r="B1219" s="3"/>
      <c r="C1219" s="144" t="s">
        <v>2318</v>
      </c>
      <c r="D1219" s="8" t="s">
        <v>1970</v>
      </c>
      <c r="E1219" s="5" t="s">
        <v>2319</v>
      </c>
      <c r="F1219" s="5" t="str">
        <f t="shared" ref="F1219:F1282" si="19">A1219</f>
        <v>e-ciggbolaget.se</v>
      </c>
      <c r="G1219" s="5" t="s">
        <v>4</v>
      </c>
      <c r="H1219" s="5" t="s">
        <v>5</v>
      </c>
      <c r="I1219" s="6">
        <v>45412</v>
      </c>
    </row>
    <row r="1220" spans="1:9" ht="13.5">
      <c r="A1220" s="2" t="s">
        <v>1318</v>
      </c>
      <c r="B1220" s="3"/>
      <c r="C1220" s="144" t="s">
        <v>2320</v>
      </c>
      <c r="D1220" s="8" t="s">
        <v>1320</v>
      </c>
      <c r="E1220" s="5" t="s">
        <v>2321</v>
      </c>
      <c r="F1220" s="5" t="str">
        <f t="shared" si="19"/>
        <v>spelklubben.se</v>
      </c>
      <c r="G1220" s="5" t="s">
        <v>4</v>
      </c>
      <c r="H1220" s="5" t="s">
        <v>5</v>
      </c>
      <c r="I1220" s="6">
        <v>45412</v>
      </c>
    </row>
    <row r="1221" spans="1:9" ht="13.5">
      <c r="A1221" s="2" t="s">
        <v>1750</v>
      </c>
      <c r="B1221" s="3"/>
      <c r="C1221" s="144" t="s">
        <v>2322</v>
      </c>
      <c r="D1221" s="8" t="s">
        <v>1752</v>
      </c>
      <c r="E1221" s="5" t="s">
        <v>2323</v>
      </c>
      <c r="F1221" s="5" t="str">
        <f t="shared" si="19"/>
        <v>cannabislight.se</v>
      </c>
      <c r="G1221" s="5" t="s">
        <v>4</v>
      </c>
      <c r="H1221" s="5" t="s">
        <v>5</v>
      </c>
      <c r="I1221" s="6">
        <v>45412</v>
      </c>
    </row>
    <row r="1222" spans="1:9" ht="13.5">
      <c r="A1222" s="2" t="s">
        <v>2205</v>
      </c>
      <c r="B1222" s="3"/>
      <c r="C1222" s="144" t="s">
        <v>2324</v>
      </c>
      <c r="D1222" s="8" t="s">
        <v>2207</v>
      </c>
      <c r="E1222" s="5" t="s">
        <v>2325</v>
      </c>
      <c r="F1222" s="5" t="str">
        <f t="shared" si="19"/>
        <v>Aaatak.se</v>
      </c>
      <c r="G1222" s="5" t="s">
        <v>4</v>
      </c>
      <c r="H1222" s="5" t="s">
        <v>5</v>
      </c>
      <c r="I1222" s="6">
        <v>45412</v>
      </c>
    </row>
    <row r="1223" spans="1:9" ht="13.5">
      <c r="A1223" s="2" t="s">
        <v>1667</v>
      </c>
      <c r="B1223" s="3"/>
      <c r="C1223" s="144" t="s">
        <v>2326</v>
      </c>
      <c r="D1223" s="8" t="s">
        <v>1669</v>
      </c>
      <c r="E1223" s="5" t="s">
        <v>1670</v>
      </c>
      <c r="F1223" s="5" t="str">
        <f t="shared" si="19"/>
        <v>Alfa.se</v>
      </c>
      <c r="G1223" s="5" t="s">
        <v>4</v>
      </c>
      <c r="H1223" s="5" t="s">
        <v>5</v>
      </c>
      <c r="I1223" s="6">
        <v>45412</v>
      </c>
    </row>
    <row r="1224" spans="1:9" ht="13.5">
      <c r="A1224" s="2" t="s">
        <v>1755</v>
      </c>
      <c r="B1224" s="3"/>
      <c r="C1224" s="144" t="s">
        <v>2327</v>
      </c>
      <c r="D1224" s="8" t="s">
        <v>1780</v>
      </c>
      <c r="E1224" s="5" t="s">
        <v>2328</v>
      </c>
      <c r="F1224" s="5" t="str">
        <f t="shared" si="19"/>
        <v>glitnor.com</v>
      </c>
      <c r="G1224" s="5" t="s">
        <v>4</v>
      </c>
      <c r="H1224" s="5" t="s">
        <v>5</v>
      </c>
      <c r="I1224" s="6">
        <v>45412</v>
      </c>
    </row>
    <row r="1225" spans="1:9" ht="13.5">
      <c r="A1225" s="2" t="s">
        <v>1318</v>
      </c>
      <c r="B1225" s="3"/>
      <c r="C1225" s="144" t="s">
        <v>2329</v>
      </c>
      <c r="D1225" s="8" t="s">
        <v>1320</v>
      </c>
      <c r="E1225" s="5" t="s">
        <v>702</v>
      </c>
      <c r="F1225" s="5" t="str">
        <f t="shared" si="19"/>
        <v>spelklubben.se</v>
      </c>
      <c r="G1225" s="5" t="s">
        <v>4</v>
      </c>
      <c r="H1225" s="5" t="s">
        <v>5</v>
      </c>
      <c r="I1225" s="6">
        <v>45412</v>
      </c>
    </row>
    <row r="1226" spans="1:9" ht="13.5">
      <c r="A1226" s="2" t="s">
        <v>1180</v>
      </c>
      <c r="B1226" s="3"/>
      <c r="C1226" s="144" t="s">
        <v>2330</v>
      </c>
      <c r="D1226" s="8" t="s">
        <v>1640</v>
      </c>
      <c r="E1226" s="5" t="s">
        <v>1771</v>
      </c>
      <c r="F1226" s="5" t="str">
        <f t="shared" si="19"/>
        <v>e-ciggbolaget.se</v>
      </c>
      <c r="G1226" s="5" t="s">
        <v>4</v>
      </c>
      <c r="H1226" s="5" t="s">
        <v>5</v>
      </c>
      <c r="I1226" s="6">
        <v>45412</v>
      </c>
    </row>
    <row r="1227" spans="1:9" ht="13.5">
      <c r="A1227" s="2" t="s">
        <v>1318</v>
      </c>
      <c r="B1227" s="3"/>
      <c r="C1227" s="144" t="s">
        <v>2331</v>
      </c>
      <c r="D1227" s="4" t="s">
        <v>1942</v>
      </c>
      <c r="E1227" s="5" t="s">
        <v>2332</v>
      </c>
      <c r="F1227" s="5" t="str">
        <f t="shared" si="19"/>
        <v>spelklubben.se</v>
      </c>
      <c r="G1227" s="5" t="s">
        <v>4</v>
      </c>
      <c r="H1227" s="5" t="s">
        <v>5</v>
      </c>
      <c r="I1227" s="6">
        <v>45412</v>
      </c>
    </row>
    <row r="1228" spans="1:9" ht="13.5">
      <c r="A1228" s="2" t="s">
        <v>1750</v>
      </c>
      <c r="B1228" s="3"/>
      <c r="C1228" s="144" t="s">
        <v>2333</v>
      </c>
      <c r="D1228" s="8" t="s">
        <v>1754</v>
      </c>
      <c r="E1228" s="22" t="s">
        <v>1928</v>
      </c>
      <c r="F1228" s="5" t="str">
        <f t="shared" si="19"/>
        <v>cannabislight.se</v>
      </c>
      <c r="G1228" s="5" t="s">
        <v>4</v>
      </c>
      <c r="H1228" s="5" t="s">
        <v>5</v>
      </c>
      <c r="I1228" s="6">
        <v>45412</v>
      </c>
    </row>
    <row r="1229" spans="1:9" ht="13.5">
      <c r="A1229" s="2" t="s">
        <v>1755</v>
      </c>
      <c r="B1229" s="3"/>
      <c r="C1229" s="144" t="s">
        <v>2334</v>
      </c>
      <c r="D1229" s="8" t="s">
        <v>1838</v>
      </c>
      <c r="E1229" s="5" t="s">
        <v>2335</v>
      </c>
      <c r="F1229" s="5" t="str">
        <f t="shared" si="19"/>
        <v>glitnor.com</v>
      </c>
      <c r="G1229" s="5" t="s">
        <v>4</v>
      </c>
      <c r="H1229" s="5" t="s">
        <v>5</v>
      </c>
      <c r="I1229" s="6">
        <v>45412</v>
      </c>
    </row>
    <row r="1230" spans="1:9" ht="13.5">
      <c r="A1230" s="2" t="s">
        <v>1180</v>
      </c>
      <c r="B1230" s="3"/>
      <c r="C1230" s="144" t="s">
        <v>2336</v>
      </c>
      <c r="D1230" s="8" t="s">
        <v>1958</v>
      </c>
      <c r="E1230" s="5" t="s">
        <v>332</v>
      </c>
      <c r="F1230" s="5" t="str">
        <f t="shared" si="19"/>
        <v>e-ciggbolaget.se</v>
      </c>
      <c r="G1230" s="5" t="s">
        <v>4</v>
      </c>
      <c r="H1230" s="5" t="s">
        <v>5</v>
      </c>
      <c r="I1230" s="6">
        <v>45412</v>
      </c>
    </row>
    <row r="1231" spans="1:9" ht="13.5">
      <c r="A1231" s="2" t="s">
        <v>435</v>
      </c>
      <c r="B1231" s="3"/>
      <c r="C1231" s="144" t="s">
        <v>2337</v>
      </c>
      <c r="D1231" s="8" t="s">
        <v>973</v>
      </c>
      <c r="E1231" s="5" t="s">
        <v>2306</v>
      </c>
      <c r="F1231" s="5" t="str">
        <f t="shared" si="19"/>
        <v>fairinvestments.se</v>
      </c>
      <c r="G1231" s="5" t="s">
        <v>4</v>
      </c>
      <c r="H1231" s="5" t="s">
        <v>5</v>
      </c>
      <c r="I1231" s="6">
        <v>45412</v>
      </c>
    </row>
    <row r="1232" spans="1:9" ht="13.5">
      <c r="A1232" s="2" t="s">
        <v>1906</v>
      </c>
      <c r="B1232" s="3"/>
      <c r="C1232" s="143" t="s">
        <v>2338</v>
      </c>
      <c r="D1232" s="4" t="s">
        <v>1908</v>
      </c>
      <c r="E1232" s="5" t="s">
        <v>2339</v>
      </c>
      <c r="F1232" s="5" t="str">
        <f t="shared" si="19"/>
        <v>elavtaldirekt.se</v>
      </c>
      <c r="G1232" s="5" t="s">
        <v>4</v>
      </c>
      <c r="H1232" s="5" t="s">
        <v>5</v>
      </c>
      <c r="I1232" s="6">
        <v>45412</v>
      </c>
    </row>
    <row r="1233" spans="1:9" ht="13.5">
      <c r="A1233" s="7" t="s">
        <v>1910</v>
      </c>
      <c r="B1233" s="3"/>
      <c r="C1233" s="119" t="s">
        <v>2340</v>
      </c>
      <c r="D1233" s="4" t="s">
        <v>1912</v>
      </c>
      <c r="E1233" s="5" t="s">
        <v>1913</v>
      </c>
      <c r="F1233" s="5" t="str">
        <f t="shared" si="19"/>
        <v>kelleher-international</v>
      </c>
      <c r="G1233" s="5" t="s">
        <v>4</v>
      </c>
      <c r="H1233" s="5" t="s">
        <v>345</v>
      </c>
      <c r="I1233" s="6">
        <v>45412</v>
      </c>
    </row>
    <row r="1234" spans="1:9" ht="13.5">
      <c r="A1234" s="2" t="s">
        <v>703</v>
      </c>
      <c r="B1234" s="3"/>
      <c r="C1234" s="91" t="s">
        <v>2341</v>
      </c>
      <c r="D1234" s="91" t="s">
        <v>2181</v>
      </c>
      <c r="E1234" s="76" t="s">
        <v>2342</v>
      </c>
      <c r="F1234" s="5" t="str">
        <f t="shared" si="19"/>
        <v>distansinstitutet.se</v>
      </c>
      <c r="G1234" s="5" t="s">
        <v>1643</v>
      </c>
      <c r="H1234" s="5" t="s">
        <v>5</v>
      </c>
      <c r="I1234" s="116">
        <v>45412</v>
      </c>
    </row>
    <row r="1235" spans="1:9" ht="13.5">
      <c r="A1235" s="2" t="s">
        <v>723</v>
      </c>
      <c r="B1235" s="3"/>
      <c r="C1235" s="91" t="s">
        <v>2343</v>
      </c>
      <c r="D1235" s="91" t="s">
        <v>2138</v>
      </c>
      <c r="E1235" s="76" t="s">
        <v>2344</v>
      </c>
      <c r="F1235" s="5" t="str">
        <f t="shared" si="19"/>
        <v>aretrotale.com</v>
      </c>
      <c r="G1235" s="5" t="s">
        <v>1643</v>
      </c>
      <c r="H1235" s="5" t="s">
        <v>23</v>
      </c>
      <c r="I1235" s="116">
        <v>45412</v>
      </c>
    </row>
    <row r="1236" spans="1:9" ht="13.5">
      <c r="A1236" s="2" t="s">
        <v>435</v>
      </c>
      <c r="B1236" s="3"/>
      <c r="C1236" s="91" t="s">
        <v>2345</v>
      </c>
      <c r="D1236" s="91" t="s">
        <v>1435</v>
      </c>
      <c r="E1236" s="76" t="s">
        <v>839</v>
      </c>
      <c r="F1236" s="5" t="str">
        <f t="shared" si="19"/>
        <v>fairinvestments.se</v>
      </c>
      <c r="G1236" s="5" t="s">
        <v>1344</v>
      </c>
      <c r="H1236" s="5" t="s">
        <v>5</v>
      </c>
      <c r="I1236" s="116">
        <v>45412</v>
      </c>
    </row>
    <row r="1237" spans="1:9" ht="13.5">
      <c r="A1237" s="151" t="s">
        <v>435</v>
      </c>
      <c r="B1237" s="152"/>
      <c r="C1237" s="153" t="s">
        <v>2346</v>
      </c>
      <c r="D1237" s="153" t="s">
        <v>1384</v>
      </c>
      <c r="E1237" s="155" t="s">
        <v>2347</v>
      </c>
      <c r="F1237" s="5" t="str">
        <f t="shared" si="19"/>
        <v>fairinvestments.se</v>
      </c>
      <c r="G1237" s="154" t="s">
        <v>1643</v>
      </c>
      <c r="H1237" s="5" t="s">
        <v>5</v>
      </c>
      <c r="I1237" s="156">
        <v>45412</v>
      </c>
    </row>
    <row r="1238" spans="1:9" ht="13.5">
      <c r="A1238" s="2" t="s">
        <v>2348</v>
      </c>
      <c r="B1238" s="3"/>
      <c r="C1238" s="4" t="s">
        <v>2349</v>
      </c>
      <c r="D1238" s="4" t="s">
        <v>2350</v>
      </c>
      <c r="E1238" s="5" t="s">
        <v>2351</v>
      </c>
      <c r="F1238" s="5" t="str">
        <f t="shared" si="19"/>
        <v>mobot.com</v>
      </c>
      <c r="G1238" s="5" t="s">
        <v>4</v>
      </c>
      <c r="H1238" s="5" t="s">
        <v>345</v>
      </c>
      <c r="I1238" s="6">
        <v>45412</v>
      </c>
    </row>
    <row r="1239" spans="1:9" ht="13.5">
      <c r="A1239" s="2" t="s">
        <v>2352</v>
      </c>
      <c r="B1239" s="3"/>
      <c r="C1239" s="4" t="s">
        <v>2353</v>
      </c>
      <c r="D1239" s="4" t="s">
        <v>2354</v>
      </c>
      <c r="E1239" s="5" t="s">
        <v>2356</v>
      </c>
      <c r="F1239" s="5" t="str">
        <f t="shared" si="19"/>
        <v>seniorrabatt.se</v>
      </c>
      <c r="G1239" s="5" t="s">
        <v>4</v>
      </c>
      <c r="H1239" s="5" t="s">
        <v>2355</v>
      </c>
      <c r="I1239" s="6">
        <v>45412</v>
      </c>
    </row>
    <row r="1240" spans="1:9" ht="13.5">
      <c r="A1240" s="2" t="s">
        <v>2357</v>
      </c>
      <c r="B1240" s="3"/>
      <c r="C1240" s="4" t="s">
        <v>2358</v>
      </c>
      <c r="D1240" s="8" t="s">
        <v>2359</v>
      </c>
      <c r="E1240" s="5" t="s">
        <v>2361</v>
      </c>
      <c r="F1240" s="5" t="str">
        <f t="shared" si="19"/>
        <v>lsb.se</v>
      </c>
      <c r="G1240" s="5" t="s">
        <v>2360</v>
      </c>
      <c r="H1240" s="5" t="s">
        <v>5</v>
      </c>
      <c r="I1240" s="6">
        <v>45412</v>
      </c>
    </row>
    <row r="1241" spans="1:9" ht="13.5">
      <c r="A1241" s="7" t="s">
        <v>1557</v>
      </c>
      <c r="B1241" s="3"/>
      <c r="C1241" s="5" t="s">
        <v>2362</v>
      </c>
      <c r="D1241" s="5" t="s">
        <v>2363</v>
      </c>
      <c r="E1241" s="5" t="s">
        <v>1557</v>
      </c>
      <c r="F1241" s="5" t="str">
        <f t="shared" si="19"/>
        <v>rörmokare.nu</v>
      </c>
      <c r="G1241" s="5" t="s">
        <v>4</v>
      </c>
      <c r="H1241" s="5" t="s">
        <v>5</v>
      </c>
      <c r="I1241" s="6">
        <v>45412</v>
      </c>
    </row>
    <row r="1242" spans="1:9" ht="13.5">
      <c r="A1242" s="7" t="s">
        <v>1559</v>
      </c>
      <c r="B1242" s="3"/>
      <c r="C1242" s="5" t="s">
        <v>2364</v>
      </c>
      <c r="D1242" s="5" t="s">
        <v>1561</v>
      </c>
      <c r="E1242" s="5" t="s">
        <v>2365</v>
      </c>
      <c r="F1242" s="5" t="str">
        <f t="shared" si="19"/>
        <v>rorjour247.se</v>
      </c>
      <c r="G1242" s="5" t="s">
        <v>4</v>
      </c>
      <c r="H1242" s="5" t="s">
        <v>5</v>
      </c>
      <c r="I1242" s="6">
        <v>45412</v>
      </c>
    </row>
    <row r="1243" spans="1:9" ht="13.5">
      <c r="A1243" s="7" t="s">
        <v>1559</v>
      </c>
      <c r="B1243" s="3"/>
      <c r="C1243" s="5" t="s">
        <v>2366</v>
      </c>
      <c r="D1243" s="5" t="s">
        <v>1561</v>
      </c>
      <c r="E1243" s="5" t="s">
        <v>2367</v>
      </c>
      <c r="F1243" s="5" t="str">
        <f t="shared" si="19"/>
        <v>rorjour247.se</v>
      </c>
      <c r="G1243" s="5" t="s">
        <v>4</v>
      </c>
      <c r="H1243" s="5" t="s">
        <v>5</v>
      </c>
      <c r="I1243" s="6">
        <v>45412</v>
      </c>
    </row>
    <row r="1244" spans="1:9" ht="13.5">
      <c r="A1244" s="7" t="s">
        <v>1557</v>
      </c>
      <c r="B1244" s="3"/>
      <c r="C1244" s="5" t="s">
        <v>2368</v>
      </c>
      <c r="D1244" s="5" t="s">
        <v>2363</v>
      </c>
      <c r="E1244" s="5" t="s">
        <v>1940</v>
      </c>
      <c r="F1244" s="5" t="str">
        <f t="shared" si="19"/>
        <v>rörmokare.nu</v>
      </c>
      <c r="G1244" s="5" t="s">
        <v>4</v>
      </c>
      <c r="H1244" s="5" t="s">
        <v>5</v>
      </c>
      <c r="I1244" s="6">
        <v>45412</v>
      </c>
    </row>
    <row r="1245" spans="1:9" ht="13.5">
      <c r="A1245" s="2" t="s">
        <v>435</v>
      </c>
      <c r="B1245" s="3"/>
      <c r="C1245" s="157" t="s">
        <v>2369</v>
      </c>
      <c r="D1245" s="4" t="s">
        <v>1384</v>
      </c>
      <c r="E1245" s="5" t="s">
        <v>839</v>
      </c>
      <c r="F1245" s="5" t="str">
        <f t="shared" si="19"/>
        <v>fairinvestments.se</v>
      </c>
      <c r="G1245" s="5" t="s">
        <v>4</v>
      </c>
      <c r="H1245" s="5" t="s">
        <v>5</v>
      </c>
      <c r="I1245" s="6">
        <v>45414</v>
      </c>
    </row>
    <row r="1246" spans="1:9" ht="13.5">
      <c r="A1246" s="2" t="s">
        <v>714</v>
      </c>
      <c r="B1246" s="3"/>
      <c r="C1246" s="119" t="s">
        <v>2370</v>
      </c>
      <c r="D1246" s="4" t="s">
        <v>2371</v>
      </c>
      <c r="E1246" s="5" t="s">
        <v>2372</v>
      </c>
      <c r="F1246" s="5" t="str">
        <f t="shared" si="19"/>
        <v>Alfa.no</v>
      </c>
      <c r="G1246" s="5" t="s">
        <v>4</v>
      </c>
      <c r="H1246" s="5" t="s">
        <v>382</v>
      </c>
      <c r="I1246" s="6">
        <v>45415</v>
      </c>
    </row>
    <row r="1247" spans="1:9" ht="13.5">
      <c r="A1247" s="2" t="s">
        <v>714</v>
      </c>
      <c r="B1247" s="3"/>
      <c r="C1247" s="157" t="s">
        <v>2373</v>
      </c>
      <c r="D1247" s="4" t="s">
        <v>719</v>
      </c>
      <c r="E1247" s="5" t="s">
        <v>2374</v>
      </c>
      <c r="F1247" s="5" t="str">
        <f t="shared" si="19"/>
        <v>Alfa.no</v>
      </c>
      <c r="G1247" s="5" t="s">
        <v>4</v>
      </c>
      <c r="H1247" s="5" t="s">
        <v>382</v>
      </c>
      <c r="I1247" s="6">
        <v>45418</v>
      </c>
    </row>
    <row r="1248" spans="1:9" ht="13.5">
      <c r="A1248" s="2" t="s">
        <v>435</v>
      </c>
      <c r="B1248" s="3"/>
      <c r="C1248" s="128" t="s">
        <v>2375</v>
      </c>
      <c r="D1248" s="86" t="s">
        <v>1384</v>
      </c>
      <c r="E1248" s="158" t="s">
        <v>2376</v>
      </c>
      <c r="F1248" s="5" t="str">
        <f t="shared" si="19"/>
        <v>fairinvestments.se</v>
      </c>
      <c r="G1248" s="5" t="s">
        <v>1643</v>
      </c>
      <c r="H1248" s="5" t="s">
        <v>5</v>
      </c>
      <c r="I1248" s="116">
        <v>45419</v>
      </c>
    </row>
    <row r="1249" spans="1:9" ht="13.5">
      <c r="A1249" s="2" t="s">
        <v>803</v>
      </c>
      <c r="B1249" s="3"/>
      <c r="C1249" s="91" t="s">
        <v>2377</v>
      </c>
      <c r="D1249" s="105" t="s">
        <v>1222</v>
      </c>
      <c r="E1249" s="159" t="s">
        <v>2378</v>
      </c>
      <c r="F1249" s="5" t="str">
        <f t="shared" si="19"/>
        <v>foyen.se</v>
      </c>
      <c r="G1249" s="5" t="s">
        <v>1643</v>
      </c>
      <c r="H1249" s="5" t="s">
        <v>5</v>
      </c>
      <c r="I1249" s="116">
        <v>45420</v>
      </c>
    </row>
    <row r="1250" spans="1:9" ht="13.5">
      <c r="A1250" s="7" t="s">
        <v>1324</v>
      </c>
      <c r="B1250" s="3"/>
      <c r="C1250" s="91" t="s">
        <v>2379</v>
      </c>
      <c r="D1250" s="87" t="s">
        <v>1309</v>
      </c>
      <c r="E1250" s="159" t="s">
        <v>2380</v>
      </c>
      <c r="F1250" s="5" t="str">
        <f t="shared" si="19"/>
        <v>Lansfast Danderyd &amp; täby</v>
      </c>
      <c r="G1250" s="5" t="s">
        <v>1643</v>
      </c>
      <c r="H1250" s="5" t="s">
        <v>5</v>
      </c>
      <c r="I1250" s="116">
        <v>45420</v>
      </c>
    </row>
    <row r="1251" spans="1:9" ht="13.5">
      <c r="A1251" s="2" t="s">
        <v>435</v>
      </c>
      <c r="B1251" s="3"/>
      <c r="C1251" s="91" t="s">
        <v>2381</v>
      </c>
      <c r="D1251" s="86" t="s">
        <v>1813</v>
      </c>
      <c r="E1251" s="158" t="s">
        <v>2382</v>
      </c>
      <c r="F1251" s="5" t="str">
        <f t="shared" si="19"/>
        <v>fairinvestments.se</v>
      </c>
      <c r="G1251" s="5" t="s">
        <v>1344</v>
      </c>
      <c r="H1251" s="5" t="s">
        <v>5</v>
      </c>
      <c r="I1251" s="116">
        <v>45421</v>
      </c>
    </row>
    <row r="1252" spans="1:9" ht="13.5">
      <c r="A1252" s="2" t="s">
        <v>1213</v>
      </c>
      <c r="B1252" s="3"/>
      <c r="C1252" s="91" t="s">
        <v>2383</v>
      </c>
      <c r="D1252" s="105" t="s">
        <v>1215</v>
      </c>
      <c r="E1252" s="158" t="s">
        <v>2384</v>
      </c>
      <c r="F1252" s="5" t="str">
        <f t="shared" si="19"/>
        <v>mariatand.se</v>
      </c>
      <c r="G1252" s="5" t="s">
        <v>1344</v>
      </c>
      <c r="H1252" s="5" t="s">
        <v>5</v>
      </c>
      <c r="I1252" s="116">
        <v>45421</v>
      </c>
    </row>
    <row r="1253" spans="1:9" ht="13.5">
      <c r="A1253" s="2" t="s">
        <v>2058</v>
      </c>
      <c r="B1253" s="3"/>
      <c r="C1253" s="91" t="s">
        <v>1419</v>
      </c>
      <c r="D1253" s="105" t="s">
        <v>2100</v>
      </c>
      <c r="E1253" s="158" t="s">
        <v>2385</v>
      </c>
      <c r="F1253" s="5" t="str">
        <f t="shared" si="19"/>
        <v>m6bygg.se</v>
      </c>
      <c r="G1253" s="5" t="s">
        <v>1660</v>
      </c>
      <c r="H1253" s="5" t="s">
        <v>5</v>
      </c>
      <c r="I1253" s="116">
        <v>45421</v>
      </c>
    </row>
    <row r="1254" spans="1:9" ht="13.5">
      <c r="A1254" s="2" t="s">
        <v>171</v>
      </c>
      <c r="B1254" s="3"/>
      <c r="C1254" s="128" t="s">
        <v>2386</v>
      </c>
      <c r="D1254" s="86" t="s">
        <v>1095</v>
      </c>
      <c r="E1254" s="76" t="s">
        <v>2387</v>
      </c>
      <c r="F1254" s="5" t="str">
        <f t="shared" si="19"/>
        <v>arctic.se</v>
      </c>
      <c r="G1254" s="5" t="s">
        <v>1643</v>
      </c>
      <c r="H1254" s="5" t="s">
        <v>5</v>
      </c>
      <c r="I1254" s="116">
        <v>45422</v>
      </c>
    </row>
    <row r="1255" spans="1:9" ht="13.5">
      <c r="A1255" s="2" t="s">
        <v>689</v>
      </c>
      <c r="B1255" s="3"/>
      <c r="C1255" s="128" t="s">
        <v>2388</v>
      </c>
      <c r="D1255" s="86" t="s">
        <v>691</v>
      </c>
      <c r="E1255" s="76" t="s">
        <v>2084</v>
      </c>
      <c r="F1255" s="5" t="str">
        <f t="shared" si="19"/>
        <v>conclean.se</v>
      </c>
      <c r="G1255" s="5" t="s">
        <v>1660</v>
      </c>
      <c r="H1255" s="5" t="s">
        <v>5</v>
      </c>
      <c r="I1255" s="116">
        <v>45422</v>
      </c>
    </row>
    <row r="1256" spans="1:9" ht="13.5">
      <c r="A1256" s="2" t="s">
        <v>405</v>
      </c>
      <c r="B1256" s="3"/>
      <c r="C1256" s="91" t="s">
        <v>2142</v>
      </c>
      <c r="D1256" s="87" t="s">
        <v>610</v>
      </c>
      <c r="E1256" s="158" t="s">
        <v>2389</v>
      </c>
      <c r="F1256" s="5" t="str">
        <f t="shared" si="19"/>
        <v>rehabgrossisten.com</v>
      </c>
      <c r="G1256" s="5" t="s">
        <v>1660</v>
      </c>
      <c r="H1256" s="5" t="s">
        <v>5</v>
      </c>
      <c r="I1256" s="116">
        <v>45422</v>
      </c>
    </row>
    <row r="1257" spans="1:9" ht="13.5">
      <c r="A1257" s="2" t="s">
        <v>435</v>
      </c>
      <c r="B1257" s="3"/>
      <c r="C1257" s="91" t="s">
        <v>2390</v>
      </c>
      <c r="D1257" s="105" t="s">
        <v>1012</v>
      </c>
      <c r="E1257" s="158" t="s">
        <v>2391</v>
      </c>
      <c r="F1257" s="5" t="str">
        <f t="shared" si="19"/>
        <v>fairinvestments.se</v>
      </c>
      <c r="G1257" s="5" t="s">
        <v>1344</v>
      </c>
      <c r="H1257" s="5" t="s">
        <v>5</v>
      </c>
      <c r="I1257" s="116">
        <v>45423</v>
      </c>
    </row>
    <row r="1258" spans="1:9" ht="13.5">
      <c r="A1258" s="2" t="s">
        <v>1284</v>
      </c>
      <c r="B1258" s="3"/>
      <c r="C1258" s="91" t="s">
        <v>2392</v>
      </c>
      <c r="D1258" s="105" t="s">
        <v>2110</v>
      </c>
      <c r="E1258" s="158" t="s">
        <v>2393</v>
      </c>
      <c r="F1258" s="5" t="str">
        <f t="shared" si="19"/>
        <v>norteam.se</v>
      </c>
      <c r="G1258" s="5" t="s">
        <v>1643</v>
      </c>
      <c r="H1258" s="5" t="s">
        <v>5</v>
      </c>
      <c r="I1258" s="116">
        <v>45424</v>
      </c>
    </row>
    <row r="1259" spans="1:9" ht="13.5">
      <c r="A1259" s="2" t="s">
        <v>1318</v>
      </c>
      <c r="B1259" s="3"/>
      <c r="C1259" s="71" t="s">
        <v>2394</v>
      </c>
      <c r="D1259" s="4" t="s">
        <v>1942</v>
      </c>
      <c r="E1259" s="5" t="s">
        <v>2395</v>
      </c>
      <c r="F1259" s="5" t="str">
        <f t="shared" si="19"/>
        <v>spelklubben.se</v>
      </c>
      <c r="G1259" s="5" t="s">
        <v>94</v>
      </c>
      <c r="H1259" s="5" t="s">
        <v>5</v>
      </c>
      <c r="I1259" s="6">
        <v>45425</v>
      </c>
    </row>
    <row r="1260" spans="1:9" ht="13.5">
      <c r="A1260" s="2" t="s">
        <v>435</v>
      </c>
      <c r="B1260" s="3"/>
      <c r="C1260" s="91" t="s">
        <v>2396</v>
      </c>
      <c r="D1260" s="105" t="s">
        <v>1704</v>
      </c>
      <c r="E1260" s="158" t="s">
        <v>2397</v>
      </c>
      <c r="F1260" s="5" t="str">
        <f t="shared" si="19"/>
        <v>fairinvestments.se</v>
      </c>
      <c r="G1260" s="5"/>
      <c r="H1260" s="5" t="s">
        <v>5</v>
      </c>
      <c r="I1260" s="116">
        <v>45425</v>
      </c>
    </row>
    <row r="1261" spans="1:9" ht="13.5">
      <c r="A1261" s="7" t="s">
        <v>329</v>
      </c>
      <c r="B1261" s="3"/>
      <c r="C1261" s="91" t="s">
        <v>2398</v>
      </c>
      <c r="D1261" s="105" t="s">
        <v>2399</v>
      </c>
      <c r="E1261" s="76" t="s">
        <v>2400</v>
      </c>
      <c r="F1261" s="5" t="str">
        <f t="shared" si="19"/>
        <v>vont</v>
      </c>
      <c r="G1261" s="5" t="s">
        <v>1643</v>
      </c>
      <c r="H1261" s="5" t="s">
        <v>5</v>
      </c>
      <c r="I1261" s="116">
        <v>45425</v>
      </c>
    </row>
    <row r="1262" spans="1:9" ht="13.5">
      <c r="A1262" s="2" t="s">
        <v>435</v>
      </c>
      <c r="B1262" s="3"/>
      <c r="C1262" s="91" t="s">
        <v>2401</v>
      </c>
      <c r="D1262" s="105" t="s">
        <v>1384</v>
      </c>
      <c r="E1262" s="159" t="s">
        <v>2402</v>
      </c>
      <c r="F1262" s="5" t="str">
        <f t="shared" si="19"/>
        <v>fairinvestments.se</v>
      </c>
      <c r="G1262" s="5" t="s">
        <v>1660</v>
      </c>
      <c r="H1262" s="5" t="s">
        <v>5</v>
      </c>
      <c r="I1262" s="116">
        <v>45426</v>
      </c>
    </row>
    <row r="1263" spans="1:9" ht="13.5">
      <c r="A1263" s="7" t="s">
        <v>1324</v>
      </c>
      <c r="B1263" s="3"/>
      <c r="C1263" s="91" t="s">
        <v>2403</v>
      </c>
      <c r="D1263" s="87" t="s">
        <v>1309</v>
      </c>
      <c r="E1263" s="160" t="s">
        <v>2136</v>
      </c>
      <c r="F1263" s="5" t="str">
        <f t="shared" si="19"/>
        <v>Lansfast Danderyd &amp; täby</v>
      </c>
      <c r="G1263" s="5" t="s">
        <v>1344</v>
      </c>
      <c r="H1263" s="5" t="s">
        <v>5</v>
      </c>
      <c r="I1263" s="116">
        <v>45426</v>
      </c>
    </row>
    <row r="1264" spans="1:9" ht="13.5">
      <c r="A1264" s="2" t="s">
        <v>1544</v>
      </c>
      <c r="B1264" s="3"/>
      <c r="C1264" s="119" t="s">
        <v>2404</v>
      </c>
      <c r="D1264" s="4" t="s">
        <v>1546</v>
      </c>
      <c r="E1264" s="5" t="s">
        <v>2405</v>
      </c>
      <c r="F1264" s="5" t="str">
        <f t="shared" si="19"/>
        <v>Finansplassen.no</v>
      </c>
      <c r="G1264" s="5" t="s">
        <v>4</v>
      </c>
      <c r="H1264" s="5" t="s">
        <v>382</v>
      </c>
      <c r="I1264" s="6">
        <v>45427</v>
      </c>
    </row>
    <row r="1265" spans="1:9" ht="13.5">
      <c r="A1265" s="2" t="s">
        <v>1544</v>
      </c>
      <c r="B1265" s="3"/>
      <c r="C1265" s="119" t="s">
        <v>2406</v>
      </c>
      <c r="D1265" s="4" t="s">
        <v>1594</v>
      </c>
      <c r="E1265" s="5" t="s">
        <v>2407</v>
      </c>
      <c r="F1265" s="5" t="str">
        <f t="shared" si="19"/>
        <v>Finansplassen.no</v>
      </c>
      <c r="G1265" s="5" t="s">
        <v>4</v>
      </c>
      <c r="H1265" s="5" t="s">
        <v>382</v>
      </c>
      <c r="I1265" s="6">
        <v>45427</v>
      </c>
    </row>
    <row r="1266" spans="1:9" ht="13.5">
      <c r="A1266" s="2" t="s">
        <v>1544</v>
      </c>
      <c r="B1266" s="3"/>
      <c r="C1266" s="119" t="s">
        <v>2408</v>
      </c>
      <c r="D1266" s="8" t="s">
        <v>1850</v>
      </c>
      <c r="E1266" s="5" t="s">
        <v>1851</v>
      </c>
      <c r="F1266" s="5" t="str">
        <f t="shared" si="19"/>
        <v>Finansplassen.no</v>
      </c>
      <c r="G1266" s="5" t="s">
        <v>4</v>
      </c>
      <c r="H1266" s="5" t="s">
        <v>382</v>
      </c>
      <c r="I1266" s="6">
        <v>45427</v>
      </c>
    </row>
    <row r="1267" spans="1:9" ht="13.5">
      <c r="A1267" s="2" t="s">
        <v>2240</v>
      </c>
      <c r="B1267" s="3"/>
      <c r="C1267" s="119" t="s">
        <v>2409</v>
      </c>
      <c r="D1267" s="4" t="s">
        <v>2242</v>
      </c>
      <c r="E1267" s="5" t="s">
        <v>2410</v>
      </c>
      <c r="F1267" s="5" t="str">
        <f t="shared" si="19"/>
        <v>mrnicco.com</v>
      </c>
      <c r="G1267" s="5" t="s">
        <v>4</v>
      </c>
      <c r="H1267" s="5" t="s">
        <v>2243</v>
      </c>
      <c r="I1267" s="6">
        <v>45427</v>
      </c>
    </row>
    <row r="1268" spans="1:9" ht="13.5">
      <c r="A1268" s="2" t="s">
        <v>723</v>
      </c>
      <c r="B1268" s="3"/>
      <c r="C1268" s="91" t="s">
        <v>2411</v>
      </c>
      <c r="D1268" s="91" t="s">
        <v>2138</v>
      </c>
      <c r="E1268" s="91" t="s">
        <v>723</v>
      </c>
      <c r="F1268" s="5" t="str">
        <f t="shared" si="19"/>
        <v>aretrotale.com</v>
      </c>
      <c r="G1268" s="5" t="s">
        <v>1643</v>
      </c>
      <c r="H1268" s="5" t="s">
        <v>23</v>
      </c>
      <c r="I1268" s="116">
        <v>45427</v>
      </c>
    </row>
    <row r="1269" spans="1:9" ht="13.5">
      <c r="A1269" s="2" t="s">
        <v>435</v>
      </c>
      <c r="B1269" s="3"/>
      <c r="C1269" s="91" t="s">
        <v>2412</v>
      </c>
      <c r="D1269" s="87" t="s">
        <v>834</v>
      </c>
      <c r="E1269" s="159" t="s">
        <v>2413</v>
      </c>
      <c r="F1269" s="5" t="str">
        <f t="shared" si="19"/>
        <v>fairinvestments.se</v>
      </c>
      <c r="G1269" s="5" t="s">
        <v>1660</v>
      </c>
      <c r="H1269" s="5" t="s">
        <v>5</v>
      </c>
      <c r="I1269" s="116">
        <v>45427</v>
      </c>
    </row>
    <row r="1270" spans="1:9" ht="13.5">
      <c r="A1270" s="2" t="s">
        <v>2127</v>
      </c>
      <c r="B1270" s="3"/>
      <c r="C1270" s="91" t="s">
        <v>2414</v>
      </c>
      <c r="D1270" s="87" t="s">
        <v>2415</v>
      </c>
      <c r="E1270" s="158" t="s">
        <v>2416</v>
      </c>
      <c r="F1270" s="5" t="str">
        <f t="shared" si="19"/>
        <v>startmotor.se</v>
      </c>
      <c r="G1270" s="5" t="s">
        <v>1344</v>
      </c>
      <c r="H1270" s="5" t="s">
        <v>5</v>
      </c>
      <c r="I1270" s="116">
        <v>45428</v>
      </c>
    </row>
    <row r="1271" spans="1:9" ht="13.5">
      <c r="A1271" s="2" t="s">
        <v>846</v>
      </c>
      <c r="B1271" s="3"/>
      <c r="C1271" s="91" t="s">
        <v>2417</v>
      </c>
      <c r="D1271" s="87" t="s">
        <v>848</v>
      </c>
      <c r="E1271" s="158" t="s">
        <v>2418</v>
      </c>
      <c r="F1271" s="5" t="str">
        <f t="shared" si="19"/>
        <v>tandea.se</v>
      </c>
      <c r="G1271" s="5" t="s">
        <v>1643</v>
      </c>
      <c r="H1271" s="5" t="s">
        <v>5</v>
      </c>
      <c r="I1271" s="116">
        <v>45428</v>
      </c>
    </row>
    <row r="1272" spans="1:9" ht="13.5">
      <c r="A1272" s="145" t="s">
        <v>435</v>
      </c>
      <c r="B1272" s="146"/>
      <c r="C1272" s="129" t="s">
        <v>2419</v>
      </c>
      <c r="D1272" s="161" t="s">
        <v>1446</v>
      </c>
      <c r="E1272" s="162" t="s">
        <v>2420</v>
      </c>
      <c r="F1272" s="5" t="str">
        <f t="shared" si="19"/>
        <v>fairinvestments.se</v>
      </c>
      <c r="G1272" s="149" t="s">
        <v>1643</v>
      </c>
      <c r="H1272" s="149" t="s">
        <v>5</v>
      </c>
      <c r="I1272" s="163">
        <v>45429</v>
      </c>
    </row>
    <row r="1273" spans="1:9" ht="13.5">
      <c r="A1273" s="2" t="s">
        <v>435</v>
      </c>
      <c r="B1273" s="3"/>
      <c r="C1273" s="91" t="s">
        <v>2421</v>
      </c>
      <c r="D1273" s="87" t="s">
        <v>973</v>
      </c>
      <c r="E1273" s="164" t="s">
        <v>2422</v>
      </c>
      <c r="F1273" s="5" t="str">
        <f t="shared" si="19"/>
        <v>fairinvestments.se</v>
      </c>
      <c r="G1273" s="5" t="s">
        <v>1660</v>
      </c>
      <c r="H1273" s="5" t="s">
        <v>5</v>
      </c>
      <c r="I1273" s="116">
        <v>45431</v>
      </c>
    </row>
    <row r="1274" spans="1:9" ht="13.5">
      <c r="A1274" s="2" t="s">
        <v>171</v>
      </c>
      <c r="B1274" s="3"/>
      <c r="C1274" s="128" t="s">
        <v>2423</v>
      </c>
      <c r="D1274" s="128" t="s">
        <v>1708</v>
      </c>
      <c r="E1274" s="86" t="s">
        <v>1505</v>
      </c>
      <c r="F1274" s="5" t="str">
        <f t="shared" si="19"/>
        <v>arctic.se</v>
      </c>
      <c r="G1274" s="5" t="s">
        <v>1643</v>
      </c>
      <c r="H1274" s="5" t="s">
        <v>262</v>
      </c>
      <c r="I1274" s="116">
        <v>45432</v>
      </c>
    </row>
    <row r="1275" spans="1:9" ht="13.5">
      <c r="A1275" s="7" t="s">
        <v>1324</v>
      </c>
      <c r="B1275" s="3"/>
      <c r="C1275" s="91" t="s">
        <v>2424</v>
      </c>
      <c r="D1275" s="87" t="s">
        <v>1309</v>
      </c>
      <c r="E1275" s="165" t="s">
        <v>2425</v>
      </c>
      <c r="F1275" s="5" t="str">
        <f t="shared" si="19"/>
        <v>Lansfast Danderyd &amp; täby</v>
      </c>
      <c r="G1275" s="5" t="s">
        <v>1643</v>
      </c>
      <c r="H1275" s="5" t="s">
        <v>5</v>
      </c>
      <c r="I1275" s="116">
        <v>45432</v>
      </c>
    </row>
    <row r="1276" spans="1:9" ht="13.5">
      <c r="A1276" s="2" t="s">
        <v>846</v>
      </c>
      <c r="B1276" s="3"/>
      <c r="C1276" s="91" t="s">
        <v>2426</v>
      </c>
      <c r="D1276" s="87" t="s">
        <v>1207</v>
      </c>
      <c r="E1276" s="165" t="s">
        <v>2427</v>
      </c>
      <c r="F1276" s="5" t="str">
        <f t="shared" si="19"/>
        <v>tandea.se</v>
      </c>
      <c r="G1276" s="5" t="s">
        <v>1643</v>
      </c>
      <c r="H1276" s="5" t="s">
        <v>5</v>
      </c>
      <c r="I1276" s="116">
        <v>45432</v>
      </c>
    </row>
    <row r="1277" spans="1:9" ht="13.5">
      <c r="A1277" s="2" t="s">
        <v>2428</v>
      </c>
      <c r="B1277" s="3"/>
      <c r="C1277" s="71" t="s">
        <v>2429</v>
      </c>
      <c r="D1277" s="4" t="s">
        <v>2430</v>
      </c>
      <c r="E1277" s="5" t="s">
        <v>2431</v>
      </c>
      <c r="F1277" s="5" t="str">
        <f t="shared" si="19"/>
        <v>sakraror.se</v>
      </c>
      <c r="G1277" s="5" t="s">
        <v>4</v>
      </c>
      <c r="H1277" s="5" t="s">
        <v>5</v>
      </c>
      <c r="I1277" s="6">
        <v>45433</v>
      </c>
    </row>
    <row r="1278" spans="1:9" ht="13.5">
      <c r="A1278" s="7" t="s">
        <v>1910</v>
      </c>
      <c r="B1278" s="3"/>
      <c r="C1278" s="119" t="s">
        <v>2432</v>
      </c>
      <c r="D1278" s="4" t="s">
        <v>1912</v>
      </c>
      <c r="E1278" s="5" t="s">
        <v>2433</v>
      </c>
      <c r="F1278" s="5" t="str">
        <f t="shared" si="19"/>
        <v>kelleher-international</v>
      </c>
      <c r="G1278" s="5" t="s">
        <v>4</v>
      </c>
      <c r="H1278" s="5" t="s">
        <v>345</v>
      </c>
      <c r="I1278" s="6">
        <v>45433</v>
      </c>
    </row>
    <row r="1279" spans="1:9" ht="13.5">
      <c r="A1279" s="7" t="s">
        <v>1910</v>
      </c>
      <c r="B1279" s="3"/>
      <c r="C1279" s="119" t="s">
        <v>2434</v>
      </c>
      <c r="D1279" s="4" t="s">
        <v>1912</v>
      </c>
      <c r="E1279" s="5" t="s">
        <v>2433</v>
      </c>
      <c r="F1279" s="5" t="str">
        <f t="shared" si="19"/>
        <v>kelleher-international</v>
      </c>
      <c r="G1279" s="5" t="s">
        <v>4</v>
      </c>
      <c r="H1279" s="5" t="s">
        <v>345</v>
      </c>
      <c r="I1279" s="6">
        <v>45433</v>
      </c>
    </row>
    <row r="1280" spans="1:9" ht="13.5">
      <c r="A1280" s="7" t="s">
        <v>1910</v>
      </c>
      <c r="B1280" s="3"/>
      <c r="C1280" s="119" t="s">
        <v>2435</v>
      </c>
      <c r="D1280" s="4" t="s">
        <v>1912</v>
      </c>
      <c r="E1280" s="5" t="s">
        <v>2433</v>
      </c>
      <c r="F1280" s="5" t="str">
        <f t="shared" si="19"/>
        <v>kelleher-international</v>
      </c>
      <c r="G1280" s="5" t="s">
        <v>4</v>
      </c>
      <c r="H1280" s="5" t="s">
        <v>345</v>
      </c>
      <c r="I1280" s="6">
        <v>45433</v>
      </c>
    </row>
    <row r="1281" spans="1:9" ht="13.5">
      <c r="A1281" s="7" t="s">
        <v>1910</v>
      </c>
      <c r="B1281" s="3"/>
      <c r="C1281" s="119" t="s">
        <v>2436</v>
      </c>
      <c r="D1281" s="4" t="s">
        <v>1912</v>
      </c>
      <c r="E1281" s="5" t="s">
        <v>2433</v>
      </c>
      <c r="F1281" s="5" t="str">
        <f t="shared" si="19"/>
        <v>kelleher-international</v>
      </c>
      <c r="G1281" s="5" t="s">
        <v>4</v>
      </c>
      <c r="H1281" s="5" t="s">
        <v>345</v>
      </c>
      <c r="I1281" s="6">
        <v>45433</v>
      </c>
    </row>
    <row r="1282" spans="1:9" ht="13.5">
      <c r="A1282" s="2" t="s">
        <v>1993</v>
      </c>
      <c r="B1282" s="3"/>
      <c r="C1282" s="119" t="s">
        <v>2437</v>
      </c>
      <c r="D1282" s="4" t="s">
        <v>2219</v>
      </c>
      <c r="E1282" s="5" t="s">
        <v>2438</v>
      </c>
      <c r="F1282" s="5" t="str">
        <f t="shared" si="19"/>
        <v>filippa-k.com/se/sv/</v>
      </c>
      <c r="G1282" s="5" t="s">
        <v>4</v>
      </c>
      <c r="H1282" s="5" t="s">
        <v>5</v>
      </c>
      <c r="I1282" s="6">
        <v>45433</v>
      </c>
    </row>
    <row r="1283" spans="1:9" ht="13.5">
      <c r="A1283" s="2" t="s">
        <v>1993</v>
      </c>
      <c r="B1283" s="3"/>
      <c r="C1283" s="119" t="s">
        <v>2439</v>
      </c>
      <c r="D1283" s="4" t="s">
        <v>2121</v>
      </c>
      <c r="E1283" s="5" t="s">
        <v>2440</v>
      </c>
      <c r="F1283" s="5" t="str">
        <f t="shared" ref="F1283:F1346" si="20">A1283</f>
        <v>filippa-k.com/se/sv/</v>
      </c>
      <c r="G1283" s="5" t="s">
        <v>4</v>
      </c>
      <c r="H1283" s="5" t="s">
        <v>5</v>
      </c>
      <c r="I1283" s="6">
        <v>45433</v>
      </c>
    </row>
    <row r="1284" spans="1:9" ht="13.5">
      <c r="A1284" s="2" t="s">
        <v>1993</v>
      </c>
      <c r="B1284" s="3"/>
      <c r="C1284" s="119" t="s">
        <v>2441</v>
      </c>
      <c r="D1284" s="4" t="s">
        <v>1998</v>
      </c>
      <c r="E1284" s="5" t="s">
        <v>1999</v>
      </c>
      <c r="F1284" s="5" t="str">
        <f t="shared" si="20"/>
        <v>filippa-k.com/se/sv/</v>
      </c>
      <c r="G1284" s="5" t="s">
        <v>4</v>
      </c>
      <c r="H1284" s="5" t="s">
        <v>5</v>
      </c>
      <c r="I1284" s="6">
        <v>45433</v>
      </c>
    </row>
    <row r="1285" spans="1:9" ht="13.5">
      <c r="A1285" s="2" t="s">
        <v>1993</v>
      </c>
      <c r="B1285" s="3"/>
      <c r="C1285" s="119" t="s">
        <v>2442</v>
      </c>
      <c r="D1285" s="4" t="s">
        <v>1995</v>
      </c>
      <c r="E1285" s="5" t="s">
        <v>2293</v>
      </c>
      <c r="F1285" s="5" t="str">
        <f t="shared" si="20"/>
        <v>filippa-k.com/se/sv/</v>
      </c>
      <c r="G1285" s="5" t="s">
        <v>4</v>
      </c>
      <c r="H1285" s="5" t="s">
        <v>5</v>
      </c>
      <c r="I1285" s="6">
        <v>45433</v>
      </c>
    </row>
    <row r="1286" spans="1:9" ht="13.5">
      <c r="A1286" s="2" t="s">
        <v>1180</v>
      </c>
      <c r="B1286" s="3"/>
      <c r="C1286" s="119" t="s">
        <v>2443</v>
      </c>
      <c r="D1286" s="4" t="s">
        <v>2443</v>
      </c>
      <c r="E1286" s="5" t="s">
        <v>1570</v>
      </c>
      <c r="F1286" s="5" t="str">
        <f t="shared" si="20"/>
        <v>e-ciggbolaget.se</v>
      </c>
      <c r="G1286" s="5" t="s">
        <v>4</v>
      </c>
      <c r="H1286" s="5" t="s">
        <v>5</v>
      </c>
      <c r="I1286" s="6">
        <v>45433</v>
      </c>
    </row>
    <row r="1287" spans="1:9" ht="13.5">
      <c r="A1287" s="2" t="s">
        <v>1318</v>
      </c>
      <c r="B1287" s="3"/>
      <c r="C1287" s="119" t="s">
        <v>2444</v>
      </c>
      <c r="D1287" s="4" t="s">
        <v>2444</v>
      </c>
      <c r="E1287" s="9" t="s">
        <v>1846</v>
      </c>
      <c r="F1287" s="5" t="str">
        <f t="shared" si="20"/>
        <v>spelklubben.se</v>
      </c>
      <c r="G1287" s="5" t="s">
        <v>4</v>
      </c>
      <c r="H1287" s="5" t="s">
        <v>5</v>
      </c>
      <c r="I1287" s="6">
        <v>45434</v>
      </c>
    </row>
    <row r="1288" spans="1:9" ht="13.5">
      <c r="A1288" s="2" t="s">
        <v>1318</v>
      </c>
      <c r="B1288" s="3"/>
      <c r="C1288" s="119" t="s">
        <v>2445</v>
      </c>
      <c r="D1288" s="4" t="s">
        <v>2445</v>
      </c>
      <c r="E1288" s="5" t="s">
        <v>2016</v>
      </c>
      <c r="F1288" s="5" t="str">
        <f t="shared" si="20"/>
        <v>spelklubben.se</v>
      </c>
      <c r="G1288" s="5" t="s">
        <v>4</v>
      </c>
      <c r="H1288" s="5" t="s">
        <v>5</v>
      </c>
      <c r="I1288" s="6">
        <v>45434</v>
      </c>
    </row>
    <row r="1289" spans="1:9" ht="13.5">
      <c r="A1289" s="2" t="s">
        <v>1318</v>
      </c>
      <c r="B1289" s="3"/>
      <c r="C1289" s="71" t="s">
        <v>2446</v>
      </c>
      <c r="D1289" s="4" t="s">
        <v>2446</v>
      </c>
      <c r="E1289" s="5" t="s">
        <v>2016</v>
      </c>
      <c r="F1289" s="5" t="str">
        <f t="shared" si="20"/>
        <v>spelklubben.se</v>
      </c>
      <c r="G1289" s="5" t="s">
        <v>4</v>
      </c>
      <c r="H1289" s="5" t="s">
        <v>5</v>
      </c>
      <c r="I1289" s="6">
        <v>45434</v>
      </c>
    </row>
    <row r="1290" spans="1:9" ht="13.5">
      <c r="A1290" s="2" t="s">
        <v>1318</v>
      </c>
      <c r="B1290" s="3"/>
      <c r="C1290" s="71" t="s">
        <v>2447</v>
      </c>
      <c r="D1290" s="4" t="s">
        <v>2447</v>
      </c>
      <c r="E1290" s="5" t="s">
        <v>2448</v>
      </c>
      <c r="F1290" s="5" t="str">
        <f t="shared" si="20"/>
        <v>spelklubben.se</v>
      </c>
      <c r="G1290" s="5" t="s">
        <v>4</v>
      </c>
      <c r="H1290" s="5" t="s">
        <v>5</v>
      </c>
      <c r="I1290" s="6">
        <v>45434</v>
      </c>
    </row>
    <row r="1291" spans="1:9" ht="13.5">
      <c r="A1291" s="2" t="s">
        <v>1213</v>
      </c>
      <c r="B1291" s="3"/>
      <c r="C1291" s="91" t="s">
        <v>1691</v>
      </c>
      <c r="D1291" s="105" t="s">
        <v>1314</v>
      </c>
      <c r="E1291" s="158" t="s">
        <v>1208</v>
      </c>
      <c r="F1291" s="5" t="str">
        <f t="shared" si="20"/>
        <v>mariatand.se</v>
      </c>
      <c r="G1291" s="5" t="s">
        <v>1660</v>
      </c>
      <c r="H1291" s="5" t="s">
        <v>5</v>
      </c>
      <c r="I1291" s="116">
        <v>45434</v>
      </c>
    </row>
    <row r="1292" spans="1:9" ht="13.5">
      <c r="A1292" s="7" t="s">
        <v>329</v>
      </c>
      <c r="B1292" s="3"/>
      <c r="C1292" s="91" t="s">
        <v>2449</v>
      </c>
      <c r="D1292" s="105" t="s">
        <v>2450</v>
      </c>
      <c r="E1292" s="76" t="s">
        <v>542</v>
      </c>
      <c r="F1292" s="5" t="str">
        <f t="shared" si="20"/>
        <v>vont</v>
      </c>
      <c r="G1292" s="5" t="s">
        <v>1660</v>
      </c>
      <c r="H1292" s="5" t="s">
        <v>5</v>
      </c>
      <c r="I1292" s="116">
        <v>45434</v>
      </c>
    </row>
    <row r="1293" spans="1:9" ht="13.5">
      <c r="A1293" s="2" t="s">
        <v>435</v>
      </c>
      <c r="B1293" s="3"/>
      <c r="C1293" s="91" t="s">
        <v>2451</v>
      </c>
      <c r="D1293" s="105" t="s">
        <v>1887</v>
      </c>
      <c r="E1293" s="166" t="s">
        <v>839</v>
      </c>
      <c r="F1293" s="5" t="str">
        <f t="shared" si="20"/>
        <v>fairinvestments.se</v>
      </c>
      <c r="G1293" s="5" t="s">
        <v>1660</v>
      </c>
      <c r="H1293" s="5" t="s">
        <v>5</v>
      </c>
      <c r="I1293" s="116">
        <v>45435</v>
      </c>
    </row>
    <row r="1294" spans="1:9" ht="13.5">
      <c r="A1294" s="2" t="s">
        <v>2058</v>
      </c>
      <c r="B1294" s="3"/>
      <c r="C1294" s="91" t="s">
        <v>1763</v>
      </c>
      <c r="D1294" s="105" t="s">
        <v>2060</v>
      </c>
      <c r="E1294" s="158" t="s">
        <v>2452</v>
      </c>
      <c r="F1294" s="5" t="str">
        <f t="shared" si="20"/>
        <v>m6bygg.se</v>
      </c>
      <c r="G1294" s="5" t="s">
        <v>1660</v>
      </c>
      <c r="H1294" s="5" t="s">
        <v>5</v>
      </c>
      <c r="I1294" s="116">
        <v>45435</v>
      </c>
    </row>
    <row r="1295" spans="1:9" ht="13.5">
      <c r="A1295" s="2" t="s">
        <v>2453</v>
      </c>
      <c r="B1295" s="3"/>
      <c r="C1295" s="73" t="s">
        <v>2454</v>
      </c>
      <c r="D1295" s="167" t="s">
        <v>2455</v>
      </c>
      <c r="E1295" s="5" t="s">
        <v>2456</v>
      </c>
      <c r="F1295" s="5" t="str">
        <f t="shared" si="20"/>
        <v>spolarent.se</v>
      </c>
      <c r="G1295" s="5" t="s">
        <v>4</v>
      </c>
      <c r="H1295" s="5" t="s">
        <v>5</v>
      </c>
      <c r="I1295" s="6">
        <v>45436</v>
      </c>
    </row>
    <row r="1296" spans="1:9" ht="13.5">
      <c r="A1296" s="2" t="s">
        <v>171</v>
      </c>
      <c r="B1296" s="3"/>
      <c r="C1296" s="91" t="s">
        <v>2457</v>
      </c>
      <c r="D1296" s="105" t="s">
        <v>1095</v>
      </c>
      <c r="E1296" s="76" t="s">
        <v>1533</v>
      </c>
      <c r="F1296" s="5" t="str">
        <f t="shared" si="20"/>
        <v>arctic.se</v>
      </c>
      <c r="G1296" s="5" t="s">
        <v>1643</v>
      </c>
      <c r="H1296" s="5" t="s">
        <v>5</v>
      </c>
      <c r="I1296" s="116">
        <v>45437</v>
      </c>
    </row>
    <row r="1297" spans="1:9" ht="13.5">
      <c r="A1297" s="2" t="s">
        <v>689</v>
      </c>
      <c r="B1297" s="3"/>
      <c r="C1297" s="91" t="s">
        <v>2458</v>
      </c>
      <c r="D1297" s="105" t="s">
        <v>691</v>
      </c>
      <c r="E1297" s="105" t="s">
        <v>691</v>
      </c>
      <c r="F1297" s="5" t="str">
        <f t="shared" si="20"/>
        <v>conclean.se</v>
      </c>
      <c r="G1297" s="5" t="s">
        <v>1643</v>
      </c>
      <c r="H1297" s="5" t="s">
        <v>5</v>
      </c>
      <c r="I1297" s="116">
        <v>45437</v>
      </c>
    </row>
    <row r="1298" spans="1:9" ht="13.5">
      <c r="A1298" s="2" t="s">
        <v>435</v>
      </c>
      <c r="B1298" s="3"/>
      <c r="C1298" s="91" t="s">
        <v>2459</v>
      </c>
      <c r="D1298" s="105" t="s">
        <v>1413</v>
      </c>
      <c r="E1298" s="168" t="s">
        <v>2460</v>
      </c>
      <c r="F1298" s="5" t="str">
        <f t="shared" si="20"/>
        <v>fairinvestments.se</v>
      </c>
      <c r="G1298" s="5" t="s">
        <v>1660</v>
      </c>
      <c r="H1298" s="5" t="s">
        <v>5</v>
      </c>
      <c r="I1298" s="116">
        <v>45437</v>
      </c>
    </row>
    <row r="1299" spans="1:9" ht="13.5">
      <c r="A1299" s="7" t="s">
        <v>1324</v>
      </c>
      <c r="B1299" s="3"/>
      <c r="C1299" s="91" t="s">
        <v>2461</v>
      </c>
      <c r="D1299" s="105" t="s">
        <v>1309</v>
      </c>
      <c r="E1299" s="158" t="s">
        <v>2462</v>
      </c>
      <c r="F1299" s="5" t="str">
        <f t="shared" si="20"/>
        <v>Lansfast Danderyd &amp; täby</v>
      </c>
      <c r="G1299" s="5" t="s">
        <v>1643</v>
      </c>
      <c r="H1299" s="5" t="s">
        <v>5</v>
      </c>
      <c r="I1299" s="116">
        <v>45438</v>
      </c>
    </row>
    <row r="1300" spans="1:9" ht="13.5">
      <c r="A1300" s="2" t="s">
        <v>1284</v>
      </c>
      <c r="B1300" s="3"/>
      <c r="C1300" s="91" t="s">
        <v>2463</v>
      </c>
      <c r="D1300" s="105" t="s">
        <v>2236</v>
      </c>
      <c r="E1300" s="158" t="s">
        <v>2237</v>
      </c>
      <c r="F1300" s="5" t="str">
        <f t="shared" si="20"/>
        <v>norteam.se</v>
      </c>
      <c r="G1300" s="5" t="s">
        <v>1643</v>
      </c>
      <c r="H1300" s="5" t="s">
        <v>5</v>
      </c>
      <c r="I1300" s="116">
        <v>45438</v>
      </c>
    </row>
    <row r="1301" spans="1:9" ht="13.5">
      <c r="A1301" s="2" t="s">
        <v>1247</v>
      </c>
      <c r="B1301" s="3"/>
      <c r="C1301" s="71" t="s">
        <v>2464</v>
      </c>
      <c r="D1301" s="4" t="s">
        <v>1249</v>
      </c>
      <c r="E1301" s="5" t="s">
        <v>2465</v>
      </c>
      <c r="F1301" s="5" t="str">
        <f t="shared" si="20"/>
        <v>carpcon.se</v>
      </c>
      <c r="G1301" s="5" t="s">
        <v>4</v>
      </c>
      <c r="H1301" s="5" t="s">
        <v>5</v>
      </c>
      <c r="I1301" s="6">
        <v>45439</v>
      </c>
    </row>
    <row r="1302" spans="1:9" ht="13.5">
      <c r="A1302" s="2" t="s">
        <v>2029</v>
      </c>
      <c r="B1302" s="3"/>
      <c r="C1302" s="71" t="s">
        <v>2466</v>
      </c>
      <c r="D1302" s="4" t="s">
        <v>2031</v>
      </c>
      <c r="E1302" s="5" t="s">
        <v>2467</v>
      </c>
      <c r="F1302" s="5" t="str">
        <f t="shared" si="20"/>
        <v>legendbygg.com</v>
      </c>
      <c r="G1302" s="5" t="s">
        <v>4</v>
      </c>
      <c r="H1302" s="5" t="s">
        <v>5</v>
      </c>
      <c r="I1302" s="6">
        <v>45439</v>
      </c>
    </row>
    <row r="1303" spans="1:9" ht="13.5">
      <c r="A1303" s="2" t="s">
        <v>2033</v>
      </c>
      <c r="B1303" s="3"/>
      <c r="C1303" s="71" t="s">
        <v>2468</v>
      </c>
      <c r="D1303" s="8" t="s">
        <v>2035</v>
      </c>
      <c r="E1303" s="5" t="s">
        <v>2469</v>
      </c>
      <c r="F1303" s="5" t="str">
        <f t="shared" si="20"/>
        <v>qsundsvall.se</v>
      </c>
      <c r="G1303" s="5" t="s">
        <v>4</v>
      </c>
      <c r="H1303" s="5" t="s">
        <v>5</v>
      </c>
      <c r="I1303" s="6">
        <v>45439</v>
      </c>
    </row>
    <row r="1304" spans="1:9" ht="13.5">
      <c r="A1304" s="2" t="s">
        <v>2052</v>
      </c>
      <c r="B1304" s="3"/>
      <c r="C1304" s="71" t="s">
        <v>2470</v>
      </c>
      <c r="D1304" s="8" t="s">
        <v>2054</v>
      </c>
      <c r="E1304" s="5" t="s">
        <v>2471</v>
      </c>
      <c r="F1304" s="5" t="str">
        <f t="shared" si="20"/>
        <v>rosapensionat.se</v>
      </c>
      <c r="G1304" s="5" t="s">
        <v>4</v>
      </c>
      <c r="H1304" s="5" t="s">
        <v>5</v>
      </c>
      <c r="I1304" s="6">
        <v>45439</v>
      </c>
    </row>
    <row r="1305" spans="1:9" ht="13.5">
      <c r="A1305" s="2" t="s">
        <v>1297</v>
      </c>
      <c r="B1305" s="3"/>
      <c r="C1305" s="71" t="s">
        <v>2472</v>
      </c>
      <c r="D1305" s="8" t="s">
        <v>1299</v>
      </c>
      <c r="E1305" s="5" t="s">
        <v>2260</v>
      </c>
      <c r="F1305" s="5" t="str">
        <f t="shared" si="20"/>
        <v>sundsvallbergvarme.se</v>
      </c>
      <c r="G1305" s="5" t="s">
        <v>4</v>
      </c>
      <c r="H1305" s="5" t="s">
        <v>5</v>
      </c>
      <c r="I1305" s="6">
        <v>45439</v>
      </c>
    </row>
    <row r="1306" spans="1:9" ht="13.5">
      <c r="A1306" s="2" t="s">
        <v>2079</v>
      </c>
      <c r="B1306" s="3"/>
      <c r="C1306" s="71" t="s">
        <v>2473</v>
      </c>
      <c r="D1306" s="8" t="s">
        <v>2081</v>
      </c>
      <c r="E1306" s="5" t="s">
        <v>2474</v>
      </c>
      <c r="F1306" s="5" t="str">
        <f t="shared" si="20"/>
        <v>ttsab.nu</v>
      </c>
      <c r="G1306" s="5" t="s">
        <v>4</v>
      </c>
      <c r="H1306" s="5" t="s">
        <v>5</v>
      </c>
      <c r="I1306" s="6">
        <v>45439</v>
      </c>
    </row>
    <row r="1307" spans="1:9" ht="13.5">
      <c r="A1307" s="2" t="s">
        <v>2199</v>
      </c>
      <c r="B1307" s="3"/>
      <c r="C1307" s="169" t="s">
        <v>2475</v>
      </c>
      <c r="D1307" s="4" t="s">
        <v>2201</v>
      </c>
      <c r="E1307" s="5" t="s">
        <v>2476</v>
      </c>
      <c r="F1307" s="5" t="str">
        <f t="shared" si="20"/>
        <v>massagestockholm.se</v>
      </c>
      <c r="G1307" s="5" t="s">
        <v>4</v>
      </c>
      <c r="H1307" s="5" t="s">
        <v>5</v>
      </c>
      <c r="I1307" s="6">
        <v>45439</v>
      </c>
    </row>
    <row r="1308" spans="1:9" ht="13.5">
      <c r="A1308" s="2" t="s">
        <v>100</v>
      </c>
      <c r="B1308" s="3"/>
      <c r="C1308" s="71" t="s">
        <v>2477</v>
      </c>
      <c r="D1308" s="8" t="s">
        <v>2478</v>
      </c>
      <c r="E1308" s="5" t="s">
        <v>2479</v>
      </c>
      <c r="F1308" s="5" t="str">
        <f t="shared" si="20"/>
        <v>bigbenstandup.com</v>
      </c>
      <c r="G1308" s="5" t="s">
        <v>4</v>
      </c>
      <c r="H1308" s="5" t="s">
        <v>5</v>
      </c>
      <c r="I1308" s="6">
        <v>45439</v>
      </c>
    </row>
    <row r="1309" spans="1:9" ht="13.5">
      <c r="A1309" s="2" t="s">
        <v>2205</v>
      </c>
      <c r="B1309" s="3"/>
      <c r="C1309" s="71" t="s">
        <v>2480</v>
      </c>
      <c r="D1309" s="8" t="s">
        <v>2207</v>
      </c>
      <c r="E1309" s="5" t="s">
        <v>2208</v>
      </c>
      <c r="F1309" s="5" t="str">
        <f t="shared" si="20"/>
        <v>Aaatak.se</v>
      </c>
      <c r="G1309" s="5" t="s">
        <v>4</v>
      </c>
      <c r="H1309" s="5" t="s">
        <v>5</v>
      </c>
      <c r="I1309" s="6">
        <v>45439</v>
      </c>
    </row>
    <row r="1310" spans="1:9" ht="13.5">
      <c r="A1310" s="2" t="s">
        <v>1239</v>
      </c>
      <c r="B1310" s="3"/>
      <c r="C1310" s="71" t="s">
        <v>2481</v>
      </c>
      <c r="D1310" s="8" t="s">
        <v>1241</v>
      </c>
      <c r="E1310" s="5" t="s">
        <v>2482</v>
      </c>
      <c r="F1310" s="5" t="str">
        <f t="shared" si="20"/>
        <v>freckeus.se</v>
      </c>
      <c r="G1310" s="5" t="s">
        <v>4</v>
      </c>
      <c r="H1310" s="5" t="s">
        <v>5</v>
      </c>
      <c r="I1310" s="6">
        <v>45439</v>
      </c>
    </row>
    <row r="1311" spans="1:9" ht="13.5">
      <c r="A1311" s="2" t="s">
        <v>2043</v>
      </c>
      <c r="B1311" s="3"/>
      <c r="C1311" s="71" t="s">
        <v>2483</v>
      </c>
      <c r="D1311" s="8" t="s">
        <v>2045</v>
      </c>
      <c r="E1311" s="5" t="s">
        <v>2484</v>
      </c>
      <c r="F1311" s="5" t="str">
        <f t="shared" si="20"/>
        <v>heteknik.se</v>
      </c>
      <c r="G1311" s="5" t="s">
        <v>4</v>
      </c>
      <c r="H1311" s="5" t="s">
        <v>5</v>
      </c>
      <c r="I1311" s="6">
        <v>45439</v>
      </c>
    </row>
    <row r="1312" spans="1:9" ht="13.5">
      <c r="A1312" s="7"/>
      <c r="B1312" s="3"/>
      <c r="C1312" s="71" t="s">
        <v>2485</v>
      </c>
      <c r="D1312" s="4" t="s">
        <v>2486</v>
      </c>
      <c r="E1312" s="5" t="s">
        <v>2487</v>
      </c>
      <c r="F1312" s="5">
        <f t="shared" si="20"/>
        <v>0</v>
      </c>
      <c r="G1312" s="5" t="s">
        <v>4</v>
      </c>
      <c r="H1312" s="5" t="s">
        <v>5</v>
      </c>
      <c r="I1312" s="6">
        <v>45439</v>
      </c>
    </row>
    <row r="1313" spans="1:9" ht="13.5">
      <c r="A1313" s="2" t="s">
        <v>308</v>
      </c>
      <c r="B1313" s="3"/>
      <c r="C1313" s="93" t="s">
        <v>2488</v>
      </c>
      <c r="D1313" s="4" t="s">
        <v>1395</v>
      </c>
      <c r="E1313" s="5" t="s">
        <v>2489</v>
      </c>
      <c r="F1313" s="5" t="str">
        <f t="shared" si="20"/>
        <v>lansfast.se</v>
      </c>
      <c r="G1313" s="5" t="s">
        <v>4</v>
      </c>
      <c r="H1313" s="5" t="s">
        <v>5</v>
      </c>
      <c r="I1313" s="6">
        <v>45439</v>
      </c>
    </row>
    <row r="1314" spans="1:9" ht="13.5">
      <c r="A1314" s="2" t="s">
        <v>1213</v>
      </c>
      <c r="B1314" s="3"/>
      <c r="C1314" s="71" t="s">
        <v>2490</v>
      </c>
      <c r="D1314" s="4" t="s">
        <v>1215</v>
      </c>
      <c r="E1314" s="5" t="s">
        <v>2491</v>
      </c>
      <c r="F1314" s="5" t="str">
        <f t="shared" si="20"/>
        <v>mariatand.se</v>
      </c>
      <c r="G1314" s="5" t="s">
        <v>4</v>
      </c>
      <c r="H1314" s="5" t="s">
        <v>5</v>
      </c>
      <c r="I1314" s="6">
        <v>45439</v>
      </c>
    </row>
    <row r="1315" spans="1:9" ht="13.5">
      <c r="A1315" s="2" t="s">
        <v>2058</v>
      </c>
      <c r="B1315" s="3"/>
      <c r="C1315" s="71" t="s">
        <v>2492</v>
      </c>
      <c r="D1315" s="4" t="s">
        <v>2060</v>
      </c>
      <c r="E1315" s="5" t="s">
        <v>2493</v>
      </c>
      <c r="F1315" s="5" t="str">
        <f t="shared" si="20"/>
        <v>m6bygg.se</v>
      </c>
      <c r="G1315" s="5" t="s">
        <v>4</v>
      </c>
      <c r="H1315" s="5" t="s">
        <v>5</v>
      </c>
      <c r="I1315" s="6">
        <v>45439</v>
      </c>
    </row>
    <row r="1316" spans="1:9" ht="13.5">
      <c r="A1316" s="2" t="s">
        <v>1263</v>
      </c>
      <c r="B1316" s="3"/>
      <c r="C1316" s="71" t="s">
        <v>2494</v>
      </c>
      <c r="D1316" s="8" t="s">
        <v>1265</v>
      </c>
      <c r="E1316" s="5" t="s">
        <v>2495</v>
      </c>
      <c r="F1316" s="5" t="str">
        <f t="shared" si="20"/>
        <v>notyfile.se/sv</v>
      </c>
      <c r="G1316" s="5" t="s">
        <v>4</v>
      </c>
      <c r="H1316" s="5" t="s">
        <v>5</v>
      </c>
      <c r="I1316" s="6">
        <v>45439</v>
      </c>
    </row>
    <row r="1317" spans="1:9" ht="13.5">
      <c r="A1317" s="2" t="s">
        <v>325</v>
      </c>
      <c r="B1317" s="3"/>
      <c r="C1317" s="71" t="s">
        <v>2496</v>
      </c>
      <c r="D1317" s="4" t="s">
        <v>870</v>
      </c>
      <c r="E1317" s="5" t="s">
        <v>2497</v>
      </c>
      <c r="F1317" s="5" t="str">
        <f t="shared" si="20"/>
        <v>tiotak.se</v>
      </c>
      <c r="G1317" s="5" t="s">
        <v>4</v>
      </c>
      <c r="H1317" s="5" t="s">
        <v>5</v>
      </c>
      <c r="I1317" s="6">
        <v>45439</v>
      </c>
    </row>
    <row r="1318" spans="1:9" ht="13.5">
      <c r="A1318" s="2" t="s">
        <v>325</v>
      </c>
      <c r="B1318" s="3"/>
      <c r="C1318" s="170" t="s">
        <v>2498</v>
      </c>
      <c r="D1318" s="8" t="s">
        <v>2067</v>
      </c>
      <c r="E1318" s="5" t="s">
        <v>2499</v>
      </c>
      <c r="F1318" s="5" t="str">
        <f t="shared" si="20"/>
        <v>tiotak.se</v>
      </c>
      <c r="G1318" s="5" t="s">
        <v>4</v>
      </c>
      <c r="H1318" s="5" t="s">
        <v>5</v>
      </c>
      <c r="I1318" s="6">
        <v>45439</v>
      </c>
    </row>
    <row r="1319" spans="1:9" ht="13.5">
      <c r="A1319" s="2" t="s">
        <v>2500</v>
      </c>
      <c r="B1319" s="3"/>
      <c r="C1319" s="71" t="s">
        <v>2501</v>
      </c>
      <c r="D1319" s="8" t="s">
        <v>859</v>
      </c>
      <c r="E1319" s="5" t="s">
        <v>2502</v>
      </c>
      <c r="F1319" s="5" t="str">
        <f t="shared" si="20"/>
        <v>ampilo.se</v>
      </c>
      <c r="G1319" s="5" t="s">
        <v>4</v>
      </c>
      <c r="H1319" s="5" t="s">
        <v>5</v>
      </c>
      <c r="I1319" s="6">
        <v>45439</v>
      </c>
    </row>
    <row r="1320" spans="1:9" ht="13.5">
      <c r="A1320" s="2" t="s">
        <v>2500</v>
      </c>
      <c r="B1320" s="3"/>
      <c r="C1320" s="71" t="s">
        <v>2503</v>
      </c>
      <c r="D1320" s="8" t="s">
        <v>2504</v>
      </c>
      <c r="E1320" s="5" t="s">
        <v>2505</v>
      </c>
      <c r="F1320" s="5" t="str">
        <f t="shared" si="20"/>
        <v>ampilo.se</v>
      </c>
      <c r="G1320" s="5" t="s">
        <v>4</v>
      </c>
      <c r="H1320" s="5" t="s">
        <v>5</v>
      </c>
      <c r="I1320" s="6">
        <v>45439</v>
      </c>
    </row>
    <row r="1321" spans="1:9" ht="13.5">
      <c r="A1321" s="2" t="s">
        <v>2500</v>
      </c>
      <c r="B1321" s="3"/>
      <c r="C1321" s="71" t="s">
        <v>2506</v>
      </c>
      <c r="D1321" s="8" t="s">
        <v>2507</v>
      </c>
      <c r="E1321" s="5" t="s">
        <v>2508</v>
      </c>
      <c r="F1321" s="5" t="str">
        <f t="shared" si="20"/>
        <v>ampilo.se</v>
      </c>
      <c r="G1321" s="5" t="s">
        <v>4</v>
      </c>
      <c r="H1321" s="5" t="s">
        <v>5</v>
      </c>
      <c r="I1321" s="6">
        <v>45439</v>
      </c>
    </row>
    <row r="1322" spans="1:9" ht="13.5">
      <c r="A1322" s="2" t="s">
        <v>435</v>
      </c>
      <c r="B1322" s="3"/>
      <c r="C1322" s="91" t="s">
        <v>2509</v>
      </c>
      <c r="D1322" s="105" t="s">
        <v>1384</v>
      </c>
      <c r="E1322" s="166" t="s">
        <v>839</v>
      </c>
      <c r="F1322" s="5" t="str">
        <f t="shared" si="20"/>
        <v>fairinvestments.se</v>
      </c>
      <c r="G1322" s="5" t="s">
        <v>1344</v>
      </c>
      <c r="H1322" s="5" t="s">
        <v>5</v>
      </c>
      <c r="I1322" s="116">
        <v>45439</v>
      </c>
    </row>
    <row r="1323" spans="1:9" ht="13.5">
      <c r="A1323" s="2" t="s">
        <v>1301</v>
      </c>
      <c r="B1323" s="3"/>
      <c r="C1323" s="71" t="s">
        <v>2510</v>
      </c>
      <c r="D1323" s="8" t="s">
        <v>1303</v>
      </c>
      <c r="E1323" s="5" t="s">
        <v>1304</v>
      </c>
      <c r="F1323" s="5" t="str">
        <f t="shared" si="20"/>
        <v>w3solenergi.se</v>
      </c>
      <c r="G1323" s="5" t="s">
        <v>4</v>
      </c>
      <c r="H1323" s="5" t="s">
        <v>5</v>
      </c>
      <c r="I1323" s="6">
        <v>45439</v>
      </c>
    </row>
    <row r="1324" spans="1:9" ht="13.5">
      <c r="A1324" s="2" t="s">
        <v>1301</v>
      </c>
      <c r="B1324" s="3"/>
      <c r="C1324" s="71" t="s">
        <v>2511</v>
      </c>
      <c r="D1324" s="8" t="s">
        <v>2093</v>
      </c>
      <c r="E1324" s="5" t="s">
        <v>2094</v>
      </c>
      <c r="F1324" s="5" t="str">
        <f t="shared" si="20"/>
        <v>w3solenergi.se</v>
      </c>
      <c r="G1324" s="5" t="s">
        <v>4</v>
      </c>
      <c r="H1324" s="5" t="s">
        <v>5</v>
      </c>
      <c r="I1324" s="6">
        <v>45439</v>
      </c>
    </row>
    <row r="1325" spans="1:9" ht="13.5">
      <c r="A1325" s="2" t="s">
        <v>1180</v>
      </c>
      <c r="B1325" s="3"/>
      <c r="C1325" s="73" t="s">
        <v>2512</v>
      </c>
      <c r="D1325" s="87" t="s">
        <v>2513</v>
      </c>
      <c r="E1325" s="171" t="s">
        <v>2514</v>
      </c>
      <c r="F1325" s="5" t="str">
        <f t="shared" si="20"/>
        <v>e-ciggbolaget.se</v>
      </c>
      <c r="G1325" s="5" t="s">
        <v>4</v>
      </c>
      <c r="H1325" s="5" t="s">
        <v>5</v>
      </c>
      <c r="I1325" s="6">
        <v>45440</v>
      </c>
    </row>
    <row r="1326" spans="1:9" ht="13.5">
      <c r="A1326" s="2" t="s">
        <v>1180</v>
      </c>
      <c r="B1326" s="3"/>
      <c r="C1326" s="73" t="s">
        <v>2515</v>
      </c>
      <c r="D1326" s="87" t="s">
        <v>1898</v>
      </c>
      <c r="E1326" s="171" t="s">
        <v>2319</v>
      </c>
      <c r="F1326" s="5" t="str">
        <f t="shared" si="20"/>
        <v>e-ciggbolaget.se</v>
      </c>
      <c r="G1326" s="5" t="s">
        <v>4</v>
      </c>
      <c r="H1326" s="5" t="s">
        <v>5</v>
      </c>
      <c r="I1326" s="6">
        <v>45440</v>
      </c>
    </row>
    <row r="1327" spans="1:9" ht="13.5">
      <c r="A1327" s="2" t="s">
        <v>1180</v>
      </c>
      <c r="B1327" s="3"/>
      <c r="C1327" s="73" t="s">
        <v>2516</v>
      </c>
      <c r="D1327" s="87" t="s">
        <v>2517</v>
      </c>
      <c r="E1327" s="171" t="s">
        <v>2518</v>
      </c>
      <c r="F1327" s="5" t="str">
        <f t="shared" si="20"/>
        <v>e-ciggbolaget.se</v>
      </c>
      <c r="G1327" s="5" t="s">
        <v>4</v>
      </c>
      <c r="H1327" s="5" t="s">
        <v>5</v>
      </c>
      <c r="I1327" s="6">
        <v>45440</v>
      </c>
    </row>
    <row r="1328" spans="1:9" ht="13.5">
      <c r="A1328" s="2" t="s">
        <v>1180</v>
      </c>
      <c r="B1328" s="3"/>
      <c r="C1328" s="73" t="s">
        <v>2519</v>
      </c>
      <c r="D1328" s="87" t="s">
        <v>2204</v>
      </c>
      <c r="E1328" s="171" t="s">
        <v>1968</v>
      </c>
      <c r="F1328" s="5" t="str">
        <f t="shared" si="20"/>
        <v>e-ciggbolaget.se</v>
      </c>
      <c r="G1328" s="5" t="s">
        <v>4</v>
      </c>
      <c r="H1328" s="5" t="s">
        <v>5</v>
      </c>
      <c r="I1328" s="6">
        <v>45440</v>
      </c>
    </row>
    <row r="1329" spans="1:9" ht="13.5">
      <c r="A1329" s="2" t="s">
        <v>1180</v>
      </c>
      <c r="B1329" s="3"/>
      <c r="C1329" s="73" t="s">
        <v>2520</v>
      </c>
      <c r="D1329" s="87" t="s">
        <v>2521</v>
      </c>
      <c r="E1329" s="171" t="s">
        <v>1959</v>
      </c>
      <c r="F1329" s="5" t="str">
        <f t="shared" si="20"/>
        <v>e-ciggbolaget.se</v>
      </c>
      <c r="G1329" s="5" t="s">
        <v>4</v>
      </c>
      <c r="H1329" s="5" t="s">
        <v>5</v>
      </c>
      <c r="I1329" s="6">
        <v>45440</v>
      </c>
    </row>
    <row r="1330" spans="1:9" ht="13.5">
      <c r="A1330" s="2" t="s">
        <v>1180</v>
      </c>
      <c r="B1330" s="3"/>
      <c r="C1330" s="71" t="s">
        <v>2522</v>
      </c>
      <c r="D1330" s="4" t="s">
        <v>2521</v>
      </c>
      <c r="E1330" s="5" t="s">
        <v>655</v>
      </c>
      <c r="F1330" s="5" t="str">
        <f t="shared" si="20"/>
        <v>e-ciggbolaget.se</v>
      </c>
      <c r="G1330" s="5" t="s">
        <v>4</v>
      </c>
      <c r="H1330" s="5" t="s">
        <v>5</v>
      </c>
      <c r="I1330" s="6">
        <v>45440</v>
      </c>
    </row>
    <row r="1331" spans="1:9" ht="13.5">
      <c r="A1331" s="2" t="s">
        <v>1180</v>
      </c>
      <c r="B1331" s="3"/>
      <c r="C1331" s="71" t="s">
        <v>2523</v>
      </c>
      <c r="D1331" s="4" t="s">
        <v>1180</v>
      </c>
      <c r="E1331" s="9" t="s">
        <v>2524</v>
      </c>
      <c r="F1331" s="5" t="str">
        <f t="shared" si="20"/>
        <v>e-ciggbolaget.se</v>
      </c>
      <c r="G1331" s="5" t="s">
        <v>4</v>
      </c>
      <c r="H1331" s="5" t="s">
        <v>5</v>
      </c>
      <c r="I1331" s="6">
        <v>45440</v>
      </c>
    </row>
    <row r="1332" spans="1:9" ht="13.5">
      <c r="A1332" s="2" t="s">
        <v>1180</v>
      </c>
      <c r="B1332" s="3"/>
      <c r="C1332" s="71" t="s">
        <v>2525</v>
      </c>
      <c r="D1332" s="4" t="s">
        <v>1180</v>
      </c>
      <c r="E1332" s="5" t="s">
        <v>2526</v>
      </c>
      <c r="F1332" s="5" t="str">
        <f t="shared" si="20"/>
        <v>e-ciggbolaget.se</v>
      </c>
      <c r="G1332" s="5" t="s">
        <v>4</v>
      </c>
      <c r="H1332" s="5" t="s">
        <v>5</v>
      </c>
      <c r="I1332" s="6">
        <v>45440</v>
      </c>
    </row>
    <row r="1333" spans="1:9" ht="13.5">
      <c r="A1333" s="2" t="s">
        <v>1318</v>
      </c>
      <c r="B1333" s="3"/>
      <c r="C1333" s="71" t="s">
        <v>2527</v>
      </c>
      <c r="D1333" s="4" t="s">
        <v>1942</v>
      </c>
      <c r="E1333" s="5" t="s">
        <v>1943</v>
      </c>
      <c r="F1333" s="5" t="str">
        <f t="shared" si="20"/>
        <v>spelklubben.se</v>
      </c>
      <c r="G1333" s="5" t="s">
        <v>4</v>
      </c>
      <c r="H1333" s="5" t="s">
        <v>5</v>
      </c>
      <c r="I1333" s="6">
        <v>45440</v>
      </c>
    </row>
    <row r="1334" spans="1:9" ht="13.5">
      <c r="A1334" s="2" t="s">
        <v>1318</v>
      </c>
      <c r="B1334" s="3"/>
      <c r="C1334" s="71" t="s">
        <v>2528</v>
      </c>
      <c r="D1334" s="4" t="s">
        <v>1942</v>
      </c>
      <c r="E1334" s="5" t="s">
        <v>1951</v>
      </c>
      <c r="F1334" s="5" t="str">
        <f t="shared" si="20"/>
        <v>spelklubben.se</v>
      </c>
      <c r="G1334" s="5" t="s">
        <v>4</v>
      </c>
      <c r="H1334" s="5" t="s">
        <v>5</v>
      </c>
      <c r="I1334" s="6">
        <v>45440</v>
      </c>
    </row>
    <row r="1335" spans="1:9" ht="13.5">
      <c r="A1335" s="2" t="s">
        <v>1318</v>
      </c>
      <c r="B1335" s="3"/>
      <c r="C1335" s="71" t="s">
        <v>2529</v>
      </c>
      <c r="D1335" s="4" t="s">
        <v>1870</v>
      </c>
      <c r="E1335" s="5" t="s">
        <v>1947</v>
      </c>
      <c r="F1335" s="5" t="str">
        <f t="shared" si="20"/>
        <v>spelklubben.se</v>
      </c>
      <c r="G1335" s="5" t="s">
        <v>4</v>
      </c>
      <c r="H1335" s="5" t="s">
        <v>5</v>
      </c>
      <c r="I1335" s="6">
        <v>45440</v>
      </c>
    </row>
    <row r="1336" spans="1:9" ht="13.5">
      <c r="A1336" s="2" t="s">
        <v>2231</v>
      </c>
      <c r="B1336" s="3"/>
      <c r="C1336" s="71" t="s">
        <v>2530</v>
      </c>
      <c r="D1336" s="4" t="s">
        <v>2233</v>
      </c>
      <c r="E1336" s="5" t="s">
        <v>2234</v>
      </c>
      <c r="F1336" s="5" t="str">
        <f t="shared" si="20"/>
        <v>gordetmedrw.se</v>
      </c>
      <c r="G1336" s="5" t="s">
        <v>4</v>
      </c>
      <c r="H1336" s="5" t="s">
        <v>5</v>
      </c>
      <c r="I1336" s="6">
        <v>45440</v>
      </c>
    </row>
    <row r="1337" spans="1:9" ht="13.5">
      <c r="A1337" s="2" t="s">
        <v>435</v>
      </c>
      <c r="B1337" s="3"/>
      <c r="C1337" s="73" t="s">
        <v>2531</v>
      </c>
      <c r="D1337" s="105" t="s">
        <v>2532</v>
      </c>
      <c r="E1337" s="72" t="s">
        <v>2533</v>
      </c>
      <c r="F1337" s="5" t="str">
        <f t="shared" si="20"/>
        <v>fairinvestments.se</v>
      </c>
      <c r="G1337" s="5" t="s">
        <v>4</v>
      </c>
      <c r="H1337" s="5" t="s">
        <v>5</v>
      </c>
      <c r="I1337" s="6">
        <v>45440</v>
      </c>
    </row>
    <row r="1338" spans="1:9" ht="13.5">
      <c r="A1338" s="2" t="s">
        <v>435</v>
      </c>
      <c r="B1338" s="3"/>
      <c r="C1338" s="73" t="s">
        <v>2534</v>
      </c>
      <c r="D1338" s="105" t="s">
        <v>1384</v>
      </c>
      <c r="E1338" s="5" t="s">
        <v>2535</v>
      </c>
      <c r="F1338" s="5" t="str">
        <f t="shared" si="20"/>
        <v>fairinvestments.se</v>
      </c>
      <c r="G1338" s="5" t="s">
        <v>4</v>
      </c>
      <c r="H1338" s="5" t="s">
        <v>5</v>
      </c>
      <c r="I1338" s="6">
        <v>45440</v>
      </c>
    </row>
    <row r="1339" spans="1:9" ht="13.5">
      <c r="A1339" s="2" t="s">
        <v>435</v>
      </c>
      <c r="B1339" s="3"/>
      <c r="C1339" s="73" t="s">
        <v>2536</v>
      </c>
      <c r="D1339" s="105" t="s">
        <v>973</v>
      </c>
      <c r="E1339" s="5" t="s">
        <v>2537</v>
      </c>
      <c r="F1339" s="5" t="str">
        <f t="shared" si="20"/>
        <v>fairinvestments.se</v>
      </c>
      <c r="G1339" s="5" t="s">
        <v>4</v>
      </c>
      <c r="H1339" s="5" t="s">
        <v>5</v>
      </c>
      <c r="I1339" s="6">
        <v>45440</v>
      </c>
    </row>
    <row r="1340" spans="1:9" ht="13.5">
      <c r="A1340" s="2" t="s">
        <v>435</v>
      </c>
      <c r="B1340" s="3"/>
      <c r="C1340" s="73" t="s">
        <v>2538</v>
      </c>
      <c r="D1340" s="105" t="s">
        <v>1413</v>
      </c>
      <c r="E1340" s="5" t="s">
        <v>2539</v>
      </c>
      <c r="F1340" s="5" t="str">
        <f t="shared" si="20"/>
        <v>fairinvestments.se</v>
      </c>
      <c r="G1340" s="5" t="s">
        <v>4</v>
      </c>
      <c r="H1340" s="5" t="s">
        <v>5</v>
      </c>
      <c r="I1340" s="6">
        <v>45440</v>
      </c>
    </row>
    <row r="1341" spans="1:9" ht="13.5">
      <c r="A1341" s="2" t="s">
        <v>435</v>
      </c>
      <c r="B1341" s="3"/>
      <c r="C1341" s="73" t="s">
        <v>2540</v>
      </c>
      <c r="D1341" s="105" t="s">
        <v>1446</v>
      </c>
      <c r="E1341" s="5" t="s">
        <v>2541</v>
      </c>
      <c r="F1341" s="5" t="str">
        <f t="shared" si="20"/>
        <v>fairinvestments.se</v>
      </c>
      <c r="G1341" s="5" t="s">
        <v>4</v>
      </c>
      <c r="H1341" s="5" t="s">
        <v>5</v>
      </c>
      <c r="I1341" s="6">
        <v>45440</v>
      </c>
    </row>
    <row r="1342" spans="1:9" ht="13.5">
      <c r="A1342" s="2" t="s">
        <v>846</v>
      </c>
      <c r="B1342" s="3"/>
      <c r="C1342" s="73" t="s">
        <v>2542</v>
      </c>
      <c r="D1342" s="105" t="s">
        <v>848</v>
      </c>
      <c r="E1342" s="5" t="s">
        <v>963</v>
      </c>
      <c r="F1342" s="5" t="str">
        <f t="shared" si="20"/>
        <v>tandea.se</v>
      </c>
      <c r="G1342" s="5" t="s">
        <v>4</v>
      </c>
      <c r="H1342" s="5" t="s">
        <v>5</v>
      </c>
      <c r="I1342" s="6">
        <v>45440</v>
      </c>
    </row>
    <row r="1343" spans="1:9" ht="13.5">
      <c r="A1343" s="2" t="s">
        <v>2205</v>
      </c>
      <c r="B1343" s="3"/>
      <c r="C1343" s="73" t="s">
        <v>2543</v>
      </c>
      <c r="D1343" s="105" t="s">
        <v>2207</v>
      </c>
      <c r="E1343" s="5" t="s">
        <v>2208</v>
      </c>
      <c r="F1343" s="5" t="str">
        <f t="shared" si="20"/>
        <v>Aaatak.se</v>
      </c>
      <c r="G1343" s="5" t="s">
        <v>4</v>
      </c>
      <c r="H1343" s="5" t="s">
        <v>5</v>
      </c>
      <c r="I1343" s="6">
        <v>45440</v>
      </c>
    </row>
    <row r="1344" spans="1:9" ht="13.5">
      <c r="A1344" s="7" t="s">
        <v>329</v>
      </c>
      <c r="B1344" s="3"/>
      <c r="C1344" s="73" t="s">
        <v>2544</v>
      </c>
      <c r="D1344" s="87" t="s">
        <v>2399</v>
      </c>
      <c r="E1344" s="5" t="s">
        <v>1553</v>
      </c>
      <c r="F1344" s="5" t="str">
        <f t="shared" si="20"/>
        <v>vont</v>
      </c>
      <c r="G1344" s="5" t="s">
        <v>4</v>
      </c>
      <c r="H1344" s="5" t="s">
        <v>5</v>
      </c>
      <c r="I1344" s="6">
        <v>45440</v>
      </c>
    </row>
    <row r="1345" spans="1:9" ht="13.5">
      <c r="A1345" s="2" t="s">
        <v>2244</v>
      </c>
      <c r="B1345" s="3"/>
      <c r="C1345" s="73" t="s">
        <v>2545</v>
      </c>
      <c r="D1345" s="167" t="s">
        <v>2246</v>
      </c>
      <c r="E1345" s="5" t="s">
        <v>2546</v>
      </c>
      <c r="F1345" s="5" t="str">
        <f t="shared" si="20"/>
        <v>restate.se</v>
      </c>
      <c r="G1345" s="5" t="s">
        <v>4</v>
      </c>
      <c r="H1345" s="5" t="s">
        <v>5</v>
      </c>
      <c r="I1345" s="6">
        <v>45440</v>
      </c>
    </row>
    <row r="1346" spans="1:9" ht="14.25">
      <c r="A1346" s="2" t="s">
        <v>2248</v>
      </c>
      <c r="B1346" s="3"/>
      <c r="C1346" s="73" t="s">
        <v>2547</v>
      </c>
      <c r="D1346" s="172" t="s">
        <v>2250</v>
      </c>
      <c r="E1346" s="5" t="s">
        <v>2548</v>
      </c>
      <c r="F1346" s="5" t="str">
        <f t="shared" si="20"/>
        <v>storgruppen.se</v>
      </c>
      <c r="G1346" s="5" t="s">
        <v>4</v>
      </c>
      <c r="H1346" s="5" t="s">
        <v>5</v>
      </c>
      <c r="I1346" s="6">
        <v>45440</v>
      </c>
    </row>
    <row r="1347" spans="1:9" ht="13.5">
      <c r="A1347" s="2" t="s">
        <v>2549</v>
      </c>
      <c r="B1347" s="3"/>
      <c r="C1347" s="73" t="s">
        <v>2550</v>
      </c>
      <c r="D1347" s="167" t="s">
        <v>2551</v>
      </c>
      <c r="E1347" s="9" t="s">
        <v>2551</v>
      </c>
      <c r="F1347" s="5" t="str">
        <f t="shared" ref="F1347:F1410" si="21">A1347</f>
        <v>purakliniken.se</v>
      </c>
      <c r="G1347" s="5" t="s">
        <v>4</v>
      </c>
      <c r="H1347" s="5" t="s">
        <v>5</v>
      </c>
      <c r="I1347" s="6">
        <v>45440</v>
      </c>
    </row>
    <row r="1348" spans="1:9" ht="13.5">
      <c r="A1348" s="2" t="s">
        <v>435</v>
      </c>
      <c r="B1348" s="3"/>
      <c r="C1348" s="91" t="s">
        <v>2552</v>
      </c>
      <c r="D1348" s="105" t="s">
        <v>1704</v>
      </c>
      <c r="E1348" s="166" t="s">
        <v>1705</v>
      </c>
      <c r="F1348" s="5" t="str">
        <f t="shared" si="21"/>
        <v>fairinvestments.se</v>
      </c>
      <c r="G1348" s="5" t="s">
        <v>1660</v>
      </c>
      <c r="H1348" s="5" t="s">
        <v>5</v>
      </c>
      <c r="I1348" s="116">
        <v>45440</v>
      </c>
    </row>
    <row r="1349" spans="1:9" ht="13.5">
      <c r="A1349" s="2" t="s">
        <v>2127</v>
      </c>
      <c r="B1349" s="3"/>
      <c r="C1349" s="91" t="s">
        <v>2553</v>
      </c>
      <c r="D1349" s="105" t="s">
        <v>2129</v>
      </c>
      <c r="E1349" s="158" t="s">
        <v>2554</v>
      </c>
      <c r="F1349" s="5" t="str">
        <f t="shared" si="21"/>
        <v>startmotor.se</v>
      </c>
      <c r="G1349" s="5" t="s">
        <v>1344</v>
      </c>
      <c r="H1349" s="5" t="s">
        <v>5</v>
      </c>
      <c r="I1349" s="116">
        <v>45440</v>
      </c>
    </row>
    <row r="1350" spans="1:9" ht="13.5">
      <c r="A1350" s="2" t="s">
        <v>435</v>
      </c>
      <c r="B1350" s="3"/>
      <c r="C1350" s="91" t="s">
        <v>2555</v>
      </c>
      <c r="D1350" s="105" t="s">
        <v>1446</v>
      </c>
      <c r="E1350" s="166" t="s">
        <v>1705</v>
      </c>
      <c r="F1350" s="5" t="str">
        <f t="shared" si="21"/>
        <v>fairinvestments.se</v>
      </c>
      <c r="G1350" s="5" t="s">
        <v>1643</v>
      </c>
      <c r="H1350" s="5" t="s">
        <v>5</v>
      </c>
      <c r="I1350" s="116">
        <v>45441</v>
      </c>
    </row>
    <row r="1351" spans="1:9" ht="13.5">
      <c r="A1351" s="2" t="s">
        <v>846</v>
      </c>
      <c r="B1351" s="3"/>
      <c r="C1351" s="91" t="s">
        <v>2556</v>
      </c>
      <c r="D1351" s="105" t="s">
        <v>848</v>
      </c>
      <c r="E1351" s="158" t="s">
        <v>2557</v>
      </c>
      <c r="F1351" s="5" t="str">
        <f t="shared" si="21"/>
        <v>tandea.se</v>
      </c>
      <c r="G1351" s="5" t="s">
        <v>1643</v>
      </c>
      <c r="H1351" s="5" t="s">
        <v>5</v>
      </c>
      <c r="I1351" s="116">
        <v>45441</v>
      </c>
    </row>
    <row r="1352" spans="1:9" ht="13.5">
      <c r="A1352" s="2" t="s">
        <v>1667</v>
      </c>
      <c r="B1352" s="3"/>
      <c r="C1352" s="71" t="s">
        <v>2558</v>
      </c>
      <c r="D1352" s="4" t="s">
        <v>2301</v>
      </c>
      <c r="E1352" s="5" t="s">
        <v>2559</v>
      </c>
      <c r="F1352" s="5" t="str">
        <f t="shared" si="21"/>
        <v>Alfa.se</v>
      </c>
      <c r="G1352" s="5" t="s">
        <v>4</v>
      </c>
      <c r="H1352" s="5" t="s">
        <v>5</v>
      </c>
      <c r="I1352" s="6">
        <v>45442</v>
      </c>
    </row>
    <row r="1353" spans="1:9" ht="13.5">
      <c r="A1353" s="2" t="s">
        <v>1318</v>
      </c>
      <c r="B1353" s="3"/>
      <c r="C1353" s="71" t="s">
        <v>2560</v>
      </c>
      <c r="D1353" s="4" t="s">
        <v>1942</v>
      </c>
      <c r="E1353" s="5" t="s">
        <v>2561</v>
      </c>
      <c r="F1353" s="5" t="str">
        <f t="shared" si="21"/>
        <v>spelklubben.se</v>
      </c>
      <c r="G1353" s="5" t="s">
        <v>4</v>
      </c>
      <c r="H1353" s="5" t="s">
        <v>5</v>
      </c>
      <c r="I1353" s="6">
        <v>45442</v>
      </c>
    </row>
    <row r="1354" spans="1:9" ht="13.5">
      <c r="A1354" s="2" t="s">
        <v>1750</v>
      </c>
      <c r="B1354" s="3"/>
      <c r="C1354" s="71" t="s">
        <v>2562</v>
      </c>
      <c r="D1354" s="4" t="s">
        <v>2563</v>
      </c>
      <c r="E1354" s="5" t="s">
        <v>2564</v>
      </c>
      <c r="F1354" s="5" t="str">
        <f t="shared" si="21"/>
        <v>cannabislight.se</v>
      </c>
      <c r="G1354" s="5" t="s">
        <v>4</v>
      </c>
      <c r="H1354" s="5" t="s">
        <v>5</v>
      </c>
      <c r="I1354" s="6">
        <v>45442</v>
      </c>
    </row>
    <row r="1355" spans="1:9" ht="13.5">
      <c r="A1355" s="2" t="s">
        <v>723</v>
      </c>
      <c r="B1355" s="3"/>
      <c r="C1355" s="128" t="s">
        <v>2565</v>
      </c>
      <c r="D1355" s="128" t="s">
        <v>2138</v>
      </c>
      <c r="E1355" s="76" t="s">
        <v>2566</v>
      </c>
      <c r="F1355" s="5" t="str">
        <f t="shared" si="21"/>
        <v>aretrotale.com</v>
      </c>
      <c r="G1355" s="5" t="s">
        <v>1643</v>
      </c>
      <c r="H1355" s="5" t="s">
        <v>23</v>
      </c>
      <c r="I1355" s="116">
        <v>45442</v>
      </c>
    </row>
    <row r="1356" spans="1:9" ht="13.5">
      <c r="A1356" s="2" t="s">
        <v>435</v>
      </c>
      <c r="B1356" s="3"/>
      <c r="C1356" s="91" t="s">
        <v>2567</v>
      </c>
      <c r="D1356" s="105" t="s">
        <v>2568</v>
      </c>
      <c r="E1356" s="168" t="s">
        <v>2569</v>
      </c>
      <c r="F1356" s="5" t="str">
        <f t="shared" si="21"/>
        <v>fairinvestments.se</v>
      </c>
      <c r="G1356" s="5" t="s">
        <v>1660</v>
      </c>
      <c r="H1356" s="5" t="s">
        <v>5</v>
      </c>
      <c r="I1356" s="116">
        <v>45443</v>
      </c>
    </row>
    <row r="1357" spans="1:9" ht="13.5">
      <c r="A1357" s="7" t="s">
        <v>329</v>
      </c>
      <c r="B1357" s="3"/>
      <c r="C1357" s="91" t="s">
        <v>2570</v>
      </c>
      <c r="D1357" s="105" t="s">
        <v>1488</v>
      </c>
      <c r="E1357" s="76" t="s">
        <v>2571</v>
      </c>
      <c r="F1357" s="5" t="str">
        <f t="shared" si="21"/>
        <v>vont</v>
      </c>
      <c r="G1357" s="5" t="s">
        <v>1643</v>
      </c>
      <c r="H1357" s="5" t="s">
        <v>5</v>
      </c>
      <c r="I1357" s="116">
        <v>45443</v>
      </c>
    </row>
    <row r="1358" spans="1:9" ht="13.5">
      <c r="A1358" s="2" t="s">
        <v>1466</v>
      </c>
      <c r="B1358" s="3"/>
      <c r="C1358" s="5" t="s">
        <v>2572</v>
      </c>
      <c r="D1358" s="5" t="s">
        <v>1468</v>
      </c>
      <c r="E1358" s="5" t="s">
        <v>2573</v>
      </c>
      <c r="F1358" s="5" t="str">
        <f t="shared" si="21"/>
        <v>svenskaeljouren.se</v>
      </c>
      <c r="G1358" s="5" t="s">
        <v>4</v>
      </c>
      <c r="H1358" s="5" t="s">
        <v>5</v>
      </c>
      <c r="I1358" s="6">
        <v>45443</v>
      </c>
    </row>
    <row r="1359" spans="1:9" ht="13.5">
      <c r="A1359" s="2" t="s">
        <v>1466</v>
      </c>
      <c r="B1359" s="3"/>
      <c r="C1359" s="5" t="s">
        <v>2574</v>
      </c>
      <c r="D1359" s="5" t="s">
        <v>1468</v>
      </c>
      <c r="E1359" s="5" t="s">
        <v>1468</v>
      </c>
      <c r="F1359" s="5" t="str">
        <f t="shared" si="21"/>
        <v>svenskaeljouren.se</v>
      </c>
      <c r="G1359" s="5" t="s">
        <v>4</v>
      </c>
      <c r="H1359" s="5" t="s">
        <v>5</v>
      </c>
      <c r="I1359" s="6">
        <v>45443</v>
      </c>
    </row>
    <row r="1360" spans="1:9" ht="13.5">
      <c r="A1360" s="7" t="s">
        <v>1557</v>
      </c>
      <c r="B1360" s="3"/>
      <c r="C1360" s="5" t="s">
        <v>2575</v>
      </c>
      <c r="D1360" s="5" t="s">
        <v>2576</v>
      </c>
      <c r="E1360" s="5" t="s">
        <v>2577</v>
      </c>
      <c r="F1360" s="5" t="str">
        <f t="shared" si="21"/>
        <v>rörmokare.nu</v>
      </c>
      <c r="G1360" s="5" t="s">
        <v>4</v>
      </c>
      <c r="H1360" s="5" t="s">
        <v>5</v>
      </c>
      <c r="I1360" s="6">
        <v>45443</v>
      </c>
    </row>
    <row r="1361" spans="1:9" ht="13.5">
      <c r="A1361" s="7" t="s">
        <v>1559</v>
      </c>
      <c r="B1361" s="3"/>
      <c r="C1361" s="5" t="s">
        <v>2578</v>
      </c>
      <c r="D1361" s="5" t="s">
        <v>2579</v>
      </c>
      <c r="E1361" s="5" t="s">
        <v>2580</v>
      </c>
      <c r="F1361" s="5" t="str">
        <f t="shared" si="21"/>
        <v>rorjour247.se</v>
      </c>
      <c r="G1361" s="5" t="s">
        <v>4</v>
      </c>
      <c r="H1361" s="5" t="s">
        <v>5</v>
      </c>
      <c r="I1361" s="6">
        <v>45443</v>
      </c>
    </row>
    <row r="1362" spans="1:9" ht="13.5">
      <c r="A1362" s="7" t="s">
        <v>1559</v>
      </c>
      <c r="B1362" s="3"/>
      <c r="C1362" s="5" t="s">
        <v>2581</v>
      </c>
      <c r="D1362" s="5" t="s">
        <v>1561</v>
      </c>
      <c r="E1362" s="5" t="s">
        <v>2582</v>
      </c>
      <c r="F1362" s="5" t="str">
        <f t="shared" si="21"/>
        <v>rorjour247.se</v>
      </c>
      <c r="G1362" s="5" t="s">
        <v>4</v>
      </c>
      <c r="H1362" s="5" t="s">
        <v>5</v>
      </c>
      <c r="I1362" s="6">
        <v>45443</v>
      </c>
    </row>
    <row r="1363" spans="1:9" ht="13.5">
      <c r="A1363" s="2" t="s">
        <v>1750</v>
      </c>
      <c r="B1363" s="3"/>
      <c r="C1363" s="71" t="s">
        <v>2583</v>
      </c>
      <c r="D1363" s="4" t="s">
        <v>1752</v>
      </c>
      <c r="E1363" s="5" t="s">
        <v>2584</v>
      </c>
      <c r="F1363" s="5" t="str">
        <f t="shared" si="21"/>
        <v>cannabislight.se</v>
      </c>
      <c r="G1363" s="5" t="s">
        <v>4</v>
      </c>
      <c r="H1363" s="5" t="s">
        <v>5</v>
      </c>
      <c r="I1363" s="6">
        <v>45446</v>
      </c>
    </row>
    <row r="1364" spans="1:9" ht="13.5">
      <c r="A1364" s="2" t="s">
        <v>2240</v>
      </c>
      <c r="B1364" s="3"/>
      <c r="C1364" s="71" t="s">
        <v>2585</v>
      </c>
      <c r="D1364" s="4" t="s">
        <v>2242</v>
      </c>
      <c r="E1364" s="5" t="s">
        <v>2586</v>
      </c>
      <c r="F1364" s="5" t="str">
        <f t="shared" si="21"/>
        <v>mrnicco.com</v>
      </c>
      <c r="G1364" s="5" t="s">
        <v>4</v>
      </c>
      <c r="H1364" s="5" t="s">
        <v>2243</v>
      </c>
      <c r="I1364" s="6">
        <v>45446</v>
      </c>
    </row>
    <row r="1365" spans="1:9" ht="13.5">
      <c r="A1365" s="2" t="s">
        <v>2428</v>
      </c>
      <c r="B1365" s="3"/>
      <c r="C1365" s="96" t="s">
        <v>2587</v>
      </c>
      <c r="D1365" s="97" t="s">
        <v>2430</v>
      </c>
      <c r="E1365" s="79" t="s">
        <v>2588</v>
      </c>
      <c r="F1365" s="5" t="str">
        <f t="shared" si="21"/>
        <v>sakraror.se</v>
      </c>
      <c r="G1365" s="5" t="s">
        <v>4</v>
      </c>
      <c r="H1365" s="5" t="s">
        <v>5</v>
      </c>
      <c r="I1365" s="173">
        <v>45448</v>
      </c>
    </row>
    <row r="1366" spans="1:9" ht="13.5">
      <c r="A1366" s="2" t="s">
        <v>2205</v>
      </c>
      <c r="B1366" s="3"/>
      <c r="C1366" s="174" t="s">
        <v>2589</v>
      </c>
      <c r="D1366" s="4" t="s">
        <v>2207</v>
      </c>
      <c r="E1366" s="79" t="s">
        <v>2325</v>
      </c>
      <c r="F1366" s="5" t="str">
        <f t="shared" si="21"/>
        <v>Aaatak.se</v>
      </c>
      <c r="G1366" s="5" t="s">
        <v>4</v>
      </c>
      <c r="H1366" s="5" t="s">
        <v>5</v>
      </c>
      <c r="I1366" s="116">
        <v>45453</v>
      </c>
    </row>
    <row r="1367" spans="1:9" ht="13.5">
      <c r="A1367" s="2" t="s">
        <v>689</v>
      </c>
      <c r="B1367" s="3"/>
      <c r="C1367" s="174" t="s">
        <v>2590</v>
      </c>
      <c r="D1367" s="87" t="s">
        <v>2591</v>
      </c>
      <c r="E1367" s="79" t="s">
        <v>2084</v>
      </c>
      <c r="F1367" s="5" t="str">
        <f t="shared" si="21"/>
        <v>conclean.se</v>
      </c>
      <c r="G1367" s="5" t="s">
        <v>4</v>
      </c>
      <c r="H1367" s="5" t="s">
        <v>5</v>
      </c>
      <c r="I1367" s="6">
        <v>45453</v>
      </c>
    </row>
    <row r="1368" spans="1:9" ht="13.5">
      <c r="A1368" s="2" t="s">
        <v>2592</v>
      </c>
      <c r="B1368" s="3"/>
      <c r="C1368" s="174" t="s">
        <v>2593</v>
      </c>
      <c r="D1368" s="105" t="s">
        <v>2594</v>
      </c>
      <c r="E1368" s="76" t="s">
        <v>2595</v>
      </c>
      <c r="F1368" s="5" t="str">
        <f t="shared" si="21"/>
        <v>everynightstudios.com</v>
      </c>
      <c r="G1368" s="5" t="s">
        <v>4</v>
      </c>
      <c r="H1368" s="5" t="s">
        <v>5</v>
      </c>
      <c r="I1368" s="6">
        <v>45454</v>
      </c>
    </row>
    <row r="1369" spans="1:9" ht="13.5">
      <c r="A1369" s="2" t="s">
        <v>435</v>
      </c>
      <c r="B1369" s="3"/>
      <c r="C1369" s="174" t="s">
        <v>2596</v>
      </c>
      <c r="D1369" s="87" t="s">
        <v>973</v>
      </c>
      <c r="E1369" s="76" t="s">
        <v>2597</v>
      </c>
      <c r="F1369" s="5" t="str">
        <f t="shared" si="21"/>
        <v>fairinvestments.se</v>
      </c>
      <c r="G1369" s="5" t="s">
        <v>4</v>
      </c>
      <c r="H1369" s="5" t="s">
        <v>5</v>
      </c>
      <c r="I1369" s="6">
        <v>45454</v>
      </c>
    </row>
    <row r="1370" spans="1:9" ht="13.5">
      <c r="A1370" s="2" t="s">
        <v>803</v>
      </c>
      <c r="B1370" s="3"/>
      <c r="C1370" s="174" t="s">
        <v>2598</v>
      </c>
      <c r="D1370" s="105" t="s">
        <v>2599</v>
      </c>
      <c r="E1370" s="76" t="s">
        <v>2600</v>
      </c>
      <c r="F1370" s="5" t="str">
        <f t="shared" si="21"/>
        <v>foyen.se</v>
      </c>
      <c r="G1370" s="5" t="s">
        <v>4</v>
      </c>
      <c r="H1370" s="5" t="s">
        <v>5</v>
      </c>
      <c r="I1370" s="6">
        <v>45454</v>
      </c>
    </row>
    <row r="1371" spans="1:9" ht="13.5">
      <c r="A1371" s="2" t="s">
        <v>765</v>
      </c>
      <c r="B1371" s="3"/>
      <c r="C1371" s="174" t="s">
        <v>2601</v>
      </c>
      <c r="D1371" s="87" t="s">
        <v>2602</v>
      </c>
      <c r="E1371" s="76" t="s">
        <v>1234</v>
      </c>
      <c r="F1371" s="5" t="str">
        <f t="shared" si="21"/>
        <v>lemontree.se</v>
      </c>
      <c r="G1371" s="5" t="s">
        <v>4</v>
      </c>
      <c r="H1371" s="5" t="s">
        <v>5</v>
      </c>
      <c r="I1371" s="6">
        <v>45454</v>
      </c>
    </row>
    <row r="1372" spans="1:9" ht="13.5">
      <c r="A1372" s="2" t="s">
        <v>435</v>
      </c>
      <c r="B1372" s="3"/>
      <c r="C1372" s="105" t="s">
        <v>2603</v>
      </c>
      <c r="D1372" s="87" t="s">
        <v>1012</v>
      </c>
      <c r="E1372" s="76" t="s">
        <v>2604</v>
      </c>
      <c r="F1372" s="5" t="str">
        <f t="shared" si="21"/>
        <v>fairinvestments.se</v>
      </c>
      <c r="G1372" s="5" t="s">
        <v>4</v>
      </c>
      <c r="H1372" s="5" t="s">
        <v>5</v>
      </c>
      <c r="I1372" s="6">
        <v>45455</v>
      </c>
    </row>
    <row r="1373" spans="1:9" ht="13.5">
      <c r="A1373" s="2" t="s">
        <v>435</v>
      </c>
      <c r="B1373" s="3"/>
      <c r="C1373" s="105" t="s">
        <v>2605</v>
      </c>
      <c r="D1373" s="105" t="s">
        <v>1384</v>
      </c>
      <c r="E1373" s="76" t="s">
        <v>2606</v>
      </c>
      <c r="F1373" s="5" t="str">
        <f t="shared" si="21"/>
        <v>fairinvestments.se</v>
      </c>
      <c r="G1373" s="5" t="s">
        <v>4</v>
      </c>
      <c r="H1373" s="5" t="s">
        <v>5</v>
      </c>
      <c r="I1373" s="6">
        <v>45456</v>
      </c>
    </row>
    <row r="1374" spans="1:9" ht="13.5">
      <c r="A1374" s="151" t="s">
        <v>308</v>
      </c>
      <c r="B1374" s="152"/>
      <c r="C1374" s="175" t="s">
        <v>2607</v>
      </c>
      <c r="D1374" s="176" t="s">
        <v>1309</v>
      </c>
      <c r="E1374" s="155" t="s">
        <v>2608</v>
      </c>
      <c r="F1374" s="5" t="str">
        <f t="shared" si="21"/>
        <v>lansfast.se</v>
      </c>
      <c r="G1374" s="154" t="s">
        <v>4</v>
      </c>
      <c r="H1374" s="154" t="s">
        <v>5</v>
      </c>
      <c r="I1374" s="177">
        <v>45456</v>
      </c>
    </row>
    <row r="1375" spans="1:9" ht="14.25">
      <c r="A1375" s="2" t="s">
        <v>2428</v>
      </c>
      <c r="B1375" s="3"/>
      <c r="C1375" s="105" t="s">
        <v>2609</v>
      </c>
      <c r="D1375" s="114" t="s">
        <v>2430</v>
      </c>
      <c r="E1375" s="79" t="s">
        <v>2610</v>
      </c>
      <c r="F1375" s="5" t="str">
        <f t="shared" si="21"/>
        <v>sakraror.se</v>
      </c>
      <c r="G1375" s="5" t="s">
        <v>4</v>
      </c>
      <c r="H1375" s="5" t="s">
        <v>5</v>
      </c>
      <c r="I1375" s="6">
        <v>45456</v>
      </c>
    </row>
    <row r="1376" spans="1:9" ht="13.5">
      <c r="A1376" s="2" t="s">
        <v>2549</v>
      </c>
      <c r="B1376" s="3"/>
      <c r="C1376" s="96" t="s">
        <v>2611</v>
      </c>
      <c r="D1376" s="96" t="s">
        <v>2612</v>
      </c>
      <c r="E1376" s="79" t="s">
        <v>2613</v>
      </c>
      <c r="F1376" s="5" t="str">
        <f t="shared" si="21"/>
        <v>purakliniken.se</v>
      </c>
      <c r="G1376" s="5" t="s">
        <v>4</v>
      </c>
      <c r="H1376" s="5" t="s">
        <v>5</v>
      </c>
      <c r="I1376" s="173">
        <v>45457</v>
      </c>
    </row>
    <row r="1377" spans="1:9" ht="13.5">
      <c r="A1377" s="2" t="s">
        <v>1284</v>
      </c>
      <c r="B1377" s="3"/>
      <c r="C1377" s="105" t="s">
        <v>2614</v>
      </c>
      <c r="D1377" s="87" t="s">
        <v>2110</v>
      </c>
      <c r="E1377" s="79" t="s">
        <v>2111</v>
      </c>
      <c r="F1377" s="5" t="str">
        <f t="shared" si="21"/>
        <v>norteam.se</v>
      </c>
      <c r="G1377" s="5" t="s">
        <v>4</v>
      </c>
      <c r="H1377" s="5" t="s">
        <v>5</v>
      </c>
      <c r="I1377" s="6">
        <v>45457</v>
      </c>
    </row>
    <row r="1378" spans="1:9" ht="13.5">
      <c r="A1378" s="2" t="s">
        <v>846</v>
      </c>
      <c r="B1378" s="3"/>
      <c r="C1378" s="105" t="s">
        <v>2615</v>
      </c>
      <c r="D1378" s="87" t="s">
        <v>848</v>
      </c>
      <c r="E1378" s="79" t="s">
        <v>2616</v>
      </c>
      <c r="F1378" s="5" t="str">
        <f t="shared" si="21"/>
        <v>tandea.se</v>
      </c>
      <c r="G1378" s="5" t="s">
        <v>4</v>
      </c>
      <c r="H1378" s="5" t="s">
        <v>5</v>
      </c>
      <c r="I1378" s="6">
        <v>45457</v>
      </c>
    </row>
    <row r="1379" spans="1:9" ht="13.5">
      <c r="A1379" s="7" t="s">
        <v>329</v>
      </c>
      <c r="B1379" s="3"/>
      <c r="C1379" s="105" t="s">
        <v>2617</v>
      </c>
      <c r="D1379" s="87" t="s">
        <v>2399</v>
      </c>
      <c r="E1379" s="79" t="s">
        <v>2618</v>
      </c>
      <c r="F1379" s="5" t="str">
        <f t="shared" si="21"/>
        <v>vont</v>
      </c>
      <c r="G1379" s="5" t="s">
        <v>4</v>
      </c>
      <c r="H1379" s="5" t="s">
        <v>5</v>
      </c>
      <c r="I1379" s="6">
        <v>45457</v>
      </c>
    </row>
    <row r="1380" spans="1:9" ht="13.5">
      <c r="A1380" s="2" t="s">
        <v>435</v>
      </c>
      <c r="B1380" s="3"/>
      <c r="C1380" s="105" t="s">
        <v>2619</v>
      </c>
      <c r="D1380" s="87" t="s">
        <v>834</v>
      </c>
      <c r="E1380" s="76" t="s">
        <v>2620</v>
      </c>
      <c r="F1380" s="5" t="str">
        <f t="shared" si="21"/>
        <v>fairinvestments.se</v>
      </c>
      <c r="G1380" s="5" t="s">
        <v>4</v>
      </c>
      <c r="H1380" s="5" t="s">
        <v>5</v>
      </c>
      <c r="I1380" s="6">
        <v>45458</v>
      </c>
    </row>
    <row r="1381" spans="1:9" ht="13.5">
      <c r="A1381" s="7" t="s">
        <v>67</v>
      </c>
      <c r="B1381" s="3"/>
      <c r="C1381" s="105" t="s">
        <v>2621</v>
      </c>
      <c r="D1381" s="167" t="s">
        <v>2622</v>
      </c>
      <c r="E1381" s="76" t="s">
        <v>2623</v>
      </c>
      <c r="F1381" s="5" t="str">
        <f t="shared" si="21"/>
        <v>nem.health</v>
      </c>
      <c r="G1381" s="5" t="s">
        <v>4</v>
      </c>
      <c r="H1381" s="5" t="s">
        <v>5</v>
      </c>
      <c r="I1381" s="6">
        <v>45458</v>
      </c>
    </row>
    <row r="1382" spans="1:9" ht="13.5">
      <c r="A1382" s="2" t="s">
        <v>2549</v>
      </c>
      <c r="B1382" s="3"/>
      <c r="C1382" s="105" t="s">
        <v>2624</v>
      </c>
      <c r="D1382" s="105" t="s">
        <v>2625</v>
      </c>
      <c r="E1382" s="79" t="s">
        <v>2626</v>
      </c>
      <c r="F1382" s="5" t="str">
        <f t="shared" si="21"/>
        <v>purakliniken.se</v>
      </c>
      <c r="G1382" s="5" t="s">
        <v>4</v>
      </c>
      <c r="H1382" s="5" t="s">
        <v>5</v>
      </c>
      <c r="I1382" s="6">
        <v>45458</v>
      </c>
    </row>
    <row r="1383" spans="1:9" ht="13.5">
      <c r="A1383" s="2" t="s">
        <v>2244</v>
      </c>
      <c r="B1383" s="3"/>
      <c r="C1383" s="105" t="s">
        <v>2627</v>
      </c>
      <c r="D1383" s="178" t="s">
        <v>2246</v>
      </c>
      <c r="E1383" s="79" t="s">
        <v>2628</v>
      </c>
      <c r="F1383" s="5" t="str">
        <f t="shared" si="21"/>
        <v>restate.se</v>
      </c>
      <c r="G1383" s="5" t="s">
        <v>4</v>
      </c>
      <c r="H1383" s="5" t="s">
        <v>5</v>
      </c>
      <c r="I1383" s="6">
        <v>45458</v>
      </c>
    </row>
    <row r="1384" spans="1:9" ht="13.5">
      <c r="A1384" s="7" t="s">
        <v>1910</v>
      </c>
      <c r="B1384" s="3"/>
      <c r="C1384" s="96" t="s">
        <v>2629</v>
      </c>
      <c r="D1384" s="96" t="s">
        <v>1912</v>
      </c>
      <c r="E1384" s="79" t="s">
        <v>2630</v>
      </c>
      <c r="F1384" s="5" t="str">
        <f t="shared" si="21"/>
        <v>kelleher-international</v>
      </c>
      <c r="G1384" s="5" t="s">
        <v>4</v>
      </c>
      <c r="H1384" s="5" t="s">
        <v>345</v>
      </c>
      <c r="I1384" s="173">
        <v>45459</v>
      </c>
    </row>
    <row r="1385" spans="1:9" ht="13.5">
      <c r="A1385" s="2" t="s">
        <v>435</v>
      </c>
      <c r="B1385" s="3"/>
      <c r="C1385" s="105" t="s">
        <v>2631</v>
      </c>
      <c r="D1385" s="179" t="s">
        <v>2632</v>
      </c>
      <c r="E1385" s="76" t="s">
        <v>1705</v>
      </c>
      <c r="F1385" s="5" t="str">
        <f t="shared" si="21"/>
        <v>fairinvestments.se</v>
      </c>
      <c r="G1385" s="5" t="s">
        <v>4</v>
      </c>
      <c r="H1385" s="5" t="s">
        <v>5</v>
      </c>
      <c r="I1385" s="6">
        <v>45459</v>
      </c>
    </row>
    <row r="1386" spans="1:9" ht="14.25">
      <c r="A1386" s="2" t="s">
        <v>2352</v>
      </c>
      <c r="B1386" s="3"/>
      <c r="C1386" s="105" t="s">
        <v>2633</v>
      </c>
      <c r="D1386" s="114" t="s">
        <v>2634</v>
      </c>
      <c r="E1386" s="79" t="s">
        <v>2635</v>
      </c>
      <c r="F1386" s="5" t="str">
        <f t="shared" si="21"/>
        <v>seniorrabatt.se</v>
      </c>
      <c r="G1386" s="5" t="s">
        <v>4</v>
      </c>
      <c r="H1386" s="5" t="s">
        <v>5</v>
      </c>
      <c r="I1386" s="6">
        <v>45459</v>
      </c>
    </row>
    <row r="1387" spans="1:9" ht="13.5">
      <c r="A1387" s="2" t="s">
        <v>2636</v>
      </c>
      <c r="B1387" s="3"/>
      <c r="C1387" s="96" t="s">
        <v>2637</v>
      </c>
      <c r="D1387" s="96" t="s">
        <v>2638</v>
      </c>
      <c r="E1387" s="79" t="s">
        <v>2639</v>
      </c>
      <c r="F1387" s="5" t="str">
        <f t="shared" si="21"/>
        <v>kvarnx.com</v>
      </c>
      <c r="G1387" s="5" t="s">
        <v>4</v>
      </c>
      <c r="H1387" s="5" t="s">
        <v>5</v>
      </c>
      <c r="I1387" s="173">
        <v>45460</v>
      </c>
    </row>
    <row r="1388" spans="1:9" ht="13.5">
      <c r="A1388" s="2" t="s">
        <v>2640</v>
      </c>
      <c r="B1388" s="3"/>
      <c r="C1388" s="96" t="s">
        <v>2641</v>
      </c>
      <c r="D1388" s="96" t="s">
        <v>2642</v>
      </c>
      <c r="E1388" s="79" t="s">
        <v>1477</v>
      </c>
      <c r="F1388" s="5" t="str">
        <f t="shared" si="21"/>
        <v>snusnetto.se</v>
      </c>
      <c r="G1388" s="5" t="s">
        <v>4</v>
      </c>
      <c r="H1388" s="5" t="s">
        <v>5</v>
      </c>
      <c r="I1388" s="173">
        <v>45460</v>
      </c>
    </row>
    <row r="1389" spans="1:9" ht="13.5">
      <c r="A1389" s="2" t="s">
        <v>1318</v>
      </c>
      <c r="B1389" s="3"/>
      <c r="C1389" s="97" t="s">
        <v>2643</v>
      </c>
      <c r="D1389" s="96" t="s">
        <v>2644</v>
      </c>
      <c r="E1389" s="79" t="s">
        <v>2645</v>
      </c>
      <c r="F1389" s="5" t="str">
        <f t="shared" si="21"/>
        <v>spelklubben.se</v>
      </c>
      <c r="G1389" s="5" t="s">
        <v>4</v>
      </c>
      <c r="H1389" s="5" t="s">
        <v>5</v>
      </c>
      <c r="I1389" s="173">
        <v>45460</v>
      </c>
    </row>
    <row r="1390" spans="1:9" ht="13.5">
      <c r="A1390" s="2" t="s">
        <v>171</v>
      </c>
      <c r="B1390" s="3"/>
      <c r="C1390" s="105" t="s">
        <v>2646</v>
      </c>
      <c r="D1390" s="87" t="s">
        <v>1095</v>
      </c>
      <c r="E1390" s="79" t="s">
        <v>1533</v>
      </c>
      <c r="F1390" s="5" t="str">
        <f t="shared" si="21"/>
        <v>arctic.se</v>
      </c>
      <c r="G1390" s="5" t="s">
        <v>4</v>
      </c>
      <c r="H1390" s="5" t="s">
        <v>5</v>
      </c>
      <c r="I1390" s="6">
        <v>45460</v>
      </c>
    </row>
    <row r="1391" spans="1:9" ht="13.5">
      <c r="A1391" s="2" t="s">
        <v>435</v>
      </c>
      <c r="B1391" s="3"/>
      <c r="C1391" s="105" t="s">
        <v>2647</v>
      </c>
      <c r="D1391" s="87" t="s">
        <v>1813</v>
      </c>
      <c r="E1391" s="76" t="s">
        <v>2648</v>
      </c>
      <c r="F1391" s="5" t="str">
        <f t="shared" si="21"/>
        <v>fairinvestments.se</v>
      </c>
      <c r="G1391" s="5" t="s">
        <v>4</v>
      </c>
      <c r="H1391" s="5" t="s">
        <v>5</v>
      </c>
      <c r="I1391" s="6">
        <v>45460</v>
      </c>
    </row>
    <row r="1392" spans="1:9" ht="13.5">
      <c r="A1392" s="145" t="s">
        <v>2058</v>
      </c>
      <c r="B1392" s="146"/>
      <c r="C1392" s="161" t="s">
        <v>1662</v>
      </c>
      <c r="D1392" s="180" t="s">
        <v>2100</v>
      </c>
      <c r="E1392" s="130" t="s">
        <v>2649</v>
      </c>
      <c r="F1392" s="5" t="str">
        <f t="shared" si="21"/>
        <v>m6bygg.se</v>
      </c>
      <c r="G1392" s="149" t="s">
        <v>4</v>
      </c>
      <c r="H1392" s="149" t="s">
        <v>5</v>
      </c>
      <c r="I1392" s="150">
        <v>45460</v>
      </c>
    </row>
    <row r="1393" spans="1:9" ht="13.5">
      <c r="A1393" s="2" t="s">
        <v>1213</v>
      </c>
      <c r="B1393" s="3"/>
      <c r="C1393" s="105" t="s">
        <v>2650</v>
      </c>
      <c r="D1393" s="87" t="s">
        <v>1314</v>
      </c>
      <c r="E1393" s="76" t="s">
        <v>1208</v>
      </c>
      <c r="F1393" s="5" t="str">
        <f t="shared" si="21"/>
        <v>mariatand.se</v>
      </c>
      <c r="G1393" s="5" t="s">
        <v>4</v>
      </c>
      <c r="H1393" s="5" t="s">
        <v>5</v>
      </c>
      <c r="I1393" s="6">
        <v>45460</v>
      </c>
    </row>
    <row r="1394" spans="1:9" ht="13.5">
      <c r="A1394" s="2" t="s">
        <v>2636</v>
      </c>
      <c r="B1394" s="3"/>
      <c r="C1394" s="5" t="s">
        <v>2637</v>
      </c>
      <c r="D1394" s="5" t="s">
        <v>2638</v>
      </c>
      <c r="E1394" s="5" t="s">
        <v>2639</v>
      </c>
      <c r="F1394" s="5" t="str">
        <f t="shared" si="21"/>
        <v>kvarnx.com</v>
      </c>
      <c r="G1394" s="5" t="s">
        <v>4</v>
      </c>
      <c r="H1394" s="5" t="s">
        <v>5</v>
      </c>
      <c r="I1394" s="6">
        <v>45460</v>
      </c>
    </row>
    <row r="1395" spans="1:9" ht="13.5">
      <c r="A1395" s="2" t="s">
        <v>1318</v>
      </c>
      <c r="B1395" s="3"/>
      <c r="C1395" s="96" t="s">
        <v>2651</v>
      </c>
      <c r="D1395" s="96" t="s">
        <v>2644</v>
      </c>
      <c r="E1395" s="79" t="s">
        <v>2652</v>
      </c>
      <c r="F1395" s="5" t="str">
        <f t="shared" si="21"/>
        <v>spelklubben.se</v>
      </c>
      <c r="G1395" s="5" t="s">
        <v>4</v>
      </c>
      <c r="H1395" s="5" t="s">
        <v>5</v>
      </c>
      <c r="I1395" s="173">
        <v>45461</v>
      </c>
    </row>
    <row r="1396" spans="1:9" ht="13.5">
      <c r="A1396" s="2" t="s">
        <v>1318</v>
      </c>
      <c r="B1396" s="3"/>
      <c r="C1396" s="96" t="s">
        <v>2653</v>
      </c>
      <c r="D1396" s="96" t="s">
        <v>2654</v>
      </c>
      <c r="E1396" s="79" t="s">
        <v>2655</v>
      </c>
      <c r="F1396" s="5" t="str">
        <f t="shared" si="21"/>
        <v>spelklubben.se</v>
      </c>
      <c r="G1396" s="5" t="s">
        <v>4</v>
      </c>
      <c r="H1396" s="5" t="s">
        <v>5</v>
      </c>
      <c r="I1396" s="173">
        <v>45461</v>
      </c>
    </row>
    <row r="1397" spans="1:9" ht="13.5">
      <c r="A1397" s="7" t="s">
        <v>1910</v>
      </c>
      <c r="B1397" s="3"/>
      <c r="C1397" s="96" t="s">
        <v>2656</v>
      </c>
      <c r="D1397" s="96" t="s">
        <v>1912</v>
      </c>
      <c r="E1397" s="79" t="s">
        <v>2657</v>
      </c>
      <c r="F1397" s="5" t="str">
        <f t="shared" si="21"/>
        <v>kelleher-international</v>
      </c>
      <c r="G1397" s="5" t="s">
        <v>4</v>
      </c>
      <c r="H1397" s="5" t="s">
        <v>345</v>
      </c>
      <c r="I1397" s="173">
        <v>45461</v>
      </c>
    </row>
    <row r="1398" spans="1:9" ht="13.5">
      <c r="A1398" s="2" t="s">
        <v>723</v>
      </c>
      <c r="B1398" s="3"/>
      <c r="C1398" s="105" t="s">
        <v>2658</v>
      </c>
      <c r="D1398" s="87" t="s">
        <v>2138</v>
      </c>
      <c r="E1398" s="79" t="s">
        <v>2566</v>
      </c>
      <c r="F1398" s="5" t="str">
        <f t="shared" si="21"/>
        <v>aretrotale.com</v>
      </c>
      <c r="G1398" s="5" t="s">
        <v>4</v>
      </c>
      <c r="H1398" s="5" t="s">
        <v>23</v>
      </c>
      <c r="I1398" s="6">
        <v>45461</v>
      </c>
    </row>
    <row r="1399" spans="1:9" ht="13.5">
      <c r="A1399" s="181" t="s">
        <v>308</v>
      </c>
      <c r="B1399" s="3"/>
      <c r="C1399" s="105" t="s">
        <v>1820</v>
      </c>
      <c r="D1399" s="87" t="s">
        <v>1309</v>
      </c>
      <c r="E1399" s="76" t="s">
        <v>2659</v>
      </c>
      <c r="F1399" s="5" t="str">
        <f t="shared" si="21"/>
        <v>lansfast.se</v>
      </c>
      <c r="G1399" s="5" t="s">
        <v>4</v>
      </c>
      <c r="H1399" s="76" t="s">
        <v>5</v>
      </c>
      <c r="I1399" s="116">
        <v>45461</v>
      </c>
    </row>
    <row r="1400" spans="1:9" ht="13.5">
      <c r="A1400" s="181" t="s">
        <v>435</v>
      </c>
      <c r="B1400" s="3"/>
      <c r="C1400" s="105" t="s">
        <v>2660</v>
      </c>
      <c r="D1400" s="87" t="s">
        <v>2568</v>
      </c>
      <c r="E1400" s="76" t="s">
        <v>839</v>
      </c>
      <c r="F1400" s="5" t="str">
        <f t="shared" si="21"/>
        <v>fairinvestments.se</v>
      </c>
      <c r="G1400" s="5" t="s">
        <v>4</v>
      </c>
      <c r="H1400" s="76" t="s">
        <v>5</v>
      </c>
      <c r="I1400" s="116">
        <v>45462</v>
      </c>
    </row>
    <row r="1401" spans="1:9" ht="13.5">
      <c r="A1401" s="181" t="s">
        <v>405</v>
      </c>
      <c r="B1401" s="3"/>
      <c r="C1401" s="105" t="s">
        <v>2661</v>
      </c>
      <c r="D1401" s="87" t="s">
        <v>610</v>
      </c>
      <c r="E1401" s="79" t="s">
        <v>2662</v>
      </c>
      <c r="F1401" s="5" t="str">
        <f t="shared" si="21"/>
        <v>rehabgrossisten.com</v>
      </c>
      <c r="G1401" s="5" t="s">
        <v>4</v>
      </c>
      <c r="H1401" s="79" t="s">
        <v>5</v>
      </c>
      <c r="I1401" s="116">
        <v>45462</v>
      </c>
    </row>
    <row r="1402" spans="1:9" ht="14.25">
      <c r="A1402" s="181" t="s">
        <v>2127</v>
      </c>
      <c r="B1402" s="3"/>
      <c r="C1402" s="105" t="s">
        <v>2663</v>
      </c>
      <c r="D1402" s="182" t="s">
        <v>2415</v>
      </c>
      <c r="E1402" s="79" t="s">
        <v>2664</v>
      </c>
      <c r="F1402" s="5" t="str">
        <f t="shared" si="21"/>
        <v>startmotor.se</v>
      </c>
      <c r="G1402" s="5" t="s">
        <v>4</v>
      </c>
      <c r="H1402" s="76" t="s">
        <v>5</v>
      </c>
      <c r="I1402" s="116">
        <v>45462</v>
      </c>
    </row>
    <row r="1403" spans="1:9" ht="13.5">
      <c r="A1403" s="7" t="s">
        <v>1910</v>
      </c>
      <c r="B1403" s="3"/>
      <c r="C1403" s="96" t="s">
        <v>2665</v>
      </c>
      <c r="D1403" s="183" t="s">
        <v>1912</v>
      </c>
      <c r="E1403" s="79" t="s">
        <v>2657</v>
      </c>
      <c r="F1403" s="5" t="str">
        <f t="shared" si="21"/>
        <v>kelleher-international</v>
      </c>
      <c r="G1403" s="5" t="s">
        <v>4</v>
      </c>
      <c r="H1403" s="5" t="s">
        <v>345</v>
      </c>
      <c r="I1403" s="173">
        <v>45463</v>
      </c>
    </row>
    <row r="1404" spans="1:9" ht="14.25">
      <c r="A1404" s="181" t="s">
        <v>171</v>
      </c>
      <c r="B1404" s="3"/>
      <c r="C1404" s="184" t="s">
        <v>2666</v>
      </c>
      <c r="D1404" s="182" t="s">
        <v>1708</v>
      </c>
      <c r="E1404" s="87" t="s">
        <v>1505</v>
      </c>
      <c r="F1404" s="5" t="str">
        <f t="shared" si="21"/>
        <v>arctic.se</v>
      </c>
      <c r="G1404" s="5" t="s">
        <v>4</v>
      </c>
      <c r="H1404" s="79" t="s">
        <v>262</v>
      </c>
      <c r="I1404" s="116">
        <v>45463</v>
      </c>
    </row>
    <row r="1405" spans="1:9" ht="13.5">
      <c r="A1405" s="181" t="s">
        <v>435</v>
      </c>
      <c r="B1405" s="3"/>
      <c r="C1405" s="184" t="s">
        <v>2667</v>
      </c>
      <c r="D1405" s="179" t="s">
        <v>2632</v>
      </c>
      <c r="E1405" s="76" t="s">
        <v>1705</v>
      </c>
      <c r="F1405" s="5" t="str">
        <f t="shared" si="21"/>
        <v>fairinvestments.se</v>
      </c>
      <c r="G1405" s="5" t="s">
        <v>4</v>
      </c>
      <c r="H1405" s="76" t="s">
        <v>5</v>
      </c>
      <c r="I1405" s="116">
        <v>45463</v>
      </c>
    </row>
    <row r="1406" spans="1:9" ht="13.5">
      <c r="A1406" s="2" t="s">
        <v>1544</v>
      </c>
      <c r="B1406" s="3"/>
      <c r="C1406" s="185" t="s">
        <v>2668</v>
      </c>
      <c r="D1406" s="4" t="s">
        <v>1546</v>
      </c>
      <c r="E1406" s="5" t="s">
        <v>2405</v>
      </c>
      <c r="F1406" s="5" t="str">
        <f t="shared" si="21"/>
        <v>Finansplassen.no</v>
      </c>
      <c r="G1406" s="5" t="s">
        <v>4</v>
      </c>
      <c r="H1406" s="5" t="s">
        <v>382</v>
      </c>
      <c r="I1406" s="6">
        <v>45464</v>
      </c>
    </row>
    <row r="1407" spans="1:9" ht="13.5">
      <c r="A1407" s="181" t="s">
        <v>435</v>
      </c>
      <c r="B1407" s="3"/>
      <c r="C1407" s="184" t="s">
        <v>1736</v>
      </c>
      <c r="D1407" s="87" t="s">
        <v>1446</v>
      </c>
      <c r="E1407" s="76" t="s">
        <v>2669</v>
      </c>
      <c r="F1407" s="5" t="str">
        <f t="shared" si="21"/>
        <v>fairinvestments.se</v>
      </c>
      <c r="G1407" s="5" t="s">
        <v>4</v>
      </c>
      <c r="H1407" s="76" t="s">
        <v>5</v>
      </c>
      <c r="I1407" s="116">
        <v>45464</v>
      </c>
    </row>
    <row r="1408" spans="1:9" ht="13.5">
      <c r="A1408" s="181" t="s">
        <v>846</v>
      </c>
      <c r="B1408" s="3"/>
      <c r="C1408" s="184" t="s">
        <v>2670</v>
      </c>
      <c r="D1408" s="87" t="s">
        <v>848</v>
      </c>
      <c r="E1408" s="79" t="s">
        <v>1039</v>
      </c>
      <c r="F1408" s="5" t="str">
        <f t="shared" si="21"/>
        <v>tandea.se</v>
      </c>
      <c r="G1408" s="5" t="s">
        <v>4</v>
      </c>
      <c r="H1408" s="79" t="s">
        <v>5</v>
      </c>
      <c r="I1408" s="116">
        <v>45464</v>
      </c>
    </row>
    <row r="1409" spans="1:9" ht="13.5">
      <c r="A1409" s="186" t="s">
        <v>329</v>
      </c>
      <c r="B1409" s="3"/>
      <c r="C1409" s="184" t="s">
        <v>2671</v>
      </c>
      <c r="D1409" s="87" t="s">
        <v>2450</v>
      </c>
      <c r="E1409" s="79" t="s">
        <v>2672</v>
      </c>
      <c r="F1409" s="5" t="str">
        <f t="shared" si="21"/>
        <v>vont</v>
      </c>
      <c r="G1409" s="5" t="s">
        <v>4</v>
      </c>
      <c r="H1409" s="79" t="s">
        <v>5</v>
      </c>
      <c r="I1409" s="116">
        <v>45464</v>
      </c>
    </row>
    <row r="1410" spans="1:9" ht="14.25">
      <c r="A1410" s="2" t="s">
        <v>2640</v>
      </c>
      <c r="B1410" s="3"/>
      <c r="C1410" s="187" t="s">
        <v>2641</v>
      </c>
      <c r="D1410" s="183" t="s">
        <v>2642</v>
      </c>
      <c r="E1410" s="79" t="s">
        <v>2673</v>
      </c>
      <c r="F1410" s="5" t="str">
        <f t="shared" si="21"/>
        <v>snusnetto.se</v>
      </c>
      <c r="G1410" s="5" t="s">
        <v>4</v>
      </c>
      <c r="H1410" s="5" t="s">
        <v>5</v>
      </c>
      <c r="I1410" s="173">
        <v>45465</v>
      </c>
    </row>
    <row r="1411" spans="1:9" ht="13.5">
      <c r="A1411" s="2" t="s">
        <v>2640</v>
      </c>
      <c r="B1411" s="3"/>
      <c r="C1411" s="5" t="s">
        <v>2641</v>
      </c>
      <c r="D1411" s="5" t="s">
        <v>2642</v>
      </c>
      <c r="E1411" s="5" t="s">
        <v>2673</v>
      </c>
      <c r="F1411" s="5" t="str">
        <f t="shared" ref="F1411:F1474" si="22">A1411</f>
        <v>snusnetto.se</v>
      </c>
      <c r="G1411" s="5" t="s">
        <v>4</v>
      </c>
      <c r="H1411" s="5" t="s">
        <v>5</v>
      </c>
      <c r="I1411" s="6">
        <v>45465</v>
      </c>
    </row>
    <row r="1412" spans="1:9" ht="13.5">
      <c r="A1412" s="181" t="s">
        <v>435</v>
      </c>
      <c r="B1412" s="3"/>
      <c r="C1412" s="105" t="s">
        <v>2674</v>
      </c>
      <c r="D1412" s="87" t="s">
        <v>1413</v>
      </c>
      <c r="E1412" s="76" t="s">
        <v>2675</v>
      </c>
      <c r="F1412" s="5" t="str">
        <f t="shared" si="22"/>
        <v>fairinvestments.se</v>
      </c>
      <c r="G1412" s="5" t="s">
        <v>4</v>
      </c>
      <c r="H1412" s="76" t="s">
        <v>5</v>
      </c>
      <c r="I1412" s="116">
        <v>45466</v>
      </c>
    </row>
    <row r="1413" spans="1:9" ht="13.5">
      <c r="A1413" s="181" t="s">
        <v>308</v>
      </c>
      <c r="B1413" s="3"/>
      <c r="C1413" s="105" t="s">
        <v>2676</v>
      </c>
      <c r="D1413" s="87" t="s">
        <v>1309</v>
      </c>
      <c r="E1413" s="76" t="s">
        <v>2677</v>
      </c>
      <c r="F1413" s="5" t="str">
        <f t="shared" si="22"/>
        <v>lansfast.se</v>
      </c>
      <c r="G1413" s="5" t="s">
        <v>4</v>
      </c>
      <c r="H1413" s="76" t="s">
        <v>5</v>
      </c>
      <c r="I1413" s="116">
        <v>45466</v>
      </c>
    </row>
    <row r="1414" spans="1:9" ht="13.5">
      <c r="A1414" s="7" t="s">
        <v>1557</v>
      </c>
      <c r="B1414" s="3"/>
      <c r="C1414" s="5" t="s">
        <v>2678</v>
      </c>
      <c r="D1414" s="5" t="s">
        <v>2576</v>
      </c>
      <c r="E1414" s="5" t="s">
        <v>2577</v>
      </c>
      <c r="F1414" s="5" t="str">
        <f t="shared" si="22"/>
        <v>rörmokare.nu</v>
      </c>
      <c r="G1414" s="5" t="s">
        <v>4</v>
      </c>
      <c r="H1414" s="5" t="s">
        <v>5</v>
      </c>
      <c r="I1414" s="6">
        <v>45466</v>
      </c>
    </row>
    <row r="1415" spans="1:9" ht="14.25">
      <c r="A1415" s="2" t="s">
        <v>2231</v>
      </c>
      <c r="B1415" s="3"/>
      <c r="C1415" s="188" t="s">
        <v>2679</v>
      </c>
      <c r="D1415" s="96" t="s">
        <v>2233</v>
      </c>
      <c r="E1415" s="79" t="s">
        <v>2680</v>
      </c>
      <c r="F1415" s="5" t="str">
        <f t="shared" si="22"/>
        <v>gordetmedrw.se</v>
      </c>
      <c r="G1415" s="5" t="s">
        <v>4</v>
      </c>
      <c r="H1415" s="5" t="s">
        <v>5</v>
      </c>
      <c r="I1415" s="173">
        <v>45467</v>
      </c>
    </row>
    <row r="1416" spans="1:9" ht="13.5">
      <c r="A1416" s="2" t="s">
        <v>435</v>
      </c>
      <c r="B1416" s="3"/>
      <c r="C1416" s="96" t="s">
        <v>2681</v>
      </c>
      <c r="D1416" s="96" t="s">
        <v>1012</v>
      </c>
      <c r="E1416" s="79" t="s">
        <v>2682</v>
      </c>
      <c r="F1416" s="5" t="str">
        <f t="shared" si="22"/>
        <v>fairinvestments.se</v>
      </c>
      <c r="G1416" s="5" t="s">
        <v>4</v>
      </c>
      <c r="H1416" s="5" t="s">
        <v>5</v>
      </c>
      <c r="I1416" s="173">
        <v>45467</v>
      </c>
    </row>
    <row r="1417" spans="1:9" ht="13.5">
      <c r="A1417" s="2" t="s">
        <v>435</v>
      </c>
      <c r="B1417" s="3"/>
      <c r="C1417" s="96" t="s">
        <v>2683</v>
      </c>
      <c r="D1417" s="96" t="s">
        <v>1384</v>
      </c>
      <c r="E1417" s="79" t="s">
        <v>2682</v>
      </c>
      <c r="F1417" s="5" t="str">
        <f t="shared" si="22"/>
        <v>fairinvestments.se</v>
      </c>
      <c r="G1417" s="5" t="s">
        <v>4</v>
      </c>
      <c r="H1417" s="5" t="s">
        <v>5</v>
      </c>
      <c r="I1417" s="173">
        <v>45467</v>
      </c>
    </row>
    <row r="1418" spans="1:9" ht="13.5">
      <c r="A1418" s="2" t="s">
        <v>435</v>
      </c>
      <c r="B1418" s="3"/>
      <c r="C1418" s="183" t="s">
        <v>2684</v>
      </c>
      <c r="D1418" s="96" t="s">
        <v>1384</v>
      </c>
      <c r="E1418" s="79" t="s">
        <v>2682</v>
      </c>
      <c r="F1418" s="5" t="str">
        <f t="shared" si="22"/>
        <v>fairinvestments.se</v>
      </c>
      <c r="G1418" s="5" t="s">
        <v>4</v>
      </c>
      <c r="H1418" s="5" t="s">
        <v>5</v>
      </c>
      <c r="I1418" s="173">
        <v>45467</v>
      </c>
    </row>
    <row r="1419" spans="1:9" ht="13.5">
      <c r="A1419" s="2" t="s">
        <v>435</v>
      </c>
      <c r="B1419" s="3"/>
      <c r="C1419" s="96" t="s">
        <v>2685</v>
      </c>
      <c r="D1419" s="96" t="s">
        <v>1384</v>
      </c>
      <c r="E1419" s="79" t="s">
        <v>2682</v>
      </c>
      <c r="F1419" s="5" t="str">
        <f t="shared" si="22"/>
        <v>fairinvestments.se</v>
      </c>
      <c r="G1419" s="5" t="s">
        <v>4</v>
      </c>
      <c r="H1419" s="5" t="s">
        <v>5</v>
      </c>
      <c r="I1419" s="173">
        <v>45467</v>
      </c>
    </row>
    <row r="1420" spans="1:9" ht="13.5">
      <c r="A1420" s="2" t="s">
        <v>435</v>
      </c>
      <c r="B1420" s="3"/>
      <c r="C1420" s="96" t="s">
        <v>2683</v>
      </c>
      <c r="D1420" s="96" t="s">
        <v>1384</v>
      </c>
      <c r="E1420" s="79" t="s">
        <v>2682</v>
      </c>
      <c r="F1420" s="5" t="str">
        <f t="shared" si="22"/>
        <v>fairinvestments.se</v>
      </c>
      <c r="G1420" s="5" t="s">
        <v>4</v>
      </c>
      <c r="H1420" s="5" t="s">
        <v>5</v>
      </c>
      <c r="I1420" s="173">
        <v>45467</v>
      </c>
    </row>
    <row r="1421" spans="1:9" ht="13.5">
      <c r="A1421" s="2" t="s">
        <v>435</v>
      </c>
      <c r="B1421" s="3"/>
      <c r="C1421" s="96" t="s">
        <v>2684</v>
      </c>
      <c r="D1421" s="96" t="s">
        <v>1384</v>
      </c>
      <c r="E1421" s="79" t="s">
        <v>2682</v>
      </c>
      <c r="F1421" s="5" t="str">
        <f t="shared" si="22"/>
        <v>fairinvestments.se</v>
      </c>
      <c r="G1421" s="5" t="s">
        <v>4</v>
      </c>
      <c r="H1421" s="5" t="s">
        <v>5</v>
      </c>
      <c r="I1421" s="173">
        <v>45467</v>
      </c>
    </row>
    <row r="1422" spans="1:9" ht="13.5">
      <c r="A1422" s="2" t="s">
        <v>435</v>
      </c>
      <c r="B1422" s="3"/>
      <c r="C1422" s="96" t="s">
        <v>2685</v>
      </c>
      <c r="D1422" s="96" t="s">
        <v>1384</v>
      </c>
      <c r="E1422" s="79" t="s">
        <v>2682</v>
      </c>
      <c r="F1422" s="5" t="str">
        <f t="shared" si="22"/>
        <v>fairinvestments.se</v>
      </c>
      <c r="G1422" s="5" t="s">
        <v>4</v>
      </c>
      <c r="H1422" s="5" t="s">
        <v>5</v>
      </c>
      <c r="I1422" s="173">
        <v>45467</v>
      </c>
    </row>
    <row r="1423" spans="1:9" ht="13.5">
      <c r="A1423" s="2" t="s">
        <v>435</v>
      </c>
      <c r="B1423" s="3"/>
      <c r="C1423" s="91" t="s">
        <v>2686</v>
      </c>
      <c r="D1423" s="96" t="s">
        <v>2686</v>
      </c>
      <c r="E1423" s="79" t="s">
        <v>839</v>
      </c>
      <c r="F1423" s="5" t="str">
        <f t="shared" si="22"/>
        <v>fairinvestments.se</v>
      </c>
      <c r="G1423" s="5" t="s">
        <v>4</v>
      </c>
      <c r="H1423" s="5" t="s">
        <v>5</v>
      </c>
      <c r="I1423" s="173">
        <v>45467</v>
      </c>
    </row>
    <row r="1424" spans="1:9" ht="13.5">
      <c r="A1424" s="2" t="s">
        <v>1750</v>
      </c>
      <c r="B1424" s="3"/>
      <c r="C1424" s="91" t="s">
        <v>2687</v>
      </c>
      <c r="D1424" s="96" t="s">
        <v>1754</v>
      </c>
      <c r="E1424" s="79" t="s">
        <v>1141</v>
      </c>
      <c r="F1424" s="5" t="str">
        <f t="shared" si="22"/>
        <v>cannabislight.se</v>
      </c>
      <c r="G1424" s="5" t="s">
        <v>4</v>
      </c>
      <c r="H1424" s="5" t="s">
        <v>5</v>
      </c>
      <c r="I1424" s="173">
        <v>45467</v>
      </c>
    </row>
    <row r="1425" spans="1:9" ht="13.5">
      <c r="A1425" s="2" t="s">
        <v>1318</v>
      </c>
      <c r="B1425" s="3"/>
      <c r="C1425" s="91" t="s">
        <v>2688</v>
      </c>
      <c r="D1425" s="96" t="s">
        <v>2689</v>
      </c>
      <c r="E1425" s="79" t="s">
        <v>2690</v>
      </c>
      <c r="F1425" s="5" t="str">
        <f t="shared" si="22"/>
        <v>spelklubben.se</v>
      </c>
      <c r="G1425" s="5" t="s">
        <v>4</v>
      </c>
      <c r="H1425" s="5" t="s">
        <v>5</v>
      </c>
      <c r="I1425" s="173">
        <v>45467</v>
      </c>
    </row>
    <row r="1426" spans="1:9" ht="13.5">
      <c r="A1426" s="2" t="s">
        <v>435</v>
      </c>
      <c r="B1426" s="3"/>
      <c r="C1426" s="91" t="s">
        <v>2691</v>
      </c>
      <c r="D1426" s="96" t="s">
        <v>1413</v>
      </c>
      <c r="E1426" s="79" t="s">
        <v>2692</v>
      </c>
      <c r="F1426" s="5" t="str">
        <f t="shared" si="22"/>
        <v>fairinvestments.se</v>
      </c>
      <c r="G1426" s="5" t="s">
        <v>4</v>
      </c>
      <c r="H1426" s="5" t="s">
        <v>5</v>
      </c>
      <c r="I1426" s="173">
        <v>45467</v>
      </c>
    </row>
    <row r="1427" spans="1:9" ht="13.5">
      <c r="A1427" s="2" t="s">
        <v>435</v>
      </c>
      <c r="B1427" s="3"/>
      <c r="C1427" s="91" t="s">
        <v>2693</v>
      </c>
      <c r="D1427" s="96" t="s">
        <v>1446</v>
      </c>
      <c r="E1427" s="79" t="s">
        <v>438</v>
      </c>
      <c r="F1427" s="5" t="str">
        <f t="shared" si="22"/>
        <v>fairinvestments.se</v>
      </c>
      <c r="G1427" s="5" t="s">
        <v>4</v>
      </c>
      <c r="H1427" s="5" t="s">
        <v>5</v>
      </c>
      <c r="I1427" s="173">
        <v>45467</v>
      </c>
    </row>
    <row r="1428" spans="1:9" ht="13.5">
      <c r="A1428" s="2" t="s">
        <v>846</v>
      </c>
      <c r="B1428" s="3"/>
      <c r="C1428" s="91" t="s">
        <v>2694</v>
      </c>
      <c r="D1428" s="115" t="s">
        <v>848</v>
      </c>
      <c r="E1428" s="79" t="s">
        <v>1187</v>
      </c>
      <c r="F1428" s="5" t="str">
        <f t="shared" si="22"/>
        <v>tandea.se</v>
      </c>
      <c r="G1428" s="5" t="s">
        <v>4</v>
      </c>
      <c r="H1428" s="5" t="s">
        <v>5</v>
      </c>
      <c r="I1428" s="173">
        <v>45467</v>
      </c>
    </row>
    <row r="1429" spans="1:9" ht="13.5">
      <c r="A1429" s="2" t="s">
        <v>1667</v>
      </c>
      <c r="B1429" s="3"/>
      <c r="C1429" s="91" t="s">
        <v>2695</v>
      </c>
      <c r="D1429" s="115" t="s">
        <v>1669</v>
      </c>
      <c r="E1429" s="79" t="s">
        <v>2696</v>
      </c>
      <c r="F1429" s="5" t="str">
        <f t="shared" si="22"/>
        <v>Alfa.se</v>
      </c>
      <c r="G1429" s="5" t="s">
        <v>4</v>
      </c>
      <c r="H1429" s="5" t="s">
        <v>5</v>
      </c>
      <c r="I1429" s="173">
        <v>45467</v>
      </c>
    </row>
    <row r="1430" spans="1:9" ht="13.5">
      <c r="A1430" s="7" t="s">
        <v>329</v>
      </c>
      <c r="B1430" s="3"/>
      <c r="C1430" s="189" t="s">
        <v>2697</v>
      </c>
      <c r="D1430" s="96" t="s">
        <v>1388</v>
      </c>
      <c r="E1430" s="79" t="s">
        <v>2698</v>
      </c>
      <c r="F1430" s="5" t="str">
        <f t="shared" si="22"/>
        <v>vont</v>
      </c>
      <c r="G1430" s="5" t="s">
        <v>4</v>
      </c>
      <c r="H1430" s="5" t="s">
        <v>5</v>
      </c>
      <c r="I1430" s="173">
        <v>45467</v>
      </c>
    </row>
    <row r="1431" spans="1:9" ht="13.5">
      <c r="A1431" s="2" t="s">
        <v>2549</v>
      </c>
      <c r="B1431" s="3"/>
      <c r="C1431" s="189" t="s">
        <v>2699</v>
      </c>
      <c r="D1431" s="96" t="s">
        <v>2612</v>
      </c>
      <c r="E1431" s="79" t="s">
        <v>2700</v>
      </c>
      <c r="F1431" s="5" t="str">
        <f t="shared" si="22"/>
        <v>purakliniken.se</v>
      </c>
      <c r="G1431" s="5" t="s">
        <v>4</v>
      </c>
      <c r="H1431" s="5" t="s">
        <v>5</v>
      </c>
      <c r="I1431" s="173">
        <v>45467</v>
      </c>
    </row>
    <row r="1432" spans="1:9" ht="13.5">
      <c r="A1432" s="2" t="s">
        <v>2636</v>
      </c>
      <c r="B1432" s="3"/>
      <c r="C1432" s="190" t="s">
        <v>2701</v>
      </c>
      <c r="D1432" s="96" t="s">
        <v>2702</v>
      </c>
      <c r="E1432" s="79" t="s">
        <v>2703</v>
      </c>
      <c r="F1432" s="5" t="str">
        <f t="shared" si="22"/>
        <v>kvarnx.com</v>
      </c>
      <c r="G1432" s="5" t="s">
        <v>4</v>
      </c>
      <c r="H1432" s="5" t="s">
        <v>5</v>
      </c>
      <c r="I1432" s="173">
        <v>45467</v>
      </c>
    </row>
    <row r="1433" spans="1:9" ht="13.5">
      <c r="A1433" s="2" t="s">
        <v>435</v>
      </c>
      <c r="B1433" s="3"/>
      <c r="C1433" s="191" t="s">
        <v>2704</v>
      </c>
      <c r="D1433" s="96" t="s">
        <v>1734</v>
      </c>
      <c r="E1433" s="79" t="s">
        <v>2705</v>
      </c>
      <c r="F1433" s="5" t="str">
        <f t="shared" si="22"/>
        <v>fairinvestments.se</v>
      </c>
      <c r="G1433" s="5" t="s">
        <v>4</v>
      </c>
      <c r="H1433" s="5" t="s">
        <v>5</v>
      </c>
      <c r="I1433" s="116">
        <v>45467</v>
      </c>
    </row>
    <row r="1434" spans="1:9" ht="13.5">
      <c r="A1434" s="2" t="s">
        <v>2205</v>
      </c>
      <c r="B1434" s="3"/>
      <c r="C1434" s="191" t="s">
        <v>2706</v>
      </c>
      <c r="D1434" s="96" t="s">
        <v>2207</v>
      </c>
      <c r="E1434" s="79" t="s">
        <v>2707</v>
      </c>
      <c r="F1434" s="5" t="str">
        <f t="shared" si="22"/>
        <v>Aaatak.se</v>
      </c>
      <c r="G1434" s="5" t="s">
        <v>4</v>
      </c>
      <c r="H1434" s="5" t="s">
        <v>5</v>
      </c>
      <c r="I1434" s="173">
        <v>45467</v>
      </c>
    </row>
    <row r="1435" spans="1:9" ht="13.5">
      <c r="A1435" s="2" t="s">
        <v>2248</v>
      </c>
      <c r="B1435" s="3"/>
      <c r="C1435" s="191" t="s">
        <v>2708</v>
      </c>
      <c r="D1435" s="96" t="s">
        <v>2250</v>
      </c>
      <c r="E1435" s="79" t="s">
        <v>2548</v>
      </c>
      <c r="F1435" s="5" t="str">
        <f t="shared" si="22"/>
        <v>storgruppen.se</v>
      </c>
      <c r="G1435" s="5" t="s">
        <v>4</v>
      </c>
      <c r="H1435" s="5" t="s">
        <v>5</v>
      </c>
      <c r="I1435" s="192">
        <v>45467</v>
      </c>
    </row>
    <row r="1436" spans="1:9" ht="13.5">
      <c r="A1436" s="2" t="s">
        <v>2453</v>
      </c>
      <c r="B1436" s="3"/>
      <c r="C1436" s="191" t="s">
        <v>2709</v>
      </c>
      <c r="D1436" s="96" t="s">
        <v>2455</v>
      </c>
      <c r="E1436" s="79" t="s">
        <v>2710</v>
      </c>
      <c r="F1436" s="5" t="str">
        <f t="shared" si="22"/>
        <v>spolarent.se</v>
      </c>
      <c r="G1436" s="5" t="s">
        <v>4</v>
      </c>
      <c r="H1436" s="5" t="s">
        <v>5</v>
      </c>
      <c r="I1436" s="116">
        <v>45467</v>
      </c>
    </row>
    <row r="1437" spans="1:9" ht="13.5">
      <c r="A1437" s="2" t="s">
        <v>435</v>
      </c>
      <c r="B1437" s="3"/>
      <c r="C1437" s="191" t="s">
        <v>2711</v>
      </c>
      <c r="D1437" s="96" t="s">
        <v>1384</v>
      </c>
      <c r="E1437" s="79" t="s">
        <v>2606</v>
      </c>
      <c r="F1437" s="5" t="str">
        <f t="shared" si="22"/>
        <v>fairinvestments.se</v>
      </c>
      <c r="G1437" s="5" t="s">
        <v>4</v>
      </c>
      <c r="H1437" s="5" t="s">
        <v>5</v>
      </c>
      <c r="I1437" s="116">
        <v>45467</v>
      </c>
    </row>
    <row r="1438" spans="1:9" ht="13.5">
      <c r="A1438" s="2" t="s">
        <v>435</v>
      </c>
      <c r="B1438" s="3"/>
      <c r="C1438" s="191" t="s">
        <v>2712</v>
      </c>
      <c r="D1438" s="96" t="s">
        <v>973</v>
      </c>
      <c r="E1438" s="79" t="s">
        <v>2692</v>
      </c>
      <c r="F1438" s="5" t="str">
        <f t="shared" si="22"/>
        <v>fairinvestments.se</v>
      </c>
      <c r="G1438" s="5" t="s">
        <v>4</v>
      </c>
      <c r="H1438" s="5" t="s">
        <v>5</v>
      </c>
      <c r="I1438" s="116">
        <v>45467</v>
      </c>
    </row>
    <row r="1439" spans="1:9" ht="13.5">
      <c r="A1439" s="2" t="s">
        <v>2640</v>
      </c>
      <c r="B1439" s="3"/>
      <c r="C1439" s="191" t="s">
        <v>2713</v>
      </c>
      <c r="D1439" s="96" t="s">
        <v>2714</v>
      </c>
      <c r="E1439" s="79" t="s">
        <v>2715</v>
      </c>
      <c r="F1439" s="5" t="str">
        <f t="shared" si="22"/>
        <v>snusnetto.se</v>
      </c>
      <c r="G1439" s="5" t="s">
        <v>4</v>
      </c>
      <c r="H1439" s="5" t="s">
        <v>5</v>
      </c>
      <c r="I1439" s="116">
        <v>45467</v>
      </c>
    </row>
    <row r="1440" spans="1:9" ht="13.5">
      <c r="A1440" s="2" t="s">
        <v>2640</v>
      </c>
      <c r="B1440" s="3"/>
      <c r="C1440" s="5" t="s">
        <v>2713</v>
      </c>
      <c r="D1440" s="5" t="s">
        <v>2714</v>
      </c>
      <c r="E1440" s="5" t="s">
        <v>2715</v>
      </c>
      <c r="F1440" s="5" t="str">
        <f t="shared" si="22"/>
        <v>snusnetto.se</v>
      </c>
      <c r="G1440" s="5" t="s">
        <v>4</v>
      </c>
      <c r="H1440" s="5" t="s">
        <v>5</v>
      </c>
      <c r="I1440" s="6">
        <v>45467</v>
      </c>
    </row>
    <row r="1441" spans="1:9" ht="13.5">
      <c r="A1441" s="2" t="s">
        <v>2636</v>
      </c>
      <c r="B1441" s="3"/>
      <c r="C1441" s="5" t="s">
        <v>2701</v>
      </c>
      <c r="D1441" s="5" t="s">
        <v>2702</v>
      </c>
      <c r="E1441" s="5" t="s">
        <v>2703</v>
      </c>
      <c r="F1441" s="5" t="str">
        <f t="shared" si="22"/>
        <v>kvarnx.com</v>
      </c>
      <c r="G1441" s="5" t="s">
        <v>4</v>
      </c>
      <c r="H1441" s="5" t="s">
        <v>5</v>
      </c>
      <c r="I1441" s="6">
        <v>45467</v>
      </c>
    </row>
    <row r="1442" spans="1:9" ht="13.5">
      <c r="A1442" s="7" t="s">
        <v>1559</v>
      </c>
      <c r="B1442" s="3"/>
      <c r="C1442" s="5" t="s">
        <v>2716</v>
      </c>
      <c r="D1442" s="5" t="s">
        <v>2579</v>
      </c>
      <c r="E1442" s="5" t="s">
        <v>2717</v>
      </c>
      <c r="F1442" s="5" t="str">
        <f t="shared" si="22"/>
        <v>rorjour247.se</v>
      </c>
      <c r="G1442" s="5" t="s">
        <v>4</v>
      </c>
      <c r="H1442" s="5" t="s">
        <v>5</v>
      </c>
      <c r="I1442" s="6">
        <v>45467</v>
      </c>
    </row>
    <row r="1443" spans="1:9" ht="13.5">
      <c r="A1443" s="7" t="s">
        <v>1559</v>
      </c>
      <c r="B1443" s="3"/>
      <c r="C1443" s="5" t="s">
        <v>2718</v>
      </c>
      <c r="D1443" s="5" t="s">
        <v>1561</v>
      </c>
      <c r="E1443" s="5" t="s">
        <v>2582</v>
      </c>
      <c r="F1443" s="5" t="str">
        <f t="shared" si="22"/>
        <v>rorjour247.se</v>
      </c>
      <c r="G1443" s="5" t="s">
        <v>4</v>
      </c>
      <c r="H1443" s="5" t="s">
        <v>5</v>
      </c>
      <c r="I1443" s="6">
        <v>45467</v>
      </c>
    </row>
    <row r="1444" spans="1:9" ht="13.5">
      <c r="A1444" s="2" t="s">
        <v>2636</v>
      </c>
      <c r="B1444" s="3"/>
      <c r="C1444" s="193" t="s">
        <v>2719</v>
      </c>
      <c r="D1444" s="96" t="s">
        <v>2720</v>
      </c>
      <c r="E1444" s="79" t="s">
        <v>2721</v>
      </c>
      <c r="F1444" s="5" t="str">
        <f t="shared" si="22"/>
        <v>kvarnx.com</v>
      </c>
      <c r="G1444" s="5" t="s">
        <v>4</v>
      </c>
      <c r="H1444" s="5" t="s">
        <v>5</v>
      </c>
      <c r="I1444" s="6">
        <v>45468</v>
      </c>
    </row>
    <row r="1445" spans="1:9" ht="13.5">
      <c r="A1445" s="2" t="s">
        <v>2636</v>
      </c>
      <c r="B1445" s="3"/>
      <c r="C1445" s="193" t="s">
        <v>2722</v>
      </c>
      <c r="D1445" s="96" t="s">
        <v>2720</v>
      </c>
      <c r="E1445" s="79" t="s">
        <v>2723</v>
      </c>
      <c r="F1445" s="5" t="str">
        <f t="shared" si="22"/>
        <v>kvarnx.com</v>
      </c>
      <c r="G1445" s="5" t="s">
        <v>4</v>
      </c>
      <c r="H1445" s="5" t="s">
        <v>5</v>
      </c>
      <c r="I1445" s="6">
        <v>45468</v>
      </c>
    </row>
    <row r="1446" spans="1:9" ht="13.5">
      <c r="A1446" s="24" t="s">
        <v>2640</v>
      </c>
      <c r="B1446" s="76"/>
      <c r="C1446" s="194" t="s">
        <v>2724</v>
      </c>
      <c r="D1446" s="91" t="s">
        <v>2642</v>
      </c>
      <c r="E1446" s="79" t="s">
        <v>2725</v>
      </c>
      <c r="F1446" s="5" t="str">
        <f t="shared" si="22"/>
        <v>snusnetto.se</v>
      </c>
      <c r="G1446" s="5" t="s">
        <v>4</v>
      </c>
      <c r="H1446" s="5" t="s">
        <v>5</v>
      </c>
      <c r="I1446" s="116">
        <v>45468</v>
      </c>
    </row>
    <row r="1447" spans="1:9" ht="13.5">
      <c r="A1447" s="2" t="s">
        <v>714</v>
      </c>
      <c r="B1447" s="3"/>
      <c r="C1447" s="191" t="s">
        <v>2726</v>
      </c>
      <c r="D1447" s="96" t="s">
        <v>2727</v>
      </c>
      <c r="E1447" s="79" t="s">
        <v>895</v>
      </c>
      <c r="F1447" s="5" t="str">
        <f t="shared" si="22"/>
        <v>Alfa.no</v>
      </c>
      <c r="G1447" s="5" t="s">
        <v>4</v>
      </c>
      <c r="H1447" s="5" t="s">
        <v>382</v>
      </c>
      <c r="I1447" s="6">
        <v>45468</v>
      </c>
    </row>
    <row r="1448" spans="1:9" ht="13.5">
      <c r="A1448" s="2" t="s">
        <v>1180</v>
      </c>
      <c r="B1448" s="3"/>
      <c r="C1448" s="191" t="s">
        <v>2728</v>
      </c>
      <c r="D1448" s="97" t="s">
        <v>1180</v>
      </c>
      <c r="E1448" s="79" t="s">
        <v>332</v>
      </c>
      <c r="F1448" s="5" t="str">
        <f t="shared" si="22"/>
        <v>e-ciggbolaget.se</v>
      </c>
      <c r="G1448" s="5" t="s">
        <v>34</v>
      </c>
      <c r="H1448" s="5" t="s">
        <v>5</v>
      </c>
      <c r="I1448" s="6">
        <v>45468</v>
      </c>
    </row>
    <row r="1449" spans="1:9" ht="13.5">
      <c r="A1449" s="2" t="s">
        <v>1544</v>
      </c>
      <c r="B1449" s="3"/>
      <c r="C1449" s="4" t="s">
        <v>2729</v>
      </c>
      <c r="D1449" s="4" t="s">
        <v>1594</v>
      </c>
      <c r="E1449" s="5" t="s">
        <v>1742</v>
      </c>
      <c r="F1449" s="5" t="str">
        <f t="shared" si="22"/>
        <v>Finansplassen.no</v>
      </c>
      <c r="G1449" s="5" t="s">
        <v>4</v>
      </c>
      <c r="H1449" s="5" t="s">
        <v>382</v>
      </c>
      <c r="I1449" s="6">
        <v>45468</v>
      </c>
    </row>
    <row r="1450" spans="1:9" ht="13.5">
      <c r="A1450" s="2" t="s">
        <v>714</v>
      </c>
      <c r="B1450" s="3"/>
      <c r="C1450" s="4" t="s">
        <v>2730</v>
      </c>
      <c r="D1450" s="4" t="s">
        <v>1153</v>
      </c>
      <c r="E1450" s="5" t="s">
        <v>895</v>
      </c>
      <c r="F1450" s="5" t="str">
        <f t="shared" si="22"/>
        <v>Alfa.no</v>
      </c>
      <c r="G1450" s="5" t="s">
        <v>4</v>
      </c>
      <c r="H1450" s="5" t="s">
        <v>382</v>
      </c>
      <c r="I1450" s="6">
        <v>45468</v>
      </c>
    </row>
    <row r="1451" spans="1:9" ht="13.5">
      <c r="A1451" s="181" t="s">
        <v>2205</v>
      </c>
      <c r="B1451" s="3"/>
      <c r="C1451" s="105" t="s">
        <v>2731</v>
      </c>
      <c r="D1451" s="87" t="s">
        <v>2207</v>
      </c>
      <c r="E1451" s="79" t="s">
        <v>2325</v>
      </c>
      <c r="F1451" s="5" t="str">
        <f t="shared" si="22"/>
        <v>Aaatak.se</v>
      </c>
      <c r="G1451" s="5" t="s">
        <v>4</v>
      </c>
      <c r="H1451" s="79" t="s">
        <v>5</v>
      </c>
      <c r="I1451" s="116">
        <v>45468</v>
      </c>
    </row>
    <row r="1452" spans="1:9" ht="13.5">
      <c r="A1452" s="181" t="s">
        <v>689</v>
      </c>
      <c r="B1452" s="3"/>
      <c r="C1452" s="105" t="s">
        <v>2732</v>
      </c>
      <c r="D1452" s="87" t="s">
        <v>691</v>
      </c>
      <c r="E1452" s="87" t="s">
        <v>691</v>
      </c>
      <c r="F1452" s="5" t="str">
        <f t="shared" si="22"/>
        <v>conclean.se</v>
      </c>
      <c r="G1452" s="5" t="s">
        <v>4</v>
      </c>
      <c r="H1452" s="79" t="s">
        <v>5</v>
      </c>
      <c r="I1452" s="116">
        <v>45468</v>
      </c>
    </row>
    <row r="1453" spans="1:9" ht="13.5">
      <c r="A1453" s="181" t="s">
        <v>435</v>
      </c>
      <c r="B1453" s="3"/>
      <c r="C1453" s="105" t="s">
        <v>2733</v>
      </c>
      <c r="D1453" s="87" t="s">
        <v>1384</v>
      </c>
      <c r="E1453" s="76" t="s">
        <v>2734</v>
      </c>
      <c r="F1453" s="5" t="str">
        <f t="shared" si="22"/>
        <v>fairinvestments.se</v>
      </c>
      <c r="G1453" s="5" t="s">
        <v>4</v>
      </c>
      <c r="H1453" s="76" t="s">
        <v>5</v>
      </c>
      <c r="I1453" s="116">
        <v>45468</v>
      </c>
    </row>
    <row r="1454" spans="1:9" ht="13.5">
      <c r="A1454" s="2" t="s">
        <v>2640</v>
      </c>
      <c r="B1454" s="3"/>
      <c r="C1454" s="5" t="s">
        <v>2724</v>
      </c>
      <c r="D1454" s="5" t="s">
        <v>2642</v>
      </c>
      <c r="E1454" s="5" t="s">
        <v>2725</v>
      </c>
      <c r="F1454" s="5" t="str">
        <f t="shared" si="22"/>
        <v>snusnetto.se</v>
      </c>
      <c r="G1454" s="5" t="s">
        <v>4</v>
      </c>
      <c r="H1454" s="5" t="s">
        <v>5</v>
      </c>
      <c r="I1454" s="6">
        <v>45468</v>
      </c>
    </row>
    <row r="1455" spans="1:9" ht="13.5">
      <c r="A1455" s="2" t="s">
        <v>2636</v>
      </c>
      <c r="B1455" s="3"/>
      <c r="C1455" s="5" t="s">
        <v>2719</v>
      </c>
      <c r="D1455" s="5" t="s">
        <v>2720</v>
      </c>
      <c r="E1455" s="5" t="s">
        <v>2721</v>
      </c>
      <c r="F1455" s="5" t="str">
        <f t="shared" si="22"/>
        <v>kvarnx.com</v>
      </c>
      <c r="G1455" s="5" t="s">
        <v>4</v>
      </c>
      <c r="H1455" s="5" t="s">
        <v>5</v>
      </c>
      <c r="I1455" s="6">
        <v>45468</v>
      </c>
    </row>
    <row r="1456" spans="1:9" ht="13.5">
      <c r="A1456" s="2" t="s">
        <v>2636</v>
      </c>
      <c r="B1456" s="3"/>
      <c r="C1456" s="5" t="s">
        <v>2722</v>
      </c>
      <c r="D1456" s="5" t="s">
        <v>2720</v>
      </c>
      <c r="E1456" s="5" t="s">
        <v>2723</v>
      </c>
      <c r="F1456" s="5" t="str">
        <f t="shared" si="22"/>
        <v>kvarnx.com</v>
      </c>
      <c r="G1456" s="5" t="s">
        <v>4</v>
      </c>
      <c r="H1456" s="5" t="s">
        <v>5</v>
      </c>
      <c r="I1456" s="6">
        <v>45468</v>
      </c>
    </row>
    <row r="1457" spans="1:9" ht="13.5">
      <c r="A1457" s="2" t="s">
        <v>1466</v>
      </c>
      <c r="B1457" s="3"/>
      <c r="C1457" s="5" t="s">
        <v>2735</v>
      </c>
      <c r="D1457" s="5" t="s">
        <v>1468</v>
      </c>
      <c r="E1457" s="5" t="s">
        <v>2573</v>
      </c>
      <c r="F1457" s="5" t="str">
        <f t="shared" si="22"/>
        <v>svenskaeljouren.se</v>
      </c>
      <c r="G1457" s="5" t="s">
        <v>4</v>
      </c>
      <c r="H1457" s="5" t="s">
        <v>5</v>
      </c>
      <c r="I1457" s="6">
        <v>45468</v>
      </c>
    </row>
    <row r="1458" spans="1:9" ht="13.5">
      <c r="A1458" s="2" t="s">
        <v>1466</v>
      </c>
      <c r="B1458" s="3"/>
      <c r="C1458" s="5" t="s">
        <v>2736</v>
      </c>
      <c r="D1458" s="5" t="s">
        <v>1468</v>
      </c>
      <c r="E1458" s="5" t="s">
        <v>2737</v>
      </c>
      <c r="F1458" s="5" t="str">
        <f t="shared" si="22"/>
        <v>svenskaeljouren.se</v>
      </c>
      <c r="G1458" s="5" t="s">
        <v>4</v>
      </c>
      <c r="H1458" s="5" t="s">
        <v>5</v>
      </c>
      <c r="I1458" s="6">
        <v>45468</v>
      </c>
    </row>
    <row r="1459" spans="1:9" ht="13.5">
      <c r="A1459" s="2" t="s">
        <v>714</v>
      </c>
      <c r="B1459" s="3"/>
      <c r="C1459" s="4" t="s">
        <v>2738</v>
      </c>
      <c r="D1459" s="4" t="s">
        <v>719</v>
      </c>
      <c r="E1459" s="9" t="s">
        <v>714</v>
      </c>
      <c r="F1459" s="5" t="str">
        <f t="shared" si="22"/>
        <v>Alfa.no</v>
      </c>
      <c r="G1459" s="5" t="s">
        <v>4</v>
      </c>
      <c r="H1459" s="5" t="s">
        <v>382</v>
      </c>
      <c r="I1459" s="6">
        <v>45469</v>
      </c>
    </row>
    <row r="1460" spans="1:9" ht="13.5">
      <c r="A1460" s="181" t="s">
        <v>435</v>
      </c>
      <c r="B1460" s="3"/>
      <c r="C1460" s="105" t="s">
        <v>2739</v>
      </c>
      <c r="D1460" s="179" t="s">
        <v>1887</v>
      </c>
      <c r="E1460" s="76" t="s">
        <v>1705</v>
      </c>
      <c r="F1460" s="5" t="str">
        <f t="shared" si="22"/>
        <v>fairinvestments.se</v>
      </c>
      <c r="G1460" s="5" t="s">
        <v>4</v>
      </c>
      <c r="H1460" s="76" t="s">
        <v>5</v>
      </c>
      <c r="I1460" s="116">
        <v>45469</v>
      </c>
    </row>
    <row r="1461" spans="1:9" ht="13.5">
      <c r="A1461" s="2" t="s">
        <v>714</v>
      </c>
      <c r="B1461" s="3"/>
      <c r="C1461" s="4" t="s">
        <v>2740</v>
      </c>
      <c r="D1461" s="4" t="s">
        <v>2371</v>
      </c>
      <c r="E1461" s="5" t="s">
        <v>2741</v>
      </c>
      <c r="F1461" s="5" t="str">
        <f t="shared" si="22"/>
        <v>Alfa.no</v>
      </c>
      <c r="G1461" s="5" t="s">
        <v>4</v>
      </c>
      <c r="H1461" s="5" t="s">
        <v>382</v>
      </c>
      <c r="I1461" s="6">
        <v>45470</v>
      </c>
    </row>
    <row r="1462" spans="1:9" ht="13.5">
      <c r="A1462" s="2" t="s">
        <v>1544</v>
      </c>
      <c r="B1462" s="3"/>
      <c r="C1462" s="4" t="s">
        <v>2742</v>
      </c>
      <c r="D1462" s="8" t="s">
        <v>1850</v>
      </c>
      <c r="E1462" s="9" t="s">
        <v>1544</v>
      </c>
      <c r="F1462" s="5" t="str">
        <f t="shared" si="22"/>
        <v>Finansplassen.no</v>
      </c>
      <c r="G1462" s="5" t="s">
        <v>4</v>
      </c>
      <c r="H1462" s="5" t="s">
        <v>382</v>
      </c>
      <c r="I1462" s="6">
        <v>45470</v>
      </c>
    </row>
    <row r="1463" spans="1:9" ht="13.5">
      <c r="A1463" s="181" t="s">
        <v>435</v>
      </c>
      <c r="B1463" s="3"/>
      <c r="C1463" s="105" t="s">
        <v>2743</v>
      </c>
      <c r="D1463" s="87" t="s">
        <v>1446</v>
      </c>
      <c r="E1463" s="76" t="s">
        <v>2744</v>
      </c>
      <c r="F1463" s="5" t="str">
        <f t="shared" si="22"/>
        <v>fairinvestments.se</v>
      </c>
      <c r="G1463" s="5" t="s">
        <v>4</v>
      </c>
      <c r="H1463" s="76" t="s">
        <v>5</v>
      </c>
      <c r="I1463" s="116">
        <v>45470</v>
      </c>
    </row>
    <row r="1464" spans="1:9" ht="13.5">
      <c r="A1464" s="181" t="s">
        <v>2058</v>
      </c>
      <c r="B1464" s="3"/>
      <c r="C1464" s="105" t="s">
        <v>2745</v>
      </c>
      <c r="D1464" s="167" t="s">
        <v>2060</v>
      </c>
      <c r="E1464" s="76" t="s">
        <v>2746</v>
      </c>
      <c r="F1464" s="5" t="str">
        <f t="shared" si="22"/>
        <v>m6bygg.se</v>
      </c>
      <c r="G1464" s="5" t="s">
        <v>4</v>
      </c>
      <c r="H1464" s="76" t="s">
        <v>5</v>
      </c>
      <c r="I1464" s="116">
        <v>45470</v>
      </c>
    </row>
    <row r="1465" spans="1:9" ht="13.5">
      <c r="A1465" s="186" t="s">
        <v>329</v>
      </c>
      <c r="B1465" s="3"/>
      <c r="C1465" s="105" t="s">
        <v>2747</v>
      </c>
      <c r="D1465" s="87" t="s">
        <v>1488</v>
      </c>
      <c r="E1465" s="79" t="s">
        <v>2748</v>
      </c>
      <c r="F1465" s="5" t="str">
        <f t="shared" si="22"/>
        <v>vont</v>
      </c>
      <c r="G1465" s="5" t="s">
        <v>4</v>
      </c>
      <c r="H1465" s="79" t="s">
        <v>5</v>
      </c>
      <c r="I1465" s="116">
        <v>45470</v>
      </c>
    </row>
    <row r="1466" spans="1:9" ht="13.5">
      <c r="A1466" s="2" t="s">
        <v>1318</v>
      </c>
      <c r="B1466" s="3"/>
      <c r="C1466" s="96" t="s">
        <v>2749</v>
      </c>
      <c r="D1466" s="96" t="s">
        <v>2750</v>
      </c>
      <c r="E1466" s="79" t="s">
        <v>2751</v>
      </c>
      <c r="F1466" s="5" t="str">
        <f t="shared" si="22"/>
        <v>spelklubben.se</v>
      </c>
      <c r="G1466" s="5" t="s">
        <v>4</v>
      </c>
      <c r="H1466" s="5" t="s">
        <v>5</v>
      </c>
      <c r="I1466" s="173">
        <v>45471</v>
      </c>
    </row>
    <row r="1467" spans="1:9" ht="13.5">
      <c r="A1467" s="2" t="s">
        <v>1492</v>
      </c>
      <c r="B1467" s="3"/>
      <c r="C1467" s="195" t="s">
        <v>2752</v>
      </c>
      <c r="D1467" s="4" t="s">
        <v>1494</v>
      </c>
      <c r="E1467" s="5" t="s">
        <v>2753</v>
      </c>
      <c r="F1467" s="5" t="str">
        <f t="shared" si="22"/>
        <v>cdg.io</v>
      </c>
      <c r="G1467" s="5" t="s">
        <v>4</v>
      </c>
      <c r="H1467" s="5" t="s">
        <v>345</v>
      </c>
      <c r="I1467" s="6">
        <v>45471</v>
      </c>
    </row>
    <row r="1468" spans="1:9" ht="13.5">
      <c r="A1468" s="2" t="s">
        <v>1492</v>
      </c>
      <c r="B1468" s="3"/>
      <c r="C1468" s="196" t="s">
        <v>2754</v>
      </c>
      <c r="D1468" s="4" t="s">
        <v>1494</v>
      </c>
      <c r="E1468" s="5" t="s">
        <v>2755</v>
      </c>
      <c r="F1468" s="5" t="str">
        <f t="shared" si="22"/>
        <v>cdg.io</v>
      </c>
      <c r="G1468" s="5" t="s">
        <v>4</v>
      </c>
      <c r="H1468" s="5" t="s">
        <v>345</v>
      </c>
      <c r="I1468" s="6">
        <v>45471</v>
      </c>
    </row>
    <row r="1469" spans="1:9" ht="13.5">
      <c r="A1469" s="181" t="s">
        <v>308</v>
      </c>
      <c r="B1469" s="3"/>
      <c r="C1469" s="105" t="s">
        <v>1353</v>
      </c>
      <c r="D1469" s="87" t="s">
        <v>1309</v>
      </c>
      <c r="E1469" s="76" t="s">
        <v>2756</v>
      </c>
      <c r="F1469" s="5" t="str">
        <f t="shared" si="22"/>
        <v>lansfast.se</v>
      </c>
      <c r="G1469" s="5" t="s">
        <v>4</v>
      </c>
      <c r="H1469" s="76" t="s">
        <v>5</v>
      </c>
      <c r="I1469" s="116">
        <v>45471</v>
      </c>
    </row>
    <row r="1470" spans="1:9" ht="14.25">
      <c r="A1470" s="181" t="s">
        <v>2127</v>
      </c>
      <c r="B1470" s="3"/>
      <c r="C1470" s="105" t="s">
        <v>2757</v>
      </c>
      <c r="D1470" s="197" t="s">
        <v>2129</v>
      </c>
      <c r="E1470" s="79" t="s">
        <v>2758</v>
      </c>
      <c r="F1470" s="5" t="str">
        <f t="shared" si="22"/>
        <v>startmotor.se</v>
      </c>
      <c r="G1470" s="5" t="s">
        <v>4</v>
      </c>
      <c r="H1470" s="76" t="s">
        <v>5</v>
      </c>
      <c r="I1470" s="116">
        <v>45471</v>
      </c>
    </row>
    <row r="1471" spans="1:9" ht="13.5">
      <c r="A1471" s="181" t="s">
        <v>846</v>
      </c>
      <c r="B1471" s="3"/>
      <c r="C1471" s="105" t="s">
        <v>2759</v>
      </c>
      <c r="D1471" s="87" t="s">
        <v>1207</v>
      </c>
      <c r="E1471" s="79" t="s">
        <v>2760</v>
      </c>
      <c r="F1471" s="5" t="str">
        <f t="shared" si="22"/>
        <v>tandea.se</v>
      </c>
      <c r="G1471" s="5" t="s">
        <v>4</v>
      </c>
      <c r="H1471" s="79" t="s">
        <v>5</v>
      </c>
      <c r="I1471" s="116">
        <v>45471</v>
      </c>
    </row>
    <row r="1472" spans="1:9" ht="13.5">
      <c r="A1472" s="198" t="s">
        <v>723</v>
      </c>
      <c r="B1472" s="152"/>
      <c r="C1472" s="175" t="s">
        <v>2761</v>
      </c>
      <c r="D1472" s="176" t="s">
        <v>2138</v>
      </c>
      <c r="E1472" s="199" t="s">
        <v>2762</v>
      </c>
      <c r="F1472" s="5" t="str">
        <f t="shared" si="22"/>
        <v>aretrotale.com</v>
      </c>
      <c r="G1472" s="154" t="s">
        <v>4</v>
      </c>
      <c r="H1472" s="199" t="s">
        <v>23</v>
      </c>
      <c r="I1472" s="156">
        <v>45472</v>
      </c>
    </row>
    <row r="1473" spans="1:9" ht="13.5">
      <c r="A1473" s="181" t="s">
        <v>435</v>
      </c>
      <c r="B1473" s="3"/>
      <c r="C1473" s="105" t="s">
        <v>2763</v>
      </c>
      <c r="D1473" s="105" t="s">
        <v>1384</v>
      </c>
      <c r="E1473" s="76" t="s">
        <v>2764</v>
      </c>
      <c r="F1473" s="5" t="str">
        <f t="shared" si="22"/>
        <v>fairinvestments.se</v>
      </c>
      <c r="G1473" s="5" t="s">
        <v>4</v>
      </c>
      <c r="H1473" s="76" t="s">
        <v>5</v>
      </c>
      <c r="I1473" s="116">
        <v>45472</v>
      </c>
    </row>
    <row r="1474" spans="1:9" ht="13.5">
      <c r="A1474" s="181" t="s">
        <v>1284</v>
      </c>
      <c r="B1474" s="3"/>
      <c r="C1474" s="105" t="s">
        <v>2765</v>
      </c>
      <c r="D1474" s="87" t="s">
        <v>1286</v>
      </c>
      <c r="E1474" s="79" t="s">
        <v>2766</v>
      </c>
      <c r="F1474" s="5" t="str">
        <f t="shared" si="22"/>
        <v>norteam.se</v>
      </c>
      <c r="G1474" s="5" t="s">
        <v>4</v>
      </c>
      <c r="H1474" s="79" t="s">
        <v>5</v>
      </c>
      <c r="I1474" s="116">
        <v>45472</v>
      </c>
    </row>
    <row r="1475" spans="1:9" ht="13.5">
      <c r="A1475" s="181" t="s">
        <v>171</v>
      </c>
      <c r="B1475" s="3"/>
      <c r="C1475" s="105" t="s">
        <v>2767</v>
      </c>
      <c r="D1475" s="87" t="s">
        <v>1095</v>
      </c>
      <c r="E1475" s="79" t="s">
        <v>1533</v>
      </c>
      <c r="F1475" s="5" t="str">
        <f t="shared" ref="F1475:F1538" si="23">A1475</f>
        <v>arctic.se</v>
      </c>
      <c r="G1475" s="5" t="s">
        <v>4</v>
      </c>
      <c r="H1475" s="79" t="s">
        <v>5</v>
      </c>
      <c r="I1475" s="116">
        <v>45473</v>
      </c>
    </row>
    <row r="1476" spans="1:9" ht="14.25">
      <c r="A1476" s="181" t="s">
        <v>2428</v>
      </c>
      <c r="B1476" s="3"/>
      <c r="C1476" s="105" t="s">
        <v>2768</v>
      </c>
      <c r="D1476" s="114" t="s">
        <v>2430</v>
      </c>
      <c r="E1476" s="79" t="s">
        <v>2769</v>
      </c>
      <c r="F1476" s="5" t="str">
        <f t="shared" si="23"/>
        <v>sakraror.se</v>
      </c>
      <c r="G1476" s="5" t="s">
        <v>4</v>
      </c>
      <c r="H1476" s="79" t="s">
        <v>5</v>
      </c>
      <c r="I1476" s="116">
        <v>45473</v>
      </c>
    </row>
    <row r="1477" spans="1:9" ht="13.5">
      <c r="A1477" s="2" t="s">
        <v>1247</v>
      </c>
      <c r="B1477" s="3"/>
      <c r="C1477" s="138" t="s">
        <v>2770</v>
      </c>
      <c r="D1477" s="138" t="s">
        <v>1249</v>
      </c>
      <c r="E1477" s="5" t="s">
        <v>2771</v>
      </c>
      <c r="F1477" s="5" t="str">
        <f t="shared" si="23"/>
        <v>carpcon.se</v>
      </c>
      <c r="G1477" s="5" t="s">
        <v>4</v>
      </c>
      <c r="H1477" s="5" t="s">
        <v>5</v>
      </c>
      <c r="I1477" s="6">
        <v>45474</v>
      </c>
    </row>
    <row r="1478" spans="1:9" ht="13.5">
      <c r="A1478" s="2" t="s">
        <v>1291</v>
      </c>
      <c r="B1478" s="3"/>
      <c r="C1478" s="138" t="s">
        <v>2772</v>
      </c>
      <c r="D1478" s="87" t="s">
        <v>1293</v>
      </c>
      <c r="E1478" s="79" t="s">
        <v>1296</v>
      </c>
      <c r="F1478" s="5" t="str">
        <f t="shared" si="23"/>
        <v>hvvs.se</v>
      </c>
      <c r="G1478" s="5" t="s">
        <v>4</v>
      </c>
      <c r="H1478" s="5" t="s">
        <v>5</v>
      </c>
      <c r="I1478" s="6">
        <v>45474</v>
      </c>
    </row>
    <row r="1479" spans="1:9" ht="13.5">
      <c r="A1479" s="2" t="s">
        <v>1291</v>
      </c>
      <c r="B1479" s="3"/>
      <c r="C1479" s="138" t="s">
        <v>2773</v>
      </c>
      <c r="D1479" s="200" t="s">
        <v>1293</v>
      </c>
      <c r="E1479" s="79" t="s">
        <v>2028</v>
      </c>
      <c r="F1479" s="5" t="str">
        <f t="shared" si="23"/>
        <v>hvvs.se</v>
      </c>
      <c r="G1479" s="5" t="s">
        <v>4</v>
      </c>
      <c r="H1479" s="5" t="s">
        <v>5</v>
      </c>
      <c r="I1479" s="6">
        <v>45474</v>
      </c>
    </row>
    <row r="1480" spans="1:9" ht="13.5">
      <c r="A1480" s="2" t="s">
        <v>100</v>
      </c>
      <c r="B1480" s="3"/>
      <c r="C1480" s="138" t="s">
        <v>2774</v>
      </c>
      <c r="D1480" s="8" t="s">
        <v>950</v>
      </c>
      <c r="E1480" s="5" t="s">
        <v>2775</v>
      </c>
      <c r="F1480" s="5" t="str">
        <f t="shared" si="23"/>
        <v>bigbenstandup.com</v>
      </c>
      <c r="G1480" s="5" t="s">
        <v>4</v>
      </c>
      <c r="H1480" s="5" t="s">
        <v>5</v>
      </c>
      <c r="I1480" s="6">
        <v>45474</v>
      </c>
    </row>
    <row r="1481" spans="1:9" ht="13.5">
      <c r="A1481" s="2" t="s">
        <v>2240</v>
      </c>
      <c r="B1481" s="3"/>
      <c r="C1481" s="4" t="s">
        <v>2776</v>
      </c>
      <c r="D1481" s="4" t="s">
        <v>2777</v>
      </c>
      <c r="E1481" s="5" t="s">
        <v>2586</v>
      </c>
      <c r="F1481" s="5" t="str">
        <f t="shared" si="23"/>
        <v>mrnicco.com</v>
      </c>
      <c r="G1481" s="5" t="s">
        <v>4</v>
      </c>
      <c r="H1481" s="5" t="s">
        <v>2243</v>
      </c>
      <c r="I1481" s="6">
        <v>45474</v>
      </c>
    </row>
    <row r="1482" spans="1:9" ht="13.5">
      <c r="A1482" s="2" t="s">
        <v>2592</v>
      </c>
      <c r="B1482" s="3"/>
      <c r="C1482" s="138" t="s">
        <v>2778</v>
      </c>
      <c r="D1482" s="138" t="s">
        <v>2594</v>
      </c>
      <c r="E1482" s="5" t="s">
        <v>2779</v>
      </c>
      <c r="F1482" s="5" t="str">
        <f t="shared" si="23"/>
        <v>everynightstudios.com</v>
      </c>
      <c r="G1482" s="5" t="s">
        <v>4</v>
      </c>
      <c r="H1482" s="5" t="s">
        <v>5</v>
      </c>
      <c r="I1482" s="6">
        <v>45474</v>
      </c>
    </row>
    <row r="1483" spans="1:9" ht="13.5">
      <c r="A1483" s="2" t="s">
        <v>2780</v>
      </c>
      <c r="B1483" s="3"/>
      <c r="C1483" s="138" t="s">
        <v>2781</v>
      </c>
      <c r="D1483" s="200" t="s">
        <v>2780</v>
      </c>
      <c r="E1483" s="201" t="s">
        <v>2487</v>
      </c>
      <c r="F1483" s="5" t="str">
        <f t="shared" si="23"/>
        <v>jovialsundsvall.se</v>
      </c>
      <c r="G1483" s="5" t="s">
        <v>4</v>
      </c>
      <c r="H1483" s="5" t="s">
        <v>5</v>
      </c>
      <c r="I1483" s="6">
        <v>45474</v>
      </c>
    </row>
    <row r="1484" spans="1:9" ht="13.5">
      <c r="A1484" s="2" t="s">
        <v>2029</v>
      </c>
      <c r="B1484" s="3"/>
      <c r="C1484" s="138" t="s">
        <v>2782</v>
      </c>
      <c r="D1484" s="87" t="s">
        <v>2031</v>
      </c>
      <c r="E1484" s="79" t="s">
        <v>2783</v>
      </c>
      <c r="F1484" s="5" t="str">
        <f t="shared" si="23"/>
        <v>legendbygg.com</v>
      </c>
      <c r="G1484" s="5" t="s">
        <v>4</v>
      </c>
      <c r="H1484" s="5" t="s">
        <v>5</v>
      </c>
      <c r="I1484" s="6">
        <v>45475</v>
      </c>
    </row>
    <row r="1485" spans="1:9" ht="13.5">
      <c r="A1485" s="2" t="s">
        <v>2033</v>
      </c>
      <c r="B1485" s="3"/>
      <c r="C1485" s="138" t="s">
        <v>2784</v>
      </c>
      <c r="D1485" s="110" t="s">
        <v>2257</v>
      </c>
      <c r="E1485" s="79" t="s">
        <v>2785</v>
      </c>
      <c r="F1485" s="5" t="str">
        <f t="shared" si="23"/>
        <v>qsundsvall.se</v>
      </c>
      <c r="G1485" s="5" t="s">
        <v>4</v>
      </c>
      <c r="H1485" s="5" t="s">
        <v>5</v>
      </c>
      <c r="I1485" s="6">
        <v>45475</v>
      </c>
    </row>
    <row r="1486" spans="1:9" ht="13.5">
      <c r="A1486" s="2" t="s">
        <v>2052</v>
      </c>
      <c r="B1486" s="3"/>
      <c r="C1486" s="138" t="s">
        <v>2786</v>
      </c>
      <c r="D1486" s="87" t="s">
        <v>2054</v>
      </c>
      <c r="E1486" s="79" t="s">
        <v>2055</v>
      </c>
      <c r="F1486" s="5" t="str">
        <f t="shared" si="23"/>
        <v>rosapensionat.se</v>
      </c>
      <c r="G1486" s="5" t="s">
        <v>4</v>
      </c>
      <c r="H1486" s="5" t="s">
        <v>5</v>
      </c>
      <c r="I1486" s="6">
        <v>45475</v>
      </c>
    </row>
    <row r="1487" spans="1:9" ht="13.5">
      <c r="A1487" s="2" t="s">
        <v>1297</v>
      </c>
      <c r="B1487" s="3"/>
      <c r="C1487" s="138" t="s">
        <v>2787</v>
      </c>
      <c r="D1487" s="87" t="s">
        <v>1299</v>
      </c>
      <c r="E1487" s="79" t="s">
        <v>2260</v>
      </c>
      <c r="F1487" s="5" t="str">
        <f t="shared" si="23"/>
        <v>sundsvallbergvarme.se</v>
      </c>
      <c r="G1487" s="5" t="s">
        <v>4</v>
      </c>
      <c r="H1487" s="5" t="s">
        <v>5</v>
      </c>
      <c r="I1487" s="6">
        <v>45475</v>
      </c>
    </row>
    <row r="1488" spans="1:9" ht="13.5">
      <c r="A1488" s="2" t="s">
        <v>2640</v>
      </c>
      <c r="B1488" s="3"/>
      <c r="C1488" s="4" t="s">
        <v>2788</v>
      </c>
      <c r="D1488" s="4" t="s">
        <v>2642</v>
      </c>
      <c r="E1488" s="5" t="s">
        <v>2789</v>
      </c>
      <c r="F1488" s="5" t="str">
        <f t="shared" si="23"/>
        <v>snusnetto.se</v>
      </c>
      <c r="G1488" s="5" t="s">
        <v>4</v>
      </c>
      <c r="H1488" s="5" t="s">
        <v>5</v>
      </c>
      <c r="I1488" s="6">
        <v>45475</v>
      </c>
    </row>
    <row r="1489" spans="1:9" ht="13.5">
      <c r="A1489" s="2" t="s">
        <v>308</v>
      </c>
      <c r="B1489" s="3"/>
      <c r="C1489" s="138" t="s">
        <v>2790</v>
      </c>
      <c r="D1489" s="87" t="s">
        <v>1395</v>
      </c>
      <c r="E1489" s="79" t="s">
        <v>1013</v>
      </c>
      <c r="F1489" s="5" t="str">
        <f t="shared" si="23"/>
        <v>lansfast.se</v>
      </c>
      <c r="G1489" s="5" t="s">
        <v>4</v>
      </c>
      <c r="H1489" s="5" t="s">
        <v>5</v>
      </c>
      <c r="I1489" s="6">
        <v>45475</v>
      </c>
    </row>
    <row r="1490" spans="1:9" ht="13.5">
      <c r="A1490" s="2" t="s">
        <v>2248</v>
      </c>
      <c r="B1490" s="3"/>
      <c r="C1490" s="138" t="s">
        <v>2791</v>
      </c>
      <c r="D1490" s="138" t="s">
        <v>2250</v>
      </c>
      <c r="E1490" s="5" t="s">
        <v>2251</v>
      </c>
      <c r="F1490" s="5" t="str">
        <f t="shared" si="23"/>
        <v>storgruppen.se</v>
      </c>
      <c r="G1490" s="5" t="s">
        <v>4</v>
      </c>
      <c r="H1490" s="5" t="s">
        <v>5</v>
      </c>
      <c r="I1490" s="6">
        <v>45475</v>
      </c>
    </row>
    <row r="1491" spans="1:9" ht="13.5">
      <c r="A1491" s="2" t="s">
        <v>2248</v>
      </c>
      <c r="B1491" s="3"/>
      <c r="C1491" s="138" t="s">
        <v>2792</v>
      </c>
      <c r="D1491" s="138" t="s">
        <v>2250</v>
      </c>
      <c r="E1491" s="5" t="s">
        <v>2251</v>
      </c>
      <c r="F1491" s="5" t="str">
        <f t="shared" si="23"/>
        <v>storgruppen.se</v>
      </c>
      <c r="G1491" s="5" t="s">
        <v>4</v>
      </c>
      <c r="H1491" s="5" t="s">
        <v>5</v>
      </c>
      <c r="I1491" s="6">
        <v>45475</v>
      </c>
    </row>
    <row r="1492" spans="1:9" ht="13.5">
      <c r="A1492" s="2" t="s">
        <v>992</v>
      </c>
      <c r="B1492" s="3"/>
      <c r="C1492" s="138" t="s">
        <v>2793</v>
      </c>
      <c r="D1492" s="202" t="s">
        <v>1392</v>
      </c>
      <c r="E1492" s="203" t="s">
        <v>1710</v>
      </c>
      <c r="F1492" s="5" t="str">
        <f t="shared" si="23"/>
        <v>ledkungen.se</v>
      </c>
      <c r="G1492" s="5" t="s">
        <v>4</v>
      </c>
      <c r="H1492" s="5" t="s">
        <v>5</v>
      </c>
      <c r="I1492" s="6">
        <v>45475</v>
      </c>
    </row>
    <row r="1493" spans="1:9" ht="13.5">
      <c r="A1493" s="2" t="s">
        <v>1213</v>
      </c>
      <c r="B1493" s="3"/>
      <c r="C1493" s="138" t="s">
        <v>2794</v>
      </c>
      <c r="D1493" s="87" t="s">
        <v>1215</v>
      </c>
      <c r="E1493" s="79" t="s">
        <v>2491</v>
      </c>
      <c r="F1493" s="5" t="str">
        <f t="shared" si="23"/>
        <v>mariatand.se</v>
      </c>
      <c r="G1493" s="5" t="s">
        <v>4</v>
      </c>
      <c r="H1493" s="5" t="s">
        <v>5</v>
      </c>
      <c r="I1493" s="6">
        <v>45475</v>
      </c>
    </row>
    <row r="1494" spans="1:9" ht="13.5">
      <c r="A1494" s="7" t="s">
        <v>67</v>
      </c>
      <c r="B1494" s="3"/>
      <c r="C1494" s="138" t="s">
        <v>2795</v>
      </c>
      <c r="D1494" s="204" t="s">
        <v>2622</v>
      </c>
      <c r="E1494" s="205" t="s">
        <v>2623</v>
      </c>
      <c r="F1494" s="5" t="str">
        <f t="shared" si="23"/>
        <v>nem.health</v>
      </c>
      <c r="G1494" s="5" t="s">
        <v>4</v>
      </c>
      <c r="H1494" s="5" t="s">
        <v>5</v>
      </c>
      <c r="I1494" s="6">
        <v>45475</v>
      </c>
    </row>
    <row r="1495" spans="1:9" ht="13.5">
      <c r="A1495" s="7" t="s">
        <v>224</v>
      </c>
      <c r="B1495" s="3"/>
      <c r="C1495" s="138" t="s">
        <v>2796</v>
      </c>
      <c r="D1495" s="71" t="s">
        <v>461</v>
      </c>
      <c r="E1495" s="76" t="s">
        <v>1117</v>
      </c>
      <c r="F1495" s="5" t="str">
        <f t="shared" si="23"/>
        <v>swedoffice</v>
      </c>
      <c r="G1495" s="5" t="s">
        <v>4</v>
      </c>
      <c r="H1495" s="5" t="s">
        <v>5</v>
      </c>
      <c r="I1495" s="6">
        <v>45475</v>
      </c>
    </row>
    <row r="1496" spans="1:9" ht="13.5">
      <c r="A1496" s="2" t="s">
        <v>325</v>
      </c>
      <c r="B1496" s="3"/>
      <c r="C1496" s="138" t="s">
        <v>2797</v>
      </c>
      <c r="D1496" s="87" t="s">
        <v>1244</v>
      </c>
      <c r="E1496" s="79" t="s">
        <v>463</v>
      </c>
      <c r="F1496" s="5" t="str">
        <f t="shared" si="23"/>
        <v>tiotak.se</v>
      </c>
      <c r="G1496" s="5" t="s">
        <v>4</v>
      </c>
      <c r="H1496" s="5" t="s">
        <v>5</v>
      </c>
      <c r="I1496" s="6">
        <v>45475</v>
      </c>
    </row>
    <row r="1497" spans="1:9" ht="13.5">
      <c r="A1497" s="2" t="s">
        <v>1318</v>
      </c>
      <c r="B1497" s="3"/>
      <c r="C1497" s="132" t="s">
        <v>2798</v>
      </c>
      <c r="D1497" s="4" t="s">
        <v>1942</v>
      </c>
      <c r="E1497" s="5" t="s">
        <v>2799</v>
      </c>
      <c r="F1497" s="5" t="str">
        <f t="shared" si="23"/>
        <v>spelklubben.se</v>
      </c>
      <c r="G1497" s="5" t="s">
        <v>4</v>
      </c>
      <c r="H1497" s="5" t="s">
        <v>5</v>
      </c>
      <c r="I1497" s="6">
        <v>45475</v>
      </c>
    </row>
    <row r="1498" spans="1:9" ht="13.5">
      <c r="A1498" s="2" t="s">
        <v>1318</v>
      </c>
      <c r="B1498" s="3"/>
      <c r="C1498" s="132" t="s">
        <v>2800</v>
      </c>
      <c r="D1498" s="132" t="s">
        <v>1942</v>
      </c>
      <c r="E1498" s="206" t="s">
        <v>2799</v>
      </c>
      <c r="F1498" s="5" t="str">
        <f t="shared" si="23"/>
        <v>spelklubben.se</v>
      </c>
      <c r="G1498" s="5" t="s">
        <v>4</v>
      </c>
      <c r="H1498" s="5" t="s">
        <v>5</v>
      </c>
      <c r="I1498" s="6">
        <v>45475</v>
      </c>
    </row>
    <row r="1499" spans="1:9" ht="13.5">
      <c r="A1499" s="2" t="s">
        <v>2640</v>
      </c>
      <c r="B1499" s="3"/>
      <c r="C1499" s="5" t="s">
        <v>2788</v>
      </c>
      <c r="D1499" s="5" t="s">
        <v>2642</v>
      </c>
      <c r="E1499" s="5" t="s">
        <v>2789</v>
      </c>
      <c r="F1499" s="5" t="str">
        <f t="shared" si="23"/>
        <v>snusnetto.se</v>
      </c>
      <c r="G1499" s="5" t="s">
        <v>4</v>
      </c>
      <c r="H1499" s="5" t="s">
        <v>5</v>
      </c>
      <c r="I1499" s="6">
        <v>45475</v>
      </c>
    </row>
    <row r="1500" spans="1:9" ht="13.5">
      <c r="A1500" s="2" t="s">
        <v>2079</v>
      </c>
      <c r="B1500" s="3"/>
      <c r="C1500" s="138" t="s">
        <v>2801</v>
      </c>
      <c r="D1500" s="87" t="s">
        <v>2081</v>
      </c>
      <c r="E1500" s="79" t="s">
        <v>2082</v>
      </c>
      <c r="F1500" s="5" t="str">
        <f t="shared" si="23"/>
        <v>ttsab.nu</v>
      </c>
      <c r="G1500" s="5" t="s">
        <v>4</v>
      </c>
      <c r="H1500" s="5" t="s">
        <v>5</v>
      </c>
      <c r="I1500" s="6">
        <v>45476</v>
      </c>
    </row>
    <row r="1501" spans="1:9" ht="13.5">
      <c r="A1501" s="2" t="s">
        <v>857</v>
      </c>
      <c r="B1501" s="3"/>
      <c r="C1501" s="138" t="s">
        <v>2802</v>
      </c>
      <c r="D1501" s="87" t="s">
        <v>859</v>
      </c>
      <c r="E1501" s="79" t="s">
        <v>2273</v>
      </c>
      <c r="F1501" s="5" t="str">
        <f t="shared" si="23"/>
        <v>veterinarklinikenbirsta.se</v>
      </c>
      <c r="G1501" s="5" t="s">
        <v>4</v>
      </c>
      <c r="H1501" s="5" t="s">
        <v>5</v>
      </c>
      <c r="I1501" s="6">
        <v>45476</v>
      </c>
    </row>
    <row r="1502" spans="1:9" ht="13.5">
      <c r="A1502" s="2" t="s">
        <v>325</v>
      </c>
      <c r="B1502" s="3"/>
      <c r="C1502" s="138" t="s">
        <v>2803</v>
      </c>
      <c r="D1502" s="87" t="s">
        <v>873</v>
      </c>
      <c r="E1502" s="207" t="s">
        <v>2804</v>
      </c>
      <c r="F1502" s="5" t="str">
        <f t="shared" si="23"/>
        <v>tiotak.se</v>
      </c>
      <c r="G1502" s="5" t="s">
        <v>4</v>
      </c>
      <c r="H1502" s="5" t="s">
        <v>5</v>
      </c>
      <c r="I1502" s="6">
        <v>45476</v>
      </c>
    </row>
    <row r="1503" spans="1:9" ht="13.5">
      <c r="A1503" s="2" t="s">
        <v>535</v>
      </c>
      <c r="B1503" s="3"/>
      <c r="C1503" s="138" t="s">
        <v>2805</v>
      </c>
      <c r="D1503" s="87" t="s">
        <v>2806</v>
      </c>
      <c r="E1503" s="79" t="s">
        <v>2807</v>
      </c>
      <c r="F1503" s="5" t="str">
        <f t="shared" si="23"/>
        <v>tryggbil.se</v>
      </c>
      <c r="G1503" s="5" t="s">
        <v>4</v>
      </c>
      <c r="H1503" s="5" t="s">
        <v>5</v>
      </c>
      <c r="I1503" s="6">
        <v>45476</v>
      </c>
    </row>
    <row r="1504" spans="1:9" ht="13.5">
      <c r="A1504" s="2" t="s">
        <v>535</v>
      </c>
      <c r="B1504" s="3"/>
      <c r="C1504" s="138" t="s">
        <v>2808</v>
      </c>
      <c r="D1504" s="87" t="s">
        <v>536</v>
      </c>
      <c r="E1504" s="79" t="s">
        <v>2809</v>
      </c>
      <c r="F1504" s="5" t="str">
        <f t="shared" si="23"/>
        <v>tryggbil.se</v>
      </c>
      <c r="G1504" s="5" t="s">
        <v>4</v>
      </c>
      <c r="H1504" s="5" t="s">
        <v>5</v>
      </c>
      <c r="I1504" s="6">
        <v>45476</v>
      </c>
    </row>
    <row r="1505" spans="1:9" ht="13.5">
      <c r="A1505" s="2" t="s">
        <v>1301</v>
      </c>
      <c r="B1505" s="3"/>
      <c r="C1505" s="138" t="s">
        <v>2810</v>
      </c>
      <c r="D1505" s="80" t="s">
        <v>1303</v>
      </c>
      <c r="E1505" s="79" t="s">
        <v>1408</v>
      </c>
      <c r="F1505" s="5" t="str">
        <f t="shared" si="23"/>
        <v>w3solenergi.se</v>
      </c>
      <c r="G1505" s="5" t="s">
        <v>4</v>
      </c>
      <c r="H1505" s="5" t="s">
        <v>5</v>
      </c>
      <c r="I1505" s="6">
        <v>45476</v>
      </c>
    </row>
    <row r="1506" spans="1:9" ht="13.5">
      <c r="A1506" s="2" t="s">
        <v>1318</v>
      </c>
      <c r="B1506" s="3"/>
      <c r="C1506" s="132" t="s">
        <v>2811</v>
      </c>
      <c r="D1506" s="132" t="s">
        <v>1942</v>
      </c>
      <c r="E1506" s="206" t="s">
        <v>2799</v>
      </c>
      <c r="F1506" s="5" t="str">
        <f t="shared" si="23"/>
        <v>spelklubben.se</v>
      </c>
      <c r="G1506" s="5" t="s">
        <v>4</v>
      </c>
      <c r="H1506" s="5" t="s">
        <v>5</v>
      </c>
      <c r="I1506" s="6">
        <v>45476</v>
      </c>
    </row>
    <row r="1507" spans="1:9" ht="13.5">
      <c r="A1507" s="2" t="s">
        <v>1318</v>
      </c>
      <c r="B1507" s="3"/>
      <c r="C1507" s="132" t="s">
        <v>2812</v>
      </c>
      <c r="D1507" s="132" t="s">
        <v>2644</v>
      </c>
      <c r="E1507" s="206" t="s">
        <v>2813</v>
      </c>
      <c r="F1507" s="5" t="str">
        <f t="shared" si="23"/>
        <v>spelklubben.se</v>
      </c>
      <c r="G1507" s="5" t="s">
        <v>4</v>
      </c>
      <c r="H1507" s="5" t="s">
        <v>5</v>
      </c>
      <c r="I1507" s="6">
        <v>45476</v>
      </c>
    </row>
    <row r="1508" spans="1:9" ht="13.5">
      <c r="A1508" s="2" t="s">
        <v>1301</v>
      </c>
      <c r="B1508" s="3"/>
      <c r="C1508" s="138" t="s">
        <v>2814</v>
      </c>
      <c r="D1508" s="208" t="s">
        <v>2815</v>
      </c>
      <c r="E1508" s="209" t="s">
        <v>2816</v>
      </c>
      <c r="F1508" s="5" t="str">
        <f t="shared" si="23"/>
        <v>w3solenergi.se</v>
      </c>
      <c r="G1508" s="5" t="s">
        <v>4</v>
      </c>
      <c r="H1508" s="5" t="s">
        <v>5</v>
      </c>
      <c r="I1508" s="6">
        <v>45476</v>
      </c>
    </row>
    <row r="1509" spans="1:9" ht="13.5">
      <c r="A1509" s="2" t="s">
        <v>1180</v>
      </c>
      <c r="B1509" s="3"/>
      <c r="C1509" s="138" t="s">
        <v>2817</v>
      </c>
      <c r="D1509" s="210" t="s">
        <v>1958</v>
      </c>
      <c r="E1509" s="209" t="s">
        <v>2818</v>
      </c>
      <c r="F1509" s="5" t="str">
        <f t="shared" si="23"/>
        <v>e-ciggbolaget.se</v>
      </c>
      <c r="G1509" s="5" t="s">
        <v>4</v>
      </c>
      <c r="H1509" s="5" t="s">
        <v>5</v>
      </c>
      <c r="I1509" s="6">
        <v>45477</v>
      </c>
    </row>
    <row r="1510" spans="1:9" ht="13.5">
      <c r="A1510" s="2" t="s">
        <v>1180</v>
      </c>
      <c r="B1510" s="3"/>
      <c r="C1510" s="138" t="s">
        <v>2819</v>
      </c>
      <c r="D1510" s="210" t="s">
        <v>1958</v>
      </c>
      <c r="E1510" s="209" t="s">
        <v>2818</v>
      </c>
      <c r="F1510" s="5" t="str">
        <f t="shared" si="23"/>
        <v>e-ciggbolaget.se</v>
      </c>
      <c r="G1510" s="5" t="s">
        <v>4</v>
      </c>
      <c r="H1510" s="5" t="s">
        <v>5</v>
      </c>
      <c r="I1510" s="6">
        <v>45477</v>
      </c>
    </row>
    <row r="1511" spans="1:9" ht="13.5">
      <c r="A1511" s="2" t="s">
        <v>1180</v>
      </c>
      <c r="B1511" s="3"/>
      <c r="C1511" s="138" t="s">
        <v>2820</v>
      </c>
      <c r="D1511" s="210" t="s">
        <v>1966</v>
      </c>
      <c r="E1511" s="209" t="s">
        <v>2821</v>
      </c>
      <c r="F1511" s="5" t="str">
        <f t="shared" si="23"/>
        <v>e-ciggbolaget.se</v>
      </c>
      <c r="G1511" s="5" t="s">
        <v>4</v>
      </c>
      <c r="H1511" s="5" t="s">
        <v>5</v>
      </c>
      <c r="I1511" s="6">
        <v>45477</v>
      </c>
    </row>
    <row r="1512" spans="1:9" ht="13.5">
      <c r="A1512" s="2" t="s">
        <v>1318</v>
      </c>
      <c r="B1512" s="3"/>
      <c r="C1512" s="132" t="s">
        <v>2822</v>
      </c>
      <c r="D1512" s="132" t="s">
        <v>2823</v>
      </c>
      <c r="E1512" s="206" t="s">
        <v>2824</v>
      </c>
      <c r="F1512" s="5" t="str">
        <f t="shared" si="23"/>
        <v>spelklubben.se</v>
      </c>
      <c r="G1512" s="5" t="s">
        <v>4</v>
      </c>
      <c r="H1512" s="5" t="s">
        <v>5</v>
      </c>
      <c r="I1512" s="6">
        <v>45477</v>
      </c>
    </row>
    <row r="1513" spans="1:9" ht="13.5">
      <c r="A1513" s="2" t="s">
        <v>1318</v>
      </c>
      <c r="B1513" s="3"/>
      <c r="C1513" s="132" t="s">
        <v>2825</v>
      </c>
      <c r="D1513" s="132" t="s">
        <v>2689</v>
      </c>
      <c r="E1513" s="206" t="s">
        <v>2826</v>
      </c>
      <c r="F1513" s="5" t="str">
        <f t="shared" si="23"/>
        <v>spelklubben.se</v>
      </c>
      <c r="G1513" s="5" t="s">
        <v>4</v>
      </c>
      <c r="H1513" s="5" t="s">
        <v>5</v>
      </c>
      <c r="I1513" s="6">
        <v>45477</v>
      </c>
    </row>
    <row r="1514" spans="1:9" ht="13.5">
      <c r="A1514" s="2" t="s">
        <v>1318</v>
      </c>
      <c r="B1514" s="3"/>
      <c r="C1514" s="132" t="s">
        <v>2827</v>
      </c>
      <c r="D1514" s="132" t="s">
        <v>2689</v>
      </c>
      <c r="E1514" s="206" t="s">
        <v>2828</v>
      </c>
      <c r="F1514" s="5" t="str">
        <f t="shared" si="23"/>
        <v>spelklubben.se</v>
      </c>
      <c r="G1514" s="5" t="s">
        <v>4</v>
      </c>
      <c r="H1514" s="5" t="s">
        <v>5</v>
      </c>
      <c r="I1514" s="6">
        <v>45477</v>
      </c>
    </row>
    <row r="1515" spans="1:9" ht="13.5">
      <c r="A1515" s="2" t="s">
        <v>1318</v>
      </c>
      <c r="B1515" s="3"/>
      <c r="C1515" s="132" t="s">
        <v>2829</v>
      </c>
      <c r="D1515" s="4" t="s">
        <v>1870</v>
      </c>
      <c r="E1515" s="206" t="s">
        <v>2830</v>
      </c>
      <c r="F1515" s="5" t="str">
        <f t="shared" si="23"/>
        <v>spelklubben.se</v>
      </c>
      <c r="G1515" s="5" t="s">
        <v>4</v>
      </c>
      <c r="H1515" s="5" t="s">
        <v>5</v>
      </c>
      <c r="I1515" s="6">
        <v>45477</v>
      </c>
    </row>
    <row r="1516" spans="1:9" ht="13.5">
      <c r="A1516" s="2" t="s">
        <v>1318</v>
      </c>
      <c r="B1516" s="3"/>
      <c r="C1516" s="132" t="s">
        <v>2831</v>
      </c>
      <c r="D1516" s="4" t="s">
        <v>1870</v>
      </c>
      <c r="E1516" s="206" t="s">
        <v>2011</v>
      </c>
      <c r="F1516" s="5" t="str">
        <f t="shared" si="23"/>
        <v>spelklubben.se</v>
      </c>
      <c r="G1516" s="5" t="s">
        <v>4</v>
      </c>
      <c r="H1516" s="5" t="s">
        <v>5</v>
      </c>
      <c r="I1516" s="6">
        <v>45477</v>
      </c>
    </row>
    <row r="1517" spans="1:9" ht="13.5">
      <c r="A1517" s="2" t="s">
        <v>1318</v>
      </c>
      <c r="B1517" s="3"/>
      <c r="C1517" s="132" t="s">
        <v>2832</v>
      </c>
      <c r="D1517" s="4" t="s">
        <v>2823</v>
      </c>
      <c r="E1517" s="76" t="s">
        <v>2833</v>
      </c>
      <c r="F1517" s="5" t="str">
        <f t="shared" si="23"/>
        <v>spelklubben.se</v>
      </c>
      <c r="G1517" s="5" t="s">
        <v>4</v>
      </c>
      <c r="H1517" s="5" t="s">
        <v>5</v>
      </c>
      <c r="I1517" s="6">
        <v>45477</v>
      </c>
    </row>
    <row r="1518" spans="1:9" ht="13.5">
      <c r="A1518" s="2" t="s">
        <v>1318</v>
      </c>
      <c r="B1518" s="3"/>
      <c r="C1518" s="211" t="s">
        <v>2834</v>
      </c>
      <c r="D1518" s="4" t="s">
        <v>2644</v>
      </c>
      <c r="E1518" s="206" t="s">
        <v>2835</v>
      </c>
      <c r="F1518" s="5" t="str">
        <f t="shared" si="23"/>
        <v>spelklubben.se</v>
      </c>
      <c r="G1518" s="5" t="s">
        <v>4</v>
      </c>
      <c r="H1518" s="5" t="s">
        <v>5</v>
      </c>
      <c r="I1518" s="6">
        <v>45477</v>
      </c>
    </row>
    <row r="1519" spans="1:9" ht="13.9">
      <c r="A1519" s="2" t="s">
        <v>1318</v>
      </c>
      <c r="B1519" s="3"/>
      <c r="C1519" s="212" t="s">
        <v>2825</v>
      </c>
      <c r="D1519" s="4" t="s">
        <v>2823</v>
      </c>
      <c r="E1519" s="5" t="s">
        <v>2833</v>
      </c>
      <c r="F1519" s="5" t="str">
        <f t="shared" si="23"/>
        <v>spelklubben.se</v>
      </c>
      <c r="G1519" s="5" t="s">
        <v>4</v>
      </c>
      <c r="H1519" s="5" t="s">
        <v>5</v>
      </c>
      <c r="I1519" s="6">
        <v>45482</v>
      </c>
    </row>
    <row r="1520" spans="1:9" ht="13.5">
      <c r="A1520" s="2" t="s">
        <v>2836</v>
      </c>
      <c r="B1520" s="3"/>
      <c r="C1520" s="211" t="s">
        <v>2837</v>
      </c>
      <c r="D1520" s="4" t="s">
        <v>2838</v>
      </c>
      <c r="E1520" s="9" t="s">
        <v>2838</v>
      </c>
      <c r="F1520" s="5" t="str">
        <f t="shared" si="23"/>
        <v>cherry.com</v>
      </c>
      <c r="G1520" s="5" t="s">
        <v>34</v>
      </c>
      <c r="H1520" s="5" t="s">
        <v>5</v>
      </c>
      <c r="I1520" s="6">
        <v>45482</v>
      </c>
    </row>
    <row r="1521" spans="1:9" ht="13.5">
      <c r="A1521" s="2" t="s">
        <v>1318</v>
      </c>
      <c r="B1521" s="3"/>
      <c r="C1521" s="4" t="s">
        <v>2839</v>
      </c>
      <c r="D1521" s="4" t="s">
        <v>2644</v>
      </c>
      <c r="E1521" s="5" t="s">
        <v>2840</v>
      </c>
      <c r="F1521" s="5" t="str">
        <f t="shared" si="23"/>
        <v>spelklubben.se</v>
      </c>
      <c r="G1521" s="5" t="s">
        <v>4</v>
      </c>
      <c r="H1521" s="5" t="s">
        <v>5</v>
      </c>
      <c r="I1521" s="6">
        <v>45495</v>
      </c>
    </row>
    <row r="1522" spans="1:9" ht="13.5">
      <c r="A1522" s="2" t="s">
        <v>2592</v>
      </c>
      <c r="B1522" s="3"/>
      <c r="C1522" s="4" t="s">
        <v>2841</v>
      </c>
      <c r="D1522" s="4" t="s">
        <v>2594</v>
      </c>
      <c r="E1522" s="5" t="s">
        <v>2779</v>
      </c>
      <c r="F1522" s="5" t="str">
        <f t="shared" si="23"/>
        <v>everynightstudios.com</v>
      </c>
      <c r="G1522" s="5" t="s">
        <v>4</v>
      </c>
      <c r="H1522" s="5" t="s">
        <v>5</v>
      </c>
      <c r="I1522" s="6">
        <v>45495</v>
      </c>
    </row>
    <row r="1523" spans="1:9" ht="13.5">
      <c r="A1523" s="2" t="s">
        <v>1318</v>
      </c>
      <c r="B1523" s="3"/>
      <c r="C1523" s="4" t="s">
        <v>2839</v>
      </c>
      <c r="D1523" s="4" t="s">
        <v>2644</v>
      </c>
      <c r="E1523" s="5" t="s">
        <v>2840</v>
      </c>
      <c r="F1523" s="5" t="str">
        <f t="shared" si="23"/>
        <v>spelklubben.se</v>
      </c>
      <c r="G1523" s="5" t="s">
        <v>4</v>
      </c>
      <c r="H1523" s="5" t="s">
        <v>5</v>
      </c>
      <c r="I1523" s="6">
        <v>45495</v>
      </c>
    </row>
    <row r="1524" spans="1:9" ht="13.5">
      <c r="A1524" s="2" t="s">
        <v>435</v>
      </c>
      <c r="B1524" s="3"/>
      <c r="C1524" s="105" t="s">
        <v>2842</v>
      </c>
      <c r="D1524" s="87" t="s">
        <v>973</v>
      </c>
      <c r="E1524" s="79" t="s">
        <v>2597</v>
      </c>
      <c r="F1524" s="5" t="str">
        <f t="shared" si="23"/>
        <v>fairinvestments.se</v>
      </c>
      <c r="G1524" s="5" t="s">
        <v>4</v>
      </c>
      <c r="H1524" s="5" t="s">
        <v>5</v>
      </c>
      <c r="I1524" s="6">
        <v>45496</v>
      </c>
    </row>
    <row r="1525" spans="1:9" ht="13.5">
      <c r="A1525" s="2" t="s">
        <v>435</v>
      </c>
      <c r="B1525" s="3"/>
      <c r="C1525" s="105" t="s">
        <v>2843</v>
      </c>
      <c r="D1525" s="87" t="s">
        <v>1012</v>
      </c>
      <c r="E1525" s="79" t="s">
        <v>1398</v>
      </c>
      <c r="F1525" s="5" t="str">
        <f t="shared" si="23"/>
        <v>fairinvestments.se</v>
      </c>
      <c r="G1525" s="5" t="s">
        <v>4</v>
      </c>
      <c r="H1525" s="5" t="s">
        <v>5</v>
      </c>
      <c r="I1525" s="6">
        <v>45496</v>
      </c>
    </row>
    <row r="1526" spans="1:9" ht="13.5">
      <c r="A1526" s="2" t="s">
        <v>435</v>
      </c>
      <c r="B1526" s="3"/>
      <c r="C1526" s="105" t="s">
        <v>2844</v>
      </c>
      <c r="D1526" s="87" t="s">
        <v>834</v>
      </c>
      <c r="E1526" s="79" t="s">
        <v>2845</v>
      </c>
      <c r="F1526" s="5" t="str">
        <f t="shared" si="23"/>
        <v>fairinvestments.se</v>
      </c>
      <c r="G1526" s="5" t="s">
        <v>4</v>
      </c>
      <c r="H1526" s="5" t="s">
        <v>5</v>
      </c>
      <c r="I1526" s="6">
        <v>45496</v>
      </c>
    </row>
    <row r="1527" spans="1:9" ht="13.5">
      <c r="A1527" s="2" t="s">
        <v>435</v>
      </c>
      <c r="B1527" s="3"/>
      <c r="C1527" s="105" t="s">
        <v>2846</v>
      </c>
      <c r="D1527" s="87" t="s">
        <v>1813</v>
      </c>
      <c r="E1527" s="79" t="s">
        <v>2648</v>
      </c>
      <c r="F1527" s="5" t="str">
        <f t="shared" si="23"/>
        <v>fairinvestments.se</v>
      </c>
      <c r="G1527" s="5" t="s">
        <v>4</v>
      </c>
      <c r="H1527" s="5" t="s">
        <v>5</v>
      </c>
      <c r="I1527" s="6">
        <v>45496</v>
      </c>
    </row>
    <row r="1528" spans="1:9" ht="13.5">
      <c r="A1528" s="2" t="s">
        <v>435</v>
      </c>
      <c r="B1528" s="3"/>
      <c r="C1528" s="105" t="s">
        <v>2847</v>
      </c>
      <c r="D1528" s="87" t="s">
        <v>1435</v>
      </c>
      <c r="E1528" s="79" t="s">
        <v>438</v>
      </c>
      <c r="F1528" s="5" t="str">
        <f t="shared" si="23"/>
        <v>fairinvestments.se</v>
      </c>
      <c r="G1528" s="5" t="s">
        <v>4</v>
      </c>
      <c r="H1528" s="5" t="s">
        <v>5</v>
      </c>
      <c r="I1528" s="6">
        <v>45496</v>
      </c>
    </row>
    <row r="1529" spans="1:9" ht="13.5">
      <c r="A1529" s="2" t="s">
        <v>435</v>
      </c>
      <c r="B1529" s="3"/>
      <c r="C1529" s="105" t="s">
        <v>2848</v>
      </c>
      <c r="D1529" s="87" t="s">
        <v>1446</v>
      </c>
      <c r="E1529" s="79" t="s">
        <v>438</v>
      </c>
      <c r="F1529" s="5" t="str">
        <f t="shared" si="23"/>
        <v>fairinvestments.se</v>
      </c>
      <c r="G1529" s="5" t="s">
        <v>4</v>
      </c>
      <c r="H1529" s="5" t="s">
        <v>5</v>
      </c>
      <c r="I1529" s="6">
        <v>45496</v>
      </c>
    </row>
    <row r="1530" spans="1:9" ht="13.5">
      <c r="A1530" s="2" t="s">
        <v>435</v>
      </c>
      <c r="B1530" s="3"/>
      <c r="C1530" s="105" t="s">
        <v>2849</v>
      </c>
      <c r="D1530" s="87" t="s">
        <v>1413</v>
      </c>
      <c r="E1530" s="79" t="s">
        <v>2675</v>
      </c>
      <c r="F1530" s="5" t="str">
        <f t="shared" si="23"/>
        <v>fairinvestments.se</v>
      </c>
      <c r="G1530" s="5" t="s">
        <v>4</v>
      </c>
      <c r="H1530" s="5" t="s">
        <v>5</v>
      </c>
      <c r="I1530" s="6">
        <v>45496</v>
      </c>
    </row>
    <row r="1531" spans="1:9" ht="26.25">
      <c r="A1531" s="2" t="s">
        <v>435</v>
      </c>
      <c r="B1531" s="3"/>
      <c r="C1531" s="105" t="s">
        <v>2850</v>
      </c>
      <c r="D1531" s="87" t="s">
        <v>1384</v>
      </c>
      <c r="E1531" s="213" t="s">
        <v>2734</v>
      </c>
      <c r="F1531" s="5" t="str">
        <f t="shared" si="23"/>
        <v>fairinvestments.se</v>
      </c>
      <c r="G1531" s="5" t="s">
        <v>4</v>
      </c>
      <c r="H1531" s="5" t="s">
        <v>5</v>
      </c>
      <c r="I1531" s="6">
        <v>45496</v>
      </c>
    </row>
    <row r="1532" spans="1:9" ht="13.5">
      <c r="A1532" s="2" t="s">
        <v>435</v>
      </c>
      <c r="B1532" s="3"/>
      <c r="C1532" s="105" t="s">
        <v>2851</v>
      </c>
      <c r="D1532" s="87" t="s">
        <v>1446</v>
      </c>
      <c r="E1532" s="171" t="s">
        <v>2541</v>
      </c>
      <c r="F1532" s="5" t="str">
        <f t="shared" si="23"/>
        <v>fairinvestments.se</v>
      </c>
      <c r="G1532" s="5" t="s">
        <v>4</v>
      </c>
      <c r="H1532" s="5" t="s">
        <v>5</v>
      </c>
      <c r="I1532" s="6">
        <v>45496</v>
      </c>
    </row>
    <row r="1533" spans="1:9" ht="13.5">
      <c r="A1533" s="2" t="s">
        <v>435</v>
      </c>
      <c r="B1533" s="3"/>
      <c r="C1533" s="105" t="s">
        <v>2852</v>
      </c>
      <c r="D1533" s="105" t="s">
        <v>1384</v>
      </c>
      <c r="E1533" s="76" t="s">
        <v>2606</v>
      </c>
      <c r="F1533" s="5" t="str">
        <f t="shared" si="23"/>
        <v>fairinvestments.se</v>
      </c>
      <c r="G1533" s="5" t="s">
        <v>4</v>
      </c>
      <c r="H1533" s="5" t="s">
        <v>5</v>
      </c>
      <c r="I1533" s="6">
        <v>45496</v>
      </c>
    </row>
    <row r="1534" spans="1:9" ht="13.5">
      <c r="A1534" s="2" t="s">
        <v>435</v>
      </c>
      <c r="B1534" s="3"/>
      <c r="C1534" s="105" t="s">
        <v>2853</v>
      </c>
      <c r="D1534" s="105" t="s">
        <v>1384</v>
      </c>
      <c r="E1534" s="76" t="s">
        <v>2606</v>
      </c>
      <c r="F1534" s="5" t="str">
        <f t="shared" si="23"/>
        <v>fairinvestments.se</v>
      </c>
      <c r="G1534" s="5" t="s">
        <v>4</v>
      </c>
      <c r="H1534" s="5" t="s">
        <v>5</v>
      </c>
      <c r="I1534" s="6">
        <v>45496</v>
      </c>
    </row>
    <row r="1535" spans="1:9" ht="13.5">
      <c r="A1535" s="2" t="s">
        <v>171</v>
      </c>
      <c r="B1535" s="3"/>
      <c r="C1535" s="105" t="s">
        <v>2854</v>
      </c>
      <c r="D1535" s="87" t="s">
        <v>1095</v>
      </c>
      <c r="E1535" s="79" t="s">
        <v>1533</v>
      </c>
      <c r="F1535" s="5" t="str">
        <f t="shared" si="23"/>
        <v>arctic.se</v>
      </c>
      <c r="G1535" s="5" t="s">
        <v>4</v>
      </c>
      <c r="H1535" s="5" t="s">
        <v>5</v>
      </c>
      <c r="I1535" s="6">
        <v>45496</v>
      </c>
    </row>
    <row r="1536" spans="1:9" ht="13.5">
      <c r="A1536" s="2" t="s">
        <v>171</v>
      </c>
      <c r="B1536" s="3"/>
      <c r="C1536" s="105" t="s">
        <v>2855</v>
      </c>
      <c r="D1536" s="87" t="s">
        <v>1095</v>
      </c>
      <c r="E1536" s="79" t="s">
        <v>2856</v>
      </c>
      <c r="F1536" s="5" t="str">
        <f t="shared" si="23"/>
        <v>arctic.se</v>
      </c>
      <c r="G1536" s="5" t="s">
        <v>4</v>
      </c>
      <c r="H1536" s="5" t="s">
        <v>5</v>
      </c>
      <c r="I1536" s="6">
        <v>45496</v>
      </c>
    </row>
    <row r="1537" spans="1:9" ht="13.5">
      <c r="A1537" s="2" t="s">
        <v>846</v>
      </c>
      <c r="B1537" s="3"/>
      <c r="C1537" s="105" t="s">
        <v>2857</v>
      </c>
      <c r="D1537" s="87" t="s">
        <v>848</v>
      </c>
      <c r="E1537" s="79" t="s">
        <v>1483</v>
      </c>
      <c r="F1537" s="5" t="str">
        <f t="shared" si="23"/>
        <v>tandea.se</v>
      </c>
      <c r="G1537" s="5" t="s">
        <v>4</v>
      </c>
      <c r="H1537" s="5" t="s">
        <v>5</v>
      </c>
      <c r="I1537" s="6">
        <v>45496</v>
      </c>
    </row>
    <row r="1538" spans="1:9" ht="13.5">
      <c r="A1538" s="2" t="s">
        <v>846</v>
      </c>
      <c r="B1538" s="3"/>
      <c r="C1538" s="105" t="s">
        <v>2858</v>
      </c>
      <c r="D1538" s="87" t="s">
        <v>848</v>
      </c>
      <c r="E1538" s="79" t="s">
        <v>1333</v>
      </c>
      <c r="F1538" s="5" t="str">
        <f t="shared" si="23"/>
        <v>tandea.se</v>
      </c>
      <c r="G1538" s="5" t="s">
        <v>4</v>
      </c>
      <c r="H1538" s="5" t="s">
        <v>5</v>
      </c>
      <c r="I1538" s="6">
        <v>45496</v>
      </c>
    </row>
    <row r="1539" spans="1:9" ht="13.5">
      <c r="A1539" s="2" t="s">
        <v>846</v>
      </c>
      <c r="B1539" s="3"/>
      <c r="C1539" s="105" t="s">
        <v>2859</v>
      </c>
      <c r="D1539" s="87" t="s">
        <v>848</v>
      </c>
      <c r="E1539" s="79" t="s">
        <v>1333</v>
      </c>
      <c r="F1539" s="5" t="str">
        <f t="shared" ref="F1539:F1602" si="24">A1539</f>
        <v>tandea.se</v>
      </c>
      <c r="G1539" s="5" t="s">
        <v>4</v>
      </c>
      <c r="H1539" s="5" t="s">
        <v>5</v>
      </c>
      <c r="I1539" s="6">
        <v>45496</v>
      </c>
    </row>
    <row r="1540" spans="1:9" ht="13.5">
      <c r="A1540" s="7" t="s">
        <v>1910</v>
      </c>
      <c r="B1540" s="3"/>
      <c r="C1540" s="105" t="s">
        <v>2860</v>
      </c>
      <c r="D1540" s="214" t="s">
        <v>2861</v>
      </c>
      <c r="E1540" s="76" t="s">
        <v>2862</v>
      </c>
      <c r="F1540" s="5" t="str">
        <f t="shared" si="24"/>
        <v>kelleher-international</v>
      </c>
      <c r="G1540" s="5" t="s">
        <v>4</v>
      </c>
      <c r="H1540" s="5" t="s">
        <v>345</v>
      </c>
      <c r="I1540" s="6">
        <v>45496</v>
      </c>
    </row>
    <row r="1541" spans="1:9" ht="13.5">
      <c r="A1541" s="7" t="s">
        <v>1910</v>
      </c>
      <c r="B1541" s="3"/>
      <c r="C1541" s="87" t="s">
        <v>2863</v>
      </c>
      <c r="D1541" s="215" t="s">
        <v>2861</v>
      </c>
      <c r="E1541" s="76" t="s">
        <v>2864</v>
      </c>
      <c r="F1541" s="5" t="str">
        <f t="shared" si="24"/>
        <v>kelleher-international</v>
      </c>
      <c r="G1541" s="5" t="s">
        <v>4</v>
      </c>
      <c r="H1541" s="5" t="s">
        <v>345</v>
      </c>
      <c r="I1541" s="6">
        <v>45496</v>
      </c>
    </row>
    <row r="1542" spans="1:9" ht="13.5">
      <c r="A1542" s="7" t="s">
        <v>1910</v>
      </c>
      <c r="B1542" s="3"/>
      <c r="C1542" s="105" t="s">
        <v>2865</v>
      </c>
      <c r="D1542" s="216" t="s">
        <v>2861</v>
      </c>
      <c r="E1542" s="76" t="s">
        <v>2862</v>
      </c>
      <c r="F1542" s="5" t="str">
        <f t="shared" si="24"/>
        <v>kelleher-international</v>
      </c>
      <c r="G1542" s="5" t="s">
        <v>4</v>
      </c>
      <c r="H1542" s="5" t="s">
        <v>345</v>
      </c>
      <c r="I1542" s="6">
        <v>45496</v>
      </c>
    </row>
    <row r="1543" spans="1:9" ht="13.5">
      <c r="A1543" s="2" t="s">
        <v>1667</v>
      </c>
      <c r="B1543" s="3"/>
      <c r="C1543" s="138" t="s">
        <v>2866</v>
      </c>
      <c r="D1543" s="138" t="s">
        <v>2867</v>
      </c>
      <c r="E1543" s="72" t="s">
        <v>2868</v>
      </c>
      <c r="F1543" s="5" t="str">
        <f t="shared" si="24"/>
        <v>Alfa.se</v>
      </c>
      <c r="G1543" s="5" t="s">
        <v>4</v>
      </c>
      <c r="H1543" s="5" t="s">
        <v>5</v>
      </c>
      <c r="I1543" s="6">
        <v>45496</v>
      </c>
    </row>
    <row r="1544" spans="1:9" ht="13.5">
      <c r="A1544" s="145" t="s">
        <v>1247</v>
      </c>
      <c r="B1544" s="146"/>
      <c r="C1544" s="217" t="s">
        <v>2869</v>
      </c>
      <c r="D1544" s="218" t="s">
        <v>1249</v>
      </c>
      <c r="E1544" s="219" t="s">
        <v>1250</v>
      </c>
      <c r="F1544" s="5" t="str">
        <f t="shared" si="24"/>
        <v>carpcon.se</v>
      </c>
      <c r="G1544" s="149" t="s">
        <v>4</v>
      </c>
      <c r="H1544" s="149" t="s">
        <v>5</v>
      </c>
      <c r="I1544" s="150">
        <v>45497</v>
      </c>
    </row>
    <row r="1545" spans="1:9" ht="13.5">
      <c r="A1545" s="2" t="s">
        <v>689</v>
      </c>
      <c r="B1545" s="3"/>
      <c r="C1545" s="138" t="s">
        <v>2870</v>
      </c>
      <c r="D1545" s="220" t="s">
        <v>2871</v>
      </c>
      <c r="E1545" s="221" t="s">
        <v>2872</v>
      </c>
      <c r="F1545" s="5" t="str">
        <f t="shared" si="24"/>
        <v>conclean.se</v>
      </c>
      <c r="G1545" s="5" t="s">
        <v>4</v>
      </c>
      <c r="H1545" s="5" t="s">
        <v>5</v>
      </c>
      <c r="I1545" s="6">
        <v>45497</v>
      </c>
    </row>
    <row r="1546" spans="1:9" ht="13.5">
      <c r="A1546" s="2" t="s">
        <v>689</v>
      </c>
      <c r="B1546" s="3"/>
      <c r="C1546" s="138" t="s">
        <v>2873</v>
      </c>
      <c r="D1546" s="110" t="s">
        <v>691</v>
      </c>
      <c r="E1546" s="222" t="s">
        <v>2874</v>
      </c>
      <c r="F1546" s="5" t="str">
        <f t="shared" si="24"/>
        <v>conclean.se</v>
      </c>
      <c r="G1546" s="5" t="s">
        <v>4</v>
      </c>
      <c r="H1546" s="5" t="s">
        <v>5</v>
      </c>
      <c r="I1546" s="6">
        <v>45497</v>
      </c>
    </row>
    <row r="1547" spans="1:9" ht="13.5">
      <c r="A1547" s="2" t="s">
        <v>803</v>
      </c>
      <c r="B1547" s="3"/>
      <c r="C1547" s="138" t="s">
        <v>2875</v>
      </c>
      <c r="D1547" s="93" t="s">
        <v>991</v>
      </c>
      <c r="E1547" s="76" t="s">
        <v>2876</v>
      </c>
      <c r="F1547" s="5" t="str">
        <f t="shared" si="24"/>
        <v>foyen.se</v>
      </c>
      <c r="G1547" s="5" t="s">
        <v>4</v>
      </c>
      <c r="H1547" s="5" t="s">
        <v>5</v>
      </c>
      <c r="I1547" s="6">
        <v>45497</v>
      </c>
    </row>
    <row r="1548" spans="1:9" ht="13.5">
      <c r="A1548" s="2" t="s">
        <v>2043</v>
      </c>
      <c r="B1548" s="3"/>
      <c r="C1548" s="138" t="s">
        <v>2877</v>
      </c>
      <c r="D1548" s="223" t="s">
        <v>2045</v>
      </c>
      <c r="E1548" s="209" t="s">
        <v>2046</v>
      </c>
      <c r="F1548" s="5" t="str">
        <f t="shared" si="24"/>
        <v>heteknik.se</v>
      </c>
      <c r="G1548" s="5" t="s">
        <v>4</v>
      </c>
      <c r="H1548" s="5" t="s">
        <v>5</v>
      </c>
      <c r="I1548" s="6">
        <v>45497</v>
      </c>
    </row>
    <row r="1549" spans="1:9" ht="13.5">
      <c r="A1549" s="2" t="s">
        <v>2780</v>
      </c>
      <c r="B1549" s="3"/>
      <c r="C1549" s="138" t="s">
        <v>2878</v>
      </c>
      <c r="D1549" s="224" t="s">
        <v>2780</v>
      </c>
      <c r="E1549" s="225" t="s">
        <v>2487</v>
      </c>
      <c r="F1549" s="5" t="str">
        <f t="shared" si="24"/>
        <v>jovialsundsvall.se</v>
      </c>
      <c r="G1549" s="5" t="s">
        <v>4</v>
      </c>
      <c r="H1549" s="5" t="s">
        <v>5</v>
      </c>
      <c r="I1549" s="6">
        <v>45497</v>
      </c>
    </row>
    <row r="1550" spans="1:9" ht="13.5">
      <c r="A1550" s="2" t="s">
        <v>308</v>
      </c>
      <c r="B1550" s="3"/>
      <c r="C1550" s="138" t="s">
        <v>2879</v>
      </c>
      <c r="D1550" s="110" t="s">
        <v>1395</v>
      </c>
      <c r="E1550" s="79" t="s">
        <v>1013</v>
      </c>
      <c r="F1550" s="5" t="str">
        <f t="shared" si="24"/>
        <v>lansfast.se</v>
      </c>
      <c r="G1550" s="5" t="s">
        <v>4</v>
      </c>
      <c r="H1550" s="5" t="s">
        <v>5</v>
      </c>
      <c r="I1550" s="6">
        <v>45497</v>
      </c>
    </row>
    <row r="1551" spans="1:9" ht="13.9">
      <c r="A1551" s="7" t="s">
        <v>1324</v>
      </c>
      <c r="B1551" s="3"/>
      <c r="C1551" s="138" t="s">
        <v>2880</v>
      </c>
      <c r="D1551" s="78" t="s">
        <v>1309</v>
      </c>
      <c r="E1551" s="226" t="s">
        <v>1456</v>
      </c>
      <c r="F1551" s="5" t="str">
        <f t="shared" si="24"/>
        <v>Lansfast Danderyd &amp; täby</v>
      </c>
      <c r="G1551" s="5" t="s">
        <v>4</v>
      </c>
      <c r="H1551" s="5" t="s">
        <v>5</v>
      </c>
      <c r="I1551" s="6">
        <v>45497</v>
      </c>
    </row>
    <row r="1552" spans="1:9" ht="13.5">
      <c r="A1552" s="7" t="s">
        <v>1324</v>
      </c>
      <c r="B1552" s="3"/>
      <c r="C1552" s="138" t="s">
        <v>2881</v>
      </c>
      <c r="D1552" s="78" t="s">
        <v>1309</v>
      </c>
      <c r="E1552" s="79" t="s">
        <v>2659</v>
      </c>
      <c r="F1552" s="5" t="str">
        <f t="shared" si="24"/>
        <v>Lansfast Danderyd &amp; täby</v>
      </c>
      <c r="G1552" s="5" t="s">
        <v>4</v>
      </c>
      <c r="H1552" s="5" t="s">
        <v>5</v>
      </c>
      <c r="I1552" s="6">
        <v>45497</v>
      </c>
    </row>
    <row r="1553" spans="1:9" ht="13.5">
      <c r="A1553" s="7" t="s">
        <v>1324</v>
      </c>
      <c r="B1553" s="3"/>
      <c r="C1553" s="138" t="s">
        <v>2882</v>
      </c>
      <c r="D1553" s="210" t="s">
        <v>1309</v>
      </c>
      <c r="E1553" s="209" t="s">
        <v>1310</v>
      </c>
      <c r="F1553" s="5" t="str">
        <f t="shared" si="24"/>
        <v>Lansfast Danderyd &amp; täby</v>
      </c>
      <c r="G1553" s="5" t="s">
        <v>4</v>
      </c>
      <c r="H1553" s="5" t="s">
        <v>5</v>
      </c>
      <c r="I1553" s="6">
        <v>45497</v>
      </c>
    </row>
    <row r="1554" spans="1:9" ht="13.5">
      <c r="A1554" s="7" t="s">
        <v>1324</v>
      </c>
      <c r="B1554" s="3"/>
      <c r="C1554" s="138" t="s">
        <v>2883</v>
      </c>
      <c r="D1554" s="210" t="s">
        <v>1309</v>
      </c>
      <c r="E1554" s="209" t="s">
        <v>2884</v>
      </c>
      <c r="F1554" s="5" t="str">
        <f t="shared" si="24"/>
        <v>Lansfast Danderyd &amp; täby</v>
      </c>
      <c r="G1554" s="5" t="s">
        <v>4</v>
      </c>
      <c r="H1554" s="5" t="s">
        <v>5</v>
      </c>
      <c r="I1554" s="6">
        <v>45497</v>
      </c>
    </row>
    <row r="1555" spans="1:9" ht="13.5">
      <c r="A1555" s="2" t="s">
        <v>992</v>
      </c>
      <c r="B1555" s="3"/>
      <c r="C1555" s="138" t="s">
        <v>2885</v>
      </c>
      <c r="D1555" s="227" t="s">
        <v>2886</v>
      </c>
      <c r="E1555" s="203" t="s">
        <v>1710</v>
      </c>
      <c r="F1555" s="5" t="str">
        <f t="shared" si="24"/>
        <v>ledkungen.se</v>
      </c>
      <c r="G1555" s="5" t="s">
        <v>4</v>
      </c>
      <c r="H1555" s="5" t="s">
        <v>5</v>
      </c>
      <c r="I1555" s="6">
        <v>45497</v>
      </c>
    </row>
    <row r="1556" spans="1:9" ht="13.5">
      <c r="A1556" s="2" t="s">
        <v>765</v>
      </c>
      <c r="B1556" s="3"/>
      <c r="C1556" s="138" t="s">
        <v>2887</v>
      </c>
      <c r="D1556" s="110" t="s">
        <v>1136</v>
      </c>
      <c r="E1556" s="79" t="s">
        <v>1234</v>
      </c>
      <c r="F1556" s="5" t="str">
        <f t="shared" si="24"/>
        <v>lemontree.se</v>
      </c>
      <c r="G1556" s="5" t="s">
        <v>4</v>
      </c>
      <c r="H1556" s="5" t="s">
        <v>5</v>
      </c>
      <c r="I1556" s="6">
        <v>45497</v>
      </c>
    </row>
    <row r="1557" spans="1:9" ht="13.5">
      <c r="A1557" s="2" t="s">
        <v>1213</v>
      </c>
      <c r="B1557" s="3"/>
      <c r="C1557" s="138" t="s">
        <v>2888</v>
      </c>
      <c r="D1557" s="93" t="s">
        <v>1314</v>
      </c>
      <c r="E1557" s="76" t="s">
        <v>2889</v>
      </c>
      <c r="F1557" s="5" t="str">
        <f t="shared" si="24"/>
        <v>mariatand.se</v>
      </c>
      <c r="G1557" s="5" t="s">
        <v>4</v>
      </c>
      <c r="H1557" s="5" t="s">
        <v>5</v>
      </c>
      <c r="I1557" s="6">
        <v>45497</v>
      </c>
    </row>
    <row r="1558" spans="1:9" ht="13.5">
      <c r="A1558" s="2" t="s">
        <v>1213</v>
      </c>
      <c r="B1558" s="3"/>
      <c r="C1558" s="138" t="s">
        <v>2890</v>
      </c>
      <c r="D1558" s="110" t="s">
        <v>1215</v>
      </c>
      <c r="E1558" s="79" t="s">
        <v>2891</v>
      </c>
      <c r="F1558" s="5" t="str">
        <f t="shared" si="24"/>
        <v>mariatand.se</v>
      </c>
      <c r="G1558" s="5" t="s">
        <v>4</v>
      </c>
      <c r="H1558" s="5" t="s">
        <v>5</v>
      </c>
      <c r="I1558" s="6">
        <v>45497</v>
      </c>
    </row>
    <row r="1559" spans="1:9" ht="13.5">
      <c r="A1559" s="2" t="s">
        <v>2058</v>
      </c>
      <c r="B1559" s="3"/>
      <c r="C1559" s="138" t="s">
        <v>2892</v>
      </c>
      <c r="D1559" s="228" t="s">
        <v>2100</v>
      </c>
      <c r="E1559" s="205" t="s">
        <v>2101</v>
      </c>
      <c r="F1559" s="5" t="str">
        <f t="shared" si="24"/>
        <v>m6bygg.se</v>
      </c>
      <c r="G1559" s="5" t="s">
        <v>4</v>
      </c>
      <c r="H1559" s="5" t="s">
        <v>5</v>
      </c>
      <c r="I1559" s="6">
        <v>45497</v>
      </c>
    </row>
    <row r="1560" spans="1:9" ht="13.5">
      <c r="A1560" s="2" t="s">
        <v>2058</v>
      </c>
      <c r="B1560" s="3"/>
      <c r="C1560" s="138" t="s">
        <v>2893</v>
      </c>
      <c r="D1560" s="229" t="s">
        <v>2060</v>
      </c>
      <c r="E1560" s="205" t="s">
        <v>2894</v>
      </c>
      <c r="F1560" s="5" t="str">
        <f t="shared" si="24"/>
        <v>m6bygg.se</v>
      </c>
      <c r="G1560" s="5" t="s">
        <v>4</v>
      </c>
      <c r="H1560" s="5" t="s">
        <v>5</v>
      </c>
      <c r="I1560" s="6">
        <v>45497</v>
      </c>
    </row>
    <row r="1561" spans="1:9" ht="13.5">
      <c r="A1561" s="7" t="s">
        <v>67</v>
      </c>
      <c r="B1561" s="3"/>
      <c r="C1561" s="138" t="s">
        <v>2895</v>
      </c>
      <c r="D1561" s="230" t="s">
        <v>2622</v>
      </c>
      <c r="E1561" s="205" t="s">
        <v>2623</v>
      </c>
      <c r="F1561" s="5" t="str">
        <f t="shared" si="24"/>
        <v>nem.health</v>
      </c>
      <c r="G1561" s="5" t="s">
        <v>4</v>
      </c>
      <c r="H1561" s="5" t="s">
        <v>5</v>
      </c>
      <c r="I1561" s="6">
        <v>45497</v>
      </c>
    </row>
    <row r="1562" spans="1:9" ht="13.5">
      <c r="A1562" s="2" t="s">
        <v>1284</v>
      </c>
      <c r="B1562" s="3"/>
      <c r="C1562" s="138" t="s">
        <v>2896</v>
      </c>
      <c r="D1562" s="80" t="s">
        <v>2110</v>
      </c>
      <c r="E1562" s="231" t="s">
        <v>2111</v>
      </c>
      <c r="F1562" s="5" t="str">
        <f t="shared" si="24"/>
        <v>norteam.se</v>
      </c>
      <c r="G1562" s="5" t="s">
        <v>4</v>
      </c>
      <c r="H1562" s="5" t="s">
        <v>5</v>
      </c>
      <c r="I1562" s="6">
        <v>45497</v>
      </c>
    </row>
    <row r="1563" spans="1:9" ht="13.5">
      <c r="A1563" s="2" t="s">
        <v>1284</v>
      </c>
      <c r="B1563" s="3"/>
      <c r="C1563" s="138" t="s">
        <v>2897</v>
      </c>
      <c r="D1563" s="80" t="s">
        <v>1286</v>
      </c>
      <c r="E1563" s="222" t="s">
        <v>2898</v>
      </c>
      <c r="F1563" s="5" t="str">
        <f t="shared" si="24"/>
        <v>norteam.se</v>
      </c>
      <c r="G1563" s="5" t="s">
        <v>4</v>
      </c>
      <c r="H1563" s="5" t="s">
        <v>5</v>
      </c>
      <c r="I1563" s="6">
        <v>45497</v>
      </c>
    </row>
    <row r="1564" spans="1:9" ht="13.5">
      <c r="A1564" s="7" t="s">
        <v>386</v>
      </c>
      <c r="B1564" s="3"/>
      <c r="C1564" s="138" t="s">
        <v>2899</v>
      </c>
      <c r="D1564" s="110" t="s">
        <v>452</v>
      </c>
      <c r="E1564" s="79" t="s">
        <v>879</v>
      </c>
      <c r="F1564" s="5" t="str">
        <f t="shared" si="24"/>
        <v>pontech</v>
      </c>
      <c r="G1564" s="5" t="s">
        <v>4</v>
      </c>
      <c r="H1564" s="5" t="s">
        <v>5</v>
      </c>
      <c r="I1564" s="6">
        <v>45497</v>
      </c>
    </row>
    <row r="1565" spans="1:9" ht="13.5">
      <c r="A1565" s="2" t="s">
        <v>2549</v>
      </c>
      <c r="B1565" s="3"/>
      <c r="C1565" s="138" t="s">
        <v>2900</v>
      </c>
      <c r="D1565" s="93" t="s">
        <v>2625</v>
      </c>
      <c r="E1565" s="76" t="s">
        <v>2901</v>
      </c>
      <c r="F1565" s="5" t="str">
        <f t="shared" si="24"/>
        <v>purakliniken.se</v>
      </c>
      <c r="G1565" s="5" t="s">
        <v>4</v>
      </c>
      <c r="H1565" s="5" t="s">
        <v>5</v>
      </c>
      <c r="I1565" s="6">
        <v>45497</v>
      </c>
    </row>
    <row r="1566" spans="1:9" ht="13.5">
      <c r="A1566" s="2" t="s">
        <v>2244</v>
      </c>
      <c r="B1566" s="3"/>
      <c r="C1566" s="138" t="s">
        <v>2902</v>
      </c>
      <c r="D1566" s="232" t="s">
        <v>2246</v>
      </c>
      <c r="E1566" s="233" t="s">
        <v>2546</v>
      </c>
      <c r="F1566" s="5" t="str">
        <f t="shared" si="24"/>
        <v>restate.se</v>
      </c>
      <c r="G1566" s="5" t="s">
        <v>4</v>
      </c>
      <c r="H1566" s="5" t="s">
        <v>5</v>
      </c>
      <c r="I1566" s="6">
        <v>45497</v>
      </c>
    </row>
    <row r="1567" spans="1:9" ht="13.5">
      <c r="A1567" s="2" t="s">
        <v>405</v>
      </c>
      <c r="B1567" s="3"/>
      <c r="C1567" s="138" t="s">
        <v>2903</v>
      </c>
      <c r="D1567" s="80" t="s">
        <v>610</v>
      </c>
      <c r="E1567" s="88" t="s">
        <v>1430</v>
      </c>
      <c r="F1567" s="5" t="str">
        <f t="shared" si="24"/>
        <v>rehabgrossisten.com</v>
      </c>
      <c r="G1567" s="5" t="s">
        <v>4</v>
      </c>
      <c r="H1567" s="5" t="s">
        <v>5</v>
      </c>
      <c r="I1567" s="6">
        <v>45497</v>
      </c>
    </row>
    <row r="1568" spans="1:9" ht="14.25">
      <c r="A1568" s="2" t="s">
        <v>2352</v>
      </c>
      <c r="B1568" s="3"/>
      <c r="C1568" s="138" t="s">
        <v>2904</v>
      </c>
      <c r="D1568" s="234" t="s">
        <v>2352</v>
      </c>
      <c r="E1568" s="72" t="s">
        <v>2635</v>
      </c>
      <c r="F1568" s="5" t="str">
        <f t="shared" si="24"/>
        <v>seniorrabatt.se</v>
      </c>
      <c r="G1568" s="5" t="s">
        <v>4</v>
      </c>
      <c r="H1568" s="5" t="s">
        <v>5</v>
      </c>
      <c r="I1568" s="6">
        <v>45497</v>
      </c>
    </row>
    <row r="1569" spans="1:9" ht="14.25">
      <c r="A1569" s="2" t="s">
        <v>2428</v>
      </c>
      <c r="B1569" s="3"/>
      <c r="C1569" s="138" t="s">
        <v>2905</v>
      </c>
      <c r="D1569" s="234" t="s">
        <v>2430</v>
      </c>
      <c r="E1569" s="209" t="s">
        <v>2906</v>
      </c>
      <c r="F1569" s="5" t="str">
        <f t="shared" si="24"/>
        <v>sakraror.se</v>
      </c>
      <c r="G1569" s="5" t="s">
        <v>4</v>
      </c>
      <c r="H1569" s="5" t="s">
        <v>5</v>
      </c>
      <c r="I1569" s="6">
        <v>45497</v>
      </c>
    </row>
    <row r="1570" spans="1:9" ht="14.25">
      <c r="A1570" s="2" t="s">
        <v>2127</v>
      </c>
      <c r="B1570" s="3"/>
      <c r="C1570" s="138" t="s">
        <v>2907</v>
      </c>
      <c r="D1570" s="28" t="s">
        <v>2415</v>
      </c>
      <c r="E1570" s="72" t="s">
        <v>2664</v>
      </c>
      <c r="F1570" s="5" t="str">
        <f t="shared" si="24"/>
        <v>startmotor.se</v>
      </c>
      <c r="G1570" s="5" t="s">
        <v>4</v>
      </c>
      <c r="H1570" s="5" t="s">
        <v>5</v>
      </c>
      <c r="I1570" s="6">
        <v>45497</v>
      </c>
    </row>
    <row r="1571" spans="1:9" ht="14.25">
      <c r="A1571" s="2" t="s">
        <v>2127</v>
      </c>
      <c r="B1571" s="3"/>
      <c r="C1571" s="138" t="s">
        <v>2908</v>
      </c>
      <c r="D1571" s="39" t="s">
        <v>2129</v>
      </c>
      <c r="E1571" s="72" t="s">
        <v>2909</v>
      </c>
      <c r="F1571" s="5" t="str">
        <f t="shared" si="24"/>
        <v>startmotor.se</v>
      </c>
      <c r="G1571" s="5" t="s">
        <v>4</v>
      </c>
      <c r="H1571" s="5" t="s">
        <v>5</v>
      </c>
      <c r="I1571" s="6">
        <v>45497</v>
      </c>
    </row>
    <row r="1572" spans="1:9" ht="14.25">
      <c r="A1572" s="151" t="s">
        <v>2127</v>
      </c>
      <c r="B1572" s="152"/>
      <c r="C1572" s="235" t="s">
        <v>2910</v>
      </c>
      <c r="D1572" s="236" t="s">
        <v>2911</v>
      </c>
      <c r="E1572" s="199" t="s">
        <v>2912</v>
      </c>
      <c r="F1572" s="5" t="str">
        <f t="shared" si="24"/>
        <v>startmotor.se</v>
      </c>
      <c r="G1572" s="154" t="s">
        <v>4</v>
      </c>
      <c r="H1572" s="154" t="s">
        <v>5</v>
      </c>
      <c r="I1572" s="177">
        <v>45497</v>
      </c>
    </row>
    <row r="1573" spans="1:9" ht="14.25">
      <c r="A1573" s="2" t="s">
        <v>2127</v>
      </c>
      <c r="B1573" s="3"/>
      <c r="C1573" s="138" t="s">
        <v>2913</v>
      </c>
      <c r="D1573" s="39" t="s">
        <v>2914</v>
      </c>
      <c r="E1573" s="79" t="s">
        <v>2915</v>
      </c>
      <c r="F1573" s="5" t="str">
        <f t="shared" si="24"/>
        <v>startmotor.se</v>
      </c>
      <c r="G1573" s="5" t="s">
        <v>4</v>
      </c>
      <c r="H1573" s="5" t="s">
        <v>5</v>
      </c>
      <c r="I1573" s="6">
        <v>45497</v>
      </c>
    </row>
    <row r="1574" spans="1:9" ht="13.5">
      <c r="A1574" s="7" t="s">
        <v>224</v>
      </c>
      <c r="B1574" s="3"/>
      <c r="C1574" s="138" t="s">
        <v>2916</v>
      </c>
      <c r="D1574" s="71" t="s">
        <v>461</v>
      </c>
      <c r="E1574" s="76" t="s">
        <v>1117</v>
      </c>
      <c r="F1574" s="5" t="str">
        <f t="shared" si="24"/>
        <v>swedoffice</v>
      </c>
      <c r="G1574" s="5" t="s">
        <v>4</v>
      </c>
      <c r="H1574" s="5" t="s">
        <v>5</v>
      </c>
      <c r="I1574" s="6">
        <v>45497</v>
      </c>
    </row>
    <row r="1575" spans="1:9" ht="13.5">
      <c r="A1575" s="2" t="s">
        <v>846</v>
      </c>
      <c r="B1575" s="3"/>
      <c r="C1575" s="138" t="s">
        <v>2917</v>
      </c>
      <c r="D1575" s="110" t="s">
        <v>848</v>
      </c>
      <c r="E1575" s="79" t="s">
        <v>1333</v>
      </c>
      <c r="F1575" s="5" t="str">
        <f t="shared" si="24"/>
        <v>tandea.se</v>
      </c>
      <c r="G1575" s="5" t="s">
        <v>4</v>
      </c>
      <c r="H1575" s="5" t="s">
        <v>5</v>
      </c>
      <c r="I1575" s="6">
        <v>45497</v>
      </c>
    </row>
    <row r="1576" spans="1:9" ht="13.5">
      <c r="A1576" s="2" t="s">
        <v>846</v>
      </c>
      <c r="B1576" s="3"/>
      <c r="C1576" s="138" t="s">
        <v>2918</v>
      </c>
      <c r="D1576" s="78" t="s">
        <v>1207</v>
      </c>
      <c r="E1576" s="79" t="s">
        <v>2919</v>
      </c>
      <c r="F1576" s="5" t="str">
        <f t="shared" si="24"/>
        <v>tandea.se</v>
      </c>
      <c r="G1576" s="5" t="s">
        <v>4</v>
      </c>
      <c r="H1576" s="5" t="s">
        <v>5</v>
      </c>
      <c r="I1576" s="6">
        <v>45497</v>
      </c>
    </row>
    <row r="1577" spans="1:9" ht="13.5">
      <c r="A1577" s="2" t="s">
        <v>325</v>
      </c>
      <c r="B1577" s="3"/>
      <c r="C1577" s="138" t="s">
        <v>2920</v>
      </c>
      <c r="D1577" s="80" t="s">
        <v>1244</v>
      </c>
      <c r="E1577" s="79" t="s">
        <v>463</v>
      </c>
      <c r="F1577" s="5" t="str">
        <f t="shared" si="24"/>
        <v>tiotak.se</v>
      </c>
      <c r="G1577" s="5" t="s">
        <v>4</v>
      </c>
      <c r="H1577" s="5" t="s">
        <v>5</v>
      </c>
      <c r="I1577" s="6">
        <v>45497</v>
      </c>
    </row>
    <row r="1578" spans="1:9" ht="13.5">
      <c r="A1578" s="2" t="s">
        <v>325</v>
      </c>
      <c r="B1578" s="3"/>
      <c r="C1578" s="138" t="s">
        <v>2921</v>
      </c>
      <c r="D1578" s="80" t="s">
        <v>873</v>
      </c>
      <c r="E1578" s="79" t="s">
        <v>2922</v>
      </c>
      <c r="F1578" s="5" t="str">
        <f t="shared" si="24"/>
        <v>tiotak.se</v>
      </c>
      <c r="G1578" s="5" t="s">
        <v>4</v>
      </c>
      <c r="H1578" s="5" t="s">
        <v>5</v>
      </c>
      <c r="I1578" s="6">
        <v>45497</v>
      </c>
    </row>
    <row r="1579" spans="1:9" ht="13.5">
      <c r="A1579" s="2" t="s">
        <v>535</v>
      </c>
      <c r="B1579" s="3"/>
      <c r="C1579" s="138" t="s">
        <v>2923</v>
      </c>
      <c r="D1579" s="80" t="s">
        <v>2806</v>
      </c>
      <c r="E1579" s="79" t="s">
        <v>2807</v>
      </c>
      <c r="F1579" s="5" t="str">
        <f t="shared" si="24"/>
        <v>tryggbil.se</v>
      </c>
      <c r="G1579" s="5" t="s">
        <v>4</v>
      </c>
      <c r="H1579" s="5" t="s">
        <v>5</v>
      </c>
      <c r="I1579" s="6">
        <v>45497</v>
      </c>
    </row>
    <row r="1580" spans="1:9" ht="13.5">
      <c r="A1580" s="2" t="s">
        <v>535</v>
      </c>
      <c r="B1580" s="3"/>
      <c r="C1580" s="138" t="s">
        <v>2924</v>
      </c>
      <c r="D1580" s="80" t="s">
        <v>536</v>
      </c>
      <c r="E1580" s="237" t="s">
        <v>2925</v>
      </c>
      <c r="F1580" s="5" t="str">
        <f t="shared" si="24"/>
        <v>tryggbil.se</v>
      </c>
      <c r="G1580" s="5" t="s">
        <v>4</v>
      </c>
      <c r="H1580" s="5" t="s">
        <v>5</v>
      </c>
      <c r="I1580" s="6">
        <v>45497</v>
      </c>
    </row>
    <row r="1581" spans="1:9" ht="13.5">
      <c r="A1581" s="7" t="s">
        <v>329</v>
      </c>
      <c r="B1581" s="3"/>
      <c r="C1581" s="138" t="s">
        <v>2926</v>
      </c>
      <c r="D1581" s="80" t="s">
        <v>2399</v>
      </c>
      <c r="E1581" s="88" t="s">
        <v>1553</v>
      </c>
      <c r="F1581" s="5" t="str">
        <f t="shared" si="24"/>
        <v>vont</v>
      </c>
      <c r="G1581" s="5" t="s">
        <v>4</v>
      </c>
      <c r="H1581" s="5" t="s">
        <v>5</v>
      </c>
      <c r="I1581" s="6">
        <v>45497</v>
      </c>
    </row>
    <row r="1582" spans="1:9" ht="13.5">
      <c r="A1582" s="7" t="s">
        <v>329</v>
      </c>
      <c r="B1582" s="3"/>
      <c r="C1582" s="138" t="s">
        <v>2927</v>
      </c>
      <c r="D1582" s="80" t="s">
        <v>2450</v>
      </c>
      <c r="E1582" s="79" t="s">
        <v>542</v>
      </c>
      <c r="F1582" s="5" t="str">
        <f t="shared" si="24"/>
        <v>vont</v>
      </c>
      <c r="G1582" s="5" t="s">
        <v>4</v>
      </c>
      <c r="H1582" s="5" t="s">
        <v>5</v>
      </c>
      <c r="I1582" s="6">
        <v>45497</v>
      </c>
    </row>
    <row r="1583" spans="1:9" ht="13.5">
      <c r="A1583" s="7" t="s">
        <v>329</v>
      </c>
      <c r="B1583" s="3"/>
      <c r="C1583" s="138" t="s">
        <v>2928</v>
      </c>
      <c r="D1583" s="80" t="s">
        <v>1488</v>
      </c>
      <c r="E1583" s="186" t="s">
        <v>542</v>
      </c>
      <c r="F1583" s="5" t="str">
        <f t="shared" si="24"/>
        <v>vont</v>
      </c>
      <c r="G1583" s="5" t="s">
        <v>4</v>
      </c>
      <c r="H1583" s="5" t="s">
        <v>5</v>
      </c>
      <c r="I1583" s="6">
        <v>45497</v>
      </c>
    </row>
    <row r="1584" spans="1:9" ht="13.5">
      <c r="A1584" s="2" t="s">
        <v>1649</v>
      </c>
      <c r="B1584" s="3"/>
      <c r="C1584" s="138" t="s">
        <v>2929</v>
      </c>
      <c r="D1584" s="238" t="s">
        <v>2930</v>
      </c>
      <c r="E1584" s="72" t="s">
        <v>2931</v>
      </c>
      <c r="F1584" s="5" t="str">
        <f t="shared" si="24"/>
        <v>nordenhydralic.se</v>
      </c>
      <c r="G1584" s="5" t="s">
        <v>4</v>
      </c>
      <c r="H1584" s="5" t="s">
        <v>5</v>
      </c>
      <c r="I1584" s="6">
        <v>45497</v>
      </c>
    </row>
    <row r="1585" spans="1:9" ht="13.5">
      <c r="A1585" s="2" t="s">
        <v>1180</v>
      </c>
      <c r="B1585" s="3"/>
      <c r="C1585" s="138" t="s">
        <v>2932</v>
      </c>
      <c r="D1585" s="138" t="s">
        <v>2933</v>
      </c>
      <c r="E1585" s="221" t="s">
        <v>1477</v>
      </c>
      <c r="F1585" s="5" t="str">
        <f t="shared" si="24"/>
        <v>e-ciggbolaget.se</v>
      </c>
      <c r="G1585" s="5" t="s">
        <v>4</v>
      </c>
      <c r="H1585" s="5" t="s">
        <v>5</v>
      </c>
      <c r="I1585" s="6">
        <v>45497</v>
      </c>
    </row>
    <row r="1586" spans="1:9" ht="13.5">
      <c r="A1586" s="2" t="s">
        <v>1180</v>
      </c>
      <c r="B1586" s="3"/>
      <c r="C1586" s="138" t="s">
        <v>2934</v>
      </c>
      <c r="D1586" s="138" t="s">
        <v>2935</v>
      </c>
      <c r="E1586" s="72" t="s">
        <v>2571</v>
      </c>
      <c r="F1586" s="5" t="str">
        <f t="shared" si="24"/>
        <v>e-ciggbolaget.se</v>
      </c>
      <c r="G1586" s="5" t="s">
        <v>4</v>
      </c>
      <c r="H1586" s="5" t="s">
        <v>5</v>
      </c>
      <c r="I1586" s="6">
        <v>45498</v>
      </c>
    </row>
    <row r="1587" spans="1:9" ht="13.5">
      <c r="A1587" s="2" t="s">
        <v>1180</v>
      </c>
      <c r="B1587" s="3"/>
      <c r="C1587" s="138" t="s">
        <v>2936</v>
      </c>
      <c r="D1587" s="138" t="s">
        <v>1958</v>
      </c>
      <c r="E1587" s="72" t="s">
        <v>2818</v>
      </c>
      <c r="F1587" s="5" t="str">
        <f t="shared" si="24"/>
        <v>e-ciggbolaget.se</v>
      </c>
      <c r="G1587" s="5" t="s">
        <v>4</v>
      </c>
      <c r="H1587" s="5" t="s">
        <v>5</v>
      </c>
      <c r="I1587" s="6">
        <v>45498</v>
      </c>
    </row>
    <row r="1588" spans="1:9" ht="13.5">
      <c r="A1588" s="2" t="s">
        <v>2937</v>
      </c>
      <c r="B1588" s="3"/>
      <c r="C1588" s="138" t="s">
        <v>2938</v>
      </c>
      <c r="D1588" s="138" t="s">
        <v>2939</v>
      </c>
      <c r="E1588" s="221" t="s">
        <v>2940</v>
      </c>
      <c r="F1588" s="5" t="str">
        <f t="shared" si="24"/>
        <v>hampabonden.se</v>
      </c>
      <c r="G1588" s="5" t="s">
        <v>4</v>
      </c>
      <c r="H1588" s="5" t="s">
        <v>5</v>
      </c>
      <c r="I1588" s="6">
        <v>45498</v>
      </c>
    </row>
    <row r="1589" spans="1:9" ht="13.5">
      <c r="A1589" s="2" t="s">
        <v>2500</v>
      </c>
      <c r="B1589" s="3"/>
      <c r="C1589" s="138" t="s">
        <v>2941</v>
      </c>
      <c r="D1589" s="138" t="s">
        <v>2507</v>
      </c>
      <c r="E1589" s="233" t="s">
        <v>2942</v>
      </c>
      <c r="F1589" s="5" t="str">
        <f t="shared" si="24"/>
        <v>ampilo.se</v>
      </c>
      <c r="G1589" s="5" t="s">
        <v>4</v>
      </c>
      <c r="H1589" s="5" t="s">
        <v>5</v>
      </c>
      <c r="I1589" s="6">
        <v>45498</v>
      </c>
    </row>
    <row r="1590" spans="1:9" ht="13.5">
      <c r="A1590" s="2" t="s">
        <v>2500</v>
      </c>
      <c r="B1590" s="3"/>
      <c r="C1590" s="138" t="s">
        <v>2943</v>
      </c>
      <c r="D1590" s="239" t="s">
        <v>2201</v>
      </c>
      <c r="E1590" s="186" t="s">
        <v>2944</v>
      </c>
      <c r="F1590" s="5" t="str">
        <f t="shared" si="24"/>
        <v>ampilo.se</v>
      </c>
      <c r="G1590" s="5" t="s">
        <v>4</v>
      </c>
      <c r="H1590" s="5" t="s">
        <v>5</v>
      </c>
      <c r="I1590" s="6">
        <v>45498</v>
      </c>
    </row>
    <row r="1591" spans="1:9" ht="13.5">
      <c r="A1591" s="2" t="s">
        <v>2500</v>
      </c>
      <c r="B1591" s="3"/>
      <c r="C1591" s="138" t="s">
        <v>2945</v>
      </c>
      <c r="D1591" s="105" t="s">
        <v>2946</v>
      </c>
      <c r="E1591" s="76" t="s">
        <v>2947</v>
      </c>
      <c r="F1591" s="5" t="str">
        <f t="shared" si="24"/>
        <v>ampilo.se</v>
      </c>
      <c r="G1591" s="5" t="s">
        <v>4</v>
      </c>
      <c r="H1591" s="5" t="s">
        <v>5</v>
      </c>
      <c r="I1591" s="6">
        <v>45498</v>
      </c>
    </row>
    <row r="1592" spans="1:9" ht="13.5">
      <c r="A1592" s="2" t="s">
        <v>2948</v>
      </c>
      <c r="B1592" s="3"/>
      <c r="C1592" s="138" t="s">
        <v>2949</v>
      </c>
      <c r="D1592" s="138" t="s">
        <v>2950</v>
      </c>
      <c r="E1592" s="72" t="s">
        <v>2951</v>
      </c>
      <c r="F1592" s="5" t="str">
        <f t="shared" si="24"/>
        <v>joureliten.se</v>
      </c>
      <c r="G1592" s="5" t="s">
        <v>4</v>
      </c>
      <c r="H1592" s="5" t="s">
        <v>5</v>
      </c>
      <c r="I1592" s="6">
        <v>45498</v>
      </c>
    </row>
    <row r="1593" spans="1:9" ht="14.25">
      <c r="A1593" s="2" t="s">
        <v>2205</v>
      </c>
      <c r="B1593" s="3"/>
      <c r="C1593" s="138" t="s">
        <v>2952</v>
      </c>
      <c r="D1593" s="138" t="s">
        <v>2207</v>
      </c>
      <c r="E1593" s="240" t="s">
        <v>2208</v>
      </c>
      <c r="F1593" s="5" t="str">
        <f t="shared" si="24"/>
        <v>Aaatak.se</v>
      </c>
      <c r="G1593" s="5" t="s">
        <v>4</v>
      </c>
      <c r="H1593" s="5" t="s">
        <v>5</v>
      </c>
      <c r="I1593" s="6">
        <v>45498</v>
      </c>
    </row>
    <row r="1594" spans="1:9" ht="14.25">
      <c r="A1594" s="2" t="s">
        <v>2205</v>
      </c>
      <c r="B1594" s="3"/>
      <c r="C1594" s="138" t="s">
        <v>2953</v>
      </c>
      <c r="D1594" s="138" t="s">
        <v>2207</v>
      </c>
      <c r="E1594" s="240" t="s">
        <v>2208</v>
      </c>
      <c r="F1594" s="5" t="str">
        <f t="shared" si="24"/>
        <v>Aaatak.se</v>
      </c>
      <c r="G1594" s="5" t="s">
        <v>4</v>
      </c>
      <c r="H1594" s="5" t="s">
        <v>5</v>
      </c>
      <c r="I1594" s="6">
        <v>45498</v>
      </c>
    </row>
    <row r="1595" spans="1:9" ht="13.5">
      <c r="A1595" s="2" t="s">
        <v>1492</v>
      </c>
      <c r="B1595" s="3"/>
      <c r="C1595" s="105" t="s">
        <v>2954</v>
      </c>
      <c r="D1595" s="105" t="s">
        <v>1494</v>
      </c>
      <c r="E1595" s="241" t="s">
        <v>2955</v>
      </c>
      <c r="F1595" s="5" t="str">
        <f t="shared" si="24"/>
        <v>cdg.io</v>
      </c>
      <c r="G1595" s="5" t="s">
        <v>4</v>
      </c>
      <c r="H1595" s="5" t="s">
        <v>5</v>
      </c>
      <c r="I1595" s="6">
        <v>45498</v>
      </c>
    </row>
    <row r="1596" spans="1:9" ht="13.5">
      <c r="A1596" s="145" t="s">
        <v>1492</v>
      </c>
      <c r="B1596" s="146"/>
      <c r="C1596" s="161" t="s">
        <v>2956</v>
      </c>
      <c r="D1596" s="242" t="s">
        <v>1494</v>
      </c>
      <c r="E1596" s="243" t="s">
        <v>2753</v>
      </c>
      <c r="F1596" s="5" t="str">
        <f t="shared" si="24"/>
        <v>cdg.io</v>
      </c>
      <c r="G1596" s="149" t="s">
        <v>4</v>
      </c>
      <c r="H1596" s="149" t="s">
        <v>5</v>
      </c>
      <c r="I1596" s="150">
        <v>45498</v>
      </c>
    </row>
    <row r="1597" spans="1:9" ht="13.5">
      <c r="A1597" s="2" t="s">
        <v>1492</v>
      </c>
      <c r="B1597" s="3"/>
      <c r="C1597" s="105" t="s">
        <v>2957</v>
      </c>
      <c r="D1597" s="244" t="s">
        <v>1494</v>
      </c>
      <c r="E1597" s="233" t="s">
        <v>2753</v>
      </c>
      <c r="F1597" s="5" t="str">
        <f t="shared" si="24"/>
        <v>cdg.io</v>
      </c>
      <c r="G1597" s="5" t="s">
        <v>4</v>
      </c>
      <c r="H1597" s="5" t="s">
        <v>5</v>
      </c>
      <c r="I1597" s="6">
        <v>45498</v>
      </c>
    </row>
    <row r="1598" spans="1:9" ht="14.25">
      <c r="A1598" s="2" t="s">
        <v>171</v>
      </c>
      <c r="B1598" s="3"/>
      <c r="C1598" s="138" t="s">
        <v>2958</v>
      </c>
      <c r="D1598" s="39" t="s">
        <v>2959</v>
      </c>
      <c r="E1598" s="222" t="s">
        <v>1505</v>
      </c>
      <c r="F1598" s="5" t="str">
        <f t="shared" si="24"/>
        <v>arctic.se</v>
      </c>
      <c r="G1598" s="5" t="s">
        <v>4</v>
      </c>
      <c r="H1598" s="5" t="s">
        <v>5</v>
      </c>
      <c r="I1598" s="6">
        <v>45498</v>
      </c>
    </row>
    <row r="1599" spans="1:9" ht="14.25">
      <c r="A1599" s="2" t="s">
        <v>2549</v>
      </c>
      <c r="B1599" s="3"/>
      <c r="C1599" s="245" t="s">
        <v>2960</v>
      </c>
      <c r="D1599" s="246" t="s">
        <v>2551</v>
      </c>
      <c r="E1599" s="247" t="s">
        <v>2551</v>
      </c>
      <c r="F1599" s="5" t="str">
        <f t="shared" si="24"/>
        <v>purakliniken.se</v>
      </c>
      <c r="G1599" s="5" t="s">
        <v>4</v>
      </c>
      <c r="H1599" s="5" t="s">
        <v>5</v>
      </c>
      <c r="I1599" s="6">
        <v>45498</v>
      </c>
    </row>
    <row r="1600" spans="1:9" ht="14.25">
      <c r="A1600" s="2" t="s">
        <v>2248</v>
      </c>
      <c r="B1600" s="3"/>
      <c r="C1600" s="245" t="s">
        <v>2961</v>
      </c>
      <c r="D1600" s="248" t="s">
        <v>2250</v>
      </c>
      <c r="E1600" s="249" t="s">
        <v>2548</v>
      </c>
      <c r="F1600" s="5" t="str">
        <f t="shared" si="24"/>
        <v>storgruppen.se</v>
      </c>
      <c r="G1600" s="5" t="s">
        <v>4</v>
      </c>
      <c r="H1600" s="5" t="s">
        <v>5</v>
      </c>
      <c r="I1600" s="6">
        <v>45498</v>
      </c>
    </row>
    <row r="1601" spans="1:9" ht="13.5">
      <c r="A1601" s="2" t="s">
        <v>2640</v>
      </c>
      <c r="B1601" s="3"/>
      <c r="C1601" s="238" t="s">
        <v>2962</v>
      </c>
      <c r="D1601" s="4" t="s">
        <v>2642</v>
      </c>
      <c r="E1601" s="5" t="s">
        <v>1477</v>
      </c>
      <c r="F1601" s="5" t="str">
        <f t="shared" si="24"/>
        <v>snusnetto.se</v>
      </c>
      <c r="G1601" s="5" t="s">
        <v>4</v>
      </c>
      <c r="H1601" s="5" t="s">
        <v>5</v>
      </c>
      <c r="I1601" s="6">
        <v>45498</v>
      </c>
    </row>
    <row r="1602" spans="1:9" ht="14.25">
      <c r="A1602" s="2" t="s">
        <v>2453</v>
      </c>
      <c r="B1602" s="3"/>
      <c r="C1602" s="138" t="s">
        <v>2963</v>
      </c>
      <c r="D1602" s="250" t="s">
        <v>2455</v>
      </c>
      <c r="E1602" s="251" t="s">
        <v>2964</v>
      </c>
      <c r="F1602" s="5" t="str">
        <f t="shared" si="24"/>
        <v>spolarent.se</v>
      </c>
      <c r="G1602" s="5" t="s">
        <v>4</v>
      </c>
      <c r="H1602" s="5" t="s">
        <v>5</v>
      </c>
      <c r="I1602" s="6">
        <v>45498</v>
      </c>
    </row>
    <row r="1603" spans="1:9" ht="13.5">
      <c r="A1603" s="2" t="s">
        <v>846</v>
      </c>
      <c r="B1603" s="3"/>
      <c r="C1603" s="245" t="s">
        <v>2965</v>
      </c>
      <c r="D1603" s="252" t="s">
        <v>848</v>
      </c>
      <c r="E1603" s="253" t="s">
        <v>1483</v>
      </c>
      <c r="F1603" s="5" t="str">
        <f t="shared" ref="F1603:F1666" si="25">A1603</f>
        <v>tandea.se</v>
      </c>
      <c r="G1603" s="5" t="s">
        <v>4</v>
      </c>
      <c r="H1603" s="5" t="s">
        <v>5</v>
      </c>
      <c r="I1603" s="6">
        <v>45498</v>
      </c>
    </row>
    <row r="1604" spans="1:9" ht="14.25">
      <c r="A1604" s="2" t="s">
        <v>2836</v>
      </c>
      <c r="B1604" s="3"/>
      <c r="C1604" s="105" t="s">
        <v>2966</v>
      </c>
      <c r="D1604" s="244" t="s">
        <v>2967</v>
      </c>
      <c r="E1604" s="254" t="s">
        <v>2968</v>
      </c>
      <c r="F1604" s="5" t="str">
        <f t="shared" si="25"/>
        <v>cherry.com</v>
      </c>
      <c r="G1604" s="5" t="s">
        <v>4</v>
      </c>
      <c r="H1604" s="5" t="s">
        <v>5</v>
      </c>
      <c r="I1604" s="6">
        <v>45498</v>
      </c>
    </row>
    <row r="1605" spans="1:9" ht="13.5">
      <c r="A1605" s="2" t="s">
        <v>2836</v>
      </c>
      <c r="B1605" s="3"/>
      <c r="C1605" s="105" t="s">
        <v>2969</v>
      </c>
      <c r="D1605" s="244" t="s">
        <v>2838</v>
      </c>
      <c r="E1605" s="253" t="s">
        <v>2970</v>
      </c>
      <c r="F1605" s="5" t="str">
        <f t="shared" si="25"/>
        <v>cherry.com</v>
      </c>
      <c r="G1605" s="5" t="s">
        <v>4</v>
      </c>
      <c r="H1605" s="5" t="s">
        <v>5</v>
      </c>
      <c r="I1605" s="6">
        <v>45498</v>
      </c>
    </row>
    <row r="1606" spans="1:9" ht="13.5">
      <c r="A1606" s="2" t="s">
        <v>1318</v>
      </c>
      <c r="B1606" s="3"/>
      <c r="C1606" s="105" t="s">
        <v>2971</v>
      </c>
      <c r="D1606" s="215" t="s">
        <v>2972</v>
      </c>
      <c r="E1606" s="253" t="s">
        <v>2973</v>
      </c>
      <c r="F1606" s="5" t="str">
        <f t="shared" si="25"/>
        <v>spelklubben.se</v>
      </c>
      <c r="G1606" s="5" t="s">
        <v>4</v>
      </c>
      <c r="H1606" s="5" t="s">
        <v>5</v>
      </c>
      <c r="I1606" s="6">
        <v>45498</v>
      </c>
    </row>
    <row r="1607" spans="1:9" ht="13.5">
      <c r="A1607" s="2" t="s">
        <v>1318</v>
      </c>
      <c r="B1607" s="3"/>
      <c r="C1607" s="105" t="s">
        <v>2974</v>
      </c>
      <c r="D1607" s="252" t="s">
        <v>2654</v>
      </c>
      <c r="E1607" s="76" t="s">
        <v>2975</v>
      </c>
      <c r="F1607" s="5" t="str">
        <f t="shared" si="25"/>
        <v>spelklubben.se</v>
      </c>
      <c r="G1607" s="5" t="s">
        <v>4</v>
      </c>
      <c r="H1607" s="5" t="s">
        <v>5</v>
      </c>
      <c r="I1607" s="6">
        <v>45498</v>
      </c>
    </row>
    <row r="1608" spans="1:9" ht="13.5">
      <c r="A1608" s="2" t="s">
        <v>1318</v>
      </c>
      <c r="B1608" s="3"/>
      <c r="C1608" s="105" t="s">
        <v>2976</v>
      </c>
      <c r="D1608" s="252" t="s">
        <v>2977</v>
      </c>
      <c r="E1608" s="76" t="s">
        <v>2978</v>
      </c>
      <c r="F1608" s="5" t="str">
        <f t="shared" si="25"/>
        <v>spelklubben.se</v>
      </c>
      <c r="G1608" s="5" t="s">
        <v>4</v>
      </c>
      <c r="H1608" s="5" t="s">
        <v>5</v>
      </c>
      <c r="I1608" s="6">
        <v>45498</v>
      </c>
    </row>
    <row r="1609" spans="1:9" ht="13.5">
      <c r="A1609" s="2" t="s">
        <v>1318</v>
      </c>
      <c r="B1609" s="3"/>
      <c r="C1609" s="105" t="s">
        <v>2979</v>
      </c>
      <c r="D1609" s="215" t="s">
        <v>2972</v>
      </c>
      <c r="E1609" s="252" t="s">
        <v>1318</v>
      </c>
      <c r="F1609" s="5" t="str">
        <f t="shared" si="25"/>
        <v>spelklubben.se</v>
      </c>
      <c r="G1609" s="5" t="s">
        <v>4</v>
      </c>
      <c r="H1609" s="5" t="s">
        <v>5</v>
      </c>
      <c r="I1609" s="6">
        <v>45498</v>
      </c>
    </row>
    <row r="1610" spans="1:9" ht="13.5">
      <c r="A1610" s="2" t="s">
        <v>1318</v>
      </c>
      <c r="B1610" s="3"/>
      <c r="C1610" s="105" t="s">
        <v>2980</v>
      </c>
      <c r="D1610" s="215" t="s">
        <v>2972</v>
      </c>
      <c r="E1610" s="252" t="s">
        <v>1318</v>
      </c>
      <c r="F1610" s="5" t="str">
        <f t="shared" si="25"/>
        <v>spelklubben.se</v>
      </c>
      <c r="G1610" s="5" t="s">
        <v>4</v>
      </c>
      <c r="H1610" s="5" t="s">
        <v>5</v>
      </c>
      <c r="I1610" s="6">
        <v>45498</v>
      </c>
    </row>
    <row r="1611" spans="1:9" ht="13.5">
      <c r="A1611" s="2" t="s">
        <v>2636</v>
      </c>
      <c r="B1611" s="3"/>
      <c r="C1611" s="105" t="s">
        <v>2981</v>
      </c>
      <c r="D1611" s="215" t="s">
        <v>2720</v>
      </c>
      <c r="E1611" s="171" t="s">
        <v>2982</v>
      </c>
      <c r="F1611" s="5" t="str">
        <f t="shared" si="25"/>
        <v>kvarnx.com</v>
      </c>
      <c r="G1611" s="5" t="s">
        <v>4</v>
      </c>
      <c r="H1611" s="5" t="s">
        <v>5</v>
      </c>
      <c r="I1611" s="6">
        <v>45498</v>
      </c>
    </row>
    <row r="1612" spans="1:9" ht="13.5">
      <c r="A1612" s="2" t="s">
        <v>1318</v>
      </c>
      <c r="B1612" s="3"/>
      <c r="C1612" s="105" t="s">
        <v>2983</v>
      </c>
      <c r="D1612" s="252" t="s">
        <v>2644</v>
      </c>
      <c r="E1612" s="253" t="s">
        <v>2984</v>
      </c>
      <c r="F1612" s="5" t="str">
        <f t="shared" si="25"/>
        <v>spelklubben.se</v>
      </c>
      <c r="G1612" s="5" t="s">
        <v>4</v>
      </c>
      <c r="H1612" s="5" t="s">
        <v>5</v>
      </c>
      <c r="I1612" s="6">
        <v>45498</v>
      </c>
    </row>
    <row r="1613" spans="1:9" ht="13.5">
      <c r="A1613" s="2" t="s">
        <v>2937</v>
      </c>
      <c r="B1613" s="3"/>
      <c r="C1613" s="238" t="s">
        <v>2985</v>
      </c>
      <c r="D1613" s="238" t="s">
        <v>2986</v>
      </c>
      <c r="E1613" s="255" t="s">
        <v>2987</v>
      </c>
      <c r="F1613" s="5" t="str">
        <f t="shared" si="25"/>
        <v>hampabonden.se</v>
      </c>
      <c r="G1613" s="5" t="s">
        <v>4</v>
      </c>
      <c r="H1613" s="5" t="s">
        <v>5</v>
      </c>
      <c r="I1613" s="6">
        <v>45498</v>
      </c>
    </row>
    <row r="1614" spans="1:9" ht="13.5">
      <c r="A1614" s="7" t="s">
        <v>386</v>
      </c>
      <c r="B1614" s="3"/>
      <c r="C1614" s="238" t="s">
        <v>2988</v>
      </c>
      <c r="D1614" s="238" t="s">
        <v>1202</v>
      </c>
      <c r="E1614" s="233" t="s">
        <v>879</v>
      </c>
      <c r="F1614" s="5" t="str">
        <f t="shared" si="25"/>
        <v>pontech</v>
      </c>
      <c r="G1614" s="5" t="s">
        <v>4</v>
      </c>
      <c r="H1614" s="5" t="s">
        <v>5</v>
      </c>
      <c r="I1614" s="6">
        <v>45498</v>
      </c>
    </row>
    <row r="1615" spans="1:9" ht="13.5">
      <c r="A1615" s="2" t="s">
        <v>2240</v>
      </c>
      <c r="B1615" s="3"/>
      <c r="C1615" s="238" t="s">
        <v>2989</v>
      </c>
      <c r="D1615" s="4" t="s">
        <v>2242</v>
      </c>
      <c r="E1615" s="5" t="s">
        <v>2410</v>
      </c>
      <c r="F1615" s="5" t="str">
        <f t="shared" si="25"/>
        <v>mrnicco.com</v>
      </c>
      <c r="G1615" s="5" t="s">
        <v>4</v>
      </c>
      <c r="H1615" s="5" t="s">
        <v>2243</v>
      </c>
      <c r="I1615" s="6">
        <v>45498</v>
      </c>
    </row>
    <row r="1616" spans="1:9" ht="13.5">
      <c r="A1616" s="2" t="s">
        <v>2640</v>
      </c>
      <c r="B1616" s="3"/>
      <c r="C1616" s="5" t="s">
        <v>2962</v>
      </c>
      <c r="D1616" s="5" t="s">
        <v>2990</v>
      </c>
      <c r="E1616" s="5" t="s">
        <v>1477</v>
      </c>
      <c r="F1616" s="5" t="str">
        <f t="shared" si="25"/>
        <v>snusnetto.se</v>
      </c>
      <c r="G1616" s="5" t="s">
        <v>4</v>
      </c>
      <c r="H1616" s="5" t="s">
        <v>5</v>
      </c>
      <c r="I1616" s="6">
        <v>45498</v>
      </c>
    </row>
    <row r="1617" spans="1:9" ht="13.5">
      <c r="A1617" s="2" t="s">
        <v>2636</v>
      </c>
      <c r="B1617" s="3"/>
      <c r="C1617" s="5" t="s">
        <v>2981</v>
      </c>
      <c r="D1617" s="5" t="s">
        <v>2720</v>
      </c>
      <c r="E1617" s="5" t="s">
        <v>2982</v>
      </c>
      <c r="F1617" s="5" t="str">
        <f t="shared" si="25"/>
        <v>kvarnx.com</v>
      </c>
      <c r="G1617" s="5" t="s">
        <v>4</v>
      </c>
      <c r="H1617" s="5" t="s">
        <v>5</v>
      </c>
      <c r="I1617" s="6">
        <v>45498</v>
      </c>
    </row>
    <row r="1618" spans="1:9" ht="26.25">
      <c r="A1618" s="2" t="s">
        <v>435</v>
      </c>
      <c r="B1618" s="3"/>
      <c r="C1618" s="256" t="s">
        <v>2991</v>
      </c>
      <c r="D1618" s="257" t="s">
        <v>1734</v>
      </c>
      <c r="E1618" s="5" t="s">
        <v>839</v>
      </c>
      <c r="F1618" s="5" t="str">
        <f t="shared" si="25"/>
        <v>fairinvestments.se</v>
      </c>
      <c r="G1618" s="5" t="s">
        <v>4</v>
      </c>
      <c r="H1618" s="5" t="s">
        <v>5</v>
      </c>
      <c r="I1618" s="6">
        <v>45499</v>
      </c>
    </row>
    <row r="1619" spans="1:9" ht="13.5">
      <c r="A1619" s="2" t="s">
        <v>1318</v>
      </c>
      <c r="B1619" s="3"/>
      <c r="C1619" s="138" t="s">
        <v>2992</v>
      </c>
      <c r="D1619" s="258" t="s">
        <v>2972</v>
      </c>
      <c r="E1619" s="253" t="s">
        <v>1318</v>
      </c>
      <c r="F1619" s="5" t="str">
        <f t="shared" si="25"/>
        <v>spelklubben.se</v>
      </c>
      <c r="G1619" s="5" t="s">
        <v>4</v>
      </c>
      <c r="H1619" s="5" t="s">
        <v>5</v>
      </c>
      <c r="I1619" s="6">
        <v>45499</v>
      </c>
    </row>
    <row r="1620" spans="1:9" ht="26.25">
      <c r="A1620" s="2" t="s">
        <v>435</v>
      </c>
      <c r="B1620" s="3"/>
      <c r="C1620" s="138" t="s">
        <v>2992</v>
      </c>
      <c r="D1620" s="259" t="s">
        <v>1012</v>
      </c>
      <c r="E1620" s="253" t="s">
        <v>1398</v>
      </c>
      <c r="F1620" s="5" t="str">
        <f t="shared" si="25"/>
        <v>fairinvestments.se</v>
      </c>
      <c r="G1620" s="5" t="s">
        <v>4</v>
      </c>
      <c r="H1620" s="5" t="s">
        <v>5</v>
      </c>
      <c r="I1620" s="6">
        <v>45499</v>
      </c>
    </row>
    <row r="1621" spans="1:9" ht="13.5">
      <c r="A1621" s="151" t="s">
        <v>1750</v>
      </c>
      <c r="B1621" s="152"/>
      <c r="C1621" s="235" t="s">
        <v>2993</v>
      </c>
      <c r="D1621" s="260" t="s">
        <v>1752</v>
      </c>
      <c r="E1621" s="261" t="s">
        <v>2994</v>
      </c>
      <c r="F1621" s="5" t="str">
        <f t="shared" si="25"/>
        <v>cannabislight.se</v>
      </c>
      <c r="G1621" s="154" t="s">
        <v>4</v>
      </c>
      <c r="H1621" s="154" t="s">
        <v>5</v>
      </c>
      <c r="I1621" s="177">
        <v>45499</v>
      </c>
    </row>
    <row r="1622" spans="1:9" ht="26.25">
      <c r="A1622" s="7" t="s">
        <v>329</v>
      </c>
      <c r="B1622" s="3"/>
      <c r="C1622" s="138" t="s">
        <v>2995</v>
      </c>
      <c r="D1622" s="215" t="s">
        <v>2399</v>
      </c>
      <c r="E1622" s="171" t="s">
        <v>2996</v>
      </c>
      <c r="F1622" s="5" t="str">
        <f t="shared" si="25"/>
        <v>vont</v>
      </c>
      <c r="G1622" s="5" t="s">
        <v>4</v>
      </c>
      <c r="H1622" s="5" t="s">
        <v>5</v>
      </c>
      <c r="I1622" s="6">
        <v>45499</v>
      </c>
    </row>
    <row r="1623" spans="1:9" ht="13.5">
      <c r="A1623" s="2" t="s">
        <v>2636</v>
      </c>
      <c r="B1623" s="3"/>
      <c r="C1623" s="138" t="s">
        <v>2997</v>
      </c>
      <c r="D1623" s="262" t="s">
        <v>2702</v>
      </c>
      <c r="E1623" s="253" t="s">
        <v>2998</v>
      </c>
      <c r="F1623" s="5" t="str">
        <f t="shared" si="25"/>
        <v>kvarnx.com</v>
      </c>
      <c r="G1623" s="5" t="s">
        <v>4</v>
      </c>
      <c r="H1623" s="5" t="s">
        <v>5</v>
      </c>
      <c r="I1623" s="6">
        <v>45499</v>
      </c>
    </row>
    <row r="1624" spans="1:9" ht="13.5">
      <c r="A1624" s="2" t="s">
        <v>2999</v>
      </c>
      <c r="B1624" s="3"/>
      <c r="C1624" s="138" t="s">
        <v>3000</v>
      </c>
      <c r="D1624" s="138" t="s">
        <v>2990</v>
      </c>
      <c r="E1624" s="263" t="s">
        <v>2715</v>
      </c>
      <c r="F1624" s="5" t="str">
        <f t="shared" si="25"/>
        <v>nettotobak.com</v>
      </c>
      <c r="G1624" s="5" t="s">
        <v>4</v>
      </c>
      <c r="H1624" s="5" t="s">
        <v>5</v>
      </c>
      <c r="I1624" s="6">
        <v>45499</v>
      </c>
    </row>
    <row r="1625" spans="1:9" ht="13.5">
      <c r="A1625" s="2" t="s">
        <v>2836</v>
      </c>
      <c r="B1625" s="3"/>
      <c r="C1625" s="105" t="s">
        <v>3001</v>
      </c>
      <c r="D1625" s="105" t="s">
        <v>2968</v>
      </c>
      <c r="E1625" s="252" t="s">
        <v>2968</v>
      </c>
      <c r="F1625" s="5" t="str">
        <f t="shared" si="25"/>
        <v>cherry.com</v>
      </c>
      <c r="G1625" s="5" t="s">
        <v>4</v>
      </c>
      <c r="H1625" s="5" t="s">
        <v>5</v>
      </c>
      <c r="I1625" s="6">
        <v>45499</v>
      </c>
    </row>
    <row r="1626" spans="1:9" ht="13.5">
      <c r="A1626" s="2" t="s">
        <v>2836</v>
      </c>
      <c r="B1626" s="3"/>
      <c r="C1626" s="105" t="s">
        <v>3002</v>
      </c>
      <c r="D1626" s="105" t="s">
        <v>2968</v>
      </c>
      <c r="E1626" s="252" t="s">
        <v>2968</v>
      </c>
      <c r="F1626" s="5" t="str">
        <f t="shared" si="25"/>
        <v>cherry.com</v>
      </c>
      <c r="G1626" s="5" t="s">
        <v>4</v>
      </c>
      <c r="H1626" s="5" t="s">
        <v>5</v>
      </c>
      <c r="I1626" s="6">
        <v>45499</v>
      </c>
    </row>
    <row r="1627" spans="1:9" ht="13.5">
      <c r="A1627" s="2" t="s">
        <v>2836</v>
      </c>
      <c r="B1627" s="3"/>
      <c r="C1627" s="105" t="s">
        <v>3003</v>
      </c>
      <c r="D1627" s="253" t="s">
        <v>2967</v>
      </c>
      <c r="E1627" s="171" t="s">
        <v>3004</v>
      </c>
      <c r="F1627" s="5" t="str">
        <f t="shared" si="25"/>
        <v>cherry.com</v>
      </c>
      <c r="G1627" s="5" t="s">
        <v>4</v>
      </c>
      <c r="H1627" s="5" t="s">
        <v>5</v>
      </c>
      <c r="I1627" s="6">
        <v>45499</v>
      </c>
    </row>
    <row r="1628" spans="1:9" ht="13.5">
      <c r="A1628" s="2" t="s">
        <v>2836</v>
      </c>
      <c r="B1628" s="3"/>
      <c r="C1628" s="105" t="s">
        <v>3005</v>
      </c>
      <c r="D1628" s="244" t="s">
        <v>3006</v>
      </c>
      <c r="E1628" s="253" t="s">
        <v>3007</v>
      </c>
      <c r="F1628" s="5" t="str">
        <f t="shared" si="25"/>
        <v>cherry.com</v>
      </c>
      <c r="G1628" s="5" t="s">
        <v>4</v>
      </c>
      <c r="H1628" s="5" t="s">
        <v>5</v>
      </c>
      <c r="I1628" s="6">
        <v>45499</v>
      </c>
    </row>
    <row r="1629" spans="1:9" ht="13.5">
      <c r="A1629" s="2" t="s">
        <v>2999</v>
      </c>
      <c r="B1629" s="3"/>
      <c r="C1629" s="105" t="s">
        <v>3008</v>
      </c>
      <c r="D1629" s="215" t="s">
        <v>3009</v>
      </c>
      <c r="E1629" s="171" t="s">
        <v>1477</v>
      </c>
      <c r="F1629" s="5" t="str">
        <f t="shared" si="25"/>
        <v>nettotobak.com</v>
      </c>
      <c r="G1629" s="5" t="s">
        <v>4</v>
      </c>
      <c r="H1629" s="5" t="s">
        <v>5</v>
      </c>
      <c r="I1629" s="6">
        <v>45499</v>
      </c>
    </row>
    <row r="1630" spans="1:9" ht="13.5">
      <c r="A1630" s="2" t="s">
        <v>1750</v>
      </c>
      <c r="B1630" s="3"/>
      <c r="C1630" s="4" t="s">
        <v>3010</v>
      </c>
      <c r="D1630" s="4" t="s">
        <v>3011</v>
      </c>
      <c r="E1630" s="5" t="s">
        <v>2323</v>
      </c>
      <c r="F1630" s="5" t="str">
        <f t="shared" si="25"/>
        <v>cannabislight.se</v>
      </c>
      <c r="G1630" s="5" t="s">
        <v>4</v>
      </c>
      <c r="H1630" s="5" t="s">
        <v>5</v>
      </c>
      <c r="I1630" s="6">
        <v>45499</v>
      </c>
    </row>
    <row r="1631" spans="1:9" ht="13.5">
      <c r="A1631" s="2" t="s">
        <v>2636</v>
      </c>
      <c r="B1631" s="3"/>
      <c r="C1631" s="5" t="s">
        <v>2997</v>
      </c>
      <c r="D1631" s="5" t="s">
        <v>2702</v>
      </c>
      <c r="E1631" s="5" t="s">
        <v>2998</v>
      </c>
      <c r="F1631" s="5" t="str">
        <f t="shared" si="25"/>
        <v>kvarnx.com</v>
      </c>
      <c r="G1631" s="5" t="s">
        <v>4</v>
      </c>
      <c r="H1631" s="5" t="s">
        <v>5</v>
      </c>
      <c r="I1631" s="6">
        <v>45499</v>
      </c>
    </row>
    <row r="1632" spans="1:9" ht="13.5">
      <c r="A1632" s="2" t="s">
        <v>1301</v>
      </c>
      <c r="B1632" s="3"/>
      <c r="C1632" s="138" t="s">
        <v>3012</v>
      </c>
      <c r="D1632" s="80" t="s">
        <v>1303</v>
      </c>
      <c r="E1632" s="5" t="s">
        <v>1408</v>
      </c>
      <c r="F1632" s="5" t="str">
        <f t="shared" si="25"/>
        <v>w3solenergi.se</v>
      </c>
      <c r="G1632" s="5" t="s">
        <v>4</v>
      </c>
      <c r="H1632" s="5" t="s">
        <v>5</v>
      </c>
      <c r="I1632" s="6">
        <v>45502</v>
      </c>
    </row>
    <row r="1633" spans="1:9" ht="13.5">
      <c r="A1633" s="2" t="s">
        <v>1301</v>
      </c>
      <c r="B1633" s="3"/>
      <c r="C1633" s="138" t="s">
        <v>3013</v>
      </c>
      <c r="D1633" s="264" t="s">
        <v>2815</v>
      </c>
      <c r="E1633" s="209" t="s">
        <v>2816</v>
      </c>
      <c r="F1633" s="5" t="str">
        <f t="shared" si="25"/>
        <v>w3solenergi.se</v>
      </c>
      <c r="G1633" s="5" t="s">
        <v>4</v>
      </c>
      <c r="H1633" s="5" t="s">
        <v>5</v>
      </c>
      <c r="I1633" s="6">
        <v>45502</v>
      </c>
    </row>
    <row r="1634" spans="1:9" ht="13.5">
      <c r="A1634" s="2" t="s">
        <v>100</v>
      </c>
      <c r="B1634" s="3"/>
      <c r="C1634" s="138" t="s">
        <v>3014</v>
      </c>
      <c r="D1634" s="87" t="s">
        <v>1252</v>
      </c>
      <c r="E1634" s="265" t="s">
        <v>3015</v>
      </c>
      <c r="F1634" s="5" t="str">
        <f t="shared" si="25"/>
        <v>bigbenstandup.com</v>
      </c>
      <c r="G1634" s="5" t="s">
        <v>4</v>
      </c>
      <c r="H1634" s="5" t="s">
        <v>5</v>
      </c>
      <c r="I1634" s="6">
        <v>45502</v>
      </c>
    </row>
    <row r="1635" spans="1:9" ht="13.5">
      <c r="A1635" s="2" t="s">
        <v>2592</v>
      </c>
      <c r="B1635" s="3"/>
      <c r="C1635" s="138" t="s">
        <v>3016</v>
      </c>
      <c r="D1635" s="266" t="s">
        <v>2594</v>
      </c>
      <c r="E1635" s="265" t="s">
        <v>2779</v>
      </c>
      <c r="F1635" s="5" t="str">
        <f t="shared" si="25"/>
        <v>everynightstudios.com</v>
      </c>
      <c r="G1635" s="5" t="s">
        <v>4</v>
      </c>
      <c r="H1635" s="5" t="s">
        <v>5</v>
      </c>
      <c r="I1635" s="6">
        <v>45502</v>
      </c>
    </row>
    <row r="1636" spans="1:9" ht="13.5">
      <c r="A1636" s="2" t="s">
        <v>308</v>
      </c>
      <c r="B1636" s="3"/>
      <c r="C1636" s="138" t="s">
        <v>3017</v>
      </c>
      <c r="D1636" s="87" t="s">
        <v>1395</v>
      </c>
      <c r="E1636" s="265" t="s">
        <v>1013</v>
      </c>
      <c r="F1636" s="5" t="str">
        <f t="shared" si="25"/>
        <v>lansfast.se</v>
      </c>
      <c r="G1636" s="5" t="s">
        <v>4</v>
      </c>
      <c r="H1636" s="5" t="s">
        <v>5</v>
      </c>
      <c r="I1636" s="6">
        <v>45502</v>
      </c>
    </row>
    <row r="1637" spans="1:9" ht="13.5">
      <c r="A1637" s="2" t="s">
        <v>992</v>
      </c>
      <c r="B1637" s="3"/>
      <c r="C1637" s="138" t="s">
        <v>3018</v>
      </c>
      <c r="D1637" s="267" t="s">
        <v>2886</v>
      </c>
      <c r="E1637" s="268" t="s">
        <v>1710</v>
      </c>
      <c r="F1637" s="5" t="str">
        <f t="shared" si="25"/>
        <v>ledkungen.se</v>
      </c>
      <c r="G1637" s="5" t="s">
        <v>4</v>
      </c>
      <c r="H1637" s="5" t="s">
        <v>5</v>
      </c>
      <c r="I1637" s="6">
        <v>45502</v>
      </c>
    </row>
    <row r="1638" spans="1:9" ht="13.5">
      <c r="A1638" s="2" t="s">
        <v>1213</v>
      </c>
      <c r="B1638" s="3"/>
      <c r="C1638" s="138" t="s">
        <v>3019</v>
      </c>
      <c r="D1638" s="87" t="s">
        <v>1215</v>
      </c>
      <c r="E1638" s="265" t="s">
        <v>2491</v>
      </c>
      <c r="F1638" s="5" t="str">
        <f t="shared" si="25"/>
        <v>mariatand.se</v>
      </c>
      <c r="G1638" s="5" t="s">
        <v>4</v>
      </c>
      <c r="H1638" s="5" t="s">
        <v>5</v>
      </c>
      <c r="I1638" s="6">
        <v>45502</v>
      </c>
    </row>
    <row r="1639" spans="1:9" ht="13.5">
      <c r="A1639" s="7" t="s">
        <v>224</v>
      </c>
      <c r="B1639" s="3"/>
      <c r="C1639" s="138" t="s">
        <v>3020</v>
      </c>
      <c r="D1639" s="71" t="s">
        <v>461</v>
      </c>
      <c r="E1639" s="221" t="s">
        <v>1117</v>
      </c>
      <c r="F1639" s="5" t="str">
        <f t="shared" si="25"/>
        <v>swedoffice</v>
      </c>
      <c r="G1639" s="5" t="s">
        <v>4</v>
      </c>
      <c r="H1639" s="5" t="s">
        <v>5</v>
      </c>
      <c r="I1639" s="6">
        <v>45502</v>
      </c>
    </row>
    <row r="1640" spans="1:9" ht="13.5">
      <c r="A1640" s="2" t="s">
        <v>325</v>
      </c>
      <c r="B1640" s="3"/>
      <c r="C1640" s="138" t="s">
        <v>3021</v>
      </c>
      <c r="D1640" s="87" t="s">
        <v>1244</v>
      </c>
      <c r="E1640" s="265" t="s">
        <v>463</v>
      </c>
      <c r="F1640" s="5" t="str">
        <f t="shared" si="25"/>
        <v>tiotak.se</v>
      </c>
      <c r="G1640" s="5" t="s">
        <v>4</v>
      </c>
      <c r="H1640" s="5" t="s">
        <v>5</v>
      </c>
      <c r="I1640" s="6">
        <v>45502</v>
      </c>
    </row>
    <row r="1641" spans="1:9" ht="13.5">
      <c r="A1641" s="2" t="s">
        <v>325</v>
      </c>
      <c r="B1641" s="3"/>
      <c r="C1641" s="138" t="s">
        <v>3022</v>
      </c>
      <c r="D1641" s="87" t="s">
        <v>873</v>
      </c>
      <c r="E1641" s="265" t="s">
        <v>2922</v>
      </c>
      <c r="F1641" s="5" t="str">
        <f t="shared" si="25"/>
        <v>tiotak.se</v>
      </c>
      <c r="G1641" s="5" t="s">
        <v>4</v>
      </c>
      <c r="H1641" s="5" t="s">
        <v>5</v>
      </c>
      <c r="I1641" s="6">
        <v>45502</v>
      </c>
    </row>
    <row r="1642" spans="1:9" ht="13.5">
      <c r="A1642" s="2" t="s">
        <v>535</v>
      </c>
      <c r="B1642" s="3"/>
      <c r="C1642" s="138" t="s">
        <v>3023</v>
      </c>
      <c r="D1642" s="87" t="s">
        <v>2806</v>
      </c>
      <c r="E1642" s="265" t="s">
        <v>2807</v>
      </c>
      <c r="F1642" s="5" t="str">
        <f t="shared" si="25"/>
        <v>tryggbil.se</v>
      </c>
      <c r="G1642" s="5" t="s">
        <v>4</v>
      </c>
      <c r="H1642" s="5" t="s">
        <v>5</v>
      </c>
      <c r="I1642" s="6">
        <v>45502</v>
      </c>
    </row>
    <row r="1643" spans="1:9" ht="13.5">
      <c r="A1643" s="2" t="s">
        <v>535</v>
      </c>
      <c r="B1643" s="3"/>
      <c r="C1643" s="138" t="s">
        <v>3024</v>
      </c>
      <c r="D1643" s="87" t="s">
        <v>536</v>
      </c>
      <c r="E1643" s="265" t="s">
        <v>2809</v>
      </c>
      <c r="F1643" s="5" t="str">
        <f t="shared" si="25"/>
        <v>tryggbil.se</v>
      </c>
      <c r="G1643" s="5" t="s">
        <v>4</v>
      </c>
      <c r="H1643" s="5" t="s">
        <v>5</v>
      </c>
      <c r="I1643" s="6">
        <v>45502</v>
      </c>
    </row>
    <row r="1644" spans="1:9" ht="13.5">
      <c r="A1644" s="2" t="s">
        <v>2836</v>
      </c>
      <c r="B1644" s="3"/>
      <c r="C1644" s="73" t="s">
        <v>3025</v>
      </c>
      <c r="D1644" s="105" t="s">
        <v>2968</v>
      </c>
      <c r="E1644" s="171" t="s">
        <v>3026</v>
      </c>
      <c r="F1644" s="5" t="str">
        <f t="shared" si="25"/>
        <v>cherry.com</v>
      </c>
      <c r="G1644" s="5" t="s">
        <v>4</v>
      </c>
      <c r="H1644" s="5" t="s">
        <v>5</v>
      </c>
      <c r="I1644" s="6">
        <v>45502</v>
      </c>
    </row>
    <row r="1645" spans="1:9" ht="13.5">
      <c r="A1645" s="2" t="s">
        <v>2836</v>
      </c>
      <c r="B1645" s="3"/>
      <c r="C1645" s="73" t="s">
        <v>3027</v>
      </c>
      <c r="D1645" s="105" t="s">
        <v>2968</v>
      </c>
      <c r="E1645" s="171" t="s">
        <v>2970</v>
      </c>
      <c r="F1645" s="5" t="str">
        <f t="shared" si="25"/>
        <v>cherry.com</v>
      </c>
      <c r="G1645" s="5" t="s">
        <v>4</v>
      </c>
      <c r="H1645" s="5" t="s">
        <v>5</v>
      </c>
      <c r="I1645" s="6">
        <v>45502</v>
      </c>
    </row>
    <row r="1646" spans="1:9" ht="13.5">
      <c r="A1646" s="2" t="s">
        <v>1318</v>
      </c>
      <c r="B1646" s="3"/>
      <c r="C1646" s="73" t="s">
        <v>3028</v>
      </c>
      <c r="D1646" s="215" t="s">
        <v>1942</v>
      </c>
      <c r="E1646" s="171" t="s">
        <v>3029</v>
      </c>
      <c r="F1646" s="5" t="str">
        <f t="shared" si="25"/>
        <v>spelklubben.se</v>
      </c>
      <c r="G1646" s="5" t="s">
        <v>4</v>
      </c>
      <c r="H1646" s="5" t="s">
        <v>5</v>
      </c>
      <c r="I1646" s="6">
        <v>45502</v>
      </c>
    </row>
    <row r="1647" spans="1:9" ht="26.25">
      <c r="A1647" s="2" t="s">
        <v>1318</v>
      </c>
      <c r="B1647" s="3"/>
      <c r="C1647" s="73" t="s">
        <v>3030</v>
      </c>
      <c r="D1647" s="215" t="s">
        <v>1870</v>
      </c>
      <c r="E1647" s="171" t="s">
        <v>3031</v>
      </c>
      <c r="F1647" s="5" t="str">
        <f t="shared" si="25"/>
        <v>spelklubben.se</v>
      </c>
      <c r="G1647" s="5" t="s">
        <v>4</v>
      </c>
      <c r="H1647" s="5" t="s">
        <v>5</v>
      </c>
      <c r="I1647" s="6">
        <v>45502</v>
      </c>
    </row>
    <row r="1648" spans="1:9" ht="13.5">
      <c r="A1648" s="2" t="s">
        <v>1318</v>
      </c>
      <c r="B1648" s="3"/>
      <c r="C1648" s="73" t="s">
        <v>3032</v>
      </c>
      <c r="D1648" s="215" t="s">
        <v>1955</v>
      </c>
      <c r="E1648" s="171" t="s">
        <v>3033</v>
      </c>
      <c r="F1648" s="5" t="str">
        <f t="shared" si="25"/>
        <v>spelklubben.se</v>
      </c>
      <c r="G1648" s="5" t="s">
        <v>4</v>
      </c>
      <c r="H1648" s="5" t="s">
        <v>5</v>
      </c>
      <c r="I1648" s="6">
        <v>45502</v>
      </c>
    </row>
    <row r="1649" spans="1:9" ht="13.5">
      <c r="A1649" s="2" t="s">
        <v>1318</v>
      </c>
      <c r="B1649" s="3"/>
      <c r="C1649" s="73" t="s">
        <v>3034</v>
      </c>
      <c r="D1649" s="215" t="s">
        <v>1846</v>
      </c>
      <c r="E1649" s="171" t="s">
        <v>3035</v>
      </c>
      <c r="F1649" s="5" t="str">
        <f t="shared" si="25"/>
        <v>spelklubben.se</v>
      </c>
      <c r="G1649" s="5" t="s">
        <v>4</v>
      </c>
      <c r="H1649" s="5" t="s">
        <v>5</v>
      </c>
      <c r="I1649" s="6">
        <v>45502</v>
      </c>
    </row>
    <row r="1650" spans="1:9" ht="13.5">
      <c r="A1650" s="2" t="s">
        <v>1318</v>
      </c>
      <c r="B1650" s="3"/>
      <c r="C1650" s="73" t="s">
        <v>3036</v>
      </c>
      <c r="D1650" s="215" t="s">
        <v>1846</v>
      </c>
      <c r="E1650" s="171" t="s">
        <v>3035</v>
      </c>
      <c r="F1650" s="5" t="str">
        <f t="shared" si="25"/>
        <v>spelklubben.se</v>
      </c>
      <c r="G1650" s="5" t="s">
        <v>4</v>
      </c>
      <c r="H1650" s="5" t="s">
        <v>5</v>
      </c>
      <c r="I1650" s="6">
        <v>45502</v>
      </c>
    </row>
    <row r="1651" spans="1:9" ht="13.5">
      <c r="A1651" s="2" t="s">
        <v>435</v>
      </c>
      <c r="B1651" s="3"/>
      <c r="C1651" s="73" t="s">
        <v>3037</v>
      </c>
      <c r="D1651" s="215" t="s">
        <v>1384</v>
      </c>
      <c r="E1651" s="171" t="s">
        <v>1398</v>
      </c>
      <c r="F1651" s="5" t="str">
        <f t="shared" si="25"/>
        <v>fairinvestments.se</v>
      </c>
      <c r="G1651" s="5" t="s">
        <v>4</v>
      </c>
      <c r="H1651" s="5" t="s">
        <v>5</v>
      </c>
      <c r="I1651" s="6">
        <v>45502</v>
      </c>
    </row>
    <row r="1652" spans="1:9" ht="13.5">
      <c r="A1652" s="2" t="s">
        <v>435</v>
      </c>
      <c r="B1652" s="3"/>
      <c r="C1652" s="73" t="s">
        <v>3038</v>
      </c>
      <c r="D1652" s="215" t="s">
        <v>1384</v>
      </c>
      <c r="E1652" s="171" t="s">
        <v>1398</v>
      </c>
      <c r="F1652" s="5" t="str">
        <f t="shared" si="25"/>
        <v>fairinvestments.se</v>
      </c>
      <c r="G1652" s="5" t="s">
        <v>4</v>
      </c>
      <c r="H1652" s="5" t="s">
        <v>5</v>
      </c>
      <c r="I1652" s="6">
        <v>45502</v>
      </c>
    </row>
    <row r="1653" spans="1:9" ht="13.5">
      <c r="A1653" s="2" t="s">
        <v>435</v>
      </c>
      <c r="B1653" s="3"/>
      <c r="C1653" s="73" t="s">
        <v>3039</v>
      </c>
      <c r="D1653" s="215" t="s">
        <v>973</v>
      </c>
      <c r="E1653" s="171" t="s">
        <v>1398</v>
      </c>
      <c r="F1653" s="5" t="str">
        <f t="shared" si="25"/>
        <v>fairinvestments.se</v>
      </c>
      <c r="G1653" s="5" t="s">
        <v>4</v>
      </c>
      <c r="H1653" s="5" t="s">
        <v>5</v>
      </c>
      <c r="I1653" s="6">
        <v>45502</v>
      </c>
    </row>
    <row r="1654" spans="1:9" ht="13.5">
      <c r="A1654" s="2" t="s">
        <v>435</v>
      </c>
      <c r="B1654" s="3"/>
      <c r="C1654" s="73" t="s">
        <v>3040</v>
      </c>
      <c r="D1654" s="215" t="s">
        <v>1413</v>
      </c>
      <c r="E1654" s="171" t="s">
        <v>1398</v>
      </c>
      <c r="F1654" s="5" t="str">
        <f t="shared" si="25"/>
        <v>fairinvestments.se</v>
      </c>
      <c r="G1654" s="5" t="s">
        <v>4</v>
      </c>
      <c r="H1654" s="5" t="s">
        <v>5</v>
      </c>
      <c r="I1654" s="6">
        <v>45502</v>
      </c>
    </row>
    <row r="1655" spans="1:9" ht="26.25">
      <c r="A1655" s="2" t="s">
        <v>435</v>
      </c>
      <c r="B1655" s="3"/>
      <c r="C1655" s="73" t="s">
        <v>3041</v>
      </c>
      <c r="D1655" s="215" t="s">
        <v>1446</v>
      </c>
      <c r="E1655" s="171" t="s">
        <v>1398</v>
      </c>
      <c r="F1655" s="5" t="str">
        <f t="shared" si="25"/>
        <v>fairinvestments.se</v>
      </c>
      <c r="G1655" s="5" t="s">
        <v>4</v>
      </c>
      <c r="H1655" s="5" t="s">
        <v>5</v>
      </c>
      <c r="I1655" s="6">
        <v>45502</v>
      </c>
    </row>
    <row r="1656" spans="1:9" ht="13.5">
      <c r="A1656" s="2" t="s">
        <v>1180</v>
      </c>
      <c r="B1656" s="3"/>
      <c r="C1656" s="73" t="s">
        <v>3042</v>
      </c>
      <c r="D1656" s="105" t="s">
        <v>2935</v>
      </c>
      <c r="E1656" s="171" t="s">
        <v>3043</v>
      </c>
      <c r="F1656" s="5" t="str">
        <f t="shared" si="25"/>
        <v>e-ciggbolaget.se</v>
      </c>
      <c r="G1656" s="5" t="s">
        <v>4</v>
      </c>
      <c r="H1656" s="5" t="s">
        <v>5</v>
      </c>
      <c r="I1656" s="6">
        <v>45502</v>
      </c>
    </row>
    <row r="1657" spans="1:9" ht="13.5">
      <c r="A1657" s="2" t="s">
        <v>1180</v>
      </c>
      <c r="B1657" s="3"/>
      <c r="C1657" s="73" t="s">
        <v>3044</v>
      </c>
      <c r="D1657" s="105" t="s">
        <v>2935</v>
      </c>
      <c r="E1657" s="171" t="s">
        <v>3043</v>
      </c>
      <c r="F1657" s="5" t="str">
        <f t="shared" si="25"/>
        <v>e-ciggbolaget.se</v>
      </c>
      <c r="G1657" s="5" t="s">
        <v>4</v>
      </c>
      <c r="H1657" s="5" t="s">
        <v>5</v>
      </c>
      <c r="I1657" s="6">
        <v>45502</v>
      </c>
    </row>
    <row r="1658" spans="1:9" ht="13.5">
      <c r="A1658" s="2" t="s">
        <v>2948</v>
      </c>
      <c r="B1658" s="3"/>
      <c r="C1658" s="73" t="s">
        <v>3045</v>
      </c>
      <c r="D1658" s="105" t="s">
        <v>2950</v>
      </c>
      <c r="E1658" s="171" t="s">
        <v>2951</v>
      </c>
      <c r="F1658" s="5" t="str">
        <f t="shared" si="25"/>
        <v>joureliten.se</v>
      </c>
      <c r="G1658" s="5" t="s">
        <v>4</v>
      </c>
      <c r="H1658" s="5" t="s">
        <v>5</v>
      </c>
      <c r="I1658" s="6">
        <v>45502</v>
      </c>
    </row>
    <row r="1659" spans="1:9" ht="13.5">
      <c r="A1659" s="2" t="s">
        <v>325</v>
      </c>
      <c r="B1659" s="3"/>
      <c r="C1659" s="73" t="s">
        <v>3046</v>
      </c>
      <c r="D1659" s="78" t="s">
        <v>870</v>
      </c>
      <c r="E1659" s="171" t="s">
        <v>463</v>
      </c>
      <c r="F1659" s="5" t="str">
        <f t="shared" si="25"/>
        <v>tiotak.se</v>
      </c>
      <c r="G1659" s="5" t="s">
        <v>4</v>
      </c>
      <c r="H1659" s="5" t="s">
        <v>5</v>
      </c>
      <c r="I1659" s="6">
        <v>45502</v>
      </c>
    </row>
    <row r="1660" spans="1:9" ht="13.5">
      <c r="A1660" s="2" t="s">
        <v>2058</v>
      </c>
      <c r="B1660" s="3"/>
      <c r="C1660" s="73" t="s">
        <v>3047</v>
      </c>
      <c r="D1660" s="78" t="s">
        <v>2060</v>
      </c>
      <c r="E1660" s="269" t="s">
        <v>2894</v>
      </c>
      <c r="F1660" s="5" t="str">
        <f t="shared" si="25"/>
        <v>m6bygg.se</v>
      </c>
      <c r="G1660" s="5" t="s">
        <v>4</v>
      </c>
      <c r="H1660" s="5" t="s">
        <v>5</v>
      </c>
      <c r="I1660" s="6">
        <v>45502</v>
      </c>
    </row>
    <row r="1661" spans="1:9" ht="13.5">
      <c r="A1661" s="2" t="s">
        <v>2428</v>
      </c>
      <c r="B1661" s="3"/>
      <c r="C1661" s="73" t="s">
        <v>3048</v>
      </c>
      <c r="D1661" s="78" t="s">
        <v>3049</v>
      </c>
      <c r="E1661" s="171" t="s">
        <v>3050</v>
      </c>
      <c r="F1661" s="5" t="str">
        <f t="shared" si="25"/>
        <v>sakraror.se</v>
      </c>
      <c r="G1661" s="5" t="s">
        <v>4</v>
      </c>
      <c r="H1661" s="5" t="s">
        <v>5</v>
      </c>
      <c r="I1661" s="6">
        <v>45502</v>
      </c>
    </row>
    <row r="1662" spans="1:9" ht="14.25">
      <c r="A1662" s="2" t="s">
        <v>2127</v>
      </c>
      <c r="B1662" s="3"/>
      <c r="C1662" s="73" t="s">
        <v>3051</v>
      </c>
      <c r="D1662" s="270" t="s">
        <v>2129</v>
      </c>
      <c r="E1662" s="171" t="s">
        <v>2909</v>
      </c>
      <c r="F1662" s="5" t="str">
        <f t="shared" si="25"/>
        <v>startmotor.se</v>
      </c>
      <c r="G1662" s="5" t="s">
        <v>4</v>
      </c>
      <c r="H1662" s="5" t="s">
        <v>5</v>
      </c>
      <c r="I1662" s="6">
        <v>45502</v>
      </c>
    </row>
    <row r="1663" spans="1:9" ht="13.5">
      <c r="A1663" s="2" t="s">
        <v>535</v>
      </c>
      <c r="B1663" s="3"/>
      <c r="C1663" s="271" t="s">
        <v>3052</v>
      </c>
      <c r="D1663" s="87" t="s">
        <v>2806</v>
      </c>
      <c r="E1663" s="171" t="s">
        <v>2925</v>
      </c>
      <c r="F1663" s="5" t="str">
        <f t="shared" si="25"/>
        <v>tryggbil.se</v>
      </c>
      <c r="G1663" s="5" t="s">
        <v>4</v>
      </c>
      <c r="H1663" s="5" t="s">
        <v>5</v>
      </c>
      <c r="I1663" s="6">
        <v>45502</v>
      </c>
    </row>
    <row r="1664" spans="1:9" ht="13.5">
      <c r="A1664" s="2" t="s">
        <v>435</v>
      </c>
      <c r="B1664" s="3"/>
      <c r="C1664" s="73" t="s">
        <v>3053</v>
      </c>
      <c r="D1664" s="93" t="s">
        <v>435</v>
      </c>
      <c r="E1664" s="171" t="s">
        <v>438</v>
      </c>
      <c r="F1664" s="5" t="str">
        <f t="shared" si="25"/>
        <v>fairinvestments.se</v>
      </c>
      <c r="G1664" s="5" t="s">
        <v>4</v>
      </c>
      <c r="H1664" s="5" t="s">
        <v>5</v>
      </c>
      <c r="I1664" s="6">
        <v>45502</v>
      </c>
    </row>
    <row r="1665" spans="1:9" ht="26.25">
      <c r="A1665" s="2" t="s">
        <v>435</v>
      </c>
      <c r="B1665" s="3"/>
      <c r="C1665" s="73" t="s">
        <v>3054</v>
      </c>
      <c r="D1665" s="93" t="s">
        <v>435</v>
      </c>
      <c r="E1665" s="171" t="s">
        <v>3055</v>
      </c>
      <c r="F1665" s="5" t="str">
        <f t="shared" si="25"/>
        <v>fairinvestments.se</v>
      </c>
      <c r="G1665" s="5" t="s">
        <v>4</v>
      </c>
      <c r="H1665" s="5" t="s">
        <v>5</v>
      </c>
      <c r="I1665" s="6">
        <v>45502</v>
      </c>
    </row>
    <row r="1666" spans="1:9" ht="13.5">
      <c r="A1666" s="2" t="s">
        <v>723</v>
      </c>
      <c r="B1666" s="3"/>
      <c r="C1666" s="81" t="s">
        <v>3056</v>
      </c>
      <c r="D1666" s="259" t="s">
        <v>723</v>
      </c>
      <c r="E1666" s="22" t="s">
        <v>723</v>
      </c>
      <c r="F1666" s="5" t="str">
        <f t="shared" si="25"/>
        <v>aretrotale.com</v>
      </c>
      <c r="G1666" s="5" t="s">
        <v>4</v>
      </c>
      <c r="H1666" s="5" t="s">
        <v>23</v>
      </c>
      <c r="I1666" s="6">
        <v>45502</v>
      </c>
    </row>
    <row r="1667" spans="1:9" ht="13.5">
      <c r="A1667" s="2" t="s">
        <v>723</v>
      </c>
      <c r="B1667" s="3"/>
      <c r="C1667" s="4" t="s">
        <v>3057</v>
      </c>
      <c r="D1667" s="259" t="s">
        <v>723</v>
      </c>
      <c r="E1667" s="9" t="s">
        <v>723</v>
      </c>
      <c r="F1667" s="5" t="str">
        <f t="shared" ref="F1667:F1730" si="26">A1667</f>
        <v>aretrotale.com</v>
      </c>
      <c r="G1667" s="5" t="s">
        <v>4</v>
      </c>
      <c r="H1667" s="5" t="s">
        <v>23</v>
      </c>
      <c r="I1667" s="6">
        <v>45502</v>
      </c>
    </row>
    <row r="1668" spans="1:9" ht="14.25">
      <c r="A1668" s="2" t="s">
        <v>3058</v>
      </c>
      <c r="B1668" s="3"/>
      <c r="C1668" s="87" t="s">
        <v>3059</v>
      </c>
      <c r="D1668" s="87" t="s">
        <v>3060</v>
      </c>
      <c r="E1668" s="272" t="s">
        <v>3061</v>
      </c>
      <c r="F1668" s="5" t="str">
        <f t="shared" si="26"/>
        <v>rusta.se</v>
      </c>
      <c r="G1668" s="5" t="s">
        <v>4</v>
      </c>
      <c r="H1668" s="5" t="s">
        <v>5</v>
      </c>
      <c r="I1668" s="6">
        <v>45502</v>
      </c>
    </row>
    <row r="1669" spans="1:9" ht="13.5">
      <c r="A1669" s="2" t="s">
        <v>3058</v>
      </c>
      <c r="B1669" s="3"/>
      <c r="C1669" s="87" t="s">
        <v>3062</v>
      </c>
      <c r="D1669" s="87" t="s">
        <v>3063</v>
      </c>
      <c r="E1669" s="79" t="s">
        <v>3064</v>
      </c>
      <c r="F1669" s="5" t="str">
        <f t="shared" si="26"/>
        <v>rusta.se</v>
      </c>
      <c r="G1669" s="5" t="s">
        <v>4</v>
      </c>
      <c r="H1669" s="5" t="s">
        <v>5</v>
      </c>
      <c r="I1669" s="6">
        <v>45502</v>
      </c>
    </row>
    <row r="1670" spans="1:9" ht="13.5">
      <c r="A1670" s="2" t="s">
        <v>1466</v>
      </c>
      <c r="B1670" s="3"/>
      <c r="C1670" s="5" t="s">
        <v>3065</v>
      </c>
      <c r="D1670" s="5" t="s">
        <v>1468</v>
      </c>
      <c r="E1670" s="5" t="s">
        <v>3066</v>
      </c>
      <c r="F1670" s="5" t="str">
        <f t="shared" si="26"/>
        <v>svenskaeljouren.se</v>
      </c>
      <c r="G1670" s="5" t="s">
        <v>4</v>
      </c>
      <c r="H1670" s="5" t="s">
        <v>5</v>
      </c>
      <c r="I1670" s="6">
        <v>45502</v>
      </c>
    </row>
    <row r="1671" spans="1:9" ht="13.5">
      <c r="A1671" s="7" t="s">
        <v>1557</v>
      </c>
      <c r="B1671" s="3"/>
      <c r="C1671" s="5" t="s">
        <v>3067</v>
      </c>
      <c r="D1671" s="5" t="s">
        <v>2576</v>
      </c>
      <c r="E1671" s="5" t="s">
        <v>2577</v>
      </c>
      <c r="F1671" s="5" t="str">
        <f t="shared" si="26"/>
        <v>rörmokare.nu</v>
      </c>
      <c r="G1671" s="5" t="s">
        <v>4</v>
      </c>
      <c r="H1671" s="5" t="s">
        <v>5</v>
      </c>
      <c r="I1671" s="6">
        <v>45502</v>
      </c>
    </row>
    <row r="1672" spans="1:9" ht="13.5">
      <c r="A1672" s="7" t="s">
        <v>1559</v>
      </c>
      <c r="B1672" s="3"/>
      <c r="C1672" s="5" t="s">
        <v>3068</v>
      </c>
      <c r="D1672" s="5" t="s">
        <v>1561</v>
      </c>
      <c r="E1672" s="5" t="s">
        <v>2582</v>
      </c>
      <c r="F1672" s="5" t="str">
        <f t="shared" si="26"/>
        <v>rorjour247.se</v>
      </c>
      <c r="G1672" s="5" t="s">
        <v>4</v>
      </c>
      <c r="H1672" s="5" t="s">
        <v>5</v>
      </c>
      <c r="I1672" s="6">
        <v>45502</v>
      </c>
    </row>
    <row r="1673" spans="1:9" ht="26.25">
      <c r="A1673" s="2" t="s">
        <v>2636</v>
      </c>
      <c r="B1673" s="3"/>
      <c r="C1673" s="4" t="s">
        <v>3069</v>
      </c>
      <c r="D1673" s="273" t="s">
        <v>2702</v>
      </c>
      <c r="E1673" s="274" t="s">
        <v>3070</v>
      </c>
      <c r="F1673" s="5" t="str">
        <f t="shared" si="26"/>
        <v>kvarnx.com</v>
      </c>
      <c r="G1673" s="5" t="s">
        <v>4</v>
      </c>
      <c r="H1673" s="5" t="s">
        <v>5</v>
      </c>
      <c r="I1673" s="6">
        <v>45504</v>
      </c>
    </row>
    <row r="1674" spans="1:9" ht="14.25">
      <c r="A1674" s="2" t="s">
        <v>2636</v>
      </c>
      <c r="B1674" s="3"/>
      <c r="C1674" s="4" t="s">
        <v>3071</v>
      </c>
      <c r="D1674" s="273" t="s">
        <v>2702</v>
      </c>
      <c r="E1674" s="253" t="s">
        <v>2998</v>
      </c>
      <c r="F1674" s="5" t="str">
        <f t="shared" si="26"/>
        <v>kvarnx.com</v>
      </c>
      <c r="G1674" s="5" t="s">
        <v>4</v>
      </c>
      <c r="H1674" s="5" t="s">
        <v>5</v>
      </c>
      <c r="I1674" s="6">
        <v>45504</v>
      </c>
    </row>
    <row r="1675" spans="1:9" ht="13.5">
      <c r="A1675" s="2" t="s">
        <v>1649</v>
      </c>
      <c r="B1675" s="3"/>
      <c r="C1675" s="138" t="s">
        <v>3072</v>
      </c>
      <c r="D1675" s="138" t="s">
        <v>3073</v>
      </c>
      <c r="E1675" s="169" t="s">
        <v>3074</v>
      </c>
      <c r="F1675" s="5" t="str">
        <f t="shared" si="26"/>
        <v>nordenhydralic.se</v>
      </c>
      <c r="G1675" s="5" t="s">
        <v>4</v>
      </c>
      <c r="H1675" s="5" t="s">
        <v>5</v>
      </c>
      <c r="I1675" s="6">
        <v>45504</v>
      </c>
    </row>
    <row r="1676" spans="1:9" ht="13.5">
      <c r="A1676" s="2" t="s">
        <v>1649</v>
      </c>
      <c r="B1676" s="3"/>
      <c r="C1676" s="138" t="s">
        <v>3075</v>
      </c>
      <c r="D1676" s="138" t="s">
        <v>3076</v>
      </c>
      <c r="E1676" s="72" t="s">
        <v>3077</v>
      </c>
      <c r="F1676" s="5" t="str">
        <f t="shared" si="26"/>
        <v>nordenhydralic.se</v>
      </c>
      <c r="G1676" s="5" t="s">
        <v>4</v>
      </c>
      <c r="H1676" s="5" t="s">
        <v>5</v>
      </c>
      <c r="I1676" s="6">
        <v>45504</v>
      </c>
    </row>
    <row r="1677" spans="1:9" ht="13.5">
      <c r="A1677" s="2" t="s">
        <v>1342</v>
      </c>
      <c r="B1677" s="3"/>
      <c r="C1677" s="138" t="s">
        <v>3078</v>
      </c>
      <c r="D1677" s="93" t="s">
        <v>3079</v>
      </c>
      <c r="E1677" s="5" t="s">
        <v>3080</v>
      </c>
      <c r="F1677" s="5" t="str">
        <f t="shared" si="26"/>
        <v>pontonhamnar.se</v>
      </c>
      <c r="G1677" s="5" t="s">
        <v>4</v>
      </c>
      <c r="H1677" s="5" t="s">
        <v>5</v>
      </c>
      <c r="I1677" s="6">
        <v>45504</v>
      </c>
    </row>
    <row r="1678" spans="1:9" ht="13.5">
      <c r="A1678" s="2" t="s">
        <v>1342</v>
      </c>
      <c r="B1678" s="3"/>
      <c r="C1678" s="138" t="s">
        <v>3081</v>
      </c>
      <c r="D1678" s="90" t="s">
        <v>1143</v>
      </c>
      <c r="E1678" s="5" t="s">
        <v>879</v>
      </c>
      <c r="F1678" s="5" t="str">
        <f t="shared" si="26"/>
        <v>pontonhamnar.se</v>
      </c>
      <c r="G1678" s="5" t="s">
        <v>4</v>
      </c>
      <c r="H1678" s="5" t="s">
        <v>5</v>
      </c>
      <c r="I1678" s="6">
        <v>45504</v>
      </c>
    </row>
    <row r="1679" spans="1:9" ht="13.5">
      <c r="A1679" s="2" t="s">
        <v>100</v>
      </c>
      <c r="B1679" s="3"/>
      <c r="C1679" s="138" t="s">
        <v>3082</v>
      </c>
      <c r="D1679" s="80" t="s">
        <v>1252</v>
      </c>
      <c r="E1679" s="79" t="s">
        <v>3015</v>
      </c>
      <c r="F1679" s="5" t="str">
        <f t="shared" si="26"/>
        <v>bigbenstandup.com</v>
      </c>
      <c r="G1679" s="5" t="s">
        <v>4</v>
      </c>
      <c r="H1679" s="5" t="s">
        <v>5</v>
      </c>
      <c r="I1679" s="6">
        <v>45504</v>
      </c>
    </row>
    <row r="1680" spans="1:9" ht="13.5">
      <c r="A1680" s="2" t="s">
        <v>714</v>
      </c>
      <c r="B1680" s="3"/>
      <c r="C1680" s="4" t="s">
        <v>3083</v>
      </c>
      <c r="D1680" s="4" t="s">
        <v>714</v>
      </c>
      <c r="E1680" s="5" t="s">
        <v>3084</v>
      </c>
      <c r="F1680" s="5" t="str">
        <f t="shared" si="26"/>
        <v>Alfa.no</v>
      </c>
      <c r="G1680" s="5" t="s">
        <v>4</v>
      </c>
      <c r="H1680" s="5" t="s">
        <v>5</v>
      </c>
      <c r="I1680" s="6">
        <v>45504</v>
      </c>
    </row>
    <row r="1681" spans="1:9" ht="13.5">
      <c r="A1681" s="2" t="s">
        <v>2636</v>
      </c>
      <c r="B1681" s="3"/>
      <c r="C1681" s="5" t="s">
        <v>3069</v>
      </c>
      <c r="D1681" s="5" t="s">
        <v>2702</v>
      </c>
      <c r="E1681" s="5" t="s">
        <v>3085</v>
      </c>
      <c r="F1681" s="5" t="str">
        <f t="shared" si="26"/>
        <v>kvarnx.com</v>
      </c>
      <c r="G1681" s="5" t="s">
        <v>4</v>
      </c>
      <c r="H1681" s="5" t="s">
        <v>5</v>
      </c>
      <c r="I1681" s="6">
        <v>45504</v>
      </c>
    </row>
    <row r="1682" spans="1:9" ht="13.5">
      <c r="A1682" s="2" t="s">
        <v>2636</v>
      </c>
      <c r="B1682" s="3"/>
      <c r="C1682" s="5" t="s">
        <v>3071</v>
      </c>
      <c r="D1682" s="5" t="s">
        <v>2702</v>
      </c>
      <c r="E1682" s="5" t="s">
        <v>2998</v>
      </c>
      <c r="F1682" s="5" t="str">
        <f t="shared" si="26"/>
        <v>kvarnx.com</v>
      </c>
      <c r="G1682" s="5" t="s">
        <v>4</v>
      </c>
      <c r="H1682" s="5" t="s">
        <v>5</v>
      </c>
      <c r="I1682" s="6">
        <v>45504</v>
      </c>
    </row>
    <row r="1683" spans="1:9" ht="13.5">
      <c r="A1683" s="2" t="s">
        <v>3086</v>
      </c>
      <c r="B1683" s="3"/>
      <c r="C1683" s="4" t="s">
        <v>3087</v>
      </c>
      <c r="D1683" s="4" t="s">
        <v>3088</v>
      </c>
      <c r="E1683" s="5" t="s">
        <v>3089</v>
      </c>
      <c r="F1683" s="5" t="str">
        <f t="shared" si="26"/>
        <v>himala.ai</v>
      </c>
      <c r="G1683" s="5" t="s">
        <v>4</v>
      </c>
      <c r="H1683" s="5" t="s">
        <v>5</v>
      </c>
      <c r="I1683" s="6">
        <v>45870</v>
      </c>
    </row>
    <row r="1684" spans="1:9" ht="13.5">
      <c r="A1684" s="2" t="s">
        <v>3090</v>
      </c>
      <c r="B1684" s="3"/>
      <c r="C1684" s="4" t="s">
        <v>3091</v>
      </c>
      <c r="D1684" s="4" t="s">
        <v>3092</v>
      </c>
      <c r="E1684" s="5" t="s">
        <v>3093</v>
      </c>
      <c r="F1684" s="5" t="str">
        <f t="shared" si="26"/>
        <v>videoslots.com</v>
      </c>
      <c r="G1684" s="5" t="s">
        <v>4</v>
      </c>
      <c r="H1684" s="5" t="s">
        <v>5</v>
      </c>
      <c r="I1684" s="6">
        <v>45505</v>
      </c>
    </row>
    <row r="1685" spans="1:9" ht="13.5">
      <c r="A1685" s="2" t="s">
        <v>3090</v>
      </c>
      <c r="B1685" s="3"/>
      <c r="C1685" s="4" t="s">
        <v>3094</v>
      </c>
      <c r="D1685" s="4" t="s">
        <v>3095</v>
      </c>
      <c r="E1685" s="5" t="s">
        <v>3093</v>
      </c>
      <c r="F1685" s="5" t="str">
        <f t="shared" si="26"/>
        <v>videoslots.com</v>
      </c>
      <c r="G1685" s="5" t="s">
        <v>4</v>
      </c>
      <c r="H1685" s="5" t="s">
        <v>5</v>
      </c>
      <c r="I1685" s="6">
        <v>45505</v>
      </c>
    </row>
    <row r="1686" spans="1:9" ht="13.5">
      <c r="A1686" s="2" t="s">
        <v>3090</v>
      </c>
      <c r="B1686" s="3"/>
      <c r="C1686" s="4" t="s">
        <v>3096</v>
      </c>
      <c r="D1686" s="4" t="s">
        <v>3095</v>
      </c>
      <c r="E1686" s="5" t="s">
        <v>3093</v>
      </c>
      <c r="F1686" s="5" t="str">
        <f t="shared" si="26"/>
        <v>videoslots.com</v>
      </c>
      <c r="G1686" s="5" t="s">
        <v>4</v>
      </c>
      <c r="H1686" s="5" t="s">
        <v>5</v>
      </c>
      <c r="I1686" s="6">
        <v>45505</v>
      </c>
    </row>
    <row r="1687" spans="1:9" ht="14.25">
      <c r="A1687" s="2" t="s">
        <v>2428</v>
      </c>
      <c r="B1687" s="3"/>
      <c r="C1687" s="138" t="s">
        <v>3097</v>
      </c>
      <c r="D1687" s="234" t="s">
        <v>2430</v>
      </c>
      <c r="E1687" s="209" t="s">
        <v>3098</v>
      </c>
      <c r="F1687" s="5" t="str">
        <f t="shared" si="26"/>
        <v>sakraror.se</v>
      </c>
      <c r="G1687" s="5" t="s">
        <v>4</v>
      </c>
      <c r="H1687" s="5" t="s">
        <v>5</v>
      </c>
      <c r="I1687" s="6">
        <v>45510</v>
      </c>
    </row>
    <row r="1688" spans="1:9" ht="13.5">
      <c r="A1688" s="2" t="s">
        <v>2836</v>
      </c>
      <c r="B1688" s="3"/>
      <c r="C1688" s="105" t="s">
        <v>3099</v>
      </c>
      <c r="D1688" s="252" t="s">
        <v>3100</v>
      </c>
      <c r="E1688" s="171" t="s">
        <v>3007</v>
      </c>
      <c r="F1688" s="5" t="str">
        <f t="shared" si="26"/>
        <v>cherry.com</v>
      </c>
      <c r="G1688" s="5" t="s">
        <v>4</v>
      </c>
      <c r="H1688" s="5" t="s">
        <v>5</v>
      </c>
      <c r="I1688" s="6">
        <v>45525</v>
      </c>
    </row>
    <row r="1689" spans="1:9" ht="13.5">
      <c r="A1689" s="2" t="s">
        <v>2836</v>
      </c>
      <c r="B1689" s="3"/>
      <c r="C1689" s="90" t="s">
        <v>3101</v>
      </c>
      <c r="D1689" s="252" t="s">
        <v>3102</v>
      </c>
      <c r="E1689" s="171" t="s">
        <v>2751</v>
      </c>
      <c r="F1689" s="5" t="str">
        <f t="shared" si="26"/>
        <v>cherry.com</v>
      </c>
      <c r="G1689" s="5" t="s">
        <v>4</v>
      </c>
      <c r="H1689" s="5" t="s">
        <v>5</v>
      </c>
      <c r="I1689" s="6">
        <v>45525</v>
      </c>
    </row>
    <row r="1690" spans="1:9" ht="13.5">
      <c r="A1690" s="2" t="s">
        <v>2836</v>
      </c>
      <c r="B1690" s="3"/>
      <c r="C1690" s="90" t="s">
        <v>3103</v>
      </c>
      <c r="D1690" s="252" t="s">
        <v>3104</v>
      </c>
      <c r="E1690" s="171" t="s">
        <v>3105</v>
      </c>
      <c r="F1690" s="5" t="str">
        <f t="shared" si="26"/>
        <v>cherry.com</v>
      </c>
      <c r="G1690" s="5" t="s">
        <v>4</v>
      </c>
      <c r="H1690" s="5" t="s">
        <v>5</v>
      </c>
      <c r="I1690" s="6">
        <v>45525</v>
      </c>
    </row>
    <row r="1691" spans="1:9" ht="15.4">
      <c r="A1691" s="2" t="s">
        <v>1318</v>
      </c>
      <c r="B1691" s="3"/>
      <c r="C1691" s="275" t="s">
        <v>3106</v>
      </c>
      <c r="D1691" s="105" t="s">
        <v>3107</v>
      </c>
      <c r="E1691" s="253" t="s">
        <v>2840</v>
      </c>
      <c r="F1691" s="5" t="str">
        <f t="shared" si="26"/>
        <v>spelklubben.se</v>
      </c>
      <c r="G1691" s="5" t="s">
        <v>4</v>
      </c>
      <c r="H1691" s="5" t="s">
        <v>5</v>
      </c>
      <c r="I1691" s="6">
        <v>45525</v>
      </c>
    </row>
    <row r="1692" spans="1:9" ht="13.5">
      <c r="A1692" s="2" t="s">
        <v>1318</v>
      </c>
      <c r="B1692" s="3"/>
      <c r="C1692" s="105" t="s">
        <v>3108</v>
      </c>
      <c r="D1692" s="105" t="s">
        <v>1942</v>
      </c>
      <c r="E1692" s="5" t="s">
        <v>3109</v>
      </c>
      <c r="F1692" s="5" t="str">
        <f t="shared" si="26"/>
        <v>spelklubben.se</v>
      </c>
      <c r="G1692" s="5" t="s">
        <v>4</v>
      </c>
      <c r="H1692" s="5" t="s">
        <v>5</v>
      </c>
      <c r="I1692" s="6">
        <v>45525</v>
      </c>
    </row>
    <row r="1693" spans="1:9" ht="13.5">
      <c r="A1693" s="2" t="s">
        <v>1180</v>
      </c>
      <c r="B1693" s="3"/>
      <c r="C1693" s="105" t="s">
        <v>3110</v>
      </c>
      <c r="D1693" s="252" t="s">
        <v>2521</v>
      </c>
      <c r="E1693" s="276" t="s">
        <v>3111</v>
      </c>
      <c r="F1693" s="5" t="str">
        <f t="shared" si="26"/>
        <v>e-ciggbolaget.se</v>
      </c>
      <c r="G1693" s="5" t="s">
        <v>4</v>
      </c>
      <c r="H1693" s="5" t="s">
        <v>5</v>
      </c>
      <c r="I1693" s="6">
        <v>45525</v>
      </c>
    </row>
    <row r="1694" spans="1:9" ht="13.5">
      <c r="A1694" s="2" t="s">
        <v>2636</v>
      </c>
      <c r="B1694" s="3"/>
      <c r="C1694" s="105" t="s">
        <v>3112</v>
      </c>
      <c r="D1694" s="252" t="s">
        <v>2720</v>
      </c>
      <c r="E1694" s="76" t="s">
        <v>3113</v>
      </c>
      <c r="F1694" s="5" t="str">
        <f t="shared" si="26"/>
        <v>kvarnx.com</v>
      </c>
      <c r="G1694" s="5" t="s">
        <v>4</v>
      </c>
      <c r="H1694" s="5" t="s">
        <v>5</v>
      </c>
      <c r="I1694" s="6">
        <v>45525</v>
      </c>
    </row>
    <row r="1695" spans="1:9" ht="13.5">
      <c r="A1695" s="2" t="s">
        <v>1318</v>
      </c>
      <c r="B1695" s="3"/>
      <c r="C1695" s="4" t="s">
        <v>3114</v>
      </c>
      <c r="D1695" s="4" t="s">
        <v>3107</v>
      </c>
      <c r="E1695" s="5" t="s">
        <v>3115</v>
      </c>
      <c r="F1695" s="5" t="str">
        <f t="shared" si="26"/>
        <v>spelklubben.se</v>
      </c>
      <c r="G1695" s="5" t="s">
        <v>4</v>
      </c>
      <c r="H1695" s="5" t="s">
        <v>5</v>
      </c>
      <c r="I1695" s="6">
        <v>45525</v>
      </c>
    </row>
    <row r="1696" spans="1:9" ht="13.5">
      <c r="A1696" s="2" t="s">
        <v>1318</v>
      </c>
      <c r="B1696" s="3"/>
      <c r="C1696" s="4" t="s">
        <v>3116</v>
      </c>
      <c r="D1696" s="4" t="s">
        <v>2823</v>
      </c>
      <c r="E1696" s="5" t="s">
        <v>2016</v>
      </c>
      <c r="F1696" s="5" t="str">
        <f t="shared" si="26"/>
        <v>spelklubben.se</v>
      </c>
      <c r="G1696" s="5" t="s">
        <v>4</v>
      </c>
      <c r="H1696" s="5" t="s">
        <v>5</v>
      </c>
      <c r="I1696" s="6">
        <v>45525</v>
      </c>
    </row>
    <row r="1697" spans="1:9" ht="13.5">
      <c r="A1697" s="145" t="s">
        <v>1318</v>
      </c>
      <c r="B1697" s="146"/>
      <c r="C1697" s="277" t="s">
        <v>3117</v>
      </c>
      <c r="D1697" s="277" t="s">
        <v>2644</v>
      </c>
      <c r="E1697" s="149" t="s">
        <v>3118</v>
      </c>
      <c r="F1697" s="5" t="str">
        <f t="shared" si="26"/>
        <v>spelklubben.se</v>
      </c>
      <c r="G1697" s="149" t="s">
        <v>4</v>
      </c>
      <c r="H1697" s="149" t="s">
        <v>5</v>
      </c>
      <c r="I1697" s="150">
        <v>45525</v>
      </c>
    </row>
    <row r="1698" spans="1:9" ht="13.5">
      <c r="A1698" s="2" t="s">
        <v>2836</v>
      </c>
      <c r="B1698" s="3"/>
      <c r="C1698" s="105" t="s">
        <v>3119</v>
      </c>
      <c r="D1698" s="252" t="s">
        <v>3006</v>
      </c>
      <c r="E1698" s="215" t="s">
        <v>2968</v>
      </c>
      <c r="F1698" s="5" t="str">
        <f t="shared" si="26"/>
        <v>cherry.com</v>
      </c>
      <c r="G1698" s="5" t="s">
        <v>4</v>
      </c>
      <c r="H1698" s="5" t="s">
        <v>5</v>
      </c>
      <c r="I1698" s="6">
        <v>45525</v>
      </c>
    </row>
    <row r="1699" spans="1:9" ht="13.5">
      <c r="A1699" s="2" t="s">
        <v>2836</v>
      </c>
      <c r="B1699" s="3"/>
      <c r="C1699" s="105" t="s">
        <v>3120</v>
      </c>
      <c r="D1699" s="252" t="s">
        <v>3100</v>
      </c>
      <c r="E1699" s="171" t="s">
        <v>3007</v>
      </c>
      <c r="F1699" s="5" t="str">
        <f t="shared" si="26"/>
        <v>cherry.com</v>
      </c>
      <c r="G1699" s="5" t="s">
        <v>4</v>
      </c>
      <c r="H1699" s="5" t="s">
        <v>5</v>
      </c>
      <c r="I1699" s="6">
        <v>45525</v>
      </c>
    </row>
    <row r="1700" spans="1:9" ht="13.5">
      <c r="A1700" s="2" t="s">
        <v>2636</v>
      </c>
      <c r="B1700" s="3"/>
      <c r="C1700" s="105" t="s">
        <v>3121</v>
      </c>
      <c r="D1700" s="105" t="s">
        <v>2720</v>
      </c>
      <c r="E1700" s="76" t="s">
        <v>3122</v>
      </c>
      <c r="F1700" s="5" t="str">
        <f t="shared" si="26"/>
        <v>kvarnx.com</v>
      </c>
      <c r="G1700" s="5" t="s">
        <v>4</v>
      </c>
      <c r="H1700" s="5" t="s">
        <v>5</v>
      </c>
      <c r="I1700" s="6">
        <v>45525</v>
      </c>
    </row>
    <row r="1701" spans="1:9" ht="13.5">
      <c r="A1701" s="2" t="s">
        <v>2636</v>
      </c>
      <c r="B1701" s="3"/>
      <c r="C1701" s="138" t="s">
        <v>3123</v>
      </c>
      <c r="D1701" s="278" t="s">
        <v>2702</v>
      </c>
      <c r="E1701" s="213" t="s">
        <v>2703</v>
      </c>
      <c r="F1701" s="5" t="str">
        <f t="shared" si="26"/>
        <v>kvarnx.com</v>
      </c>
      <c r="G1701" s="5" t="s">
        <v>4</v>
      </c>
      <c r="H1701" s="5" t="s">
        <v>5</v>
      </c>
      <c r="I1701" s="6">
        <v>45525</v>
      </c>
    </row>
    <row r="1702" spans="1:9" ht="13.5">
      <c r="A1702" s="2" t="s">
        <v>1318</v>
      </c>
      <c r="B1702" s="3"/>
      <c r="C1702" s="5" t="s">
        <v>3124</v>
      </c>
      <c r="D1702" s="279" t="s">
        <v>2823</v>
      </c>
      <c r="E1702" s="213" t="s">
        <v>3125</v>
      </c>
      <c r="F1702" s="5" t="str">
        <f t="shared" si="26"/>
        <v>spelklubben.se</v>
      </c>
      <c r="G1702" s="5" t="s">
        <v>4</v>
      </c>
      <c r="H1702" s="5" t="s">
        <v>5</v>
      </c>
      <c r="I1702" s="6">
        <v>45525</v>
      </c>
    </row>
    <row r="1703" spans="1:9" ht="14.25">
      <c r="A1703" s="2" t="s">
        <v>1318</v>
      </c>
      <c r="B1703" s="3"/>
      <c r="C1703" s="280" t="s">
        <v>3126</v>
      </c>
      <c r="D1703" s="281" t="s">
        <v>3107</v>
      </c>
      <c r="E1703" s="213" t="s">
        <v>3127</v>
      </c>
      <c r="F1703" s="5" t="str">
        <f t="shared" si="26"/>
        <v>spelklubben.se</v>
      </c>
      <c r="G1703" s="5" t="s">
        <v>4</v>
      </c>
      <c r="H1703" s="5" t="s">
        <v>5</v>
      </c>
      <c r="I1703" s="6">
        <v>45525</v>
      </c>
    </row>
    <row r="1704" spans="1:9" ht="15.4">
      <c r="A1704" s="2" t="s">
        <v>3128</v>
      </c>
      <c r="B1704" s="3"/>
      <c r="C1704" s="282" t="s">
        <v>3129</v>
      </c>
      <c r="D1704" s="283" t="s">
        <v>3130</v>
      </c>
      <c r="E1704" s="284" t="s">
        <v>3131</v>
      </c>
      <c r="F1704" s="5" t="str">
        <f t="shared" si="26"/>
        <v>bethard.com</v>
      </c>
      <c r="G1704" s="5" t="s">
        <v>4</v>
      </c>
      <c r="H1704" s="5" t="s">
        <v>5</v>
      </c>
      <c r="I1704" s="6">
        <v>45525</v>
      </c>
    </row>
    <row r="1705" spans="1:9" ht="15.4">
      <c r="A1705" s="2" t="s">
        <v>3128</v>
      </c>
      <c r="B1705" s="3"/>
      <c r="C1705" s="282" t="s">
        <v>3132</v>
      </c>
      <c r="D1705" s="283" t="s">
        <v>3130</v>
      </c>
      <c r="E1705" s="285" t="s">
        <v>3115</v>
      </c>
      <c r="F1705" s="5" t="str">
        <f t="shared" si="26"/>
        <v>bethard.com</v>
      </c>
      <c r="G1705" s="5" t="s">
        <v>4</v>
      </c>
      <c r="H1705" s="5" t="s">
        <v>5</v>
      </c>
      <c r="I1705" s="6">
        <v>45525</v>
      </c>
    </row>
    <row r="1706" spans="1:9" ht="15.4">
      <c r="A1706" s="2" t="s">
        <v>3128</v>
      </c>
      <c r="B1706" s="3"/>
      <c r="C1706" s="282" t="s">
        <v>3133</v>
      </c>
      <c r="D1706" s="283" t="s">
        <v>3134</v>
      </c>
      <c r="E1706" s="282" t="s">
        <v>3135</v>
      </c>
      <c r="F1706" s="5" t="str">
        <f t="shared" si="26"/>
        <v>bethard.com</v>
      </c>
      <c r="G1706" s="5" t="s">
        <v>4</v>
      </c>
      <c r="H1706" s="5" t="s">
        <v>5</v>
      </c>
      <c r="I1706" s="6">
        <v>45525</v>
      </c>
    </row>
    <row r="1707" spans="1:9" ht="13.5">
      <c r="A1707" s="2" t="s">
        <v>1318</v>
      </c>
      <c r="B1707" s="3"/>
      <c r="C1707" s="80" t="s">
        <v>3136</v>
      </c>
      <c r="D1707" s="87" t="s">
        <v>1942</v>
      </c>
      <c r="E1707" s="79" t="s">
        <v>1943</v>
      </c>
      <c r="F1707" s="5" t="str">
        <f t="shared" si="26"/>
        <v>spelklubben.se</v>
      </c>
      <c r="G1707" s="5" t="s">
        <v>4</v>
      </c>
      <c r="H1707" s="5" t="s">
        <v>5</v>
      </c>
      <c r="I1707" s="6">
        <v>45525</v>
      </c>
    </row>
    <row r="1708" spans="1:9" ht="14.25">
      <c r="A1708" s="7" t="s">
        <v>329</v>
      </c>
      <c r="B1708" s="3"/>
      <c r="C1708" s="87" t="s">
        <v>3137</v>
      </c>
      <c r="D1708" s="105" t="s">
        <v>2399</v>
      </c>
      <c r="E1708" s="76" t="s">
        <v>3138</v>
      </c>
      <c r="F1708" s="5" t="str">
        <f t="shared" si="26"/>
        <v>vont</v>
      </c>
      <c r="G1708" s="5" t="s">
        <v>4</v>
      </c>
      <c r="H1708" s="5" t="s">
        <v>5</v>
      </c>
      <c r="I1708" s="6">
        <v>45525</v>
      </c>
    </row>
    <row r="1709" spans="1:9" ht="13.5">
      <c r="A1709" s="2" t="s">
        <v>2636</v>
      </c>
      <c r="B1709" s="3"/>
      <c r="C1709" s="87" t="s">
        <v>3139</v>
      </c>
      <c r="D1709" s="105" t="s">
        <v>2638</v>
      </c>
      <c r="E1709" s="76" t="s">
        <v>3140</v>
      </c>
      <c r="F1709" s="5" t="str">
        <f t="shared" si="26"/>
        <v>kvarnx.com</v>
      </c>
      <c r="G1709" s="5" t="s">
        <v>4</v>
      </c>
      <c r="H1709" s="5" t="s">
        <v>5</v>
      </c>
      <c r="I1709" s="6">
        <v>45525</v>
      </c>
    </row>
    <row r="1710" spans="1:9" ht="13.5">
      <c r="A1710" s="2" t="s">
        <v>3141</v>
      </c>
      <c r="B1710" s="3"/>
      <c r="C1710" s="210" t="s">
        <v>3142</v>
      </c>
      <c r="D1710" s="138" t="s">
        <v>3143</v>
      </c>
      <c r="E1710" s="209" t="s">
        <v>3144</v>
      </c>
      <c r="F1710" s="5" t="str">
        <f t="shared" si="26"/>
        <v>snuset.se</v>
      </c>
      <c r="G1710" s="5" t="s">
        <v>4</v>
      </c>
      <c r="H1710" s="5" t="s">
        <v>5</v>
      </c>
      <c r="I1710" s="6">
        <v>45525</v>
      </c>
    </row>
    <row r="1711" spans="1:9" ht="14.25">
      <c r="A1711" s="2" t="s">
        <v>2836</v>
      </c>
      <c r="B1711" s="3"/>
      <c r="C1711" s="210" t="s">
        <v>3145</v>
      </c>
      <c r="D1711" s="210" t="s">
        <v>3146</v>
      </c>
      <c r="E1711" s="286" t="s">
        <v>2836</v>
      </c>
      <c r="F1711" s="5" t="str">
        <f t="shared" si="26"/>
        <v>cherry.com</v>
      </c>
      <c r="G1711" s="5" t="s">
        <v>4</v>
      </c>
      <c r="H1711" s="5" t="s">
        <v>5</v>
      </c>
      <c r="I1711" s="6">
        <v>45525</v>
      </c>
    </row>
    <row r="1712" spans="1:9" ht="13.5">
      <c r="A1712" s="2" t="s">
        <v>1318</v>
      </c>
      <c r="B1712" s="3"/>
      <c r="C1712" s="4" t="s">
        <v>3147</v>
      </c>
      <c r="D1712" s="4" t="s">
        <v>2654</v>
      </c>
      <c r="E1712" s="5" t="s">
        <v>3148</v>
      </c>
      <c r="F1712" s="5" t="str">
        <f t="shared" si="26"/>
        <v>spelklubben.se</v>
      </c>
      <c r="G1712" s="5" t="s">
        <v>4</v>
      </c>
      <c r="H1712" s="5" t="s">
        <v>5</v>
      </c>
      <c r="I1712" s="6">
        <v>45525</v>
      </c>
    </row>
    <row r="1713" spans="1:9" ht="15.4">
      <c r="A1713" s="2" t="s">
        <v>3128</v>
      </c>
      <c r="B1713" s="3"/>
      <c r="C1713" s="282" t="s">
        <v>3129</v>
      </c>
      <c r="D1713" s="283" t="s">
        <v>3130</v>
      </c>
      <c r="E1713" s="284" t="s">
        <v>3131</v>
      </c>
      <c r="F1713" s="5" t="str">
        <f t="shared" si="26"/>
        <v>bethard.com</v>
      </c>
      <c r="G1713" s="5" t="s">
        <v>4</v>
      </c>
      <c r="H1713" s="5" t="s">
        <v>5</v>
      </c>
      <c r="I1713" s="6">
        <v>45525</v>
      </c>
    </row>
    <row r="1714" spans="1:9" ht="15.4">
      <c r="A1714" s="2" t="s">
        <v>3128</v>
      </c>
      <c r="B1714" s="3"/>
      <c r="C1714" s="282" t="s">
        <v>3132</v>
      </c>
      <c r="D1714" s="283" t="s">
        <v>3130</v>
      </c>
      <c r="E1714" s="285" t="s">
        <v>3115</v>
      </c>
      <c r="F1714" s="5" t="str">
        <f t="shared" si="26"/>
        <v>bethard.com</v>
      </c>
      <c r="G1714" s="5" t="s">
        <v>4</v>
      </c>
      <c r="H1714" s="5" t="s">
        <v>5</v>
      </c>
      <c r="I1714" s="6">
        <v>45525</v>
      </c>
    </row>
    <row r="1715" spans="1:9" ht="15.4">
      <c r="A1715" s="2" t="s">
        <v>3128</v>
      </c>
      <c r="B1715" s="3"/>
      <c r="C1715" s="282" t="s">
        <v>3133</v>
      </c>
      <c r="D1715" s="283" t="s">
        <v>3134</v>
      </c>
      <c r="E1715" s="282" t="s">
        <v>3135</v>
      </c>
      <c r="F1715" s="5" t="str">
        <f t="shared" si="26"/>
        <v>bethard.com</v>
      </c>
      <c r="G1715" s="5" t="s">
        <v>4</v>
      </c>
      <c r="H1715" s="5" t="s">
        <v>5</v>
      </c>
      <c r="I1715" s="6">
        <v>45525</v>
      </c>
    </row>
    <row r="1716" spans="1:9" ht="13.5">
      <c r="A1716" s="2" t="s">
        <v>2636</v>
      </c>
      <c r="B1716" s="3"/>
      <c r="C1716" s="5" t="s">
        <v>3112</v>
      </c>
      <c r="D1716" s="5" t="s">
        <v>2720</v>
      </c>
      <c r="E1716" s="5" t="s">
        <v>3113</v>
      </c>
      <c r="F1716" s="5" t="str">
        <f t="shared" si="26"/>
        <v>kvarnx.com</v>
      </c>
      <c r="G1716" s="5" t="s">
        <v>4</v>
      </c>
      <c r="H1716" s="5" t="s">
        <v>5</v>
      </c>
      <c r="I1716" s="6">
        <v>45525</v>
      </c>
    </row>
    <row r="1717" spans="1:9" ht="13.5">
      <c r="A1717" s="2" t="s">
        <v>2636</v>
      </c>
      <c r="B1717" s="3"/>
      <c r="C1717" s="5" t="s">
        <v>3121</v>
      </c>
      <c r="D1717" s="5" t="s">
        <v>2720</v>
      </c>
      <c r="E1717" s="5" t="s">
        <v>3122</v>
      </c>
      <c r="F1717" s="5" t="str">
        <f t="shared" si="26"/>
        <v>kvarnx.com</v>
      </c>
      <c r="G1717" s="5" t="s">
        <v>4</v>
      </c>
      <c r="H1717" s="5" t="s">
        <v>5</v>
      </c>
      <c r="I1717" s="6">
        <v>45525</v>
      </c>
    </row>
    <row r="1718" spans="1:9" ht="13.5">
      <c r="A1718" s="2" t="s">
        <v>2636</v>
      </c>
      <c r="B1718" s="3"/>
      <c r="C1718" s="5" t="s">
        <v>3123</v>
      </c>
      <c r="D1718" s="5" t="s">
        <v>2702</v>
      </c>
      <c r="E1718" s="5" t="s">
        <v>2703</v>
      </c>
      <c r="F1718" s="5" t="str">
        <f t="shared" si="26"/>
        <v>kvarnx.com</v>
      </c>
      <c r="G1718" s="5" t="s">
        <v>4</v>
      </c>
      <c r="H1718" s="5" t="s">
        <v>5</v>
      </c>
      <c r="I1718" s="6">
        <v>45525</v>
      </c>
    </row>
    <row r="1719" spans="1:9" ht="13.5">
      <c r="A1719" s="2" t="s">
        <v>2636</v>
      </c>
      <c r="B1719" s="3"/>
      <c r="C1719" s="5" t="s">
        <v>3139</v>
      </c>
      <c r="D1719" s="5" t="s">
        <v>2638</v>
      </c>
      <c r="E1719" s="5" t="s">
        <v>3149</v>
      </c>
      <c r="F1719" s="5" t="str">
        <f t="shared" si="26"/>
        <v>kvarnx.com</v>
      </c>
      <c r="G1719" s="5" t="s">
        <v>4</v>
      </c>
      <c r="H1719" s="5" t="s">
        <v>5</v>
      </c>
      <c r="I1719" s="6">
        <v>45525</v>
      </c>
    </row>
    <row r="1720" spans="1:9" ht="13.5">
      <c r="A1720" s="2" t="s">
        <v>1466</v>
      </c>
      <c r="B1720" s="3"/>
      <c r="C1720" s="5" t="s">
        <v>3150</v>
      </c>
      <c r="D1720" s="5" t="s">
        <v>1468</v>
      </c>
      <c r="E1720" s="5" t="s">
        <v>3151</v>
      </c>
      <c r="F1720" s="5" t="str">
        <f t="shared" si="26"/>
        <v>svenskaeljouren.se</v>
      </c>
      <c r="G1720" s="5" t="s">
        <v>4</v>
      </c>
      <c r="H1720" s="5" t="s">
        <v>5</v>
      </c>
      <c r="I1720" s="6">
        <v>45525</v>
      </c>
    </row>
    <row r="1721" spans="1:9" ht="13.5">
      <c r="A1721" s="7" t="s">
        <v>1559</v>
      </c>
      <c r="B1721" s="3"/>
      <c r="C1721" s="5" t="s">
        <v>3152</v>
      </c>
      <c r="D1721" s="5" t="s">
        <v>3153</v>
      </c>
      <c r="E1721" s="5" t="s">
        <v>3154</v>
      </c>
      <c r="F1721" s="5" t="str">
        <f t="shared" si="26"/>
        <v>rorjour247.se</v>
      </c>
      <c r="G1721" s="5" t="s">
        <v>4</v>
      </c>
      <c r="H1721" s="5" t="s">
        <v>5</v>
      </c>
      <c r="I1721" s="6">
        <v>45525</v>
      </c>
    </row>
    <row r="1722" spans="1:9" ht="14.25">
      <c r="A1722" s="2" t="s">
        <v>3155</v>
      </c>
      <c r="B1722" s="3"/>
      <c r="C1722" s="280" t="s">
        <v>3156</v>
      </c>
      <c r="D1722" s="287" t="s">
        <v>3157</v>
      </c>
      <c r="E1722" s="5" t="s">
        <v>3158</v>
      </c>
      <c r="F1722" s="5" t="str">
        <f t="shared" si="26"/>
        <v>soartzy.com</v>
      </c>
      <c r="G1722" s="5" t="s">
        <v>4</v>
      </c>
      <c r="H1722" s="5" t="s">
        <v>5</v>
      </c>
      <c r="I1722" s="6">
        <v>45526</v>
      </c>
    </row>
    <row r="1723" spans="1:9" ht="15.4">
      <c r="A1723" s="2" t="s">
        <v>3141</v>
      </c>
      <c r="B1723" s="3"/>
      <c r="C1723" s="282" t="s">
        <v>3159</v>
      </c>
      <c r="D1723" s="282" t="s">
        <v>3160</v>
      </c>
      <c r="E1723" s="284" t="s">
        <v>2571</v>
      </c>
      <c r="F1723" s="5" t="str">
        <f t="shared" si="26"/>
        <v>snuset.se</v>
      </c>
      <c r="G1723" s="5" t="s">
        <v>4</v>
      </c>
      <c r="H1723" s="5" t="s">
        <v>5</v>
      </c>
      <c r="I1723" s="6">
        <v>45526</v>
      </c>
    </row>
    <row r="1724" spans="1:9" ht="13.5">
      <c r="A1724" s="2" t="s">
        <v>3128</v>
      </c>
      <c r="B1724" s="3"/>
      <c r="C1724" s="105" t="s">
        <v>3161</v>
      </c>
      <c r="D1724" s="252" t="s">
        <v>3130</v>
      </c>
      <c r="E1724" s="253" t="s">
        <v>3162</v>
      </c>
      <c r="F1724" s="5" t="str">
        <f t="shared" si="26"/>
        <v>bethard.com</v>
      </c>
      <c r="G1724" s="5" t="s">
        <v>4</v>
      </c>
      <c r="H1724" s="5" t="s">
        <v>5</v>
      </c>
      <c r="I1724" s="6">
        <v>45526</v>
      </c>
    </row>
    <row r="1725" spans="1:9" ht="13.5">
      <c r="A1725" s="2" t="s">
        <v>3128</v>
      </c>
      <c r="B1725" s="3"/>
      <c r="C1725" s="105" t="s">
        <v>3163</v>
      </c>
      <c r="D1725" s="252" t="s">
        <v>3164</v>
      </c>
      <c r="E1725" s="252" t="s">
        <v>3165</v>
      </c>
      <c r="F1725" s="5" t="str">
        <f t="shared" si="26"/>
        <v>bethard.com</v>
      </c>
      <c r="G1725" s="5" t="s">
        <v>4</v>
      </c>
      <c r="H1725" s="5" t="s">
        <v>5</v>
      </c>
      <c r="I1725" s="6">
        <v>45526</v>
      </c>
    </row>
    <row r="1726" spans="1:9" ht="13.5">
      <c r="A1726" s="7" t="s">
        <v>1910</v>
      </c>
      <c r="B1726" s="3"/>
      <c r="C1726" s="4" t="s">
        <v>3166</v>
      </c>
      <c r="D1726" s="4" t="s">
        <v>1912</v>
      </c>
      <c r="E1726" s="5" t="s">
        <v>3167</v>
      </c>
      <c r="F1726" s="5" t="str">
        <f t="shared" si="26"/>
        <v>kelleher-international</v>
      </c>
      <c r="G1726" s="5" t="s">
        <v>4</v>
      </c>
      <c r="H1726" s="5" t="s">
        <v>345</v>
      </c>
      <c r="I1726" s="6">
        <v>45526</v>
      </c>
    </row>
    <row r="1727" spans="1:9" ht="13.5">
      <c r="A1727" s="2" t="s">
        <v>1750</v>
      </c>
      <c r="B1727" s="3"/>
      <c r="C1727" s="115" t="s">
        <v>3168</v>
      </c>
      <c r="D1727" s="105" t="s">
        <v>1754</v>
      </c>
      <c r="E1727" s="76" t="s">
        <v>3169</v>
      </c>
      <c r="F1727" s="5" t="str">
        <f t="shared" si="26"/>
        <v>cannabislight.se</v>
      </c>
      <c r="G1727" s="5" t="s">
        <v>4</v>
      </c>
      <c r="H1727" s="5" t="s">
        <v>5</v>
      </c>
      <c r="I1727" s="6">
        <v>45526</v>
      </c>
    </row>
    <row r="1728" spans="1:9" ht="14.25">
      <c r="A1728" s="2" t="s">
        <v>2640</v>
      </c>
      <c r="B1728" s="3"/>
      <c r="C1728" s="87" t="s">
        <v>3170</v>
      </c>
      <c r="D1728" s="105" t="s">
        <v>3171</v>
      </c>
      <c r="E1728" s="76" t="s">
        <v>3172</v>
      </c>
      <c r="F1728" s="5" t="str">
        <f t="shared" si="26"/>
        <v>snusnetto.se</v>
      </c>
      <c r="G1728" s="5" t="s">
        <v>4</v>
      </c>
      <c r="H1728" s="5" t="s">
        <v>5</v>
      </c>
      <c r="I1728" s="6">
        <v>45526</v>
      </c>
    </row>
    <row r="1729" spans="1:9" ht="14.25">
      <c r="A1729" s="2" t="s">
        <v>3173</v>
      </c>
      <c r="B1729" s="3"/>
      <c r="C1729" s="87" t="s">
        <v>3174</v>
      </c>
      <c r="D1729" s="105" t="s">
        <v>3175</v>
      </c>
      <c r="E1729" s="76" t="s">
        <v>3176</v>
      </c>
      <c r="F1729" s="5" t="str">
        <f t="shared" si="26"/>
        <v>ekstromgaray.se</v>
      </c>
      <c r="G1729" s="5" t="s">
        <v>4</v>
      </c>
      <c r="H1729" s="5" t="s">
        <v>5</v>
      </c>
      <c r="I1729" s="6">
        <v>45526</v>
      </c>
    </row>
    <row r="1730" spans="1:9" ht="13.5">
      <c r="A1730" s="2" t="s">
        <v>1750</v>
      </c>
      <c r="B1730" s="3"/>
      <c r="C1730" s="87" t="s">
        <v>3177</v>
      </c>
      <c r="D1730" s="105" t="s">
        <v>1752</v>
      </c>
      <c r="E1730" s="76" t="s">
        <v>3178</v>
      </c>
      <c r="F1730" s="5" t="str">
        <f t="shared" si="26"/>
        <v>cannabislight.se</v>
      </c>
      <c r="G1730" s="5" t="s">
        <v>4</v>
      </c>
      <c r="H1730" s="5" t="s">
        <v>5</v>
      </c>
      <c r="I1730" s="6">
        <v>45526</v>
      </c>
    </row>
    <row r="1731" spans="1:9" ht="13.5">
      <c r="A1731" s="2" t="s">
        <v>435</v>
      </c>
      <c r="B1731" s="3"/>
      <c r="C1731" s="87" t="s">
        <v>3179</v>
      </c>
      <c r="D1731" s="215" t="s">
        <v>1384</v>
      </c>
      <c r="E1731" s="171" t="s">
        <v>563</v>
      </c>
      <c r="F1731" s="5" t="str">
        <f t="shared" ref="F1731:F1794" si="27">A1731</f>
        <v>fairinvestments.se</v>
      </c>
      <c r="G1731" s="5" t="s">
        <v>4</v>
      </c>
      <c r="H1731" s="5" t="s">
        <v>5</v>
      </c>
      <c r="I1731" s="6">
        <v>45526</v>
      </c>
    </row>
    <row r="1732" spans="1:9" ht="14.25">
      <c r="A1732" s="2" t="s">
        <v>1667</v>
      </c>
      <c r="B1732" s="3"/>
      <c r="C1732" s="288" t="s">
        <v>3180</v>
      </c>
      <c r="D1732" s="105" t="s">
        <v>2867</v>
      </c>
      <c r="E1732" s="76" t="s">
        <v>3181</v>
      </c>
      <c r="F1732" s="5" t="str">
        <f t="shared" si="27"/>
        <v>Alfa.se</v>
      </c>
      <c r="G1732" s="5" t="s">
        <v>4</v>
      </c>
      <c r="H1732" s="5" t="s">
        <v>5</v>
      </c>
      <c r="I1732" s="6">
        <v>45526</v>
      </c>
    </row>
    <row r="1733" spans="1:9" ht="13.5">
      <c r="A1733" s="2" t="s">
        <v>2205</v>
      </c>
      <c r="B1733" s="3"/>
      <c r="C1733" s="87" t="s">
        <v>3182</v>
      </c>
      <c r="D1733" s="105" t="s">
        <v>2207</v>
      </c>
      <c r="E1733" s="76" t="s">
        <v>3183</v>
      </c>
      <c r="F1733" s="5" t="str">
        <f t="shared" si="27"/>
        <v>Aaatak.se</v>
      </c>
      <c r="G1733" s="5" t="s">
        <v>4</v>
      </c>
      <c r="H1733" s="5" t="s">
        <v>5</v>
      </c>
      <c r="I1733" s="6">
        <v>45526</v>
      </c>
    </row>
    <row r="1734" spans="1:9" ht="13.5">
      <c r="A1734" s="2" t="s">
        <v>3058</v>
      </c>
      <c r="B1734" s="3"/>
      <c r="C1734" s="210" t="s">
        <v>3184</v>
      </c>
      <c r="D1734" s="138" t="s">
        <v>3063</v>
      </c>
      <c r="E1734" s="5" t="s">
        <v>3185</v>
      </c>
      <c r="F1734" s="5" t="str">
        <f t="shared" si="27"/>
        <v>rusta.se</v>
      </c>
      <c r="G1734" s="5" t="s">
        <v>4</v>
      </c>
      <c r="H1734" s="5" t="s">
        <v>5</v>
      </c>
      <c r="I1734" s="6">
        <v>45526</v>
      </c>
    </row>
    <row r="1735" spans="1:9" ht="13.5">
      <c r="A1735" s="2" t="s">
        <v>3186</v>
      </c>
      <c r="B1735" s="3"/>
      <c r="C1735" s="4" t="s">
        <v>3187</v>
      </c>
      <c r="D1735" s="4" t="s">
        <v>3188</v>
      </c>
      <c r="E1735" s="5" t="s">
        <v>3189</v>
      </c>
      <c r="F1735" s="5" t="str">
        <f t="shared" si="27"/>
        <v>myownwater.com</v>
      </c>
      <c r="G1735" s="5" t="s">
        <v>4</v>
      </c>
      <c r="H1735" s="5" t="s">
        <v>345</v>
      </c>
      <c r="I1735" s="6">
        <v>45526</v>
      </c>
    </row>
    <row r="1736" spans="1:9" ht="13.5">
      <c r="A1736" s="2" t="s">
        <v>3128</v>
      </c>
      <c r="B1736" s="3"/>
      <c r="C1736" s="105" t="s">
        <v>3161</v>
      </c>
      <c r="D1736" s="252" t="s">
        <v>3130</v>
      </c>
      <c r="E1736" s="253" t="s">
        <v>3162</v>
      </c>
      <c r="F1736" s="5" t="str">
        <f t="shared" si="27"/>
        <v>bethard.com</v>
      </c>
      <c r="G1736" s="5" t="s">
        <v>4</v>
      </c>
      <c r="H1736" s="5" t="s">
        <v>5</v>
      </c>
      <c r="I1736" s="6">
        <v>45526</v>
      </c>
    </row>
    <row r="1737" spans="1:9" ht="13.5">
      <c r="A1737" s="2" t="s">
        <v>3128</v>
      </c>
      <c r="B1737" s="3"/>
      <c r="C1737" s="105" t="s">
        <v>3163</v>
      </c>
      <c r="D1737" s="252" t="s">
        <v>3164</v>
      </c>
      <c r="E1737" s="252" t="s">
        <v>3165</v>
      </c>
      <c r="F1737" s="5" t="str">
        <f t="shared" si="27"/>
        <v>bethard.com</v>
      </c>
      <c r="G1737" s="5" t="s">
        <v>4</v>
      </c>
      <c r="H1737" s="5" t="s">
        <v>5</v>
      </c>
      <c r="I1737" s="6">
        <v>45526</v>
      </c>
    </row>
    <row r="1738" spans="1:9" ht="13.5">
      <c r="A1738" s="2" t="s">
        <v>2640</v>
      </c>
      <c r="B1738" s="3"/>
      <c r="C1738" s="5" t="s">
        <v>3170</v>
      </c>
      <c r="D1738" s="5" t="s">
        <v>3171</v>
      </c>
      <c r="E1738" s="5" t="s">
        <v>3190</v>
      </c>
      <c r="F1738" s="5" t="str">
        <f t="shared" si="27"/>
        <v>snusnetto.se</v>
      </c>
      <c r="G1738" s="5" t="s">
        <v>4</v>
      </c>
      <c r="H1738" s="5" t="s">
        <v>5</v>
      </c>
      <c r="I1738" s="6">
        <v>45526</v>
      </c>
    </row>
    <row r="1739" spans="1:9" ht="13.5">
      <c r="A1739" s="7" t="s">
        <v>1557</v>
      </c>
      <c r="B1739" s="3"/>
      <c r="C1739" s="5" t="s">
        <v>3191</v>
      </c>
      <c r="D1739" s="5" t="s">
        <v>3192</v>
      </c>
      <c r="E1739" s="5" t="s">
        <v>3193</v>
      </c>
      <c r="F1739" s="5" t="str">
        <f t="shared" si="27"/>
        <v>rörmokare.nu</v>
      </c>
      <c r="G1739" s="5" t="s">
        <v>4</v>
      </c>
      <c r="H1739" s="5" t="s">
        <v>5</v>
      </c>
      <c r="I1739" s="6">
        <v>45526</v>
      </c>
    </row>
    <row r="1740" spans="1:9" ht="14.25">
      <c r="A1740" s="2" t="s">
        <v>1318</v>
      </c>
      <c r="B1740" s="3"/>
      <c r="C1740" s="4" t="s">
        <v>3194</v>
      </c>
      <c r="D1740" s="138" t="s">
        <v>2644</v>
      </c>
      <c r="E1740" s="72" t="s">
        <v>3195</v>
      </c>
      <c r="F1740" s="5" t="str">
        <f t="shared" si="27"/>
        <v>spelklubben.se</v>
      </c>
      <c r="G1740" s="5" t="s">
        <v>4</v>
      </c>
      <c r="H1740" s="5" t="s">
        <v>5</v>
      </c>
      <c r="I1740" s="6">
        <v>45527</v>
      </c>
    </row>
    <row r="1741" spans="1:9" ht="14.25">
      <c r="A1741" s="2" t="s">
        <v>435</v>
      </c>
      <c r="B1741" s="3"/>
      <c r="C1741" s="289" t="s">
        <v>3196</v>
      </c>
      <c r="D1741" s="105" t="s">
        <v>1384</v>
      </c>
      <c r="E1741" s="76" t="s">
        <v>563</v>
      </c>
      <c r="F1741" s="5" t="str">
        <f t="shared" si="27"/>
        <v>fairinvestments.se</v>
      </c>
      <c r="G1741" s="5" t="s">
        <v>4</v>
      </c>
      <c r="H1741" s="5" t="s">
        <v>5</v>
      </c>
      <c r="I1741" s="6">
        <v>45530</v>
      </c>
    </row>
    <row r="1742" spans="1:9" ht="14.25">
      <c r="A1742" s="2" t="s">
        <v>435</v>
      </c>
      <c r="B1742" s="3"/>
      <c r="C1742" s="289" t="s">
        <v>3197</v>
      </c>
      <c r="D1742" s="105" t="s">
        <v>3198</v>
      </c>
      <c r="E1742" s="76" t="s">
        <v>839</v>
      </c>
      <c r="F1742" s="5" t="str">
        <f t="shared" si="27"/>
        <v>fairinvestments.se</v>
      </c>
      <c r="G1742" s="5" t="s">
        <v>4</v>
      </c>
      <c r="H1742" s="5" t="s">
        <v>5</v>
      </c>
      <c r="I1742" s="6">
        <v>45530</v>
      </c>
    </row>
    <row r="1743" spans="1:9" ht="26.25">
      <c r="A1743" s="2" t="s">
        <v>435</v>
      </c>
      <c r="B1743" s="3"/>
      <c r="C1743" s="289" t="s">
        <v>3199</v>
      </c>
      <c r="D1743" s="252" t="s">
        <v>561</v>
      </c>
      <c r="E1743" s="76" t="s">
        <v>839</v>
      </c>
      <c r="F1743" s="5" t="str">
        <f t="shared" si="27"/>
        <v>fairinvestments.se</v>
      </c>
      <c r="G1743" s="5" t="s">
        <v>4</v>
      </c>
      <c r="H1743" s="5" t="s">
        <v>5</v>
      </c>
      <c r="I1743" s="6">
        <v>45530</v>
      </c>
    </row>
    <row r="1744" spans="1:9" ht="14.25">
      <c r="A1744" s="2" t="s">
        <v>435</v>
      </c>
      <c r="B1744" s="3"/>
      <c r="C1744" s="289" t="s">
        <v>3200</v>
      </c>
      <c r="D1744" s="252" t="s">
        <v>517</v>
      </c>
      <c r="E1744" s="76" t="s">
        <v>3201</v>
      </c>
      <c r="F1744" s="5" t="str">
        <f t="shared" si="27"/>
        <v>fairinvestments.se</v>
      </c>
      <c r="G1744" s="5" t="s">
        <v>4</v>
      </c>
      <c r="H1744" s="5" t="s">
        <v>5</v>
      </c>
      <c r="I1744" s="6">
        <v>45530</v>
      </c>
    </row>
    <row r="1745" spans="1:9" ht="14.25">
      <c r="A1745" s="2" t="s">
        <v>846</v>
      </c>
      <c r="B1745" s="3"/>
      <c r="C1745" s="289" t="s">
        <v>3202</v>
      </c>
      <c r="D1745" s="105" t="s">
        <v>848</v>
      </c>
      <c r="E1745" s="76" t="s">
        <v>2151</v>
      </c>
      <c r="F1745" s="5" t="str">
        <f t="shared" si="27"/>
        <v>tandea.se</v>
      </c>
      <c r="G1745" s="5" t="s">
        <v>4</v>
      </c>
      <c r="H1745" s="5" t="s">
        <v>5</v>
      </c>
      <c r="I1745" s="6">
        <v>45530</v>
      </c>
    </row>
    <row r="1746" spans="1:9" ht="14.25">
      <c r="A1746" s="2" t="s">
        <v>2549</v>
      </c>
      <c r="B1746" s="3"/>
      <c r="C1746" s="289" t="s">
        <v>3203</v>
      </c>
      <c r="D1746" s="105" t="s">
        <v>3204</v>
      </c>
      <c r="E1746" s="76" t="s">
        <v>3205</v>
      </c>
      <c r="F1746" s="5" t="str">
        <f t="shared" si="27"/>
        <v>purakliniken.se</v>
      </c>
      <c r="G1746" s="5" t="s">
        <v>4</v>
      </c>
      <c r="H1746" s="5" t="s">
        <v>5</v>
      </c>
      <c r="I1746" s="6">
        <v>45530</v>
      </c>
    </row>
    <row r="1747" spans="1:9" ht="14.25">
      <c r="A1747" s="2" t="s">
        <v>2453</v>
      </c>
      <c r="B1747" s="3"/>
      <c r="C1747" s="289" t="s">
        <v>3206</v>
      </c>
      <c r="D1747" s="105" t="s">
        <v>2455</v>
      </c>
      <c r="E1747" s="76" t="s">
        <v>3207</v>
      </c>
      <c r="F1747" s="5" t="str">
        <f t="shared" si="27"/>
        <v>spolarent.se</v>
      </c>
      <c r="G1747" s="5" t="s">
        <v>4</v>
      </c>
      <c r="H1747" s="5" t="s">
        <v>5</v>
      </c>
      <c r="I1747" s="6">
        <v>45530</v>
      </c>
    </row>
    <row r="1748" spans="1:9" ht="14.25">
      <c r="A1748" s="2" t="s">
        <v>3058</v>
      </c>
      <c r="B1748" s="3"/>
      <c r="C1748" s="289" t="s">
        <v>3208</v>
      </c>
      <c r="D1748" s="252" t="s">
        <v>3060</v>
      </c>
      <c r="E1748" s="76" t="s">
        <v>3209</v>
      </c>
      <c r="F1748" s="5" t="str">
        <f t="shared" si="27"/>
        <v>rusta.se</v>
      </c>
      <c r="G1748" s="5" t="s">
        <v>4</v>
      </c>
      <c r="H1748" s="5" t="s">
        <v>5</v>
      </c>
      <c r="I1748" s="6">
        <v>45530</v>
      </c>
    </row>
    <row r="1749" spans="1:9" ht="14.25">
      <c r="A1749" s="2" t="s">
        <v>2592</v>
      </c>
      <c r="B1749" s="3"/>
      <c r="C1749" s="289" t="s">
        <v>3210</v>
      </c>
      <c r="D1749" s="105" t="s">
        <v>3211</v>
      </c>
      <c r="E1749" s="76" t="s">
        <v>3212</v>
      </c>
      <c r="F1749" s="5" t="str">
        <f t="shared" si="27"/>
        <v>everynightstudios.com</v>
      </c>
      <c r="G1749" s="5" t="s">
        <v>4</v>
      </c>
      <c r="H1749" s="5" t="s">
        <v>5</v>
      </c>
      <c r="I1749" s="6">
        <v>45530</v>
      </c>
    </row>
    <row r="1750" spans="1:9" ht="14.25">
      <c r="A1750" s="151" t="s">
        <v>714</v>
      </c>
      <c r="B1750" s="152"/>
      <c r="C1750" s="290" t="s">
        <v>3213</v>
      </c>
      <c r="D1750" s="175" t="s">
        <v>3214</v>
      </c>
      <c r="E1750" s="155" t="s">
        <v>3215</v>
      </c>
      <c r="F1750" s="5" t="str">
        <f t="shared" si="27"/>
        <v>Alfa.no</v>
      </c>
      <c r="G1750" s="154" t="s">
        <v>4</v>
      </c>
      <c r="H1750" s="154" t="s">
        <v>382</v>
      </c>
      <c r="I1750" s="177">
        <v>45530</v>
      </c>
    </row>
    <row r="1751" spans="1:9" ht="14.25">
      <c r="A1751" s="2" t="s">
        <v>3173</v>
      </c>
      <c r="B1751" s="3"/>
      <c r="C1751" s="289" t="s">
        <v>3216</v>
      </c>
      <c r="D1751" s="252" t="s">
        <v>3175</v>
      </c>
      <c r="E1751" s="76" t="s">
        <v>3217</v>
      </c>
      <c r="F1751" s="5" t="str">
        <f t="shared" si="27"/>
        <v>ekstromgaray.se</v>
      </c>
      <c r="G1751" s="5" t="s">
        <v>4</v>
      </c>
      <c r="H1751" s="5" t="s">
        <v>5</v>
      </c>
      <c r="I1751" s="6">
        <v>45530</v>
      </c>
    </row>
    <row r="1752" spans="1:9" ht="14.25">
      <c r="A1752" s="2" t="s">
        <v>3155</v>
      </c>
      <c r="B1752" s="3"/>
      <c r="C1752" s="289" t="s">
        <v>3218</v>
      </c>
      <c r="D1752" s="291" t="s">
        <v>3155</v>
      </c>
      <c r="E1752" s="76" t="s">
        <v>3219</v>
      </c>
      <c r="F1752" s="5" t="str">
        <f t="shared" si="27"/>
        <v>soartzy.com</v>
      </c>
      <c r="G1752" s="5" t="s">
        <v>4</v>
      </c>
      <c r="H1752" s="5" t="s">
        <v>5</v>
      </c>
      <c r="I1752" s="6">
        <v>45530</v>
      </c>
    </row>
    <row r="1753" spans="1:9" ht="13.5">
      <c r="A1753" s="2" t="s">
        <v>1318</v>
      </c>
      <c r="B1753" s="3"/>
      <c r="C1753" s="138" t="s">
        <v>3220</v>
      </c>
      <c r="D1753" s="252" t="s">
        <v>2644</v>
      </c>
      <c r="E1753" s="5" t="s">
        <v>2840</v>
      </c>
      <c r="F1753" s="5" t="str">
        <f t="shared" si="27"/>
        <v>spelklubben.se</v>
      </c>
      <c r="G1753" s="5" t="s">
        <v>4</v>
      </c>
      <c r="H1753" s="5" t="s">
        <v>5</v>
      </c>
      <c r="I1753" s="6">
        <v>45530</v>
      </c>
    </row>
    <row r="1754" spans="1:9" ht="13.5">
      <c r="A1754" s="2" t="s">
        <v>435</v>
      </c>
      <c r="B1754" s="3"/>
      <c r="C1754" s="210" t="s">
        <v>3221</v>
      </c>
      <c r="D1754" s="292" t="s">
        <v>1384</v>
      </c>
      <c r="E1754" s="5" t="s">
        <v>3222</v>
      </c>
      <c r="F1754" s="5" t="str">
        <f t="shared" si="27"/>
        <v>fairinvestments.se</v>
      </c>
      <c r="G1754" s="5" t="s">
        <v>4</v>
      </c>
      <c r="H1754" s="5" t="s">
        <v>5</v>
      </c>
      <c r="I1754" s="6">
        <v>45530</v>
      </c>
    </row>
    <row r="1755" spans="1:9" ht="13.5">
      <c r="A1755" s="2" t="s">
        <v>2636</v>
      </c>
      <c r="B1755" s="3"/>
      <c r="C1755" s="210" t="s">
        <v>3223</v>
      </c>
      <c r="D1755" s="138" t="s">
        <v>2702</v>
      </c>
      <c r="E1755" s="5" t="s">
        <v>3224</v>
      </c>
      <c r="F1755" s="5" t="str">
        <f t="shared" si="27"/>
        <v>kvarnx.com</v>
      </c>
      <c r="G1755" s="5" t="s">
        <v>4</v>
      </c>
      <c r="H1755" s="5" t="s">
        <v>5</v>
      </c>
      <c r="I1755" s="6">
        <v>45530</v>
      </c>
    </row>
    <row r="1756" spans="1:9" ht="13.5">
      <c r="A1756" s="2" t="s">
        <v>1318</v>
      </c>
      <c r="B1756" s="3"/>
      <c r="C1756" s="210" t="s">
        <v>3225</v>
      </c>
      <c r="D1756" s="293" t="s">
        <v>1942</v>
      </c>
      <c r="E1756" s="213" t="s">
        <v>3035</v>
      </c>
      <c r="F1756" s="5" t="str">
        <f t="shared" si="27"/>
        <v>spelklubben.se</v>
      </c>
      <c r="G1756" s="5" t="s">
        <v>4</v>
      </c>
      <c r="H1756" s="5" t="s">
        <v>5</v>
      </c>
      <c r="I1756" s="6">
        <v>45530</v>
      </c>
    </row>
    <row r="1757" spans="1:9" ht="14.65">
      <c r="A1757" s="2" t="s">
        <v>2836</v>
      </c>
      <c r="B1757" s="3"/>
      <c r="C1757" s="294" t="s">
        <v>3226</v>
      </c>
      <c r="D1757" s="293" t="s">
        <v>3227</v>
      </c>
      <c r="E1757" s="240" t="s">
        <v>3228</v>
      </c>
      <c r="F1757" s="5" t="str">
        <f t="shared" si="27"/>
        <v>cherry.com</v>
      </c>
      <c r="G1757" s="5" t="s">
        <v>4</v>
      </c>
      <c r="H1757" s="5" t="s">
        <v>5</v>
      </c>
      <c r="I1757" s="6">
        <v>45530</v>
      </c>
    </row>
    <row r="1758" spans="1:9" ht="14.25">
      <c r="A1758" s="2" t="s">
        <v>1318</v>
      </c>
      <c r="B1758" s="3"/>
      <c r="C1758" s="4" t="s">
        <v>3229</v>
      </c>
      <c r="D1758" s="138" t="s">
        <v>1942</v>
      </c>
      <c r="E1758" s="72" t="s">
        <v>3230</v>
      </c>
      <c r="F1758" s="5" t="str">
        <f t="shared" si="27"/>
        <v>spelklubben.se</v>
      </c>
      <c r="G1758" s="5" t="s">
        <v>4</v>
      </c>
      <c r="H1758" s="5" t="s">
        <v>5</v>
      </c>
      <c r="I1758" s="6">
        <v>45530</v>
      </c>
    </row>
    <row r="1759" spans="1:9" ht="14.25">
      <c r="A1759" s="2" t="s">
        <v>2640</v>
      </c>
      <c r="B1759" s="3"/>
      <c r="C1759" s="295" t="s">
        <v>3231</v>
      </c>
      <c r="D1759" s="4" t="s">
        <v>3232</v>
      </c>
      <c r="E1759" s="221" t="s">
        <v>3233</v>
      </c>
      <c r="F1759" s="5" t="str">
        <f t="shared" si="27"/>
        <v>snusnetto.se</v>
      </c>
      <c r="G1759" s="5" t="s">
        <v>4</v>
      </c>
      <c r="H1759" s="5" t="s">
        <v>5</v>
      </c>
      <c r="I1759" s="6">
        <v>45530</v>
      </c>
    </row>
    <row r="1760" spans="1:9" ht="13.5">
      <c r="A1760" s="2" t="s">
        <v>2240</v>
      </c>
      <c r="B1760" s="3"/>
      <c r="C1760" s="4" t="s">
        <v>3234</v>
      </c>
      <c r="D1760" s="4" t="s">
        <v>2242</v>
      </c>
      <c r="E1760" s="72" t="s">
        <v>2410</v>
      </c>
      <c r="F1760" s="5" t="str">
        <f t="shared" si="27"/>
        <v>mrnicco.com</v>
      </c>
      <c r="G1760" s="5" t="s">
        <v>4</v>
      </c>
      <c r="H1760" s="5" t="s">
        <v>2243</v>
      </c>
      <c r="I1760" s="6">
        <v>45530</v>
      </c>
    </row>
    <row r="1761" spans="1:9" ht="13.5">
      <c r="A1761" s="2" t="s">
        <v>2640</v>
      </c>
      <c r="B1761" s="3"/>
      <c r="C1761" s="5" t="s">
        <v>3235</v>
      </c>
      <c r="D1761" s="5" t="s">
        <v>3232</v>
      </c>
      <c r="E1761" s="5" t="s">
        <v>3233</v>
      </c>
      <c r="F1761" s="5" t="str">
        <f t="shared" si="27"/>
        <v>snusnetto.se</v>
      </c>
      <c r="G1761" s="5" t="s">
        <v>4</v>
      </c>
      <c r="H1761" s="5" t="s">
        <v>5</v>
      </c>
      <c r="I1761" s="6">
        <v>45530</v>
      </c>
    </row>
    <row r="1762" spans="1:9" ht="13.5">
      <c r="A1762" s="2" t="s">
        <v>2636</v>
      </c>
      <c r="B1762" s="3"/>
      <c r="C1762" s="5" t="s">
        <v>3223</v>
      </c>
      <c r="D1762" s="5" t="s">
        <v>2702</v>
      </c>
      <c r="E1762" s="5" t="s">
        <v>3224</v>
      </c>
      <c r="F1762" s="5" t="str">
        <f t="shared" si="27"/>
        <v>kvarnx.com</v>
      </c>
      <c r="G1762" s="5" t="s">
        <v>4</v>
      </c>
      <c r="H1762" s="5" t="s">
        <v>5</v>
      </c>
      <c r="I1762" s="6">
        <v>45530</v>
      </c>
    </row>
    <row r="1763" spans="1:9" ht="13.5">
      <c r="A1763" s="2" t="s">
        <v>1466</v>
      </c>
      <c r="B1763" s="3"/>
      <c r="C1763" s="5" t="s">
        <v>3236</v>
      </c>
      <c r="D1763" s="5" t="s">
        <v>3237</v>
      </c>
      <c r="E1763" s="5" t="s">
        <v>3151</v>
      </c>
      <c r="F1763" s="5" t="str">
        <f t="shared" si="27"/>
        <v>svenskaeljouren.se</v>
      </c>
      <c r="G1763" s="5" t="s">
        <v>4</v>
      </c>
      <c r="H1763" s="5" t="s">
        <v>5</v>
      </c>
      <c r="I1763" s="6">
        <v>45530</v>
      </c>
    </row>
    <row r="1764" spans="1:9" ht="13.5">
      <c r="A1764" s="7" t="s">
        <v>1559</v>
      </c>
      <c r="B1764" s="3"/>
      <c r="C1764" s="5" t="s">
        <v>3238</v>
      </c>
      <c r="D1764" s="5" t="s">
        <v>1561</v>
      </c>
      <c r="E1764" s="5" t="s">
        <v>3239</v>
      </c>
      <c r="F1764" s="5" t="str">
        <f t="shared" si="27"/>
        <v>rorjour247.se</v>
      </c>
      <c r="G1764" s="5" t="s">
        <v>4</v>
      </c>
      <c r="H1764" s="5" t="s">
        <v>5</v>
      </c>
      <c r="I1764" s="6">
        <v>45530</v>
      </c>
    </row>
    <row r="1765" spans="1:9" ht="14.25">
      <c r="A1765" s="7" t="s">
        <v>386</v>
      </c>
      <c r="B1765" s="3"/>
      <c r="C1765" s="138" t="s">
        <v>3240</v>
      </c>
      <c r="D1765" s="4" t="s">
        <v>452</v>
      </c>
      <c r="E1765" s="5" t="s">
        <v>879</v>
      </c>
      <c r="F1765" s="5" t="str">
        <f t="shared" si="27"/>
        <v>pontech</v>
      </c>
      <c r="G1765" s="5" t="s">
        <v>4</v>
      </c>
      <c r="H1765" s="5" t="s">
        <v>5</v>
      </c>
      <c r="I1765" s="6">
        <v>45532</v>
      </c>
    </row>
    <row r="1766" spans="1:9" ht="14.25">
      <c r="A1766" s="2" t="s">
        <v>1342</v>
      </c>
      <c r="B1766" s="3"/>
      <c r="C1766" s="138" t="s">
        <v>3241</v>
      </c>
      <c r="D1766" s="4" t="s">
        <v>1001</v>
      </c>
      <c r="E1766" s="5" t="s">
        <v>3242</v>
      </c>
      <c r="F1766" s="5" t="str">
        <f t="shared" si="27"/>
        <v>pontonhamnar.se</v>
      </c>
      <c r="G1766" s="5" t="s">
        <v>4</v>
      </c>
      <c r="H1766" s="5" t="s">
        <v>5</v>
      </c>
      <c r="I1766" s="6">
        <v>45532</v>
      </c>
    </row>
    <row r="1767" spans="1:9" ht="13.5">
      <c r="A1767" s="2" t="s">
        <v>2640</v>
      </c>
      <c r="B1767" s="3"/>
      <c r="C1767" s="8" t="s">
        <v>3243</v>
      </c>
      <c r="D1767" s="4" t="s">
        <v>2714</v>
      </c>
      <c r="E1767" s="5" t="s">
        <v>3244</v>
      </c>
      <c r="F1767" s="5" t="str">
        <f t="shared" si="27"/>
        <v>snusnetto.se</v>
      </c>
      <c r="G1767" s="5" t="s">
        <v>4</v>
      </c>
      <c r="H1767" s="5" t="s">
        <v>5</v>
      </c>
      <c r="I1767" s="6">
        <v>45532</v>
      </c>
    </row>
    <row r="1768" spans="1:9" ht="13.5">
      <c r="A1768" s="2" t="s">
        <v>1318</v>
      </c>
      <c r="B1768" s="3"/>
      <c r="C1768" s="4" t="s">
        <v>3245</v>
      </c>
      <c r="D1768" s="4" t="s">
        <v>1870</v>
      </c>
      <c r="E1768" s="5" t="s">
        <v>2165</v>
      </c>
      <c r="F1768" s="5" t="str">
        <f t="shared" si="27"/>
        <v>spelklubben.se</v>
      </c>
      <c r="G1768" s="5" t="s">
        <v>4</v>
      </c>
      <c r="H1768" s="5" t="s">
        <v>5</v>
      </c>
      <c r="I1768" s="6">
        <v>45532</v>
      </c>
    </row>
    <row r="1769" spans="1:9" ht="13.5">
      <c r="A1769" s="2" t="s">
        <v>2836</v>
      </c>
      <c r="B1769" s="3"/>
      <c r="C1769" s="4" t="s">
        <v>3246</v>
      </c>
      <c r="D1769" s="4" t="s">
        <v>2838</v>
      </c>
      <c r="E1769" s="5" t="s">
        <v>1876</v>
      </c>
      <c r="F1769" s="5" t="str">
        <f t="shared" si="27"/>
        <v>cherry.com</v>
      </c>
      <c r="G1769" s="5" t="s">
        <v>4</v>
      </c>
      <c r="H1769" s="5" t="s">
        <v>5</v>
      </c>
      <c r="I1769" s="6">
        <v>45532</v>
      </c>
    </row>
    <row r="1770" spans="1:9" ht="13.5">
      <c r="A1770" s="2" t="s">
        <v>2937</v>
      </c>
      <c r="B1770" s="3"/>
      <c r="C1770" s="5" t="s">
        <v>3247</v>
      </c>
      <c r="D1770" s="4" t="s">
        <v>2986</v>
      </c>
      <c r="E1770" s="5" t="s">
        <v>2940</v>
      </c>
      <c r="F1770" s="5" t="str">
        <f t="shared" si="27"/>
        <v>hampabonden.se</v>
      </c>
      <c r="G1770" s="5" t="s">
        <v>4</v>
      </c>
      <c r="H1770" s="5" t="s">
        <v>5</v>
      </c>
      <c r="I1770" s="6">
        <v>45532</v>
      </c>
    </row>
    <row r="1771" spans="1:9" ht="13.5">
      <c r="A1771" s="2" t="s">
        <v>2640</v>
      </c>
      <c r="B1771" s="3"/>
      <c r="C1771" s="5" t="s">
        <v>3243</v>
      </c>
      <c r="D1771" s="5" t="s">
        <v>2714</v>
      </c>
      <c r="E1771" s="5" t="s">
        <v>3244</v>
      </c>
      <c r="F1771" s="5" t="str">
        <f t="shared" si="27"/>
        <v>snusnetto.se</v>
      </c>
      <c r="G1771" s="5" t="s">
        <v>4</v>
      </c>
      <c r="H1771" s="5" t="s">
        <v>5</v>
      </c>
      <c r="I1771" s="6">
        <v>45532</v>
      </c>
    </row>
    <row r="1772" spans="1:9" ht="13.5">
      <c r="A1772" s="2" t="s">
        <v>3128</v>
      </c>
      <c r="B1772" s="3"/>
      <c r="C1772" s="4" t="s">
        <v>3248</v>
      </c>
      <c r="D1772" s="4" t="s">
        <v>3249</v>
      </c>
      <c r="E1772" s="5" t="s">
        <v>3250</v>
      </c>
      <c r="F1772" s="5" t="str">
        <f t="shared" si="27"/>
        <v>bethard.com</v>
      </c>
      <c r="G1772" s="5" t="s">
        <v>4</v>
      </c>
      <c r="H1772" s="5" t="s">
        <v>5</v>
      </c>
      <c r="I1772" s="6">
        <v>45537</v>
      </c>
    </row>
    <row r="1773" spans="1:9" ht="13.5">
      <c r="A1773" s="2" t="s">
        <v>2205</v>
      </c>
      <c r="B1773" s="3"/>
      <c r="C1773" s="105" t="s">
        <v>3251</v>
      </c>
      <c r="D1773" s="87" t="s">
        <v>2207</v>
      </c>
      <c r="E1773" s="253" t="s">
        <v>3252</v>
      </c>
      <c r="F1773" s="5" t="str">
        <f t="shared" si="27"/>
        <v>Aaatak.se</v>
      </c>
      <c r="G1773" s="5" t="s">
        <v>4</v>
      </c>
      <c r="H1773" s="5" t="s">
        <v>5</v>
      </c>
      <c r="I1773" s="6">
        <v>45537</v>
      </c>
    </row>
    <row r="1774" spans="1:9" ht="13.5">
      <c r="A1774" s="2" t="s">
        <v>2205</v>
      </c>
      <c r="B1774" s="3"/>
      <c r="C1774" s="105" t="s">
        <v>3253</v>
      </c>
      <c r="D1774" s="87" t="s">
        <v>2207</v>
      </c>
      <c r="E1774" s="253" t="s">
        <v>2325</v>
      </c>
      <c r="F1774" s="5" t="str">
        <f t="shared" si="27"/>
        <v>Aaatak.se</v>
      </c>
      <c r="G1774" s="5" t="s">
        <v>4</v>
      </c>
      <c r="H1774" s="5" t="s">
        <v>5</v>
      </c>
      <c r="I1774" s="6">
        <v>45537</v>
      </c>
    </row>
    <row r="1775" spans="1:9" ht="13.5">
      <c r="A1775" s="2" t="s">
        <v>171</v>
      </c>
      <c r="B1775" s="3"/>
      <c r="C1775" s="174" t="s">
        <v>3254</v>
      </c>
      <c r="D1775" s="87" t="s">
        <v>1095</v>
      </c>
      <c r="E1775" s="253" t="s">
        <v>1533</v>
      </c>
      <c r="F1775" s="5" t="str">
        <f t="shared" si="27"/>
        <v>arctic.se</v>
      </c>
      <c r="G1775" s="5" t="s">
        <v>4</v>
      </c>
      <c r="H1775" s="5" t="s">
        <v>5</v>
      </c>
      <c r="I1775" s="6">
        <v>45537</v>
      </c>
    </row>
    <row r="1776" spans="1:9" ht="13.5">
      <c r="A1776" s="2" t="s">
        <v>723</v>
      </c>
      <c r="B1776" s="3"/>
      <c r="C1776" s="105" t="s">
        <v>3255</v>
      </c>
      <c r="D1776" s="87" t="s">
        <v>2138</v>
      </c>
      <c r="E1776" s="252" t="s">
        <v>723</v>
      </c>
      <c r="F1776" s="5" t="str">
        <f t="shared" si="27"/>
        <v>aretrotale.com</v>
      </c>
      <c r="G1776" s="5" t="s">
        <v>4</v>
      </c>
      <c r="H1776" s="5" t="s">
        <v>23</v>
      </c>
      <c r="I1776" s="6">
        <v>45537</v>
      </c>
    </row>
    <row r="1777" spans="1:9" ht="13.5">
      <c r="A1777" s="2" t="s">
        <v>723</v>
      </c>
      <c r="B1777" s="3"/>
      <c r="C1777" s="105" t="s">
        <v>3256</v>
      </c>
      <c r="D1777" s="87" t="s">
        <v>2138</v>
      </c>
      <c r="E1777" s="253" t="s">
        <v>3257</v>
      </c>
      <c r="F1777" s="5" t="str">
        <f t="shared" si="27"/>
        <v>aretrotale.com</v>
      </c>
      <c r="G1777" s="5" t="s">
        <v>4</v>
      </c>
      <c r="H1777" s="5" t="s">
        <v>23</v>
      </c>
      <c r="I1777" s="6">
        <v>45537</v>
      </c>
    </row>
    <row r="1778" spans="1:9" ht="13.5">
      <c r="A1778" s="2" t="s">
        <v>1180</v>
      </c>
      <c r="B1778" s="3"/>
      <c r="C1778" s="174" t="s">
        <v>3258</v>
      </c>
      <c r="D1778" s="105" t="s">
        <v>1193</v>
      </c>
      <c r="E1778" s="253" t="s">
        <v>3259</v>
      </c>
      <c r="F1778" s="5" t="str">
        <f t="shared" si="27"/>
        <v>e-ciggbolaget.se</v>
      </c>
      <c r="G1778" s="5" t="s">
        <v>4</v>
      </c>
      <c r="H1778" s="5" t="s">
        <v>5</v>
      </c>
      <c r="I1778" s="6">
        <v>45537</v>
      </c>
    </row>
    <row r="1779" spans="1:9" ht="14.25">
      <c r="A1779" s="2" t="s">
        <v>3260</v>
      </c>
      <c r="B1779" s="3"/>
      <c r="C1779" s="105" t="s">
        <v>3261</v>
      </c>
      <c r="D1779" s="87" t="s">
        <v>3262</v>
      </c>
      <c r="E1779" s="272" t="s">
        <v>3263</v>
      </c>
      <c r="F1779" s="5" t="str">
        <f t="shared" si="27"/>
        <v>hbel.se</v>
      </c>
      <c r="G1779" s="5" t="s">
        <v>4</v>
      </c>
      <c r="H1779" s="5" t="s">
        <v>5</v>
      </c>
      <c r="I1779" s="6">
        <v>45537</v>
      </c>
    </row>
    <row r="1780" spans="1:9" ht="13.5">
      <c r="A1780" s="2" t="s">
        <v>992</v>
      </c>
      <c r="B1780" s="3"/>
      <c r="C1780" s="105" t="s">
        <v>3264</v>
      </c>
      <c r="D1780" s="267" t="s">
        <v>1392</v>
      </c>
      <c r="E1780" s="253" t="s">
        <v>3265</v>
      </c>
      <c r="F1780" s="5" t="str">
        <f t="shared" si="27"/>
        <v>ledkungen.se</v>
      </c>
      <c r="G1780" s="5" t="s">
        <v>4</v>
      </c>
      <c r="H1780" s="5" t="s">
        <v>5</v>
      </c>
      <c r="I1780" s="6">
        <v>45537</v>
      </c>
    </row>
    <row r="1781" spans="1:9" ht="26.25">
      <c r="A1781" s="2" t="s">
        <v>765</v>
      </c>
      <c r="B1781" s="3"/>
      <c r="C1781" s="105" t="s">
        <v>3266</v>
      </c>
      <c r="D1781" s="87" t="s">
        <v>1136</v>
      </c>
      <c r="E1781" s="253" t="s">
        <v>3267</v>
      </c>
      <c r="F1781" s="5" t="str">
        <f t="shared" si="27"/>
        <v>lemontree.se</v>
      </c>
      <c r="G1781" s="5" t="s">
        <v>4</v>
      </c>
      <c r="H1781" s="5" t="s">
        <v>5</v>
      </c>
      <c r="I1781" s="6">
        <v>45537</v>
      </c>
    </row>
    <row r="1782" spans="1:9" ht="13.5">
      <c r="A1782" s="7" t="s">
        <v>67</v>
      </c>
      <c r="B1782" s="3"/>
      <c r="C1782" s="174" t="s">
        <v>3268</v>
      </c>
      <c r="D1782" s="296" t="s">
        <v>2622</v>
      </c>
      <c r="E1782" s="253" t="s">
        <v>3269</v>
      </c>
      <c r="F1782" s="5" t="str">
        <f t="shared" si="27"/>
        <v>nem.health</v>
      </c>
      <c r="G1782" s="5" t="s">
        <v>4</v>
      </c>
      <c r="H1782" s="5" t="s">
        <v>5</v>
      </c>
      <c r="I1782" s="6">
        <v>45537</v>
      </c>
    </row>
    <row r="1783" spans="1:9" ht="13.5">
      <c r="A1783" s="2" t="s">
        <v>2244</v>
      </c>
      <c r="B1783" s="3"/>
      <c r="C1783" s="174" t="s">
        <v>3270</v>
      </c>
      <c r="D1783" s="178" t="s">
        <v>2246</v>
      </c>
      <c r="E1783" s="253" t="s">
        <v>2247</v>
      </c>
      <c r="F1783" s="5" t="str">
        <f t="shared" si="27"/>
        <v>restate.se</v>
      </c>
      <c r="G1783" s="5" t="s">
        <v>4</v>
      </c>
      <c r="H1783" s="5" t="s">
        <v>5</v>
      </c>
      <c r="I1783" s="6">
        <v>45537</v>
      </c>
    </row>
    <row r="1784" spans="1:9" ht="13.5">
      <c r="A1784" s="2" t="s">
        <v>2352</v>
      </c>
      <c r="B1784" s="3"/>
      <c r="C1784" s="105" t="s">
        <v>3271</v>
      </c>
      <c r="D1784" s="105" t="s">
        <v>2634</v>
      </c>
      <c r="E1784" s="253" t="s">
        <v>3272</v>
      </c>
      <c r="F1784" s="5" t="str">
        <f t="shared" si="27"/>
        <v>seniorrabatt.se</v>
      </c>
      <c r="G1784" s="5" t="s">
        <v>4</v>
      </c>
      <c r="H1784" s="5" t="s">
        <v>5</v>
      </c>
      <c r="I1784" s="6">
        <v>45537</v>
      </c>
    </row>
    <row r="1785" spans="1:9" ht="13.5">
      <c r="A1785" s="2" t="s">
        <v>325</v>
      </c>
      <c r="B1785" s="3"/>
      <c r="C1785" s="105" t="s">
        <v>3273</v>
      </c>
      <c r="D1785" s="87" t="s">
        <v>1244</v>
      </c>
      <c r="E1785" s="253" t="s">
        <v>3274</v>
      </c>
      <c r="F1785" s="5" t="str">
        <f t="shared" si="27"/>
        <v>tiotak.se</v>
      </c>
      <c r="G1785" s="5" t="s">
        <v>4</v>
      </c>
      <c r="H1785" s="5" t="s">
        <v>5</v>
      </c>
      <c r="I1785" s="6">
        <v>45537</v>
      </c>
    </row>
    <row r="1786" spans="1:9" ht="13.5">
      <c r="A1786" s="2" t="s">
        <v>325</v>
      </c>
      <c r="B1786" s="3"/>
      <c r="C1786" s="105" t="s">
        <v>3275</v>
      </c>
      <c r="D1786" s="87" t="s">
        <v>873</v>
      </c>
      <c r="E1786" s="253" t="s">
        <v>3276</v>
      </c>
      <c r="F1786" s="5" t="str">
        <f t="shared" si="27"/>
        <v>tiotak.se</v>
      </c>
      <c r="G1786" s="5" t="s">
        <v>4</v>
      </c>
      <c r="H1786" s="5" t="s">
        <v>5</v>
      </c>
      <c r="I1786" s="6">
        <v>45537</v>
      </c>
    </row>
    <row r="1787" spans="1:9" ht="13.5">
      <c r="A1787" s="2" t="s">
        <v>803</v>
      </c>
      <c r="B1787" s="3"/>
      <c r="C1787" s="174" t="s">
        <v>3277</v>
      </c>
      <c r="D1787" s="105" t="s">
        <v>2599</v>
      </c>
      <c r="E1787" s="253" t="s">
        <v>3278</v>
      </c>
      <c r="F1787" s="5" t="str">
        <f t="shared" si="27"/>
        <v>foyen.se</v>
      </c>
      <c r="G1787" s="5" t="s">
        <v>4</v>
      </c>
      <c r="H1787" s="5" t="s">
        <v>5</v>
      </c>
      <c r="I1787" s="6">
        <v>45537</v>
      </c>
    </row>
    <row r="1788" spans="1:9" ht="13.5">
      <c r="A1788" s="2" t="s">
        <v>308</v>
      </c>
      <c r="B1788" s="3"/>
      <c r="C1788" s="105" t="s">
        <v>3279</v>
      </c>
      <c r="D1788" s="87" t="s">
        <v>1395</v>
      </c>
      <c r="E1788" s="253" t="s">
        <v>3280</v>
      </c>
      <c r="F1788" s="5" t="str">
        <f t="shared" si="27"/>
        <v>lansfast.se</v>
      </c>
      <c r="G1788" s="5" t="s">
        <v>4</v>
      </c>
      <c r="H1788" s="5" t="s">
        <v>5</v>
      </c>
      <c r="I1788" s="6">
        <v>45537</v>
      </c>
    </row>
    <row r="1789" spans="1:9" ht="13.5">
      <c r="A1789" s="7" t="s">
        <v>1324</v>
      </c>
      <c r="B1789" s="3"/>
      <c r="C1789" s="105" t="s">
        <v>3281</v>
      </c>
      <c r="D1789" s="87" t="s">
        <v>1309</v>
      </c>
      <c r="E1789" s="253" t="s">
        <v>3282</v>
      </c>
      <c r="F1789" s="5" t="str">
        <f t="shared" si="27"/>
        <v>Lansfast Danderyd &amp; täby</v>
      </c>
      <c r="G1789" s="5" t="s">
        <v>4</v>
      </c>
      <c r="H1789" s="5" t="s">
        <v>5</v>
      </c>
      <c r="I1789" s="6">
        <v>45537</v>
      </c>
    </row>
    <row r="1790" spans="1:9" ht="13.5">
      <c r="A1790" s="7" t="s">
        <v>1324</v>
      </c>
      <c r="B1790" s="3"/>
      <c r="C1790" s="105" t="s">
        <v>3283</v>
      </c>
      <c r="D1790" s="87" t="s">
        <v>1309</v>
      </c>
      <c r="E1790" s="253" t="s">
        <v>3284</v>
      </c>
      <c r="F1790" s="5" t="str">
        <f t="shared" si="27"/>
        <v>Lansfast Danderyd &amp; täby</v>
      </c>
      <c r="G1790" s="5" t="s">
        <v>4</v>
      </c>
      <c r="H1790" s="5" t="s">
        <v>5</v>
      </c>
      <c r="I1790" s="6">
        <v>45537</v>
      </c>
    </row>
    <row r="1791" spans="1:9" ht="26.25">
      <c r="A1791" s="2" t="s">
        <v>2549</v>
      </c>
      <c r="B1791" s="3"/>
      <c r="C1791" s="174" t="s">
        <v>3285</v>
      </c>
      <c r="D1791" s="174" t="s">
        <v>3286</v>
      </c>
      <c r="E1791" s="253" t="s">
        <v>3287</v>
      </c>
      <c r="F1791" s="5" t="str">
        <f t="shared" si="27"/>
        <v>purakliniken.se</v>
      </c>
      <c r="G1791" s="5" t="s">
        <v>4</v>
      </c>
      <c r="H1791" s="5" t="s">
        <v>5</v>
      </c>
      <c r="I1791" s="6">
        <v>45537</v>
      </c>
    </row>
    <row r="1792" spans="1:9" ht="14.25">
      <c r="A1792" s="2" t="s">
        <v>2127</v>
      </c>
      <c r="B1792" s="3"/>
      <c r="C1792" s="174" t="s">
        <v>3288</v>
      </c>
      <c r="D1792" s="197" t="s">
        <v>2129</v>
      </c>
      <c r="E1792" s="253" t="s">
        <v>2664</v>
      </c>
      <c r="F1792" s="5" t="str">
        <f t="shared" si="27"/>
        <v>startmotor.se</v>
      </c>
      <c r="G1792" s="5" t="s">
        <v>4</v>
      </c>
      <c r="H1792" s="5" t="s">
        <v>5</v>
      </c>
      <c r="I1792" s="6">
        <v>45537</v>
      </c>
    </row>
    <row r="1793" spans="1:9" ht="13.5">
      <c r="A1793" s="2" t="s">
        <v>846</v>
      </c>
      <c r="B1793" s="3"/>
      <c r="C1793" s="105" t="s">
        <v>3289</v>
      </c>
      <c r="D1793" s="87" t="s">
        <v>848</v>
      </c>
      <c r="E1793" s="253" t="s">
        <v>1039</v>
      </c>
      <c r="F1793" s="5" t="str">
        <f t="shared" si="27"/>
        <v>tandea.se</v>
      </c>
      <c r="G1793" s="5" t="s">
        <v>4</v>
      </c>
      <c r="H1793" s="5" t="s">
        <v>5</v>
      </c>
      <c r="I1793" s="6">
        <v>45537</v>
      </c>
    </row>
    <row r="1794" spans="1:9" ht="26.25">
      <c r="A1794" s="2" t="s">
        <v>846</v>
      </c>
      <c r="B1794" s="3"/>
      <c r="C1794" s="105" t="s">
        <v>3290</v>
      </c>
      <c r="D1794" s="87" t="s">
        <v>848</v>
      </c>
      <c r="E1794" s="253" t="s">
        <v>3291</v>
      </c>
      <c r="F1794" s="5" t="str">
        <f t="shared" si="27"/>
        <v>tandea.se</v>
      </c>
      <c r="G1794" s="5" t="s">
        <v>4</v>
      </c>
      <c r="H1794" s="5" t="s">
        <v>5</v>
      </c>
      <c r="I1794" s="6">
        <v>45537</v>
      </c>
    </row>
    <row r="1795" spans="1:9" ht="13.5">
      <c r="A1795" s="2" t="s">
        <v>846</v>
      </c>
      <c r="B1795" s="3"/>
      <c r="C1795" s="105" t="s">
        <v>3292</v>
      </c>
      <c r="D1795" s="87" t="s">
        <v>848</v>
      </c>
      <c r="E1795" s="253" t="s">
        <v>3293</v>
      </c>
      <c r="F1795" s="5" t="str">
        <f t="shared" ref="F1795:F1858" si="28">A1795</f>
        <v>tandea.se</v>
      </c>
      <c r="G1795" s="5" t="s">
        <v>4</v>
      </c>
      <c r="H1795" s="5" t="s">
        <v>5</v>
      </c>
      <c r="I1795" s="6">
        <v>45537</v>
      </c>
    </row>
    <row r="1796" spans="1:9" ht="13.5">
      <c r="A1796" s="7" t="s">
        <v>329</v>
      </c>
      <c r="B1796" s="3"/>
      <c r="C1796" s="105" t="s">
        <v>3294</v>
      </c>
      <c r="D1796" s="87" t="s">
        <v>2399</v>
      </c>
      <c r="E1796" s="253" t="s">
        <v>3295</v>
      </c>
      <c r="F1796" s="5" t="str">
        <f t="shared" si="28"/>
        <v>vont</v>
      </c>
      <c r="G1796" s="5" t="s">
        <v>4</v>
      </c>
      <c r="H1796" s="5" t="s">
        <v>5</v>
      </c>
      <c r="I1796" s="6">
        <v>45537</v>
      </c>
    </row>
    <row r="1797" spans="1:9" ht="13.5">
      <c r="A1797" s="7" t="s">
        <v>329</v>
      </c>
      <c r="B1797" s="3"/>
      <c r="C1797" s="105" t="s">
        <v>3296</v>
      </c>
      <c r="D1797" s="87" t="s">
        <v>2450</v>
      </c>
      <c r="E1797" s="253" t="s">
        <v>3297</v>
      </c>
      <c r="F1797" s="5" t="str">
        <f t="shared" si="28"/>
        <v>vont</v>
      </c>
      <c r="G1797" s="5" t="s">
        <v>4</v>
      </c>
      <c r="H1797" s="5" t="s">
        <v>5</v>
      </c>
      <c r="I1797" s="6">
        <v>45537</v>
      </c>
    </row>
    <row r="1798" spans="1:9" ht="13.5">
      <c r="A1798" s="2" t="s">
        <v>1213</v>
      </c>
      <c r="B1798" s="3"/>
      <c r="C1798" s="174" t="s">
        <v>3298</v>
      </c>
      <c r="D1798" s="4" t="s">
        <v>1215</v>
      </c>
      <c r="E1798" s="253" t="s">
        <v>1216</v>
      </c>
      <c r="F1798" s="5" t="str">
        <f t="shared" si="28"/>
        <v>mariatand.se</v>
      </c>
      <c r="G1798" s="5" t="s">
        <v>4</v>
      </c>
      <c r="H1798" s="5" t="s">
        <v>5</v>
      </c>
      <c r="I1798" s="6">
        <v>45537</v>
      </c>
    </row>
    <row r="1799" spans="1:9" ht="13.5">
      <c r="A1799" s="2" t="s">
        <v>3299</v>
      </c>
      <c r="B1799" s="3"/>
      <c r="C1799" s="71" t="s">
        <v>3300</v>
      </c>
      <c r="D1799" s="4" t="s">
        <v>3301</v>
      </c>
      <c r="E1799" s="5" t="s">
        <v>3302</v>
      </c>
      <c r="F1799" s="5" t="str">
        <f t="shared" si="28"/>
        <v>nodepositbonus.cc</v>
      </c>
      <c r="G1799" s="5" t="s">
        <v>4</v>
      </c>
      <c r="H1799" s="5" t="s">
        <v>345</v>
      </c>
      <c r="I1799" s="6">
        <v>45537</v>
      </c>
    </row>
    <row r="1800" spans="1:9" ht="13.5">
      <c r="A1800" s="2" t="s">
        <v>3299</v>
      </c>
      <c r="B1800" s="3"/>
      <c r="C1800" s="71" t="s">
        <v>3303</v>
      </c>
      <c r="D1800" s="4" t="s">
        <v>3301</v>
      </c>
      <c r="E1800" s="5" t="s">
        <v>3304</v>
      </c>
      <c r="F1800" s="5" t="str">
        <f t="shared" si="28"/>
        <v>nodepositbonus.cc</v>
      </c>
      <c r="G1800" s="5" t="s">
        <v>4</v>
      </c>
      <c r="H1800" s="5" t="s">
        <v>345</v>
      </c>
      <c r="I1800" s="6">
        <v>45537</v>
      </c>
    </row>
    <row r="1801" spans="1:9" ht="13.5">
      <c r="A1801" s="2" t="s">
        <v>171</v>
      </c>
      <c r="B1801" s="3"/>
      <c r="C1801" s="4" t="s">
        <v>3305</v>
      </c>
      <c r="D1801" s="4" t="s">
        <v>1708</v>
      </c>
      <c r="E1801" s="5" t="s">
        <v>1505</v>
      </c>
      <c r="F1801" s="5" t="str">
        <f t="shared" si="28"/>
        <v>arctic.se</v>
      </c>
      <c r="G1801" s="5" t="s">
        <v>34</v>
      </c>
      <c r="H1801" s="5" t="s">
        <v>262</v>
      </c>
      <c r="I1801" s="6">
        <v>45537</v>
      </c>
    </row>
    <row r="1802" spans="1:9" ht="13.5">
      <c r="A1802" s="2" t="s">
        <v>171</v>
      </c>
      <c r="B1802" s="3"/>
      <c r="C1802" s="4" t="s">
        <v>3306</v>
      </c>
      <c r="D1802" s="4" t="s">
        <v>1095</v>
      </c>
      <c r="E1802" s="5" t="s">
        <v>1533</v>
      </c>
      <c r="F1802" s="5" t="str">
        <f t="shared" si="28"/>
        <v>arctic.se</v>
      </c>
      <c r="G1802" s="5" t="s">
        <v>34</v>
      </c>
      <c r="H1802" s="5" t="s">
        <v>262</v>
      </c>
      <c r="I1802" s="6">
        <v>45537</v>
      </c>
    </row>
    <row r="1803" spans="1:9" ht="13.5">
      <c r="A1803" s="2" t="s">
        <v>100</v>
      </c>
      <c r="B1803" s="3"/>
      <c r="C1803" s="4" t="s">
        <v>3307</v>
      </c>
      <c r="D1803" s="4" t="s">
        <v>1252</v>
      </c>
      <c r="E1803" s="5" t="s">
        <v>3308</v>
      </c>
      <c r="F1803" s="5" t="str">
        <f t="shared" si="28"/>
        <v>bigbenstandup.com</v>
      </c>
      <c r="G1803" s="5" t="s">
        <v>34</v>
      </c>
      <c r="H1803" s="5" t="s">
        <v>5</v>
      </c>
      <c r="I1803" s="6">
        <v>45537</v>
      </c>
    </row>
    <row r="1804" spans="1:9" ht="13.5">
      <c r="A1804" s="2" t="s">
        <v>1180</v>
      </c>
      <c r="B1804" s="3"/>
      <c r="C1804" s="4" t="s">
        <v>3309</v>
      </c>
      <c r="D1804" s="4" t="s">
        <v>2521</v>
      </c>
      <c r="E1804" s="5" t="s">
        <v>3310</v>
      </c>
      <c r="F1804" s="5" t="str">
        <f t="shared" si="28"/>
        <v>e-ciggbolaget.se</v>
      </c>
      <c r="G1804" s="5" t="s">
        <v>34</v>
      </c>
      <c r="H1804" s="5" t="s">
        <v>5</v>
      </c>
      <c r="I1804" s="6">
        <v>45537</v>
      </c>
    </row>
    <row r="1805" spans="1:9" ht="13.5">
      <c r="A1805" s="2" t="s">
        <v>1180</v>
      </c>
      <c r="B1805" s="3"/>
      <c r="C1805" s="4" t="s">
        <v>3311</v>
      </c>
      <c r="D1805" s="4" t="s">
        <v>2935</v>
      </c>
      <c r="E1805" s="5" t="s">
        <v>3312</v>
      </c>
      <c r="F1805" s="5" t="str">
        <f t="shared" si="28"/>
        <v>e-ciggbolaget.se</v>
      </c>
      <c r="G1805" s="5" t="s">
        <v>34</v>
      </c>
      <c r="H1805" s="5" t="s">
        <v>5</v>
      </c>
      <c r="I1805" s="6">
        <v>45537</v>
      </c>
    </row>
    <row r="1806" spans="1:9" ht="13.5">
      <c r="A1806" s="2" t="s">
        <v>2592</v>
      </c>
      <c r="B1806" s="3"/>
      <c r="C1806" s="4" t="s">
        <v>3313</v>
      </c>
      <c r="D1806" s="4" t="s">
        <v>2594</v>
      </c>
      <c r="E1806" s="5" t="s">
        <v>2779</v>
      </c>
      <c r="F1806" s="5" t="str">
        <f t="shared" si="28"/>
        <v>everynightstudios.com</v>
      </c>
      <c r="G1806" s="5" t="s">
        <v>34</v>
      </c>
      <c r="H1806" s="5" t="s">
        <v>5</v>
      </c>
      <c r="I1806" s="6">
        <v>45537</v>
      </c>
    </row>
    <row r="1807" spans="1:9" ht="13.5">
      <c r="A1807" s="2" t="s">
        <v>3260</v>
      </c>
      <c r="B1807" s="3"/>
      <c r="C1807" s="297" t="s">
        <v>3314</v>
      </c>
      <c r="D1807" s="297" t="s">
        <v>3315</v>
      </c>
      <c r="E1807" s="5" t="s">
        <v>3316</v>
      </c>
      <c r="F1807" s="5" t="str">
        <f t="shared" si="28"/>
        <v>hbel.se</v>
      </c>
      <c r="G1807" s="5" t="s">
        <v>34</v>
      </c>
      <c r="H1807" s="5" t="s">
        <v>5</v>
      </c>
      <c r="I1807" s="6">
        <v>45537</v>
      </c>
    </row>
    <row r="1808" spans="1:9" ht="13.5">
      <c r="A1808" s="2" t="s">
        <v>2058</v>
      </c>
      <c r="B1808" s="3"/>
      <c r="C1808" s="4" t="s">
        <v>3317</v>
      </c>
      <c r="D1808" s="4" t="s">
        <v>2060</v>
      </c>
      <c r="E1808" s="5" t="s">
        <v>3318</v>
      </c>
      <c r="F1808" s="5" t="str">
        <f t="shared" si="28"/>
        <v>m6bygg.se</v>
      </c>
      <c r="G1808" s="5" t="s">
        <v>34</v>
      </c>
      <c r="H1808" s="5" t="s">
        <v>5</v>
      </c>
      <c r="I1808" s="6">
        <v>45537</v>
      </c>
    </row>
    <row r="1809" spans="1:9" ht="13.5">
      <c r="A1809" s="2" t="s">
        <v>2058</v>
      </c>
      <c r="B1809" s="3"/>
      <c r="C1809" s="4" t="s">
        <v>2733</v>
      </c>
      <c r="D1809" s="4" t="s">
        <v>2100</v>
      </c>
      <c r="E1809" s="5" t="s">
        <v>3319</v>
      </c>
      <c r="F1809" s="5" t="str">
        <f t="shared" si="28"/>
        <v>m6bygg.se</v>
      </c>
      <c r="G1809" s="5" t="s">
        <v>34</v>
      </c>
      <c r="H1809" s="5" t="s">
        <v>5</v>
      </c>
      <c r="I1809" s="6">
        <v>45537</v>
      </c>
    </row>
    <row r="1810" spans="1:9" ht="13.5">
      <c r="A1810" s="2" t="s">
        <v>405</v>
      </c>
      <c r="B1810" s="3"/>
      <c r="C1810" s="4" t="s">
        <v>3320</v>
      </c>
      <c r="D1810" s="4" t="s">
        <v>610</v>
      </c>
      <c r="E1810" s="5" t="s">
        <v>3321</v>
      </c>
      <c r="F1810" s="5" t="str">
        <f t="shared" si="28"/>
        <v>rehabgrossisten.com</v>
      </c>
      <c r="G1810" s="5" t="s">
        <v>34</v>
      </c>
      <c r="H1810" s="5" t="s">
        <v>5</v>
      </c>
      <c r="I1810" s="6">
        <v>45537</v>
      </c>
    </row>
    <row r="1811" spans="1:9" ht="13.5">
      <c r="A1811" s="2" t="s">
        <v>2428</v>
      </c>
      <c r="B1811" s="3"/>
      <c r="C1811" s="4" t="s">
        <v>3322</v>
      </c>
      <c r="D1811" s="4" t="s">
        <v>3323</v>
      </c>
      <c r="E1811" s="5" t="s">
        <v>3324</v>
      </c>
      <c r="F1811" s="5" t="str">
        <f t="shared" si="28"/>
        <v>sakraror.se</v>
      </c>
      <c r="G1811" s="5" t="s">
        <v>34</v>
      </c>
      <c r="H1811" s="5" t="s">
        <v>5</v>
      </c>
      <c r="I1811" s="6">
        <v>45537</v>
      </c>
    </row>
    <row r="1812" spans="1:9" ht="13.5">
      <c r="A1812" s="2" t="s">
        <v>2428</v>
      </c>
      <c r="B1812" s="3"/>
      <c r="C1812" s="4" t="s">
        <v>3325</v>
      </c>
      <c r="D1812" s="4" t="s">
        <v>3323</v>
      </c>
      <c r="E1812" s="5" t="s">
        <v>3326</v>
      </c>
      <c r="F1812" s="5" t="str">
        <f t="shared" si="28"/>
        <v>sakraror.se</v>
      </c>
      <c r="G1812" s="5" t="s">
        <v>34</v>
      </c>
      <c r="H1812" s="5" t="s">
        <v>5</v>
      </c>
      <c r="I1812" s="6">
        <v>45537</v>
      </c>
    </row>
    <row r="1813" spans="1:9" ht="13.5">
      <c r="A1813" s="2" t="s">
        <v>535</v>
      </c>
      <c r="B1813" s="3"/>
      <c r="C1813" s="4" t="s">
        <v>2647</v>
      </c>
      <c r="D1813" s="4" t="s">
        <v>3327</v>
      </c>
      <c r="E1813" s="5" t="s">
        <v>3328</v>
      </c>
      <c r="F1813" s="5" t="str">
        <f t="shared" si="28"/>
        <v>tryggbil.se</v>
      </c>
      <c r="G1813" s="5" t="s">
        <v>34</v>
      </c>
      <c r="H1813" s="5" t="s">
        <v>5</v>
      </c>
      <c r="I1813" s="6">
        <v>45537</v>
      </c>
    </row>
    <row r="1814" spans="1:9" ht="13.5">
      <c r="A1814" s="2" t="s">
        <v>535</v>
      </c>
      <c r="B1814" s="3"/>
      <c r="C1814" s="4" t="s">
        <v>3329</v>
      </c>
      <c r="D1814" s="298" t="s">
        <v>2806</v>
      </c>
      <c r="E1814" s="5" t="s">
        <v>3330</v>
      </c>
      <c r="F1814" s="5" t="str">
        <f t="shared" si="28"/>
        <v>tryggbil.se</v>
      </c>
      <c r="G1814" s="5" t="s">
        <v>34</v>
      </c>
      <c r="H1814" s="5" t="s">
        <v>5</v>
      </c>
      <c r="I1814" s="6">
        <v>45537</v>
      </c>
    </row>
    <row r="1815" spans="1:9" ht="13.5">
      <c r="A1815" s="2" t="s">
        <v>2127</v>
      </c>
      <c r="B1815" s="3"/>
      <c r="C1815" s="4" t="s">
        <v>3331</v>
      </c>
      <c r="D1815" s="4" t="s">
        <v>2129</v>
      </c>
      <c r="E1815" s="5" t="s">
        <v>3332</v>
      </c>
      <c r="F1815" s="5" t="str">
        <f t="shared" si="28"/>
        <v>startmotor.se</v>
      </c>
      <c r="G1815" s="5" t="s">
        <v>34</v>
      </c>
      <c r="H1815" s="5" t="s">
        <v>5</v>
      </c>
      <c r="I1815" s="6">
        <v>45537</v>
      </c>
    </row>
    <row r="1816" spans="1:9" ht="13.5">
      <c r="A1816" s="7" t="s">
        <v>224</v>
      </c>
      <c r="B1816" s="3"/>
      <c r="C1816" s="4" t="s">
        <v>3333</v>
      </c>
      <c r="D1816" s="4" t="s">
        <v>226</v>
      </c>
      <c r="E1816" s="5" t="s">
        <v>3334</v>
      </c>
      <c r="F1816" s="5" t="str">
        <f t="shared" si="28"/>
        <v>swedoffice</v>
      </c>
      <c r="G1816" s="5" t="s">
        <v>34</v>
      </c>
      <c r="H1816" s="5" t="s">
        <v>5</v>
      </c>
      <c r="I1816" s="6">
        <v>45537</v>
      </c>
    </row>
    <row r="1817" spans="1:9" ht="13.5">
      <c r="A1817" s="101" t="s">
        <v>329</v>
      </c>
      <c r="B1817" s="3"/>
      <c r="C1817" s="4" t="s">
        <v>3325</v>
      </c>
      <c r="D1817" s="4" t="s">
        <v>1488</v>
      </c>
      <c r="E1817" s="5" t="s">
        <v>3335</v>
      </c>
      <c r="F1817" s="5" t="str">
        <f t="shared" si="28"/>
        <v>vont</v>
      </c>
      <c r="G1817" s="5" t="s">
        <v>34</v>
      </c>
      <c r="H1817" s="5" t="s">
        <v>5</v>
      </c>
      <c r="I1817" s="6">
        <v>45537</v>
      </c>
    </row>
    <row r="1818" spans="1:9" ht="13.5">
      <c r="A1818" s="2" t="s">
        <v>3128</v>
      </c>
      <c r="B1818" s="3"/>
      <c r="C1818" s="4" t="s">
        <v>3248</v>
      </c>
      <c r="D1818" s="4" t="s">
        <v>3249</v>
      </c>
      <c r="E1818" s="5" t="s">
        <v>3250</v>
      </c>
      <c r="F1818" s="5" t="str">
        <f t="shared" si="28"/>
        <v>bethard.com</v>
      </c>
      <c r="G1818" s="5" t="s">
        <v>4</v>
      </c>
      <c r="H1818" s="5" t="s">
        <v>5</v>
      </c>
      <c r="I1818" s="6">
        <v>45537</v>
      </c>
    </row>
    <row r="1819" spans="1:9" ht="13.5">
      <c r="A1819" s="2" t="s">
        <v>714</v>
      </c>
      <c r="B1819" s="3"/>
      <c r="C1819" s="299" t="s">
        <v>3336</v>
      </c>
      <c r="D1819" s="20" t="s">
        <v>716</v>
      </c>
      <c r="E1819" s="5" t="s">
        <v>3337</v>
      </c>
      <c r="F1819" s="5" t="str">
        <f t="shared" si="28"/>
        <v>Alfa.no</v>
      </c>
      <c r="G1819" s="5" t="s">
        <v>4</v>
      </c>
      <c r="H1819" s="5" t="s">
        <v>382</v>
      </c>
      <c r="I1819" s="6">
        <v>45539</v>
      </c>
    </row>
    <row r="1820" spans="1:9" ht="19.5" customHeight="1">
      <c r="A1820" s="2" t="s">
        <v>714</v>
      </c>
      <c r="B1820" s="3"/>
      <c r="C1820" s="105" t="s">
        <v>3338</v>
      </c>
      <c r="D1820" s="300" t="s">
        <v>3339</v>
      </c>
      <c r="E1820" s="22" t="s">
        <v>3340</v>
      </c>
      <c r="F1820" s="5" t="str">
        <f t="shared" si="28"/>
        <v>Alfa.no</v>
      </c>
      <c r="G1820" s="5" t="s">
        <v>4</v>
      </c>
      <c r="H1820" s="5" t="s">
        <v>382</v>
      </c>
      <c r="I1820" s="6">
        <v>45539</v>
      </c>
    </row>
    <row r="1821" spans="1:9" ht="13.5">
      <c r="A1821" s="7" t="s">
        <v>3341</v>
      </c>
      <c r="B1821" s="3"/>
      <c r="C1821" s="71" t="s">
        <v>3342</v>
      </c>
      <c r="D1821" s="119" t="s">
        <v>3343</v>
      </c>
      <c r="E1821" s="253" t="s">
        <v>3345</v>
      </c>
      <c r="F1821" s="5" t="str">
        <f t="shared" si="28"/>
        <v>navx.store</v>
      </c>
      <c r="G1821" s="5" t="s">
        <v>4</v>
      </c>
      <c r="H1821" s="5" t="s">
        <v>3344</v>
      </c>
      <c r="I1821" s="6">
        <v>45539</v>
      </c>
    </row>
    <row r="1822" spans="1:9" ht="13.5">
      <c r="A1822" s="2" t="s">
        <v>3346</v>
      </c>
      <c r="B1822" s="3"/>
      <c r="C1822" s="71" t="s">
        <v>3347</v>
      </c>
      <c r="D1822" s="301" t="s">
        <v>3348</v>
      </c>
      <c r="E1822" s="76" t="s">
        <v>3349</v>
      </c>
      <c r="F1822" s="5" t="str">
        <f t="shared" si="28"/>
        <v>pricecarz.com</v>
      </c>
      <c r="G1822" s="5" t="s">
        <v>4</v>
      </c>
      <c r="H1822" s="5" t="s">
        <v>23</v>
      </c>
      <c r="I1822" s="6">
        <v>45539</v>
      </c>
    </row>
    <row r="1823" spans="1:9" ht="13.5">
      <c r="A1823" s="2" t="s">
        <v>100</v>
      </c>
      <c r="B1823" s="3"/>
      <c r="C1823" s="105" t="s">
        <v>3350</v>
      </c>
      <c r="D1823" s="87" t="s">
        <v>1252</v>
      </c>
      <c r="E1823" s="79" t="s">
        <v>3015</v>
      </c>
      <c r="F1823" s="5" t="str">
        <f t="shared" si="28"/>
        <v>bigbenstandup.com</v>
      </c>
      <c r="G1823" s="5" t="s">
        <v>4</v>
      </c>
      <c r="H1823" s="5" t="s">
        <v>5</v>
      </c>
      <c r="I1823" s="6">
        <v>45539</v>
      </c>
    </row>
    <row r="1824" spans="1:9" ht="13.5">
      <c r="A1824" s="2" t="s">
        <v>308</v>
      </c>
      <c r="B1824" s="3"/>
      <c r="C1824" s="105" t="s">
        <v>3351</v>
      </c>
      <c r="D1824" s="87" t="s">
        <v>1395</v>
      </c>
      <c r="E1824" s="79" t="s">
        <v>1013</v>
      </c>
      <c r="F1824" s="5" t="str">
        <f t="shared" si="28"/>
        <v>lansfast.se</v>
      </c>
      <c r="G1824" s="5" t="s">
        <v>4</v>
      </c>
      <c r="H1824" s="5" t="s">
        <v>5</v>
      </c>
      <c r="I1824" s="6">
        <v>45539</v>
      </c>
    </row>
    <row r="1825" spans="1:9" ht="13.5">
      <c r="A1825" s="2" t="s">
        <v>992</v>
      </c>
      <c r="B1825" s="3"/>
      <c r="C1825" s="105" t="s">
        <v>3352</v>
      </c>
      <c r="D1825" s="267" t="s">
        <v>2886</v>
      </c>
      <c r="E1825" s="203" t="s">
        <v>1710</v>
      </c>
      <c r="F1825" s="5" t="str">
        <f t="shared" si="28"/>
        <v>ledkungen.se</v>
      </c>
      <c r="G1825" s="5" t="s">
        <v>4</v>
      </c>
      <c r="H1825" s="5" t="s">
        <v>5</v>
      </c>
      <c r="I1825" s="6">
        <v>45539</v>
      </c>
    </row>
    <row r="1826" spans="1:9" ht="13.5">
      <c r="A1826" s="2" t="s">
        <v>1213</v>
      </c>
      <c r="B1826" s="3"/>
      <c r="C1826" s="105" t="s">
        <v>3353</v>
      </c>
      <c r="D1826" s="87" t="s">
        <v>1215</v>
      </c>
      <c r="E1826" s="79" t="s">
        <v>2491</v>
      </c>
      <c r="F1826" s="5" t="str">
        <f t="shared" si="28"/>
        <v>mariatand.se</v>
      </c>
      <c r="G1826" s="5" t="s">
        <v>4</v>
      </c>
      <c r="H1826" s="5" t="s">
        <v>5</v>
      </c>
      <c r="I1826" s="6">
        <v>45539</v>
      </c>
    </row>
    <row r="1827" spans="1:9" ht="13.5">
      <c r="A1827" s="7" t="s">
        <v>67</v>
      </c>
      <c r="B1827" s="3"/>
      <c r="C1827" s="105" t="s">
        <v>3354</v>
      </c>
      <c r="D1827" s="167" t="s">
        <v>2622</v>
      </c>
      <c r="E1827" s="302" t="s">
        <v>2623</v>
      </c>
      <c r="F1827" s="5" t="str">
        <f t="shared" si="28"/>
        <v>nem.health</v>
      </c>
      <c r="G1827" s="5" t="s">
        <v>4</v>
      </c>
      <c r="H1827" s="5" t="s">
        <v>5</v>
      </c>
      <c r="I1827" s="6">
        <v>45539</v>
      </c>
    </row>
    <row r="1828" spans="1:9" ht="13.5">
      <c r="A1828" s="7" t="s">
        <v>224</v>
      </c>
      <c r="B1828" s="3"/>
      <c r="C1828" s="105" t="s">
        <v>3355</v>
      </c>
      <c r="D1828" s="105" t="s">
        <v>461</v>
      </c>
      <c r="E1828" s="76" t="s">
        <v>1117</v>
      </c>
      <c r="F1828" s="5" t="str">
        <f t="shared" si="28"/>
        <v>swedoffice</v>
      </c>
      <c r="G1828" s="5" t="s">
        <v>4</v>
      </c>
      <c r="H1828" s="5" t="s">
        <v>5</v>
      </c>
      <c r="I1828" s="6">
        <v>45539</v>
      </c>
    </row>
    <row r="1829" spans="1:9" ht="13.5">
      <c r="A1829" s="2" t="s">
        <v>2948</v>
      </c>
      <c r="B1829" s="3"/>
      <c r="C1829" s="161" t="s">
        <v>3356</v>
      </c>
      <c r="D1829" s="303" t="s">
        <v>2950</v>
      </c>
      <c r="E1829" s="219" t="s">
        <v>3357</v>
      </c>
      <c r="F1829" s="5" t="str">
        <f t="shared" si="28"/>
        <v>joureliten.se</v>
      </c>
      <c r="G1829" s="5" t="s">
        <v>4</v>
      </c>
      <c r="H1829" s="5" t="s">
        <v>5</v>
      </c>
      <c r="I1829" s="150">
        <v>45539</v>
      </c>
    </row>
    <row r="1830" spans="1:9" ht="13.5">
      <c r="A1830" s="2" t="s">
        <v>325</v>
      </c>
      <c r="B1830" s="3"/>
      <c r="C1830" s="138" t="s">
        <v>3358</v>
      </c>
      <c r="D1830" s="86" t="s">
        <v>1244</v>
      </c>
      <c r="E1830" s="79" t="s">
        <v>463</v>
      </c>
      <c r="F1830" s="5" t="str">
        <f t="shared" si="28"/>
        <v>tiotak.se</v>
      </c>
      <c r="G1830" s="5" t="s">
        <v>4</v>
      </c>
      <c r="H1830" s="5" t="s">
        <v>5</v>
      </c>
      <c r="I1830" s="6">
        <v>45539</v>
      </c>
    </row>
    <row r="1831" spans="1:9" ht="13.5">
      <c r="A1831" s="2" t="s">
        <v>535</v>
      </c>
      <c r="B1831" s="3"/>
      <c r="C1831" s="105" t="s">
        <v>3359</v>
      </c>
      <c r="D1831" s="87" t="s">
        <v>2806</v>
      </c>
      <c r="E1831" s="79" t="s">
        <v>2807</v>
      </c>
      <c r="F1831" s="5" t="str">
        <f t="shared" si="28"/>
        <v>tryggbil.se</v>
      </c>
      <c r="G1831" s="5" t="s">
        <v>4</v>
      </c>
      <c r="H1831" s="5" t="s">
        <v>5</v>
      </c>
      <c r="I1831" s="6">
        <v>45539</v>
      </c>
    </row>
    <row r="1832" spans="1:9" ht="13.5">
      <c r="A1832" s="2" t="s">
        <v>2592</v>
      </c>
      <c r="B1832" s="3"/>
      <c r="C1832" s="105" t="s">
        <v>3360</v>
      </c>
      <c r="D1832" s="105" t="s">
        <v>2594</v>
      </c>
      <c r="E1832" s="79" t="s">
        <v>2779</v>
      </c>
      <c r="F1832" s="5" t="str">
        <f t="shared" si="28"/>
        <v>everynightstudios.com</v>
      </c>
      <c r="G1832" s="5" t="s">
        <v>4</v>
      </c>
      <c r="H1832" s="5" t="s">
        <v>5</v>
      </c>
      <c r="I1832" s="6">
        <v>45539</v>
      </c>
    </row>
    <row r="1833" spans="1:9" ht="13.5">
      <c r="A1833" s="2" t="s">
        <v>2592</v>
      </c>
      <c r="B1833" s="3"/>
      <c r="C1833" s="105" t="s">
        <v>3361</v>
      </c>
      <c r="D1833" s="105" t="s">
        <v>3211</v>
      </c>
      <c r="E1833" s="79" t="s">
        <v>3362</v>
      </c>
      <c r="F1833" s="5" t="str">
        <f t="shared" si="28"/>
        <v>everynightstudios.com</v>
      </c>
      <c r="G1833" s="5" t="s">
        <v>4</v>
      </c>
      <c r="H1833" s="5" t="s">
        <v>5</v>
      </c>
      <c r="I1833" s="6">
        <v>45539</v>
      </c>
    </row>
    <row r="1834" spans="1:9" ht="14.25">
      <c r="A1834" s="2" t="s">
        <v>2836</v>
      </c>
      <c r="B1834" s="3"/>
      <c r="C1834" s="8" t="s">
        <v>3363</v>
      </c>
      <c r="D1834" s="8" t="s">
        <v>3364</v>
      </c>
      <c r="E1834" s="304" t="s">
        <v>3365</v>
      </c>
      <c r="F1834" s="5" t="str">
        <f t="shared" si="28"/>
        <v>cherry.com</v>
      </c>
      <c r="G1834" s="5" t="s">
        <v>4</v>
      </c>
      <c r="H1834" s="5" t="s">
        <v>5</v>
      </c>
      <c r="I1834" s="6">
        <v>45539</v>
      </c>
    </row>
    <row r="1835" spans="1:9" ht="13.5">
      <c r="A1835" s="2" t="s">
        <v>3299</v>
      </c>
      <c r="B1835" s="3"/>
      <c r="C1835" s="71" t="s">
        <v>3366</v>
      </c>
      <c r="D1835" s="105" t="s">
        <v>3301</v>
      </c>
      <c r="E1835" s="302" t="s">
        <v>3302</v>
      </c>
      <c r="F1835" s="5" t="str">
        <f t="shared" si="28"/>
        <v>nodepositbonus.cc</v>
      </c>
      <c r="G1835" s="5" t="s">
        <v>4</v>
      </c>
      <c r="H1835" s="5" t="s">
        <v>345</v>
      </c>
      <c r="I1835" s="6">
        <v>45539</v>
      </c>
    </row>
    <row r="1836" spans="1:9" ht="13.5">
      <c r="A1836" s="2" t="s">
        <v>3186</v>
      </c>
      <c r="B1836" s="3"/>
      <c r="C1836" s="71" t="s">
        <v>3367</v>
      </c>
      <c r="D1836" s="105" t="s">
        <v>3188</v>
      </c>
      <c r="E1836" s="76" t="s">
        <v>3368</v>
      </c>
      <c r="F1836" s="5" t="str">
        <f t="shared" si="28"/>
        <v>myownwater.com</v>
      </c>
      <c r="G1836" s="5" t="s">
        <v>4</v>
      </c>
      <c r="H1836" s="5" t="s">
        <v>345</v>
      </c>
      <c r="I1836" s="6">
        <v>45539</v>
      </c>
    </row>
    <row r="1837" spans="1:9" ht="13.9">
      <c r="A1837" s="2" t="s">
        <v>1492</v>
      </c>
      <c r="B1837" s="3"/>
      <c r="C1837" s="294" t="s">
        <v>3369</v>
      </c>
      <c r="D1837" s="105" t="s">
        <v>1494</v>
      </c>
      <c r="E1837" s="76" t="s">
        <v>2753</v>
      </c>
      <c r="F1837" s="5" t="str">
        <f t="shared" si="28"/>
        <v>cdg.io</v>
      </c>
      <c r="G1837" s="5" t="s">
        <v>4</v>
      </c>
      <c r="H1837" s="5" t="s">
        <v>345</v>
      </c>
      <c r="I1837" s="6">
        <v>45539</v>
      </c>
    </row>
    <row r="1838" spans="1:9" ht="13.9">
      <c r="A1838" s="2" t="s">
        <v>1492</v>
      </c>
      <c r="B1838" s="3"/>
      <c r="C1838" s="294" t="s">
        <v>3370</v>
      </c>
      <c r="D1838" s="105" t="s">
        <v>1494</v>
      </c>
      <c r="E1838" s="76" t="s">
        <v>2955</v>
      </c>
      <c r="F1838" s="5" t="str">
        <f t="shared" si="28"/>
        <v>cdg.io</v>
      </c>
      <c r="G1838" s="5" t="s">
        <v>4</v>
      </c>
      <c r="H1838" s="5" t="s">
        <v>345</v>
      </c>
      <c r="I1838" s="6">
        <v>45539</v>
      </c>
    </row>
    <row r="1839" spans="1:9" ht="13.9">
      <c r="A1839" s="7" t="s">
        <v>1910</v>
      </c>
      <c r="B1839" s="3"/>
      <c r="C1839" s="305" t="s">
        <v>3371</v>
      </c>
      <c r="D1839" s="138" t="s">
        <v>2861</v>
      </c>
      <c r="E1839" s="72" t="s">
        <v>2862</v>
      </c>
      <c r="F1839" s="5" t="str">
        <f t="shared" si="28"/>
        <v>kelleher-international</v>
      </c>
      <c r="G1839" s="5" t="s">
        <v>4</v>
      </c>
      <c r="H1839" s="5" t="s">
        <v>345</v>
      </c>
      <c r="I1839" s="6">
        <v>45539</v>
      </c>
    </row>
    <row r="1840" spans="1:9" ht="13.9">
      <c r="A1840" s="2" t="s">
        <v>3186</v>
      </c>
      <c r="B1840" s="3"/>
      <c r="C1840" s="305" t="s">
        <v>3372</v>
      </c>
      <c r="D1840" s="138" t="s">
        <v>3188</v>
      </c>
      <c r="E1840" s="72" t="s">
        <v>3373</v>
      </c>
      <c r="F1840" s="5" t="str">
        <f t="shared" si="28"/>
        <v>myownwater.com</v>
      </c>
      <c r="G1840" s="5" t="s">
        <v>4</v>
      </c>
      <c r="H1840" s="5" t="s">
        <v>345</v>
      </c>
      <c r="I1840" s="6">
        <v>45539</v>
      </c>
    </row>
    <row r="1841" spans="1:9" ht="13.5">
      <c r="A1841" s="2" t="s">
        <v>325</v>
      </c>
      <c r="B1841" s="3"/>
      <c r="C1841" s="138" t="s">
        <v>3374</v>
      </c>
      <c r="D1841" s="87" t="s">
        <v>873</v>
      </c>
      <c r="E1841" s="79" t="s">
        <v>2922</v>
      </c>
      <c r="F1841" s="5" t="str">
        <f t="shared" si="28"/>
        <v>tiotak.se</v>
      </c>
      <c r="G1841" s="5" t="s">
        <v>4</v>
      </c>
      <c r="H1841" s="5" t="s">
        <v>5</v>
      </c>
      <c r="I1841" s="6">
        <v>45539</v>
      </c>
    </row>
    <row r="1842" spans="1:9" ht="13.5">
      <c r="A1842" s="2" t="s">
        <v>3346</v>
      </c>
      <c r="B1842" s="3"/>
      <c r="C1842" s="71" t="s">
        <v>3347</v>
      </c>
      <c r="D1842" s="301" t="s">
        <v>3375</v>
      </c>
      <c r="E1842" s="76" t="s">
        <v>3349</v>
      </c>
      <c r="F1842" s="5" t="str">
        <f t="shared" si="28"/>
        <v>pricecarz.com</v>
      </c>
      <c r="G1842" s="5" t="s">
        <v>4</v>
      </c>
      <c r="H1842" s="5" t="s">
        <v>5</v>
      </c>
      <c r="I1842" s="6">
        <v>45539</v>
      </c>
    </row>
    <row r="1843" spans="1:9" ht="13.5">
      <c r="A1843" s="2" t="s">
        <v>2937</v>
      </c>
      <c r="B1843" s="3"/>
      <c r="C1843" s="105" t="s">
        <v>3376</v>
      </c>
      <c r="D1843" s="105" t="s">
        <v>2986</v>
      </c>
      <c r="E1843" s="76" t="s">
        <v>3377</v>
      </c>
      <c r="F1843" s="5" t="str">
        <f t="shared" si="28"/>
        <v>hampabonden.se</v>
      </c>
      <c r="G1843" s="5" t="s">
        <v>4</v>
      </c>
      <c r="H1843" s="5" t="s">
        <v>5</v>
      </c>
      <c r="I1843" s="6">
        <v>45544</v>
      </c>
    </row>
    <row r="1844" spans="1:9" ht="13.5">
      <c r="A1844" s="2" t="s">
        <v>2937</v>
      </c>
      <c r="B1844" s="3"/>
      <c r="C1844" s="105" t="s">
        <v>3378</v>
      </c>
      <c r="D1844" s="105" t="s">
        <v>2939</v>
      </c>
      <c r="E1844" s="76" t="s">
        <v>2940</v>
      </c>
      <c r="F1844" s="5" t="str">
        <f t="shared" si="28"/>
        <v>hampabonden.se</v>
      </c>
      <c r="G1844" s="5" t="s">
        <v>4</v>
      </c>
      <c r="H1844" s="5" t="s">
        <v>5</v>
      </c>
      <c r="I1844" s="6">
        <v>45544</v>
      </c>
    </row>
    <row r="1845" spans="1:9" ht="13.5">
      <c r="A1845" s="2" t="s">
        <v>1318</v>
      </c>
      <c r="B1845" s="3"/>
      <c r="C1845" s="4" t="s">
        <v>3379</v>
      </c>
      <c r="D1845" s="4" t="s">
        <v>2644</v>
      </c>
      <c r="E1845" s="5" t="s">
        <v>3380</v>
      </c>
      <c r="F1845" s="5" t="str">
        <f t="shared" si="28"/>
        <v>spelklubben.se</v>
      </c>
      <c r="G1845" s="5" t="s">
        <v>34</v>
      </c>
      <c r="H1845" s="5" t="s">
        <v>5</v>
      </c>
      <c r="I1845" s="6">
        <v>45545</v>
      </c>
    </row>
    <row r="1846" spans="1:9" ht="13.5">
      <c r="A1846" s="2" t="s">
        <v>2836</v>
      </c>
      <c r="B1846" s="3"/>
      <c r="C1846" s="4" t="s">
        <v>3379</v>
      </c>
      <c r="D1846" s="4" t="s">
        <v>2838</v>
      </c>
      <c r="E1846" s="5" t="s">
        <v>3380</v>
      </c>
      <c r="F1846" s="5" t="str">
        <f t="shared" si="28"/>
        <v>cherry.com</v>
      </c>
      <c r="G1846" s="5" t="s">
        <v>34</v>
      </c>
      <c r="H1846" s="5" t="s">
        <v>5</v>
      </c>
      <c r="I1846" s="6">
        <v>45545</v>
      </c>
    </row>
    <row r="1847" spans="1:9" ht="13.9">
      <c r="A1847" s="2" t="s">
        <v>1492</v>
      </c>
      <c r="B1847" s="3"/>
      <c r="C1847" s="305" t="s">
        <v>3381</v>
      </c>
      <c r="D1847" s="138" t="s">
        <v>1494</v>
      </c>
      <c r="E1847" s="72" t="s">
        <v>2955</v>
      </c>
      <c r="F1847" s="5" t="str">
        <f t="shared" si="28"/>
        <v>cdg.io</v>
      </c>
      <c r="G1847" s="5" t="s">
        <v>4</v>
      </c>
      <c r="H1847" s="5" t="s">
        <v>5</v>
      </c>
      <c r="I1847" s="6">
        <v>45545</v>
      </c>
    </row>
    <row r="1848" spans="1:9" ht="13.9">
      <c r="A1848" s="2" t="s">
        <v>3186</v>
      </c>
      <c r="B1848" s="3"/>
      <c r="C1848" s="305" t="s">
        <v>3382</v>
      </c>
      <c r="D1848" s="138" t="s">
        <v>3188</v>
      </c>
      <c r="E1848" s="72" t="s">
        <v>3383</v>
      </c>
      <c r="F1848" s="5" t="str">
        <f t="shared" si="28"/>
        <v>myownwater.com</v>
      </c>
      <c r="G1848" s="5" t="s">
        <v>4</v>
      </c>
      <c r="H1848" s="5" t="s">
        <v>345</v>
      </c>
      <c r="I1848" s="6">
        <v>45545</v>
      </c>
    </row>
    <row r="1849" spans="1:9" ht="13.5">
      <c r="A1849" s="2" t="s">
        <v>2592</v>
      </c>
      <c r="B1849" s="3"/>
      <c r="C1849" s="4" t="s">
        <v>3384</v>
      </c>
      <c r="D1849" s="4" t="s">
        <v>2594</v>
      </c>
      <c r="E1849" s="5" t="s">
        <v>3385</v>
      </c>
      <c r="F1849" s="5" t="str">
        <f t="shared" si="28"/>
        <v>everynightstudios.com</v>
      </c>
      <c r="G1849" s="5" t="s">
        <v>4</v>
      </c>
      <c r="H1849" s="5" t="s">
        <v>5</v>
      </c>
      <c r="I1849" s="6">
        <v>45545</v>
      </c>
    </row>
    <row r="1850" spans="1:9" ht="13.5">
      <c r="A1850" s="2" t="s">
        <v>1318</v>
      </c>
      <c r="B1850" s="3"/>
      <c r="C1850" s="138" t="s">
        <v>3386</v>
      </c>
      <c r="D1850" s="4" t="s">
        <v>2689</v>
      </c>
      <c r="E1850" s="5" t="s">
        <v>3125</v>
      </c>
      <c r="F1850" s="5" t="str">
        <f t="shared" si="28"/>
        <v>spelklubben.se</v>
      </c>
      <c r="G1850" s="5" t="s">
        <v>4</v>
      </c>
      <c r="H1850" s="5" t="s">
        <v>5</v>
      </c>
      <c r="I1850" s="6">
        <v>45546</v>
      </c>
    </row>
    <row r="1851" spans="1:9" ht="13.5">
      <c r="A1851" s="2" t="s">
        <v>171</v>
      </c>
      <c r="B1851" s="3"/>
      <c r="C1851" s="4" t="s">
        <v>2396</v>
      </c>
      <c r="D1851" s="4" t="s">
        <v>1095</v>
      </c>
      <c r="E1851" s="5" t="s">
        <v>1533</v>
      </c>
      <c r="F1851" s="5" t="str">
        <f t="shared" si="28"/>
        <v>arctic.se</v>
      </c>
      <c r="G1851" s="5" t="s">
        <v>4</v>
      </c>
      <c r="H1851" s="5" t="s">
        <v>5</v>
      </c>
      <c r="I1851" s="6">
        <v>45546</v>
      </c>
    </row>
    <row r="1852" spans="1:9" ht="13.5">
      <c r="A1852" s="2" t="s">
        <v>803</v>
      </c>
      <c r="B1852" s="3"/>
      <c r="C1852" s="4" t="s">
        <v>1721</v>
      </c>
      <c r="D1852" s="4" t="s">
        <v>2599</v>
      </c>
      <c r="E1852" s="5" t="s">
        <v>3387</v>
      </c>
      <c r="F1852" s="5" t="str">
        <f t="shared" si="28"/>
        <v>foyen.se</v>
      </c>
      <c r="G1852" s="5" t="s">
        <v>4</v>
      </c>
      <c r="H1852" s="5" t="s">
        <v>5</v>
      </c>
      <c r="I1852" s="6">
        <v>45546</v>
      </c>
    </row>
    <row r="1853" spans="1:9" ht="13.5">
      <c r="A1853" s="2" t="s">
        <v>308</v>
      </c>
      <c r="B1853" s="3"/>
      <c r="C1853" s="4" t="s">
        <v>3388</v>
      </c>
      <c r="D1853" s="4" t="s">
        <v>1395</v>
      </c>
      <c r="E1853" s="5" t="s">
        <v>3389</v>
      </c>
      <c r="F1853" s="5" t="str">
        <f t="shared" si="28"/>
        <v>lansfast.se</v>
      </c>
      <c r="G1853" s="5" t="s">
        <v>4</v>
      </c>
      <c r="H1853" s="5" t="s">
        <v>5</v>
      </c>
      <c r="I1853" s="6">
        <v>45546</v>
      </c>
    </row>
    <row r="1854" spans="1:9" ht="13.5">
      <c r="A1854" s="2" t="s">
        <v>765</v>
      </c>
      <c r="B1854" s="3"/>
      <c r="C1854" s="4" t="s">
        <v>3384</v>
      </c>
      <c r="D1854" s="4" t="s">
        <v>1136</v>
      </c>
      <c r="E1854" s="5" t="s">
        <v>1234</v>
      </c>
      <c r="F1854" s="5" t="str">
        <f t="shared" si="28"/>
        <v>lemontree.se</v>
      </c>
      <c r="G1854" s="5" t="s">
        <v>4</v>
      </c>
      <c r="H1854" s="5" t="s">
        <v>5</v>
      </c>
      <c r="I1854" s="6">
        <v>45547</v>
      </c>
    </row>
    <row r="1855" spans="1:9" ht="13.5">
      <c r="A1855" s="2" t="s">
        <v>1213</v>
      </c>
      <c r="B1855" s="3"/>
      <c r="C1855" s="4" t="s">
        <v>3390</v>
      </c>
      <c r="D1855" s="4" t="s">
        <v>1314</v>
      </c>
      <c r="E1855" s="5" t="s">
        <v>1208</v>
      </c>
      <c r="F1855" s="5" t="str">
        <f t="shared" si="28"/>
        <v>mariatand.se</v>
      </c>
      <c r="G1855" s="5" t="s">
        <v>4</v>
      </c>
      <c r="H1855" s="5" t="s">
        <v>5</v>
      </c>
      <c r="I1855" s="6">
        <v>45547</v>
      </c>
    </row>
    <row r="1856" spans="1:9" ht="13.5">
      <c r="A1856" s="7" t="s">
        <v>329</v>
      </c>
      <c r="B1856" s="3"/>
      <c r="C1856" s="4" t="s">
        <v>3391</v>
      </c>
      <c r="D1856" s="4" t="s">
        <v>472</v>
      </c>
      <c r="E1856" s="5" t="s">
        <v>473</v>
      </c>
      <c r="F1856" s="5" t="str">
        <f t="shared" si="28"/>
        <v>vont</v>
      </c>
      <c r="G1856" s="5" t="s">
        <v>4</v>
      </c>
      <c r="H1856" s="5" t="s">
        <v>5</v>
      </c>
      <c r="I1856" s="6">
        <v>45547</v>
      </c>
    </row>
    <row r="1857" spans="1:9" ht="13.5">
      <c r="A1857" s="2" t="s">
        <v>3128</v>
      </c>
      <c r="B1857" s="3"/>
      <c r="C1857" s="4" t="s">
        <v>3392</v>
      </c>
      <c r="D1857" s="4" t="s">
        <v>3393</v>
      </c>
      <c r="E1857" s="10" t="s">
        <v>3394</v>
      </c>
      <c r="F1857" s="5" t="str">
        <f t="shared" si="28"/>
        <v>bethard.com</v>
      </c>
      <c r="G1857" s="5" t="s">
        <v>4</v>
      </c>
      <c r="H1857" s="5" t="s">
        <v>5</v>
      </c>
      <c r="I1857" s="6">
        <v>45548</v>
      </c>
    </row>
    <row r="1858" spans="1:9" ht="13.5">
      <c r="A1858" s="2" t="s">
        <v>3128</v>
      </c>
      <c r="B1858" s="3"/>
      <c r="C1858" s="4" t="s">
        <v>3395</v>
      </c>
      <c r="D1858" s="4" t="s">
        <v>3249</v>
      </c>
      <c r="E1858" s="5" t="s">
        <v>3396</v>
      </c>
      <c r="F1858" s="5" t="str">
        <f t="shared" si="28"/>
        <v>bethard.com</v>
      </c>
      <c r="G1858" s="5" t="s">
        <v>4</v>
      </c>
      <c r="H1858" s="5" t="s">
        <v>5</v>
      </c>
      <c r="I1858" s="6">
        <v>45548</v>
      </c>
    </row>
    <row r="1859" spans="1:9" ht="13.5">
      <c r="A1859" s="2" t="s">
        <v>3128</v>
      </c>
      <c r="B1859" s="3"/>
      <c r="C1859" s="4" t="s">
        <v>3397</v>
      </c>
      <c r="D1859" s="4" t="s">
        <v>3130</v>
      </c>
      <c r="E1859" s="5" t="s">
        <v>3398</v>
      </c>
      <c r="F1859" s="5" t="str">
        <f t="shared" ref="F1859:F1922" si="29">A1859</f>
        <v>bethard.com</v>
      </c>
      <c r="G1859" s="5" t="s">
        <v>4</v>
      </c>
      <c r="H1859" s="5" t="s">
        <v>5</v>
      </c>
      <c r="I1859" s="6">
        <v>45548</v>
      </c>
    </row>
    <row r="1860" spans="1:9" ht="13.5">
      <c r="A1860" s="2" t="s">
        <v>3399</v>
      </c>
      <c r="B1860" s="3"/>
      <c r="C1860" s="105" t="s">
        <v>3400</v>
      </c>
      <c r="D1860" s="4" t="s">
        <v>3401</v>
      </c>
      <c r="E1860" s="5" t="s">
        <v>3402</v>
      </c>
      <c r="F1860" s="5" t="str">
        <f t="shared" si="29"/>
        <v>zmarta.se</v>
      </c>
      <c r="G1860" s="5" t="s">
        <v>4</v>
      </c>
      <c r="H1860" s="5" t="s">
        <v>5</v>
      </c>
      <c r="I1860" s="6">
        <v>45548</v>
      </c>
    </row>
    <row r="1861" spans="1:9" ht="13.5">
      <c r="A1861" s="2" t="s">
        <v>3399</v>
      </c>
      <c r="B1861" s="3"/>
      <c r="C1861" s="138" t="s">
        <v>3403</v>
      </c>
      <c r="D1861" s="138" t="s">
        <v>3404</v>
      </c>
      <c r="E1861" s="5" t="s">
        <v>3405</v>
      </c>
      <c r="F1861" s="5" t="str">
        <f t="shared" si="29"/>
        <v>zmarta.se</v>
      </c>
      <c r="G1861" s="5" t="s">
        <v>4</v>
      </c>
      <c r="H1861" s="5" t="s">
        <v>5</v>
      </c>
      <c r="I1861" s="6">
        <v>45548</v>
      </c>
    </row>
    <row r="1862" spans="1:9" ht="13.5">
      <c r="A1862" s="2" t="s">
        <v>3399</v>
      </c>
      <c r="B1862" s="3"/>
      <c r="C1862" s="105" t="s">
        <v>3406</v>
      </c>
      <c r="D1862" s="4" t="s">
        <v>3407</v>
      </c>
      <c r="E1862" s="5" t="s">
        <v>3408</v>
      </c>
      <c r="F1862" s="5" t="str">
        <f t="shared" si="29"/>
        <v>zmarta.se</v>
      </c>
      <c r="G1862" s="5" t="s">
        <v>4</v>
      </c>
      <c r="H1862" s="5" t="s">
        <v>5</v>
      </c>
      <c r="I1862" s="6">
        <v>45548</v>
      </c>
    </row>
    <row r="1863" spans="1:9" ht="13.5">
      <c r="A1863" s="2" t="s">
        <v>3399</v>
      </c>
      <c r="B1863" s="3"/>
      <c r="C1863" s="138" t="s">
        <v>3409</v>
      </c>
      <c r="D1863" s="138" t="s">
        <v>3401</v>
      </c>
      <c r="E1863" s="5" t="s">
        <v>3410</v>
      </c>
      <c r="F1863" s="5" t="str">
        <f t="shared" si="29"/>
        <v>zmarta.se</v>
      </c>
      <c r="G1863" s="5" t="s">
        <v>4</v>
      </c>
      <c r="H1863" s="5" t="s">
        <v>5</v>
      </c>
      <c r="I1863" s="6">
        <v>45548</v>
      </c>
    </row>
    <row r="1864" spans="1:9" ht="13.5">
      <c r="A1864" s="2" t="s">
        <v>2636</v>
      </c>
      <c r="B1864" s="3"/>
      <c r="C1864" s="105" t="s">
        <v>3411</v>
      </c>
      <c r="D1864" s="4" t="s">
        <v>2702</v>
      </c>
      <c r="E1864" s="5" t="s">
        <v>3412</v>
      </c>
      <c r="F1864" s="5" t="str">
        <f t="shared" si="29"/>
        <v>kvarnx.com</v>
      </c>
      <c r="G1864" s="5" t="s">
        <v>4</v>
      </c>
      <c r="H1864" s="5" t="s">
        <v>5</v>
      </c>
      <c r="I1864" s="6">
        <v>45548</v>
      </c>
    </row>
    <row r="1865" spans="1:9" ht="13.5">
      <c r="A1865" s="2" t="s">
        <v>2636</v>
      </c>
      <c r="B1865" s="3"/>
      <c r="C1865" s="105" t="s">
        <v>3413</v>
      </c>
      <c r="D1865" s="4" t="s">
        <v>2702</v>
      </c>
      <c r="E1865" s="5" t="s">
        <v>3414</v>
      </c>
      <c r="F1865" s="5" t="str">
        <f t="shared" si="29"/>
        <v>kvarnx.com</v>
      </c>
      <c r="G1865" s="5" t="s">
        <v>4</v>
      </c>
      <c r="H1865" s="5" t="s">
        <v>5</v>
      </c>
      <c r="I1865" s="6">
        <v>45548</v>
      </c>
    </row>
    <row r="1866" spans="1:9" ht="13.5">
      <c r="A1866" s="2" t="s">
        <v>2937</v>
      </c>
      <c r="B1866" s="3"/>
      <c r="C1866" s="4" t="s">
        <v>3415</v>
      </c>
      <c r="D1866" s="4" t="s">
        <v>2939</v>
      </c>
      <c r="E1866" s="5" t="s">
        <v>3416</v>
      </c>
      <c r="F1866" s="5" t="str">
        <f t="shared" si="29"/>
        <v>hampabonden.se</v>
      </c>
      <c r="G1866" s="5" t="s">
        <v>4</v>
      </c>
      <c r="H1866" s="5" t="s">
        <v>5</v>
      </c>
      <c r="I1866" s="6">
        <v>45548</v>
      </c>
    </row>
    <row r="1867" spans="1:9" ht="13.5">
      <c r="A1867" s="7" t="s">
        <v>67</v>
      </c>
      <c r="B1867" s="3"/>
      <c r="C1867" s="4" t="s">
        <v>3378</v>
      </c>
      <c r="D1867" s="4" t="s">
        <v>2622</v>
      </c>
      <c r="E1867" s="5" t="s">
        <v>3417</v>
      </c>
      <c r="F1867" s="5" t="str">
        <f t="shared" si="29"/>
        <v>nem.health</v>
      </c>
      <c r="G1867" s="5" t="s">
        <v>4</v>
      </c>
      <c r="H1867" s="5" t="s">
        <v>5</v>
      </c>
      <c r="I1867" s="6">
        <v>45548</v>
      </c>
    </row>
    <row r="1868" spans="1:9" ht="13.5">
      <c r="A1868" s="7" t="s">
        <v>386</v>
      </c>
      <c r="B1868" s="3"/>
      <c r="C1868" s="4" t="s">
        <v>3418</v>
      </c>
      <c r="D1868" s="4" t="s">
        <v>1202</v>
      </c>
      <c r="E1868" s="5" t="s">
        <v>453</v>
      </c>
      <c r="F1868" s="5" t="str">
        <f t="shared" si="29"/>
        <v>pontech</v>
      </c>
      <c r="G1868" s="5" t="s">
        <v>4</v>
      </c>
      <c r="H1868" s="5" t="s">
        <v>5</v>
      </c>
      <c r="I1868" s="6">
        <v>45548</v>
      </c>
    </row>
    <row r="1869" spans="1:9" ht="13.5">
      <c r="A1869" s="2" t="s">
        <v>3128</v>
      </c>
      <c r="B1869" s="3"/>
      <c r="C1869" s="4" t="s">
        <v>3392</v>
      </c>
      <c r="D1869" s="4" t="s">
        <v>3393</v>
      </c>
      <c r="E1869" s="10" t="s">
        <v>3394</v>
      </c>
      <c r="F1869" s="5" t="str">
        <f t="shared" si="29"/>
        <v>bethard.com</v>
      </c>
      <c r="G1869" s="5" t="s">
        <v>4</v>
      </c>
      <c r="H1869" s="5" t="s">
        <v>5</v>
      </c>
      <c r="I1869" s="6">
        <v>45548</v>
      </c>
    </row>
    <row r="1870" spans="1:9" ht="13.5">
      <c r="A1870" s="2" t="s">
        <v>3128</v>
      </c>
      <c r="B1870" s="3"/>
      <c r="C1870" s="4" t="s">
        <v>3395</v>
      </c>
      <c r="D1870" s="4" t="s">
        <v>3249</v>
      </c>
      <c r="E1870" s="5" t="s">
        <v>3396</v>
      </c>
      <c r="F1870" s="5" t="str">
        <f t="shared" si="29"/>
        <v>bethard.com</v>
      </c>
      <c r="G1870" s="5" t="s">
        <v>4</v>
      </c>
      <c r="H1870" s="5" t="s">
        <v>5</v>
      </c>
      <c r="I1870" s="6">
        <v>45548</v>
      </c>
    </row>
    <row r="1871" spans="1:9" ht="13.5">
      <c r="A1871" s="2" t="s">
        <v>3128</v>
      </c>
      <c r="B1871" s="3"/>
      <c r="C1871" s="4" t="s">
        <v>3397</v>
      </c>
      <c r="D1871" s="4" t="s">
        <v>3130</v>
      </c>
      <c r="E1871" s="5" t="s">
        <v>3398</v>
      </c>
      <c r="F1871" s="5" t="str">
        <f t="shared" si="29"/>
        <v>bethard.com</v>
      </c>
      <c r="G1871" s="5" t="s">
        <v>4</v>
      </c>
      <c r="H1871" s="5" t="s">
        <v>5</v>
      </c>
      <c r="I1871" s="6">
        <v>45548</v>
      </c>
    </row>
    <row r="1872" spans="1:9" ht="13.5">
      <c r="A1872" s="2" t="s">
        <v>2636</v>
      </c>
      <c r="B1872" s="3"/>
      <c r="C1872" s="5" t="s">
        <v>3411</v>
      </c>
      <c r="D1872" s="5" t="s">
        <v>2702</v>
      </c>
      <c r="E1872" s="5" t="s">
        <v>3412</v>
      </c>
      <c r="F1872" s="5" t="str">
        <f t="shared" si="29"/>
        <v>kvarnx.com</v>
      </c>
      <c r="G1872" s="5" t="s">
        <v>4</v>
      </c>
      <c r="H1872" s="5" t="s">
        <v>5</v>
      </c>
      <c r="I1872" s="6">
        <v>45548</v>
      </c>
    </row>
    <row r="1873" spans="1:9" ht="13.5">
      <c r="A1873" s="2" t="s">
        <v>2636</v>
      </c>
      <c r="B1873" s="3"/>
      <c r="C1873" s="5" t="s">
        <v>3413</v>
      </c>
      <c r="D1873" s="5" t="s">
        <v>2702</v>
      </c>
      <c r="E1873" s="5" t="s">
        <v>3414</v>
      </c>
      <c r="F1873" s="5" t="str">
        <f t="shared" si="29"/>
        <v>kvarnx.com</v>
      </c>
      <c r="G1873" s="5" t="s">
        <v>4</v>
      </c>
      <c r="H1873" s="5" t="s">
        <v>5</v>
      </c>
      <c r="I1873" s="6">
        <v>45548</v>
      </c>
    </row>
    <row r="1874" spans="1:9" ht="13.5">
      <c r="A1874" s="7" t="s">
        <v>3419</v>
      </c>
      <c r="B1874" s="3"/>
      <c r="C1874" s="5" t="s">
        <v>3400</v>
      </c>
      <c r="D1874" s="5" t="s">
        <v>3401</v>
      </c>
      <c r="E1874" s="5" t="s">
        <v>3402</v>
      </c>
      <c r="F1874" s="5" t="str">
        <f t="shared" si="29"/>
        <v>zmarta</v>
      </c>
      <c r="G1874" s="5" t="s">
        <v>4</v>
      </c>
      <c r="H1874" s="5" t="s">
        <v>5</v>
      </c>
      <c r="I1874" s="6">
        <v>45548</v>
      </c>
    </row>
    <row r="1875" spans="1:9" ht="13.5">
      <c r="A1875" s="7" t="s">
        <v>3419</v>
      </c>
      <c r="B1875" s="3"/>
      <c r="C1875" s="5" t="s">
        <v>3403</v>
      </c>
      <c r="D1875" s="5" t="s">
        <v>3404</v>
      </c>
      <c r="E1875" s="5" t="s">
        <v>3405</v>
      </c>
      <c r="F1875" s="5" t="str">
        <f t="shared" si="29"/>
        <v>zmarta</v>
      </c>
      <c r="G1875" s="5" t="s">
        <v>4</v>
      </c>
      <c r="H1875" s="5" t="s">
        <v>5</v>
      </c>
      <c r="I1875" s="6">
        <v>45548</v>
      </c>
    </row>
    <row r="1876" spans="1:9" ht="13.5">
      <c r="A1876" s="7" t="s">
        <v>3419</v>
      </c>
      <c r="B1876" s="3"/>
      <c r="C1876" s="5" t="s">
        <v>3406</v>
      </c>
      <c r="D1876" s="5" t="s">
        <v>3407</v>
      </c>
      <c r="E1876" s="5" t="s">
        <v>3408</v>
      </c>
      <c r="F1876" s="5" t="str">
        <f t="shared" si="29"/>
        <v>zmarta</v>
      </c>
      <c r="G1876" s="5" t="s">
        <v>4</v>
      </c>
      <c r="H1876" s="5" t="s">
        <v>5</v>
      </c>
      <c r="I1876" s="6">
        <v>45548</v>
      </c>
    </row>
    <row r="1877" spans="1:9" ht="13.5">
      <c r="A1877" s="7" t="s">
        <v>3419</v>
      </c>
      <c r="B1877" s="3"/>
      <c r="C1877" s="5" t="s">
        <v>3409</v>
      </c>
      <c r="D1877" s="5" t="s">
        <v>3401</v>
      </c>
      <c r="E1877" s="5" t="s">
        <v>3410</v>
      </c>
      <c r="F1877" s="5" t="str">
        <f t="shared" si="29"/>
        <v>zmarta</v>
      </c>
      <c r="G1877" s="5" t="s">
        <v>4</v>
      </c>
      <c r="H1877" s="5" t="s">
        <v>5</v>
      </c>
      <c r="I1877" s="6">
        <v>45548</v>
      </c>
    </row>
    <row r="1878" spans="1:9" ht="13.5">
      <c r="A1878" s="2" t="s">
        <v>1180</v>
      </c>
      <c r="B1878" s="3"/>
      <c r="C1878" s="4" t="s">
        <v>3420</v>
      </c>
      <c r="D1878" s="4" t="s">
        <v>2935</v>
      </c>
      <c r="E1878" s="5" t="s">
        <v>3421</v>
      </c>
      <c r="F1878" s="5" t="str">
        <f t="shared" si="29"/>
        <v>e-ciggbolaget.se</v>
      </c>
      <c r="G1878" s="5" t="s">
        <v>4</v>
      </c>
      <c r="H1878" s="5" t="s">
        <v>5</v>
      </c>
      <c r="I1878" s="6">
        <v>45549</v>
      </c>
    </row>
    <row r="1879" spans="1:9" ht="13.5">
      <c r="A1879" s="2" t="s">
        <v>2549</v>
      </c>
      <c r="B1879" s="3"/>
      <c r="C1879" s="4" t="s">
        <v>3422</v>
      </c>
      <c r="D1879" s="4" t="s">
        <v>3286</v>
      </c>
      <c r="E1879" s="5" t="s">
        <v>3423</v>
      </c>
      <c r="F1879" s="5" t="str">
        <f t="shared" si="29"/>
        <v>purakliniken.se</v>
      </c>
      <c r="G1879" s="5" t="s">
        <v>4</v>
      </c>
      <c r="H1879" s="5" t="s">
        <v>5</v>
      </c>
      <c r="I1879" s="6">
        <v>45549</v>
      </c>
    </row>
    <row r="1880" spans="1:9" ht="13.5">
      <c r="A1880" s="2" t="s">
        <v>2244</v>
      </c>
      <c r="B1880" s="3"/>
      <c r="C1880" s="4" t="s">
        <v>3424</v>
      </c>
      <c r="D1880" s="4" t="s">
        <v>2246</v>
      </c>
      <c r="E1880" s="5" t="s">
        <v>2247</v>
      </c>
      <c r="F1880" s="5" t="str">
        <f t="shared" si="29"/>
        <v>restate.se</v>
      </c>
      <c r="G1880" s="5" t="s">
        <v>4</v>
      </c>
      <c r="H1880" s="5" t="s">
        <v>5</v>
      </c>
      <c r="I1880" s="6">
        <v>45549</v>
      </c>
    </row>
    <row r="1881" spans="1:9" ht="13.5">
      <c r="A1881" s="2" t="s">
        <v>405</v>
      </c>
      <c r="B1881" s="3"/>
      <c r="C1881" s="4" t="s">
        <v>3388</v>
      </c>
      <c r="D1881" s="4" t="s">
        <v>610</v>
      </c>
      <c r="E1881" s="5" t="s">
        <v>1317</v>
      </c>
      <c r="F1881" s="5" t="str">
        <f t="shared" si="29"/>
        <v>rehabgrossisten.com</v>
      </c>
      <c r="G1881" s="5" t="s">
        <v>4</v>
      </c>
      <c r="H1881" s="5" t="s">
        <v>5</v>
      </c>
      <c r="I1881" s="6">
        <v>45550</v>
      </c>
    </row>
    <row r="1882" spans="1:9" ht="13.5">
      <c r="A1882" s="2" t="s">
        <v>2352</v>
      </c>
      <c r="B1882" s="3"/>
      <c r="C1882" s="4" t="s">
        <v>3425</v>
      </c>
      <c r="D1882" s="4" t="s">
        <v>2634</v>
      </c>
      <c r="E1882" s="5" t="s">
        <v>3426</v>
      </c>
      <c r="F1882" s="5" t="str">
        <f t="shared" si="29"/>
        <v>seniorrabatt.se</v>
      </c>
      <c r="G1882" s="5" t="s">
        <v>4</v>
      </c>
      <c r="H1882" s="5" t="s">
        <v>5</v>
      </c>
      <c r="I1882" s="6">
        <v>45550</v>
      </c>
    </row>
    <row r="1883" spans="1:9" ht="13.5">
      <c r="A1883" s="2" t="s">
        <v>2948</v>
      </c>
      <c r="B1883" s="3"/>
      <c r="C1883" s="138" t="s">
        <v>3427</v>
      </c>
      <c r="D1883" s="8" t="s">
        <v>3428</v>
      </c>
      <c r="E1883" s="79" t="s">
        <v>3429</v>
      </c>
      <c r="F1883" s="5" t="str">
        <f t="shared" si="29"/>
        <v>joureliten.se</v>
      </c>
      <c r="G1883" s="5" t="s">
        <v>4</v>
      </c>
      <c r="H1883" s="5" t="s">
        <v>5</v>
      </c>
      <c r="I1883" s="6">
        <v>45551</v>
      </c>
    </row>
    <row r="1884" spans="1:9" ht="14.25">
      <c r="A1884" s="2" t="s">
        <v>2836</v>
      </c>
      <c r="B1884" s="3"/>
      <c r="C1884" s="138" t="s">
        <v>3430</v>
      </c>
      <c r="D1884" s="4" t="s">
        <v>2967</v>
      </c>
      <c r="E1884" s="306" t="s">
        <v>3431</v>
      </c>
      <c r="F1884" s="5" t="str">
        <f t="shared" si="29"/>
        <v>cherry.com</v>
      </c>
      <c r="G1884" s="5" t="s">
        <v>4</v>
      </c>
      <c r="H1884" s="5" t="s">
        <v>5</v>
      </c>
      <c r="I1884" s="6">
        <v>45551</v>
      </c>
    </row>
    <row r="1885" spans="1:9" ht="14.25">
      <c r="A1885" s="2" t="s">
        <v>1318</v>
      </c>
      <c r="B1885" s="3"/>
      <c r="C1885" s="295" t="s">
        <v>3432</v>
      </c>
      <c r="D1885" s="4" t="s">
        <v>3433</v>
      </c>
      <c r="E1885" s="5" t="s">
        <v>3434</v>
      </c>
      <c r="F1885" s="5" t="str">
        <f t="shared" si="29"/>
        <v>spelklubben.se</v>
      </c>
      <c r="G1885" s="5" t="s">
        <v>4</v>
      </c>
      <c r="H1885" s="5" t="s">
        <v>5</v>
      </c>
      <c r="I1885" s="6">
        <v>45551</v>
      </c>
    </row>
    <row r="1886" spans="1:9" ht="13.5">
      <c r="A1886" s="2" t="s">
        <v>2640</v>
      </c>
      <c r="B1886" s="3"/>
      <c r="C1886" s="4" t="s">
        <v>3435</v>
      </c>
      <c r="D1886" s="4" t="s">
        <v>3436</v>
      </c>
      <c r="E1886" s="5" t="s">
        <v>3437</v>
      </c>
      <c r="F1886" s="5" t="str">
        <f t="shared" si="29"/>
        <v>snusnetto.se</v>
      </c>
      <c r="G1886" s="5" t="s">
        <v>4</v>
      </c>
      <c r="H1886" s="5" t="s">
        <v>5</v>
      </c>
      <c r="I1886" s="6">
        <v>45551</v>
      </c>
    </row>
    <row r="1887" spans="1:9" ht="13.5">
      <c r="A1887" s="2" t="s">
        <v>2640</v>
      </c>
      <c r="B1887" s="3"/>
      <c r="C1887" s="4" t="s">
        <v>3438</v>
      </c>
      <c r="D1887" s="4" t="s">
        <v>3436</v>
      </c>
      <c r="E1887" s="5" t="s">
        <v>2571</v>
      </c>
      <c r="F1887" s="5" t="str">
        <f t="shared" si="29"/>
        <v>snusnetto.se</v>
      </c>
      <c r="G1887" s="5" t="s">
        <v>4</v>
      </c>
      <c r="H1887" s="5" t="s">
        <v>5</v>
      </c>
      <c r="I1887" s="6">
        <v>45551</v>
      </c>
    </row>
    <row r="1888" spans="1:9" ht="13.5">
      <c r="A1888" s="7" t="s">
        <v>3341</v>
      </c>
      <c r="B1888" s="3"/>
      <c r="C1888" s="138" t="s">
        <v>3439</v>
      </c>
      <c r="D1888" s="307" t="s">
        <v>3440</v>
      </c>
      <c r="E1888" s="308" t="s">
        <v>3345</v>
      </c>
      <c r="F1888" s="5" t="str">
        <f t="shared" si="29"/>
        <v>navx.store</v>
      </c>
      <c r="G1888" s="5" t="s">
        <v>4</v>
      </c>
      <c r="H1888" s="5" t="s">
        <v>1618</v>
      </c>
      <c r="I1888" s="6">
        <v>45551</v>
      </c>
    </row>
    <row r="1889" spans="1:9" ht="13.5">
      <c r="A1889" s="7"/>
      <c r="B1889" s="3"/>
      <c r="C1889" s="4" t="s">
        <v>3441</v>
      </c>
      <c r="D1889" s="4" t="s">
        <v>3442</v>
      </c>
      <c r="E1889" s="5" t="s">
        <v>3443</v>
      </c>
      <c r="F1889" s="5">
        <f t="shared" si="29"/>
        <v>0</v>
      </c>
      <c r="G1889" s="5" t="s">
        <v>4</v>
      </c>
      <c r="H1889" s="5" t="s">
        <v>5</v>
      </c>
      <c r="I1889" s="6">
        <v>45551</v>
      </c>
    </row>
    <row r="1890" spans="1:9" ht="13.5">
      <c r="A1890" s="7" t="s">
        <v>224</v>
      </c>
      <c r="B1890" s="3"/>
      <c r="C1890" s="4" t="s">
        <v>3444</v>
      </c>
      <c r="D1890" s="4" t="s">
        <v>226</v>
      </c>
      <c r="E1890" s="5" t="s">
        <v>3445</v>
      </c>
      <c r="F1890" s="5" t="str">
        <f t="shared" si="29"/>
        <v>swedoffice</v>
      </c>
      <c r="G1890" s="5" t="s">
        <v>4</v>
      </c>
      <c r="H1890" s="5" t="s">
        <v>5</v>
      </c>
      <c r="I1890" s="6">
        <v>45551</v>
      </c>
    </row>
    <row r="1891" spans="1:9" ht="13.5">
      <c r="A1891" s="2" t="s">
        <v>2428</v>
      </c>
      <c r="B1891" s="3"/>
      <c r="C1891" s="4" t="s">
        <v>2183</v>
      </c>
      <c r="D1891" s="4" t="s">
        <v>3323</v>
      </c>
      <c r="E1891" s="5" t="s">
        <v>3446</v>
      </c>
      <c r="F1891" s="5" t="str">
        <f t="shared" si="29"/>
        <v>sakraror.se</v>
      </c>
      <c r="G1891" s="5" t="s">
        <v>4</v>
      </c>
      <c r="H1891" s="5" t="s">
        <v>5</v>
      </c>
      <c r="I1891" s="6">
        <v>45551</v>
      </c>
    </row>
    <row r="1892" spans="1:9" ht="13.5">
      <c r="A1892" s="2" t="s">
        <v>2640</v>
      </c>
      <c r="B1892" s="3"/>
      <c r="C1892" s="5" t="s">
        <v>3435</v>
      </c>
      <c r="D1892" s="5" t="s">
        <v>3436</v>
      </c>
      <c r="E1892" s="5" t="s">
        <v>3437</v>
      </c>
      <c r="F1892" s="5" t="str">
        <f t="shared" si="29"/>
        <v>snusnetto.se</v>
      </c>
      <c r="G1892" s="5" t="s">
        <v>4</v>
      </c>
      <c r="H1892" s="5" t="s">
        <v>5</v>
      </c>
      <c r="I1892" s="6">
        <v>45551</v>
      </c>
    </row>
    <row r="1893" spans="1:9" ht="13.5">
      <c r="A1893" s="2" t="s">
        <v>2640</v>
      </c>
      <c r="B1893" s="3"/>
      <c r="C1893" s="5" t="s">
        <v>3438</v>
      </c>
      <c r="D1893" s="5" t="s">
        <v>3436</v>
      </c>
      <c r="E1893" s="5" t="s">
        <v>2571</v>
      </c>
      <c r="F1893" s="5" t="str">
        <f t="shared" si="29"/>
        <v>snusnetto.se</v>
      </c>
      <c r="G1893" s="5" t="s">
        <v>4</v>
      </c>
      <c r="H1893" s="5" t="s">
        <v>5</v>
      </c>
      <c r="I1893" s="6">
        <v>45551</v>
      </c>
    </row>
    <row r="1894" spans="1:9" ht="13.5">
      <c r="A1894" s="2" t="s">
        <v>2127</v>
      </c>
      <c r="B1894" s="3"/>
      <c r="C1894" s="4" t="s">
        <v>2647</v>
      </c>
      <c r="D1894" s="4" t="s">
        <v>2415</v>
      </c>
      <c r="E1894" s="5" t="s">
        <v>2664</v>
      </c>
      <c r="F1894" s="5" t="str">
        <f t="shared" si="29"/>
        <v>startmotor.se</v>
      </c>
      <c r="G1894" s="5" t="s">
        <v>4</v>
      </c>
      <c r="H1894" s="5" t="s">
        <v>5</v>
      </c>
      <c r="I1894" s="6">
        <v>45552</v>
      </c>
    </row>
    <row r="1895" spans="1:9" ht="13.5">
      <c r="A1895" s="2" t="s">
        <v>846</v>
      </c>
      <c r="B1895" s="3"/>
      <c r="C1895" s="4" t="s">
        <v>3447</v>
      </c>
      <c r="D1895" s="4" t="s">
        <v>2285</v>
      </c>
      <c r="E1895" s="5" t="s">
        <v>3448</v>
      </c>
      <c r="F1895" s="5" t="str">
        <f t="shared" si="29"/>
        <v>tandea.se</v>
      </c>
      <c r="G1895" s="5" t="s">
        <v>4</v>
      </c>
      <c r="H1895" s="5" t="s">
        <v>5</v>
      </c>
      <c r="I1895" s="6">
        <v>45552</v>
      </c>
    </row>
    <row r="1896" spans="1:9" ht="13.5">
      <c r="A1896" s="7" t="s">
        <v>329</v>
      </c>
      <c r="B1896" s="3"/>
      <c r="C1896" s="4" t="s">
        <v>3320</v>
      </c>
      <c r="D1896" s="4" t="s">
        <v>2399</v>
      </c>
      <c r="E1896" s="5" t="s">
        <v>1570</v>
      </c>
      <c r="F1896" s="5" t="str">
        <f t="shared" si="29"/>
        <v>vont</v>
      </c>
      <c r="G1896" s="5" t="s">
        <v>4</v>
      </c>
      <c r="H1896" s="5" t="s">
        <v>5</v>
      </c>
      <c r="I1896" s="6">
        <v>45552</v>
      </c>
    </row>
    <row r="1897" spans="1:9" ht="13.5">
      <c r="A1897" s="2" t="s">
        <v>1342</v>
      </c>
      <c r="B1897" s="3"/>
      <c r="C1897" s="4" t="s">
        <v>3449</v>
      </c>
      <c r="D1897" s="4" t="s">
        <v>1143</v>
      </c>
      <c r="E1897" s="5" t="s">
        <v>3450</v>
      </c>
      <c r="F1897" s="5" t="str">
        <f t="shared" si="29"/>
        <v>pontonhamnar.se</v>
      </c>
      <c r="G1897" s="5" t="s">
        <v>4</v>
      </c>
      <c r="H1897" s="5" t="s">
        <v>5</v>
      </c>
      <c r="I1897" s="6">
        <v>45553</v>
      </c>
    </row>
    <row r="1898" spans="1:9" ht="13.5">
      <c r="A1898" s="2" t="s">
        <v>325</v>
      </c>
      <c r="B1898" s="3"/>
      <c r="C1898" s="4" t="s">
        <v>3388</v>
      </c>
      <c r="D1898" s="4" t="s">
        <v>1244</v>
      </c>
      <c r="E1898" s="5" t="s">
        <v>3451</v>
      </c>
      <c r="F1898" s="5" t="str">
        <f t="shared" si="29"/>
        <v>tiotak.se</v>
      </c>
      <c r="G1898" s="5" t="s">
        <v>4</v>
      </c>
      <c r="H1898" s="5" t="s">
        <v>5</v>
      </c>
      <c r="I1898" s="6">
        <v>45553</v>
      </c>
    </row>
    <row r="1899" spans="1:9" ht="13.5">
      <c r="A1899" s="2" t="s">
        <v>535</v>
      </c>
      <c r="B1899" s="3"/>
      <c r="C1899" s="4" t="s">
        <v>1748</v>
      </c>
      <c r="D1899" s="4" t="s">
        <v>2806</v>
      </c>
      <c r="E1899" s="5" t="s">
        <v>3330</v>
      </c>
      <c r="F1899" s="5" t="str">
        <f t="shared" si="29"/>
        <v>tryggbil.se</v>
      </c>
      <c r="G1899" s="5" t="s">
        <v>4</v>
      </c>
      <c r="H1899" s="5" t="s">
        <v>5</v>
      </c>
      <c r="I1899" s="6">
        <v>45554</v>
      </c>
    </row>
    <row r="1900" spans="1:9" ht="13.5">
      <c r="A1900" s="2" t="s">
        <v>723</v>
      </c>
      <c r="B1900" s="3"/>
      <c r="C1900" s="4" t="s">
        <v>3452</v>
      </c>
      <c r="D1900" s="4" t="s">
        <v>2138</v>
      </c>
      <c r="E1900" s="5" t="s">
        <v>3453</v>
      </c>
      <c r="F1900" s="5" t="str">
        <f t="shared" si="29"/>
        <v>aretrotale.com</v>
      </c>
      <c r="G1900" s="5" t="s">
        <v>4</v>
      </c>
      <c r="H1900" s="5" t="s">
        <v>23</v>
      </c>
      <c r="I1900" s="6">
        <v>45555</v>
      </c>
    </row>
    <row r="1901" spans="1:9" ht="13.5">
      <c r="A1901" s="2" t="s">
        <v>1180</v>
      </c>
      <c r="B1901" s="3"/>
      <c r="C1901" s="4" t="s">
        <v>3454</v>
      </c>
      <c r="D1901" s="4" t="s">
        <v>2521</v>
      </c>
      <c r="E1901" s="5" t="s">
        <v>3455</v>
      </c>
      <c r="F1901" s="5" t="str">
        <f t="shared" si="29"/>
        <v>e-ciggbolaget.se</v>
      </c>
      <c r="G1901" s="5" t="s">
        <v>4</v>
      </c>
      <c r="H1901" s="5" t="s">
        <v>5</v>
      </c>
      <c r="I1901" s="6">
        <v>45555</v>
      </c>
    </row>
    <row r="1902" spans="1:9" ht="13.5">
      <c r="A1902" s="2" t="s">
        <v>171</v>
      </c>
      <c r="B1902" s="3"/>
      <c r="C1902" s="4" t="s">
        <v>2733</v>
      </c>
      <c r="D1902" s="4" t="s">
        <v>1095</v>
      </c>
      <c r="E1902" s="5" t="s">
        <v>3456</v>
      </c>
      <c r="F1902" s="5" t="str">
        <f t="shared" si="29"/>
        <v>arctic.se</v>
      </c>
      <c r="G1902" s="5" t="s">
        <v>4</v>
      </c>
      <c r="H1902" s="5" t="s">
        <v>5</v>
      </c>
      <c r="I1902" s="6">
        <v>45556</v>
      </c>
    </row>
    <row r="1903" spans="1:9" ht="13.5">
      <c r="A1903" s="2" t="s">
        <v>3173</v>
      </c>
      <c r="B1903" s="3"/>
      <c r="C1903" s="4" t="s">
        <v>3457</v>
      </c>
      <c r="D1903" s="4" t="s">
        <v>3458</v>
      </c>
      <c r="E1903" s="5" t="s">
        <v>3459</v>
      </c>
      <c r="F1903" s="5" t="str">
        <f t="shared" si="29"/>
        <v>ekstromgaray.se</v>
      </c>
      <c r="G1903" s="5" t="s">
        <v>4</v>
      </c>
      <c r="H1903" s="5" t="s">
        <v>5</v>
      </c>
      <c r="I1903" s="6">
        <v>45556</v>
      </c>
    </row>
    <row r="1904" spans="1:9" ht="13.5">
      <c r="A1904" s="2" t="s">
        <v>2592</v>
      </c>
      <c r="B1904" s="3"/>
      <c r="C1904" s="4" t="s">
        <v>3460</v>
      </c>
      <c r="D1904" s="4" t="s">
        <v>3461</v>
      </c>
      <c r="E1904" s="5" t="s">
        <v>3462</v>
      </c>
      <c r="F1904" s="5" t="str">
        <f t="shared" si="29"/>
        <v>everynightstudios.com</v>
      </c>
      <c r="G1904" s="5" t="s">
        <v>4</v>
      </c>
      <c r="H1904" s="5" t="s">
        <v>5</v>
      </c>
      <c r="I1904" s="6">
        <v>45556</v>
      </c>
    </row>
    <row r="1905" spans="1:9" ht="13.5">
      <c r="A1905" s="7" t="s">
        <v>329</v>
      </c>
      <c r="B1905" s="3"/>
      <c r="C1905" s="4" t="s">
        <v>3463</v>
      </c>
      <c r="D1905" s="4" t="s">
        <v>2450</v>
      </c>
      <c r="E1905" s="5" t="s">
        <v>655</v>
      </c>
      <c r="F1905" s="5" t="str">
        <f t="shared" si="29"/>
        <v>vont</v>
      </c>
      <c r="G1905" s="5" t="s">
        <v>4</v>
      </c>
      <c r="H1905" s="5" t="s">
        <v>5</v>
      </c>
      <c r="I1905" s="6">
        <v>45557</v>
      </c>
    </row>
    <row r="1906" spans="1:9" ht="13.9">
      <c r="A1906" s="2" t="s">
        <v>1492</v>
      </c>
      <c r="B1906" s="3"/>
      <c r="C1906" s="309" t="s">
        <v>3464</v>
      </c>
      <c r="D1906" s="310" t="s">
        <v>3465</v>
      </c>
      <c r="E1906" s="5" t="s">
        <v>2955</v>
      </c>
      <c r="F1906" s="5" t="str">
        <f t="shared" si="29"/>
        <v>cdg.io</v>
      </c>
      <c r="G1906" s="5" t="s">
        <v>4</v>
      </c>
      <c r="H1906" s="5" t="s">
        <v>345</v>
      </c>
      <c r="I1906" s="6">
        <v>45558</v>
      </c>
    </row>
    <row r="1907" spans="1:9" ht="13.9">
      <c r="A1907" s="2" t="s">
        <v>1492</v>
      </c>
      <c r="B1907" s="3"/>
      <c r="C1907" s="294" t="s">
        <v>3466</v>
      </c>
      <c r="D1907" s="310" t="s">
        <v>1494</v>
      </c>
      <c r="E1907" s="5" t="s">
        <v>2955</v>
      </c>
      <c r="F1907" s="5" t="str">
        <f t="shared" si="29"/>
        <v>cdg.io</v>
      </c>
      <c r="G1907" s="5" t="s">
        <v>4</v>
      </c>
      <c r="H1907" s="5" t="s">
        <v>345</v>
      </c>
      <c r="I1907" s="6">
        <v>45558</v>
      </c>
    </row>
    <row r="1908" spans="1:9" ht="13.9">
      <c r="A1908" s="2" t="s">
        <v>3186</v>
      </c>
      <c r="B1908" s="3"/>
      <c r="C1908" s="294" t="s">
        <v>3467</v>
      </c>
      <c r="D1908" s="310" t="s">
        <v>3188</v>
      </c>
      <c r="E1908" s="5" t="s">
        <v>3468</v>
      </c>
      <c r="F1908" s="5" t="str">
        <f t="shared" si="29"/>
        <v>myownwater.com</v>
      </c>
      <c r="G1908" s="5" t="s">
        <v>4</v>
      </c>
      <c r="H1908" s="5" t="s">
        <v>345</v>
      </c>
      <c r="I1908" s="6">
        <v>45558</v>
      </c>
    </row>
    <row r="1909" spans="1:9" ht="13.9">
      <c r="A1909" s="7" t="s">
        <v>1910</v>
      </c>
      <c r="B1909" s="3"/>
      <c r="C1909" s="310" t="s">
        <v>3469</v>
      </c>
      <c r="D1909" s="310" t="s">
        <v>3470</v>
      </c>
      <c r="E1909" s="5" t="s">
        <v>2862</v>
      </c>
      <c r="F1909" s="5" t="str">
        <f t="shared" si="29"/>
        <v>kelleher-international</v>
      </c>
      <c r="G1909" s="5" t="s">
        <v>4</v>
      </c>
      <c r="H1909" s="5" t="s">
        <v>345</v>
      </c>
      <c r="I1909" s="6">
        <v>45558</v>
      </c>
    </row>
    <row r="1910" spans="1:9" ht="27">
      <c r="A1910" s="7" t="s">
        <v>1910</v>
      </c>
      <c r="B1910" s="3"/>
      <c r="C1910" s="310" t="s">
        <v>3471</v>
      </c>
      <c r="D1910" s="310" t="s">
        <v>3472</v>
      </c>
      <c r="E1910" s="5" t="s">
        <v>2862</v>
      </c>
      <c r="F1910" s="5" t="str">
        <f t="shared" si="29"/>
        <v>kelleher-international</v>
      </c>
      <c r="G1910" s="5" t="s">
        <v>4</v>
      </c>
      <c r="H1910" s="5" t="s">
        <v>345</v>
      </c>
      <c r="I1910" s="6">
        <v>45558</v>
      </c>
    </row>
    <row r="1911" spans="1:9" ht="13.5">
      <c r="A1911" s="2" t="s">
        <v>435</v>
      </c>
      <c r="B1911" s="3"/>
      <c r="C1911" s="4" t="s">
        <v>3473</v>
      </c>
      <c r="D1911" s="4" t="s">
        <v>3474</v>
      </c>
      <c r="E1911" s="5" t="s">
        <v>3475</v>
      </c>
      <c r="F1911" s="5" t="str">
        <f t="shared" si="29"/>
        <v>fairinvestments.se</v>
      </c>
      <c r="G1911" s="5" t="s">
        <v>4</v>
      </c>
      <c r="H1911" s="5" t="s">
        <v>5</v>
      </c>
      <c r="I1911" s="6">
        <v>45558</v>
      </c>
    </row>
    <row r="1912" spans="1:9" ht="13.5">
      <c r="A1912" s="2" t="s">
        <v>2549</v>
      </c>
      <c r="B1912" s="3"/>
      <c r="C1912" s="4" t="s">
        <v>3476</v>
      </c>
      <c r="D1912" s="4" t="s">
        <v>3204</v>
      </c>
      <c r="E1912" s="5" t="s">
        <v>3477</v>
      </c>
      <c r="F1912" s="5" t="str">
        <f t="shared" si="29"/>
        <v>purakliniken.se</v>
      </c>
      <c r="G1912" s="5" t="s">
        <v>4</v>
      </c>
      <c r="H1912" s="5" t="s">
        <v>5</v>
      </c>
      <c r="I1912" s="6">
        <v>45558</v>
      </c>
    </row>
    <row r="1913" spans="1:9" ht="19.5" customHeight="1">
      <c r="A1913" s="2" t="s">
        <v>3173</v>
      </c>
      <c r="B1913" s="3"/>
      <c r="C1913" s="4" t="s">
        <v>3478</v>
      </c>
      <c r="D1913" s="4" t="s">
        <v>3479</v>
      </c>
      <c r="E1913" s="5" t="s">
        <v>3480</v>
      </c>
      <c r="F1913" s="5" t="str">
        <f t="shared" si="29"/>
        <v>ekstromgaray.se</v>
      </c>
      <c r="G1913" s="5" t="s">
        <v>4</v>
      </c>
      <c r="H1913" s="5" t="s">
        <v>5</v>
      </c>
      <c r="I1913" s="6">
        <v>45558</v>
      </c>
    </row>
    <row r="1914" spans="1:9" ht="13.5">
      <c r="A1914" s="2" t="s">
        <v>1180</v>
      </c>
      <c r="B1914" s="3"/>
      <c r="C1914" s="4" t="s">
        <v>3481</v>
      </c>
      <c r="D1914" s="4" t="s">
        <v>1193</v>
      </c>
      <c r="E1914" s="5" t="s">
        <v>1769</v>
      </c>
      <c r="F1914" s="5" t="str">
        <f t="shared" si="29"/>
        <v>e-ciggbolaget.se</v>
      </c>
      <c r="G1914" s="5" t="s">
        <v>4</v>
      </c>
      <c r="H1914" s="5" t="s">
        <v>5</v>
      </c>
      <c r="I1914" s="6">
        <v>45558</v>
      </c>
    </row>
    <row r="1915" spans="1:9" ht="13.5">
      <c r="A1915" s="7" t="s">
        <v>386</v>
      </c>
      <c r="B1915" s="3"/>
      <c r="C1915" s="4" t="s">
        <v>1613</v>
      </c>
      <c r="D1915" s="4" t="s">
        <v>1202</v>
      </c>
      <c r="E1915" s="5" t="s">
        <v>3482</v>
      </c>
      <c r="F1915" s="5" t="str">
        <f t="shared" si="29"/>
        <v>pontech</v>
      </c>
      <c r="G1915" s="5" t="s">
        <v>4</v>
      </c>
      <c r="H1915" s="5" t="s">
        <v>5</v>
      </c>
      <c r="I1915" s="6">
        <v>45558</v>
      </c>
    </row>
    <row r="1916" spans="1:9" ht="13.5">
      <c r="A1916" s="2" t="s">
        <v>1318</v>
      </c>
      <c r="B1916" s="3"/>
      <c r="C1916" s="4" t="s">
        <v>3483</v>
      </c>
      <c r="D1916" s="4" t="s">
        <v>3484</v>
      </c>
      <c r="E1916" s="5" t="s">
        <v>3485</v>
      </c>
      <c r="F1916" s="5" t="str">
        <f t="shared" si="29"/>
        <v>spelklubben.se</v>
      </c>
      <c r="G1916" s="5" t="s">
        <v>4</v>
      </c>
      <c r="H1916" s="5" t="s">
        <v>5</v>
      </c>
      <c r="I1916" s="6">
        <v>45559</v>
      </c>
    </row>
    <row r="1917" spans="1:9" ht="13.5">
      <c r="A1917" s="2" t="s">
        <v>1318</v>
      </c>
      <c r="B1917" s="3"/>
      <c r="C1917" s="4" t="s">
        <v>3486</v>
      </c>
      <c r="D1917" s="4" t="s">
        <v>3487</v>
      </c>
      <c r="E1917" s="5" t="s">
        <v>2165</v>
      </c>
      <c r="F1917" s="5" t="str">
        <f t="shared" si="29"/>
        <v>spelklubben.se</v>
      </c>
      <c r="G1917" s="5" t="s">
        <v>4</v>
      </c>
      <c r="H1917" s="5" t="s">
        <v>5</v>
      </c>
      <c r="I1917" s="6">
        <v>45559</v>
      </c>
    </row>
    <row r="1918" spans="1:9" ht="13.9">
      <c r="A1918" s="2" t="s">
        <v>1492</v>
      </c>
      <c r="B1918" s="3"/>
      <c r="C1918" s="311" t="s">
        <v>3488</v>
      </c>
      <c r="D1918" s="312" t="s">
        <v>1494</v>
      </c>
      <c r="E1918" s="5" t="s">
        <v>2753</v>
      </c>
      <c r="F1918" s="5" t="str">
        <f t="shared" si="29"/>
        <v>cdg.io</v>
      </c>
      <c r="G1918" s="5" t="s">
        <v>4</v>
      </c>
      <c r="H1918" s="5" t="s">
        <v>345</v>
      </c>
      <c r="I1918" s="6">
        <v>45559</v>
      </c>
    </row>
    <row r="1919" spans="1:9" ht="13.9">
      <c r="A1919" s="2" t="s">
        <v>3186</v>
      </c>
      <c r="B1919" s="3"/>
      <c r="C1919" s="313" t="s">
        <v>3489</v>
      </c>
      <c r="D1919" s="310" t="s">
        <v>3188</v>
      </c>
      <c r="E1919" s="314" t="s">
        <v>3490</v>
      </c>
      <c r="F1919" s="5" t="str">
        <f t="shared" si="29"/>
        <v>myownwater.com</v>
      </c>
      <c r="G1919" s="5" t="s">
        <v>4</v>
      </c>
      <c r="H1919" s="5" t="s">
        <v>345</v>
      </c>
      <c r="I1919" s="6">
        <v>45559</v>
      </c>
    </row>
    <row r="1920" spans="1:9" ht="13.9">
      <c r="A1920" s="2" t="s">
        <v>3491</v>
      </c>
      <c r="B1920" s="3"/>
      <c r="C1920" s="313" t="s">
        <v>3492</v>
      </c>
      <c r="D1920" s="4" t="s">
        <v>3493</v>
      </c>
      <c r="E1920" s="5" t="s">
        <v>3494</v>
      </c>
      <c r="F1920" s="5" t="str">
        <f t="shared" si="29"/>
        <v>mynicco.com</v>
      </c>
      <c r="G1920" s="5" t="s">
        <v>4</v>
      </c>
      <c r="H1920" s="5" t="s">
        <v>345</v>
      </c>
      <c r="I1920" s="6">
        <v>45559</v>
      </c>
    </row>
    <row r="1921" spans="1:9" ht="13.9">
      <c r="A1921" s="2" t="s">
        <v>3491</v>
      </c>
      <c r="B1921" s="3"/>
      <c r="C1921" s="313" t="s">
        <v>3495</v>
      </c>
      <c r="D1921" s="4" t="s">
        <v>3493</v>
      </c>
      <c r="E1921" s="5" t="s">
        <v>3494</v>
      </c>
      <c r="F1921" s="5" t="str">
        <f t="shared" si="29"/>
        <v>mynicco.com</v>
      </c>
      <c r="G1921" s="5" t="s">
        <v>4</v>
      </c>
      <c r="H1921" s="5" t="s">
        <v>3496</v>
      </c>
      <c r="I1921" s="6">
        <v>45559</v>
      </c>
    </row>
    <row r="1922" spans="1:9" ht="13.5">
      <c r="A1922" s="7" t="s">
        <v>1910</v>
      </c>
      <c r="B1922" s="3"/>
      <c r="C1922" s="4" t="s">
        <v>3497</v>
      </c>
      <c r="D1922" s="4" t="s">
        <v>3470</v>
      </c>
      <c r="E1922" s="5" t="s">
        <v>2862</v>
      </c>
      <c r="F1922" s="5" t="str">
        <f t="shared" si="29"/>
        <v>kelleher-international</v>
      </c>
      <c r="G1922" s="5" t="s">
        <v>4</v>
      </c>
      <c r="H1922" s="5" t="s">
        <v>345</v>
      </c>
      <c r="I1922" s="6">
        <v>45559</v>
      </c>
    </row>
    <row r="1923" spans="1:9" ht="13.5">
      <c r="A1923" s="2" t="s">
        <v>2937</v>
      </c>
      <c r="B1923" s="3"/>
      <c r="C1923" s="105" t="s">
        <v>3498</v>
      </c>
      <c r="D1923" s="4" t="s">
        <v>3499</v>
      </c>
      <c r="E1923" s="171" t="s">
        <v>3500</v>
      </c>
      <c r="F1923" s="5" t="str">
        <f t="shared" ref="F1923:F1986" si="30">A1923</f>
        <v>hampabonden.se</v>
      </c>
      <c r="G1923" s="5" t="s">
        <v>4</v>
      </c>
      <c r="H1923" s="5" t="s">
        <v>5</v>
      </c>
      <c r="I1923" s="6">
        <v>45559</v>
      </c>
    </row>
    <row r="1924" spans="1:9" ht="13.5">
      <c r="A1924" s="7" t="s">
        <v>386</v>
      </c>
      <c r="B1924" s="3"/>
      <c r="C1924" s="105" t="s">
        <v>3501</v>
      </c>
      <c r="D1924" s="4" t="s">
        <v>452</v>
      </c>
      <c r="E1924" s="253" t="s">
        <v>1002</v>
      </c>
      <c r="F1924" s="5" t="str">
        <f t="shared" si="30"/>
        <v>pontech</v>
      </c>
      <c r="G1924" s="5" t="s">
        <v>4</v>
      </c>
      <c r="H1924" s="5" t="s">
        <v>5</v>
      </c>
      <c r="I1924" s="6">
        <v>45559</v>
      </c>
    </row>
    <row r="1925" spans="1:9" ht="13.5">
      <c r="A1925" s="2" t="s">
        <v>1180</v>
      </c>
      <c r="B1925" s="3"/>
      <c r="C1925" s="105" t="s">
        <v>3502</v>
      </c>
      <c r="D1925" s="4" t="s">
        <v>3503</v>
      </c>
      <c r="E1925" s="253" t="s">
        <v>3504</v>
      </c>
      <c r="F1925" s="5" t="str">
        <f t="shared" si="30"/>
        <v>e-ciggbolaget.se</v>
      </c>
      <c r="G1925" s="5" t="s">
        <v>4</v>
      </c>
      <c r="H1925" s="5" t="s">
        <v>5</v>
      </c>
      <c r="I1925" s="6">
        <v>45559</v>
      </c>
    </row>
    <row r="1926" spans="1:9" ht="13.5">
      <c r="A1926" s="2" t="s">
        <v>1180</v>
      </c>
      <c r="B1926" s="3"/>
      <c r="C1926" s="105" t="s">
        <v>3505</v>
      </c>
      <c r="D1926" s="4" t="s">
        <v>2521</v>
      </c>
      <c r="E1926" s="253" t="s">
        <v>393</v>
      </c>
      <c r="F1926" s="5" t="str">
        <f t="shared" si="30"/>
        <v>e-ciggbolaget.se</v>
      </c>
      <c r="G1926" s="5" t="s">
        <v>4</v>
      </c>
      <c r="H1926" s="5" t="s">
        <v>5</v>
      </c>
      <c r="I1926" s="6">
        <v>45559</v>
      </c>
    </row>
    <row r="1927" spans="1:9" ht="13.5">
      <c r="A1927" s="2" t="s">
        <v>435</v>
      </c>
      <c r="B1927" s="3"/>
      <c r="C1927" s="105" t="s">
        <v>3506</v>
      </c>
      <c r="D1927" s="4" t="s">
        <v>1384</v>
      </c>
      <c r="E1927" s="76" t="s">
        <v>3507</v>
      </c>
      <c r="F1927" s="5" t="str">
        <f t="shared" si="30"/>
        <v>fairinvestments.se</v>
      </c>
      <c r="G1927" s="5" t="s">
        <v>4</v>
      </c>
      <c r="H1927" s="5" t="s">
        <v>5</v>
      </c>
      <c r="I1927" s="6">
        <v>45559</v>
      </c>
    </row>
    <row r="1928" spans="1:9" ht="13.5">
      <c r="A1928" s="2" t="s">
        <v>435</v>
      </c>
      <c r="B1928" s="3"/>
      <c r="C1928" s="105" t="s">
        <v>3508</v>
      </c>
      <c r="D1928" s="4" t="s">
        <v>3509</v>
      </c>
      <c r="E1928" s="171" t="s">
        <v>3510</v>
      </c>
      <c r="F1928" s="5" t="str">
        <f t="shared" si="30"/>
        <v>fairinvestments.se</v>
      </c>
      <c r="G1928" s="5" t="s">
        <v>4</v>
      </c>
      <c r="H1928" s="5" t="s">
        <v>5</v>
      </c>
      <c r="I1928" s="6">
        <v>45559</v>
      </c>
    </row>
    <row r="1929" spans="1:9" ht="13.5">
      <c r="A1929" s="2" t="s">
        <v>1615</v>
      </c>
      <c r="B1929" s="3"/>
      <c r="C1929" s="4" t="s">
        <v>3511</v>
      </c>
      <c r="D1929" s="4" t="s">
        <v>1617</v>
      </c>
      <c r="E1929" s="5" t="s">
        <v>1619</v>
      </c>
      <c r="F1929" s="5" t="str">
        <f t="shared" si="30"/>
        <v>kamux.fi</v>
      </c>
      <c r="G1929" s="5" t="s">
        <v>4</v>
      </c>
      <c r="H1929" s="5" t="s">
        <v>1618</v>
      </c>
      <c r="I1929" s="6">
        <v>45559</v>
      </c>
    </row>
    <row r="1930" spans="1:9" ht="13.9">
      <c r="A1930" s="2" t="s">
        <v>1615</v>
      </c>
      <c r="B1930" s="3"/>
      <c r="C1930" s="305" t="s">
        <v>3512</v>
      </c>
      <c r="D1930" s="4" t="s">
        <v>1617</v>
      </c>
      <c r="E1930" s="5" t="s">
        <v>1619</v>
      </c>
      <c r="F1930" s="5" t="str">
        <f t="shared" si="30"/>
        <v>kamux.fi</v>
      </c>
      <c r="G1930" s="5" t="s">
        <v>4</v>
      </c>
      <c r="H1930" s="5" t="s">
        <v>1618</v>
      </c>
      <c r="I1930" s="6">
        <v>45567</v>
      </c>
    </row>
    <row r="1931" spans="1:9" ht="13.5">
      <c r="A1931" s="2" t="s">
        <v>1615</v>
      </c>
      <c r="B1931" s="3"/>
      <c r="C1931" s="4" t="s">
        <v>3513</v>
      </c>
      <c r="D1931" s="4" t="s">
        <v>1617</v>
      </c>
      <c r="E1931" s="5" t="s">
        <v>1619</v>
      </c>
      <c r="F1931" s="5" t="str">
        <f t="shared" si="30"/>
        <v>kamux.fi</v>
      </c>
      <c r="G1931" s="5" t="s">
        <v>4</v>
      </c>
      <c r="H1931" s="5" t="s">
        <v>1618</v>
      </c>
      <c r="I1931" s="6">
        <v>45588</v>
      </c>
    </row>
    <row r="1932" spans="1:9" ht="13.5">
      <c r="A1932" s="2" t="s">
        <v>435</v>
      </c>
      <c r="B1932" s="3"/>
      <c r="C1932" s="4" t="s">
        <v>3514</v>
      </c>
      <c r="D1932" s="4" t="s">
        <v>3515</v>
      </c>
      <c r="E1932" s="5" t="s">
        <v>839</v>
      </c>
      <c r="F1932" s="5" t="str">
        <f t="shared" si="30"/>
        <v>fairinvestments.se</v>
      </c>
      <c r="G1932" s="5" t="s">
        <v>4</v>
      </c>
      <c r="H1932" s="5" t="s">
        <v>5</v>
      </c>
      <c r="I1932" s="6">
        <v>45559</v>
      </c>
    </row>
    <row r="1933" spans="1:9" ht="13.5">
      <c r="A1933" s="2" t="s">
        <v>2127</v>
      </c>
      <c r="B1933" s="3"/>
      <c r="C1933" s="4" t="s">
        <v>3516</v>
      </c>
      <c r="D1933" s="4" t="s">
        <v>2129</v>
      </c>
      <c r="E1933" s="9" t="s">
        <v>3517</v>
      </c>
      <c r="F1933" s="5" t="str">
        <f t="shared" si="30"/>
        <v>startmotor.se</v>
      </c>
      <c r="G1933" s="5" t="s">
        <v>4</v>
      </c>
      <c r="H1933" s="5" t="s">
        <v>5</v>
      </c>
      <c r="I1933" s="6">
        <v>45559</v>
      </c>
    </row>
    <row r="1934" spans="1:9" ht="14.25">
      <c r="A1934" s="2" t="s">
        <v>2240</v>
      </c>
      <c r="B1934" s="3"/>
      <c r="C1934" s="295" t="s">
        <v>3518</v>
      </c>
      <c r="D1934" s="4" t="s">
        <v>3519</v>
      </c>
      <c r="E1934" s="5" t="s">
        <v>3494</v>
      </c>
      <c r="F1934" s="5" t="str">
        <f t="shared" si="30"/>
        <v>mrnicco.com</v>
      </c>
      <c r="G1934" s="5" t="s">
        <v>4</v>
      </c>
      <c r="H1934" s="5" t="s">
        <v>2243</v>
      </c>
      <c r="I1934" s="6">
        <v>45560</v>
      </c>
    </row>
    <row r="1935" spans="1:9" ht="13.5">
      <c r="A1935" s="2" t="s">
        <v>171</v>
      </c>
      <c r="B1935" s="3"/>
      <c r="C1935" s="4" t="s">
        <v>3520</v>
      </c>
      <c r="D1935" s="4" t="s">
        <v>1708</v>
      </c>
      <c r="E1935" s="5" t="s">
        <v>1505</v>
      </c>
      <c r="F1935" s="5" t="str">
        <f t="shared" si="30"/>
        <v>arctic.se</v>
      </c>
      <c r="G1935" s="5" t="s">
        <v>4</v>
      </c>
      <c r="H1935" s="5" t="s">
        <v>262</v>
      </c>
      <c r="I1935" s="6">
        <v>45560</v>
      </c>
    </row>
    <row r="1936" spans="1:9" ht="13.5">
      <c r="A1936" s="2" t="s">
        <v>846</v>
      </c>
      <c r="B1936" s="3"/>
      <c r="C1936" s="138" t="s">
        <v>3521</v>
      </c>
      <c r="D1936" s="4" t="s">
        <v>848</v>
      </c>
      <c r="E1936" s="5" t="s">
        <v>1039</v>
      </c>
      <c r="F1936" s="5" t="str">
        <f t="shared" si="30"/>
        <v>tandea.se</v>
      </c>
      <c r="G1936" s="5" t="s">
        <v>4</v>
      </c>
      <c r="H1936" s="5" t="s">
        <v>5</v>
      </c>
      <c r="I1936" s="6">
        <v>45561</v>
      </c>
    </row>
    <row r="1937" spans="1:9" ht="13.5">
      <c r="A1937" s="2" t="s">
        <v>2592</v>
      </c>
      <c r="B1937" s="3"/>
      <c r="C1937" s="138" t="s">
        <v>3522</v>
      </c>
      <c r="D1937" s="4" t="s">
        <v>3523</v>
      </c>
      <c r="E1937" s="5" t="s">
        <v>3524</v>
      </c>
      <c r="F1937" s="5" t="str">
        <f t="shared" si="30"/>
        <v>everynightstudios.com</v>
      </c>
      <c r="G1937" s="5" t="s">
        <v>4</v>
      </c>
      <c r="H1937" s="5" t="s">
        <v>5</v>
      </c>
      <c r="I1937" s="6">
        <v>45561</v>
      </c>
    </row>
    <row r="1938" spans="1:9" ht="13.5">
      <c r="A1938" s="2" t="s">
        <v>2127</v>
      </c>
      <c r="B1938" s="3"/>
      <c r="C1938" s="138" t="s">
        <v>3525</v>
      </c>
      <c r="D1938" s="4" t="s">
        <v>3526</v>
      </c>
      <c r="E1938" s="5" t="s">
        <v>3527</v>
      </c>
      <c r="F1938" s="5" t="str">
        <f t="shared" si="30"/>
        <v>startmotor.se</v>
      </c>
      <c r="G1938" s="5" t="s">
        <v>4</v>
      </c>
      <c r="H1938" s="5" t="s">
        <v>5</v>
      </c>
      <c r="I1938" s="6">
        <v>45561</v>
      </c>
    </row>
    <row r="1939" spans="1:9" ht="13.5">
      <c r="A1939" s="2" t="s">
        <v>2428</v>
      </c>
      <c r="B1939" s="3"/>
      <c r="C1939" s="4" t="s">
        <v>2388</v>
      </c>
      <c r="D1939" s="4" t="s">
        <v>3323</v>
      </c>
      <c r="E1939" s="5" t="s">
        <v>3326</v>
      </c>
      <c r="F1939" s="5" t="str">
        <f t="shared" si="30"/>
        <v>sakraror.se</v>
      </c>
      <c r="G1939" s="5" t="s">
        <v>4</v>
      </c>
      <c r="H1939" s="5" t="s">
        <v>5</v>
      </c>
      <c r="I1939" s="6">
        <v>45561</v>
      </c>
    </row>
    <row r="1940" spans="1:9" ht="13.5">
      <c r="A1940" s="2" t="s">
        <v>3186</v>
      </c>
      <c r="B1940" s="3"/>
      <c r="C1940" s="138" t="s">
        <v>3528</v>
      </c>
      <c r="D1940" s="4" t="s">
        <v>3188</v>
      </c>
      <c r="E1940" s="9" t="s">
        <v>3188</v>
      </c>
      <c r="F1940" s="5" t="str">
        <f t="shared" si="30"/>
        <v>myownwater.com</v>
      </c>
      <c r="G1940" s="5" t="s">
        <v>4</v>
      </c>
      <c r="H1940" s="5" t="s">
        <v>345</v>
      </c>
      <c r="I1940" s="6">
        <v>45562</v>
      </c>
    </row>
    <row r="1941" spans="1:9" ht="13.5">
      <c r="A1941" s="7" t="s">
        <v>3341</v>
      </c>
      <c r="B1941" s="3"/>
      <c r="C1941" s="138" t="s">
        <v>3529</v>
      </c>
      <c r="D1941" s="4" t="s">
        <v>3530</v>
      </c>
      <c r="E1941" s="5" t="s">
        <v>3345</v>
      </c>
      <c r="F1941" s="5" t="str">
        <f t="shared" si="30"/>
        <v>navx.store</v>
      </c>
      <c r="G1941" s="5" t="s">
        <v>4</v>
      </c>
      <c r="H1941" s="5" t="s">
        <v>3344</v>
      </c>
      <c r="I1941" s="6">
        <v>45562</v>
      </c>
    </row>
    <row r="1942" spans="1:9" ht="13.5">
      <c r="A1942" s="7" t="s">
        <v>3341</v>
      </c>
      <c r="B1942" s="3"/>
      <c r="C1942" s="138" t="s">
        <v>3531</v>
      </c>
      <c r="D1942" s="4" t="s">
        <v>3440</v>
      </c>
      <c r="E1942" s="5" t="s">
        <v>3345</v>
      </c>
      <c r="F1942" s="5" t="str">
        <f t="shared" si="30"/>
        <v>navx.store</v>
      </c>
      <c r="G1942" s="5" t="s">
        <v>4</v>
      </c>
      <c r="H1942" s="5" t="s">
        <v>1618</v>
      </c>
      <c r="I1942" s="6">
        <v>45562</v>
      </c>
    </row>
    <row r="1943" spans="1:9" ht="13.5">
      <c r="A1943" s="2" t="s">
        <v>3299</v>
      </c>
      <c r="B1943" s="3"/>
      <c r="C1943" s="278" t="s">
        <v>3532</v>
      </c>
      <c r="D1943" s="4" t="s">
        <v>3533</v>
      </c>
      <c r="E1943" s="5" t="s">
        <v>3534</v>
      </c>
      <c r="F1943" s="5" t="str">
        <f t="shared" si="30"/>
        <v>nodepositbonus.cc</v>
      </c>
      <c r="G1943" s="5" t="s">
        <v>4</v>
      </c>
      <c r="H1943" s="5" t="s">
        <v>345</v>
      </c>
      <c r="I1943" s="6">
        <v>45562</v>
      </c>
    </row>
    <row r="1944" spans="1:9" ht="13.5">
      <c r="A1944" s="2" t="s">
        <v>3299</v>
      </c>
      <c r="B1944" s="3"/>
      <c r="C1944" s="138" t="s">
        <v>3535</v>
      </c>
      <c r="D1944" s="8" t="s">
        <v>3536</v>
      </c>
      <c r="E1944" s="5" t="s">
        <v>3537</v>
      </c>
      <c r="F1944" s="5" t="str">
        <f t="shared" si="30"/>
        <v>nodepositbonus.cc</v>
      </c>
      <c r="G1944" s="5" t="s">
        <v>4</v>
      </c>
      <c r="H1944" s="5" t="s">
        <v>345</v>
      </c>
      <c r="I1944" s="6">
        <v>45562</v>
      </c>
    </row>
    <row r="1945" spans="1:9" ht="13.5">
      <c r="A1945" s="2" t="s">
        <v>1318</v>
      </c>
      <c r="B1945" s="3"/>
      <c r="C1945" s="138" t="s">
        <v>3538</v>
      </c>
      <c r="D1945" s="4" t="s">
        <v>3539</v>
      </c>
      <c r="E1945" s="5" t="s">
        <v>3540</v>
      </c>
      <c r="F1945" s="5" t="str">
        <f t="shared" si="30"/>
        <v>spelklubben.se</v>
      </c>
      <c r="G1945" s="5" t="s">
        <v>4</v>
      </c>
      <c r="H1945" s="5" t="s">
        <v>5</v>
      </c>
      <c r="I1945" s="6">
        <v>45562</v>
      </c>
    </row>
    <row r="1946" spans="1:9" ht="13.5">
      <c r="A1946" s="2" t="s">
        <v>1318</v>
      </c>
      <c r="B1946" s="3"/>
      <c r="C1946" s="4" t="s">
        <v>3541</v>
      </c>
      <c r="D1946" s="4" t="s">
        <v>2644</v>
      </c>
      <c r="E1946" s="5" t="s">
        <v>3542</v>
      </c>
      <c r="F1946" s="5" t="str">
        <f t="shared" si="30"/>
        <v>spelklubben.se</v>
      </c>
      <c r="G1946" s="5" t="s">
        <v>4</v>
      </c>
      <c r="H1946" s="5" t="s">
        <v>5</v>
      </c>
      <c r="I1946" s="6">
        <v>45562</v>
      </c>
    </row>
    <row r="1947" spans="1:9" ht="13.5">
      <c r="A1947" s="2" t="s">
        <v>2836</v>
      </c>
      <c r="B1947" s="3"/>
      <c r="C1947" s="4" t="s">
        <v>3543</v>
      </c>
      <c r="D1947" s="4" t="s">
        <v>3544</v>
      </c>
      <c r="E1947" s="5" t="s">
        <v>3545</v>
      </c>
      <c r="F1947" s="5" t="str">
        <f t="shared" si="30"/>
        <v>cherry.com</v>
      </c>
      <c r="G1947" s="5" t="s">
        <v>4</v>
      </c>
      <c r="H1947" s="5" t="s">
        <v>5</v>
      </c>
      <c r="I1947" s="6">
        <v>45562</v>
      </c>
    </row>
    <row r="1948" spans="1:9" ht="13.5">
      <c r="A1948" s="2" t="s">
        <v>2836</v>
      </c>
      <c r="B1948" s="3"/>
      <c r="C1948" s="4" t="s">
        <v>3546</v>
      </c>
      <c r="D1948" s="4" t="s">
        <v>2838</v>
      </c>
      <c r="E1948" s="5" t="s">
        <v>3547</v>
      </c>
      <c r="F1948" s="5" t="str">
        <f t="shared" si="30"/>
        <v>cherry.com</v>
      </c>
      <c r="G1948" s="5" t="s">
        <v>4</v>
      </c>
      <c r="H1948" s="5" t="s">
        <v>5</v>
      </c>
      <c r="I1948" s="6">
        <v>45562</v>
      </c>
    </row>
    <row r="1949" spans="1:9" ht="13.5">
      <c r="A1949" s="7" t="s">
        <v>329</v>
      </c>
      <c r="B1949" s="3"/>
      <c r="C1949" s="4" t="s">
        <v>3390</v>
      </c>
      <c r="D1949" s="4" t="s">
        <v>1488</v>
      </c>
      <c r="E1949" s="5" t="s">
        <v>1477</v>
      </c>
      <c r="F1949" s="5" t="str">
        <f t="shared" si="30"/>
        <v>vont</v>
      </c>
      <c r="G1949" s="5" t="s">
        <v>4</v>
      </c>
      <c r="H1949" s="5" t="s">
        <v>5</v>
      </c>
      <c r="I1949" s="6">
        <v>45562</v>
      </c>
    </row>
    <row r="1950" spans="1:9" ht="13.5">
      <c r="A1950" s="2" t="s">
        <v>2937</v>
      </c>
      <c r="B1950" s="3"/>
      <c r="C1950" s="4" t="s">
        <v>3548</v>
      </c>
      <c r="D1950" s="4" t="s">
        <v>2986</v>
      </c>
      <c r="E1950" s="5" t="s">
        <v>3549</v>
      </c>
      <c r="F1950" s="5" t="str">
        <f t="shared" si="30"/>
        <v>hampabonden.se</v>
      </c>
      <c r="G1950" s="5" t="s">
        <v>4</v>
      </c>
      <c r="H1950" s="5" t="s">
        <v>5</v>
      </c>
      <c r="I1950" s="6">
        <v>45563</v>
      </c>
    </row>
    <row r="1951" spans="1:9" ht="13.5">
      <c r="A1951" s="2" t="s">
        <v>1342</v>
      </c>
      <c r="B1951" s="3"/>
      <c r="C1951" s="4" t="s">
        <v>3550</v>
      </c>
      <c r="D1951" s="4" t="s">
        <v>1143</v>
      </c>
      <c r="E1951" s="5" t="s">
        <v>3551</v>
      </c>
      <c r="F1951" s="5" t="str">
        <f t="shared" si="30"/>
        <v>pontonhamnar.se</v>
      </c>
      <c r="G1951" s="5" t="s">
        <v>4</v>
      </c>
      <c r="H1951" s="5" t="s">
        <v>5</v>
      </c>
      <c r="I1951" s="6">
        <v>45563</v>
      </c>
    </row>
    <row r="1952" spans="1:9" ht="13.5">
      <c r="A1952" s="2" t="s">
        <v>846</v>
      </c>
      <c r="B1952" s="3"/>
      <c r="C1952" s="4" t="s">
        <v>3552</v>
      </c>
      <c r="D1952" s="4" t="s">
        <v>848</v>
      </c>
      <c r="E1952" s="5" t="s">
        <v>3553</v>
      </c>
      <c r="F1952" s="5" t="str">
        <f t="shared" si="30"/>
        <v>tandea.se</v>
      </c>
      <c r="G1952" s="5" t="s">
        <v>4</v>
      </c>
      <c r="H1952" s="5" t="s">
        <v>5</v>
      </c>
      <c r="I1952" s="6">
        <v>45563</v>
      </c>
    </row>
    <row r="1953" spans="1:9" ht="13.5">
      <c r="A1953" s="2" t="s">
        <v>100</v>
      </c>
      <c r="B1953" s="3"/>
      <c r="C1953" s="105" t="s">
        <v>3554</v>
      </c>
      <c r="D1953" s="87" t="s">
        <v>3555</v>
      </c>
      <c r="E1953" s="79" t="s">
        <v>3015</v>
      </c>
      <c r="F1953" s="5" t="str">
        <f t="shared" si="30"/>
        <v>bigbenstandup.com</v>
      </c>
      <c r="G1953" s="5" t="s">
        <v>4</v>
      </c>
      <c r="H1953" s="5" t="s">
        <v>5</v>
      </c>
      <c r="I1953" s="6">
        <v>45564</v>
      </c>
    </row>
    <row r="1954" spans="1:9" ht="13.5">
      <c r="A1954" s="2" t="s">
        <v>308</v>
      </c>
      <c r="B1954" s="3"/>
      <c r="C1954" s="105" t="s">
        <v>3556</v>
      </c>
      <c r="D1954" s="315" t="s">
        <v>1395</v>
      </c>
      <c r="E1954" s="79" t="s">
        <v>1013</v>
      </c>
      <c r="F1954" s="5" t="str">
        <f t="shared" si="30"/>
        <v>lansfast.se</v>
      </c>
      <c r="G1954" s="5" t="s">
        <v>4</v>
      </c>
      <c r="H1954" s="5" t="s">
        <v>5</v>
      </c>
      <c r="I1954" s="6">
        <v>45564</v>
      </c>
    </row>
    <row r="1955" spans="1:9" ht="13.5">
      <c r="A1955" s="2" t="s">
        <v>1213</v>
      </c>
      <c r="B1955" s="3"/>
      <c r="C1955" s="105" t="s">
        <v>3557</v>
      </c>
      <c r="D1955" s="315" t="s">
        <v>1215</v>
      </c>
      <c r="E1955" s="79" t="s">
        <v>2491</v>
      </c>
      <c r="F1955" s="5" t="str">
        <f t="shared" si="30"/>
        <v>mariatand.se</v>
      </c>
      <c r="G1955" s="5" t="s">
        <v>4</v>
      </c>
      <c r="H1955" s="5" t="s">
        <v>5</v>
      </c>
      <c r="I1955" s="6">
        <v>45564</v>
      </c>
    </row>
    <row r="1956" spans="1:9" ht="13.5">
      <c r="A1956" s="7" t="s">
        <v>224</v>
      </c>
      <c r="B1956" s="3"/>
      <c r="C1956" s="316" t="s">
        <v>3558</v>
      </c>
      <c r="D1956" s="317" t="s">
        <v>461</v>
      </c>
      <c r="E1956" s="76" t="s">
        <v>1117</v>
      </c>
      <c r="F1956" s="5" t="str">
        <f t="shared" si="30"/>
        <v>swedoffice</v>
      </c>
      <c r="G1956" s="5" t="s">
        <v>4</v>
      </c>
      <c r="H1956" s="5" t="s">
        <v>5</v>
      </c>
      <c r="I1956" s="6">
        <v>45564</v>
      </c>
    </row>
    <row r="1957" spans="1:9" ht="13.5">
      <c r="A1957" s="2" t="s">
        <v>325</v>
      </c>
      <c r="B1957" s="3"/>
      <c r="C1957" s="105" t="s">
        <v>3559</v>
      </c>
      <c r="D1957" s="315" t="s">
        <v>1244</v>
      </c>
      <c r="E1957" s="79" t="s">
        <v>463</v>
      </c>
      <c r="F1957" s="5" t="str">
        <f t="shared" si="30"/>
        <v>tiotak.se</v>
      </c>
      <c r="G1957" s="5" t="s">
        <v>4</v>
      </c>
      <c r="H1957" s="5" t="s">
        <v>5</v>
      </c>
      <c r="I1957" s="6">
        <v>45564</v>
      </c>
    </row>
    <row r="1958" spans="1:9" ht="13.5">
      <c r="A1958" s="2" t="s">
        <v>325</v>
      </c>
      <c r="B1958" s="3"/>
      <c r="C1958" s="316" t="s">
        <v>3560</v>
      </c>
      <c r="D1958" s="315" t="s">
        <v>873</v>
      </c>
      <c r="E1958" s="79" t="s">
        <v>2922</v>
      </c>
      <c r="F1958" s="5" t="str">
        <f t="shared" si="30"/>
        <v>tiotak.se</v>
      </c>
      <c r="G1958" s="5" t="s">
        <v>4</v>
      </c>
      <c r="H1958" s="5" t="s">
        <v>5</v>
      </c>
      <c r="I1958" s="6">
        <v>45564</v>
      </c>
    </row>
    <row r="1959" spans="1:9" ht="13.5">
      <c r="A1959" s="2" t="s">
        <v>535</v>
      </c>
      <c r="B1959" s="3"/>
      <c r="C1959" s="105" t="s">
        <v>3561</v>
      </c>
      <c r="D1959" s="315" t="s">
        <v>2806</v>
      </c>
      <c r="E1959" s="79" t="s">
        <v>2807</v>
      </c>
      <c r="F1959" s="5" t="str">
        <f t="shared" si="30"/>
        <v>tryggbil.se</v>
      </c>
      <c r="G1959" s="5" t="s">
        <v>4</v>
      </c>
      <c r="H1959" s="5" t="s">
        <v>5</v>
      </c>
      <c r="I1959" s="6">
        <v>45564</v>
      </c>
    </row>
    <row r="1960" spans="1:9" ht="13.5">
      <c r="A1960" s="2" t="s">
        <v>2205</v>
      </c>
      <c r="B1960" s="3"/>
      <c r="C1960" s="316" t="s">
        <v>3562</v>
      </c>
      <c r="D1960" s="315" t="s">
        <v>2207</v>
      </c>
      <c r="E1960" s="171" t="s">
        <v>3563</v>
      </c>
      <c r="F1960" s="5" t="str">
        <f t="shared" si="30"/>
        <v>Aaatak.se</v>
      </c>
      <c r="G1960" s="5" t="s">
        <v>4</v>
      </c>
      <c r="H1960" s="5" t="s">
        <v>5</v>
      </c>
      <c r="I1960" s="6">
        <v>45564</v>
      </c>
    </row>
    <row r="1961" spans="1:9" ht="13.5">
      <c r="A1961" s="2" t="s">
        <v>3058</v>
      </c>
      <c r="B1961" s="3"/>
      <c r="C1961" s="105" t="s">
        <v>3564</v>
      </c>
      <c r="D1961" s="317" t="s">
        <v>3063</v>
      </c>
      <c r="E1961" s="76" t="s">
        <v>3064</v>
      </c>
      <c r="F1961" s="5" t="str">
        <f t="shared" si="30"/>
        <v>rusta.se</v>
      </c>
      <c r="G1961" s="5" t="s">
        <v>4</v>
      </c>
      <c r="H1961" s="5" t="s">
        <v>5</v>
      </c>
      <c r="I1961" s="6">
        <v>45564</v>
      </c>
    </row>
    <row r="1962" spans="1:9" ht="13.5">
      <c r="A1962" s="2" t="s">
        <v>3058</v>
      </c>
      <c r="B1962" s="3"/>
      <c r="C1962" s="105" t="s">
        <v>3565</v>
      </c>
      <c r="D1962" s="317" t="s">
        <v>3060</v>
      </c>
      <c r="E1962" s="76" t="s">
        <v>3061</v>
      </c>
      <c r="F1962" s="5" t="str">
        <f t="shared" si="30"/>
        <v>rusta.se</v>
      </c>
      <c r="G1962" s="5" t="s">
        <v>4</v>
      </c>
      <c r="H1962" s="5" t="s">
        <v>5</v>
      </c>
      <c r="I1962" s="6">
        <v>45564</v>
      </c>
    </row>
    <row r="1963" spans="1:9" ht="14.25">
      <c r="A1963" s="2" t="s">
        <v>2428</v>
      </c>
      <c r="B1963" s="3"/>
      <c r="C1963" s="105" t="s">
        <v>3566</v>
      </c>
      <c r="D1963" s="318" t="s">
        <v>3323</v>
      </c>
      <c r="E1963" s="79" t="s">
        <v>3446</v>
      </c>
      <c r="F1963" s="5" t="str">
        <f t="shared" si="30"/>
        <v>sakraror.se</v>
      </c>
      <c r="G1963" s="5" t="s">
        <v>4</v>
      </c>
      <c r="H1963" s="5" t="s">
        <v>5</v>
      </c>
      <c r="I1963" s="6">
        <v>45564</v>
      </c>
    </row>
    <row r="1964" spans="1:9" ht="14.25">
      <c r="A1964" s="2" t="s">
        <v>2428</v>
      </c>
      <c r="B1964" s="3"/>
      <c r="C1964" s="105" t="s">
        <v>3567</v>
      </c>
      <c r="D1964" s="318" t="s">
        <v>2430</v>
      </c>
      <c r="E1964" s="79" t="s">
        <v>3568</v>
      </c>
      <c r="F1964" s="5" t="str">
        <f t="shared" si="30"/>
        <v>sakraror.se</v>
      </c>
      <c r="G1964" s="5" t="s">
        <v>4</v>
      </c>
      <c r="H1964" s="5" t="s">
        <v>5</v>
      </c>
      <c r="I1964" s="6">
        <v>45564</v>
      </c>
    </row>
    <row r="1965" spans="1:9" ht="13.5">
      <c r="A1965" s="7"/>
      <c r="B1965" s="3"/>
      <c r="C1965" s="105" t="s">
        <v>3569</v>
      </c>
      <c r="D1965" s="317" t="s">
        <v>3570</v>
      </c>
      <c r="E1965" s="76" t="s">
        <v>3571</v>
      </c>
      <c r="F1965" s="5">
        <f t="shared" si="30"/>
        <v>0</v>
      </c>
      <c r="G1965" s="5" t="s">
        <v>4</v>
      </c>
      <c r="H1965" s="5" t="s">
        <v>5</v>
      </c>
      <c r="I1965" s="6">
        <v>45564</v>
      </c>
    </row>
    <row r="1966" spans="1:9" ht="13.5">
      <c r="A1966" s="2" t="s">
        <v>1180</v>
      </c>
      <c r="B1966" s="3"/>
      <c r="C1966" s="105" t="s">
        <v>3572</v>
      </c>
      <c r="D1966" s="317" t="s">
        <v>2935</v>
      </c>
      <c r="E1966" s="76" t="s">
        <v>1477</v>
      </c>
      <c r="F1966" s="5" t="str">
        <f t="shared" si="30"/>
        <v>e-ciggbolaget.se</v>
      </c>
      <c r="G1966" s="5" t="s">
        <v>4</v>
      </c>
      <c r="H1966" s="5" t="s">
        <v>5</v>
      </c>
      <c r="I1966" s="6">
        <v>45564</v>
      </c>
    </row>
    <row r="1967" spans="1:9" ht="13.5">
      <c r="A1967" s="2" t="s">
        <v>1180</v>
      </c>
      <c r="B1967" s="3"/>
      <c r="C1967" s="105" t="s">
        <v>3573</v>
      </c>
      <c r="D1967" s="317" t="s">
        <v>1193</v>
      </c>
      <c r="E1967" s="76" t="s">
        <v>3574</v>
      </c>
      <c r="F1967" s="5" t="str">
        <f t="shared" si="30"/>
        <v>e-ciggbolaget.se</v>
      </c>
      <c r="G1967" s="5" t="s">
        <v>4</v>
      </c>
      <c r="H1967" s="5" t="s">
        <v>5</v>
      </c>
      <c r="I1967" s="6">
        <v>45564</v>
      </c>
    </row>
    <row r="1968" spans="1:9" ht="13.5">
      <c r="A1968" s="2" t="s">
        <v>2500</v>
      </c>
      <c r="B1968" s="3"/>
      <c r="C1968" s="105" t="s">
        <v>3575</v>
      </c>
      <c r="D1968" s="87" t="s">
        <v>3576</v>
      </c>
      <c r="E1968" s="76" t="s">
        <v>3577</v>
      </c>
      <c r="F1968" s="5" t="str">
        <f t="shared" si="30"/>
        <v>ampilo.se</v>
      </c>
      <c r="G1968" s="5" t="s">
        <v>4</v>
      </c>
      <c r="H1968" s="5" t="s">
        <v>5</v>
      </c>
      <c r="I1968" s="6">
        <v>45564</v>
      </c>
    </row>
    <row r="1969" spans="1:9" ht="13.5">
      <c r="A1969" s="2" t="s">
        <v>2199</v>
      </c>
      <c r="B1969" s="3"/>
      <c r="C1969" s="105" t="s">
        <v>3578</v>
      </c>
      <c r="D1969" s="87" t="s">
        <v>2201</v>
      </c>
      <c r="E1969" s="79" t="s">
        <v>3579</v>
      </c>
      <c r="F1969" s="5" t="str">
        <f t="shared" si="30"/>
        <v>massagestockholm.se</v>
      </c>
      <c r="G1969" s="5" t="s">
        <v>4</v>
      </c>
      <c r="H1969" s="5" t="s">
        <v>5</v>
      </c>
      <c r="I1969" s="6">
        <v>45564</v>
      </c>
    </row>
    <row r="1970" spans="1:9" ht="13.5">
      <c r="A1970" s="2" t="s">
        <v>3580</v>
      </c>
      <c r="B1970" s="3"/>
      <c r="C1970" s="105" t="s">
        <v>3581</v>
      </c>
      <c r="D1970" s="317" t="s">
        <v>3582</v>
      </c>
      <c r="E1970" s="76" t="s">
        <v>3583</v>
      </c>
      <c r="F1970" s="5" t="str">
        <f t="shared" si="30"/>
        <v>kleer.se</v>
      </c>
      <c r="G1970" s="5" t="s">
        <v>4</v>
      </c>
      <c r="H1970" s="5" t="s">
        <v>5</v>
      </c>
      <c r="I1970" s="6">
        <v>45564</v>
      </c>
    </row>
    <row r="1971" spans="1:9" ht="13.5">
      <c r="A1971" s="2" t="s">
        <v>2948</v>
      </c>
      <c r="B1971" s="3"/>
      <c r="C1971" s="316" t="s">
        <v>3584</v>
      </c>
      <c r="D1971" s="87" t="s">
        <v>2950</v>
      </c>
      <c r="E1971" s="76" t="s">
        <v>2951</v>
      </c>
      <c r="F1971" s="5" t="str">
        <f t="shared" si="30"/>
        <v>joureliten.se</v>
      </c>
      <c r="G1971" s="5" t="s">
        <v>4</v>
      </c>
      <c r="H1971" s="5" t="s">
        <v>5</v>
      </c>
      <c r="I1971" s="6">
        <v>45564</v>
      </c>
    </row>
    <row r="1972" spans="1:9" ht="13.5">
      <c r="A1972" s="2" t="s">
        <v>2948</v>
      </c>
      <c r="B1972" s="3"/>
      <c r="C1972" s="105" t="s">
        <v>3585</v>
      </c>
      <c r="D1972" s="87" t="s">
        <v>3428</v>
      </c>
      <c r="E1972" s="76" t="s">
        <v>3429</v>
      </c>
      <c r="F1972" s="5" t="str">
        <f t="shared" si="30"/>
        <v>joureliten.se</v>
      </c>
      <c r="G1972" s="5" t="s">
        <v>4</v>
      </c>
      <c r="H1972" s="5" t="s">
        <v>5</v>
      </c>
      <c r="I1972" s="6">
        <v>45564</v>
      </c>
    </row>
    <row r="1973" spans="1:9" ht="13.5">
      <c r="A1973" s="2" t="s">
        <v>723</v>
      </c>
      <c r="B1973" s="3"/>
      <c r="C1973" s="4" t="s">
        <v>3586</v>
      </c>
      <c r="D1973" s="4" t="s">
        <v>2138</v>
      </c>
      <c r="E1973" s="9" t="s">
        <v>723</v>
      </c>
      <c r="F1973" s="5" t="str">
        <f t="shared" si="30"/>
        <v>aretrotale.com</v>
      </c>
      <c r="G1973" s="5" t="s">
        <v>4</v>
      </c>
      <c r="H1973" s="5" t="s">
        <v>23</v>
      </c>
      <c r="I1973" s="6">
        <v>45564</v>
      </c>
    </row>
    <row r="1974" spans="1:9" ht="13.5">
      <c r="A1974" s="2" t="s">
        <v>325</v>
      </c>
      <c r="B1974" s="3"/>
      <c r="C1974" s="4" t="s">
        <v>2166</v>
      </c>
      <c r="D1974" s="4" t="s">
        <v>873</v>
      </c>
      <c r="E1974" s="5" t="s">
        <v>2804</v>
      </c>
      <c r="F1974" s="5" t="str">
        <f t="shared" si="30"/>
        <v>tiotak.se</v>
      </c>
      <c r="G1974" s="5" t="s">
        <v>4</v>
      </c>
      <c r="H1974" s="5" t="s">
        <v>5</v>
      </c>
      <c r="I1974" s="6">
        <v>45564</v>
      </c>
    </row>
    <row r="1975" spans="1:9" ht="13.5">
      <c r="A1975" s="2" t="s">
        <v>3128</v>
      </c>
      <c r="B1975" s="3"/>
      <c r="C1975" s="138" t="s">
        <v>3587</v>
      </c>
      <c r="D1975" s="138" t="s">
        <v>3130</v>
      </c>
      <c r="E1975" s="5" t="s">
        <v>3588</v>
      </c>
      <c r="F1975" s="5" t="str">
        <f t="shared" si="30"/>
        <v>bethard.com</v>
      </c>
      <c r="G1975" s="5" t="s">
        <v>4</v>
      </c>
      <c r="H1975" s="5" t="s">
        <v>5</v>
      </c>
      <c r="I1975" s="6">
        <v>45565</v>
      </c>
    </row>
    <row r="1976" spans="1:9" ht="13.5">
      <c r="A1976" s="2" t="s">
        <v>3128</v>
      </c>
      <c r="B1976" s="3"/>
      <c r="C1976" s="278" t="s">
        <v>3589</v>
      </c>
      <c r="D1976" s="138" t="s">
        <v>3130</v>
      </c>
      <c r="E1976" s="5" t="s">
        <v>3115</v>
      </c>
      <c r="F1976" s="5" t="str">
        <f t="shared" si="30"/>
        <v>bethard.com</v>
      </c>
      <c r="G1976" s="5" t="s">
        <v>4</v>
      </c>
      <c r="H1976" s="5" t="s">
        <v>5</v>
      </c>
      <c r="I1976" s="6">
        <v>45565</v>
      </c>
    </row>
    <row r="1977" spans="1:9" ht="13.5">
      <c r="A1977" s="2" t="s">
        <v>2636</v>
      </c>
      <c r="B1977" s="3"/>
      <c r="C1977" s="4" t="s">
        <v>3590</v>
      </c>
      <c r="D1977" s="4" t="s">
        <v>3591</v>
      </c>
      <c r="E1977" s="5" t="s">
        <v>3592</v>
      </c>
      <c r="F1977" s="5" t="str">
        <f t="shared" si="30"/>
        <v>kvarnx.com</v>
      </c>
      <c r="G1977" s="5" t="s">
        <v>4</v>
      </c>
      <c r="H1977" s="5" t="s">
        <v>5</v>
      </c>
      <c r="I1977" s="6">
        <v>45565</v>
      </c>
    </row>
    <row r="1978" spans="1:9" ht="13.5">
      <c r="A1978" s="2" t="s">
        <v>2636</v>
      </c>
      <c r="B1978" s="3"/>
      <c r="C1978" s="4" t="s">
        <v>3593</v>
      </c>
      <c r="D1978" s="4" t="s">
        <v>2702</v>
      </c>
      <c r="E1978" s="5" t="s">
        <v>3594</v>
      </c>
      <c r="F1978" s="5" t="str">
        <f t="shared" si="30"/>
        <v>kvarnx.com</v>
      </c>
      <c r="G1978" s="5" t="s">
        <v>4</v>
      </c>
      <c r="H1978" s="5" t="s">
        <v>5</v>
      </c>
      <c r="I1978" s="6">
        <v>45565</v>
      </c>
    </row>
    <row r="1979" spans="1:9" ht="39">
      <c r="A1979" s="2" t="s">
        <v>435</v>
      </c>
      <c r="B1979" s="3"/>
      <c r="C1979" s="4" t="s">
        <v>3595</v>
      </c>
      <c r="D1979" s="4" t="s">
        <v>1384</v>
      </c>
      <c r="E1979" s="213" t="s">
        <v>3596</v>
      </c>
      <c r="F1979" s="5" t="str">
        <f t="shared" si="30"/>
        <v>fairinvestments.se</v>
      </c>
      <c r="G1979" s="5" t="s">
        <v>4</v>
      </c>
      <c r="H1979" s="5" t="s">
        <v>5</v>
      </c>
      <c r="I1979" s="6">
        <v>45565</v>
      </c>
    </row>
    <row r="1980" spans="1:9" ht="13.5">
      <c r="A1980" s="2" t="s">
        <v>1318</v>
      </c>
      <c r="B1980" s="3"/>
      <c r="C1980" s="4" t="s">
        <v>3597</v>
      </c>
      <c r="D1980" s="4" t="s">
        <v>2750</v>
      </c>
      <c r="E1980" s="5" t="s">
        <v>3598</v>
      </c>
      <c r="F1980" s="5" t="str">
        <f t="shared" si="30"/>
        <v>spelklubben.se</v>
      </c>
      <c r="G1980" s="5" t="s">
        <v>4</v>
      </c>
      <c r="H1980" s="5" t="s">
        <v>5</v>
      </c>
      <c r="I1980" s="6">
        <v>45565</v>
      </c>
    </row>
    <row r="1981" spans="1:9" ht="13.5">
      <c r="A1981" s="2" t="s">
        <v>2836</v>
      </c>
      <c r="B1981" s="3"/>
      <c r="C1981" s="4" t="s">
        <v>3599</v>
      </c>
      <c r="D1981" s="4" t="s">
        <v>3227</v>
      </c>
      <c r="E1981" s="5" t="s">
        <v>3600</v>
      </c>
      <c r="F1981" s="5" t="str">
        <f t="shared" si="30"/>
        <v>cherry.com</v>
      </c>
      <c r="G1981" s="5" t="s">
        <v>4</v>
      </c>
      <c r="H1981" s="5" t="s">
        <v>5</v>
      </c>
      <c r="I1981" s="6">
        <v>45565</v>
      </c>
    </row>
    <row r="1982" spans="1:9" ht="13.5">
      <c r="A1982" s="2" t="s">
        <v>3058</v>
      </c>
      <c r="B1982" s="3"/>
      <c r="C1982" s="4" t="s">
        <v>3601</v>
      </c>
      <c r="D1982" s="4" t="s">
        <v>3060</v>
      </c>
      <c r="E1982" s="5" t="s">
        <v>3602</v>
      </c>
      <c r="F1982" s="5" t="str">
        <f t="shared" si="30"/>
        <v>rusta.se</v>
      </c>
      <c r="G1982" s="5" t="s">
        <v>4</v>
      </c>
      <c r="H1982" s="5" t="s">
        <v>5</v>
      </c>
      <c r="I1982" s="6">
        <v>45565</v>
      </c>
    </row>
    <row r="1983" spans="1:9" ht="13.5">
      <c r="A1983" s="2" t="s">
        <v>2836</v>
      </c>
      <c r="B1983" s="3"/>
      <c r="C1983" s="4" t="s">
        <v>3603</v>
      </c>
      <c r="D1983" s="4" t="s">
        <v>3100</v>
      </c>
      <c r="E1983" s="5" t="s">
        <v>3604</v>
      </c>
      <c r="F1983" s="5" t="str">
        <f t="shared" si="30"/>
        <v>cherry.com</v>
      </c>
      <c r="G1983" s="5" t="s">
        <v>4</v>
      </c>
      <c r="H1983" s="5" t="s">
        <v>5</v>
      </c>
      <c r="I1983" s="6">
        <v>45565</v>
      </c>
    </row>
    <row r="1984" spans="1:9" ht="13.5">
      <c r="A1984" s="2" t="s">
        <v>3173</v>
      </c>
      <c r="B1984" s="3"/>
      <c r="C1984" s="4" t="s">
        <v>3605</v>
      </c>
      <c r="D1984" s="4" t="s">
        <v>3175</v>
      </c>
      <c r="E1984" s="5" t="s">
        <v>3606</v>
      </c>
      <c r="F1984" s="5" t="str">
        <f t="shared" si="30"/>
        <v>ekstromgaray.se</v>
      </c>
      <c r="G1984" s="5" t="s">
        <v>4</v>
      </c>
      <c r="H1984" s="5" t="s">
        <v>5</v>
      </c>
      <c r="I1984" s="6">
        <v>45565</v>
      </c>
    </row>
    <row r="1985" spans="1:9" ht="13.5">
      <c r="A1985" s="2" t="s">
        <v>535</v>
      </c>
      <c r="B1985" s="3"/>
      <c r="C1985" s="4" t="s">
        <v>3331</v>
      </c>
      <c r="D1985" s="4" t="s">
        <v>536</v>
      </c>
      <c r="E1985" s="5" t="s">
        <v>3607</v>
      </c>
      <c r="F1985" s="5" t="str">
        <f t="shared" si="30"/>
        <v>tryggbil.se</v>
      </c>
      <c r="G1985" s="5" t="s">
        <v>4</v>
      </c>
      <c r="H1985" s="5" t="s">
        <v>5</v>
      </c>
      <c r="I1985" s="6">
        <v>45565</v>
      </c>
    </row>
    <row r="1986" spans="1:9" ht="13.5">
      <c r="A1986" s="2" t="s">
        <v>3128</v>
      </c>
      <c r="B1986" s="3"/>
      <c r="C1986" s="138" t="s">
        <v>3587</v>
      </c>
      <c r="D1986" s="138" t="s">
        <v>3130</v>
      </c>
      <c r="E1986" s="5" t="s">
        <v>3588</v>
      </c>
      <c r="F1986" s="5" t="str">
        <f t="shared" si="30"/>
        <v>bethard.com</v>
      </c>
      <c r="G1986" s="5" t="s">
        <v>4</v>
      </c>
      <c r="H1986" s="5" t="s">
        <v>5</v>
      </c>
      <c r="I1986" s="6">
        <v>45565</v>
      </c>
    </row>
    <row r="1987" spans="1:9" ht="13.5">
      <c r="A1987" s="2" t="s">
        <v>3128</v>
      </c>
      <c r="B1987" s="3"/>
      <c r="C1987" s="278" t="s">
        <v>3589</v>
      </c>
      <c r="D1987" s="138" t="s">
        <v>3130</v>
      </c>
      <c r="E1987" s="5" t="s">
        <v>3115</v>
      </c>
      <c r="F1987" s="5" t="str">
        <f t="shared" ref="F1987:F2050" si="31">A1987</f>
        <v>bethard.com</v>
      </c>
      <c r="G1987" s="5" t="s">
        <v>4</v>
      </c>
      <c r="H1987" s="5" t="s">
        <v>5</v>
      </c>
      <c r="I1987" s="6">
        <v>45565</v>
      </c>
    </row>
    <row r="1988" spans="1:9" ht="13.5">
      <c r="A1988" s="2" t="s">
        <v>2636</v>
      </c>
      <c r="B1988" s="3"/>
      <c r="C1988" s="5" t="s">
        <v>3590</v>
      </c>
      <c r="D1988" s="5" t="s">
        <v>3591</v>
      </c>
      <c r="E1988" s="5" t="s">
        <v>3592</v>
      </c>
      <c r="F1988" s="5" t="str">
        <f t="shared" si="31"/>
        <v>kvarnx.com</v>
      </c>
      <c r="G1988" s="5" t="s">
        <v>4</v>
      </c>
      <c r="H1988" s="5" t="s">
        <v>5</v>
      </c>
      <c r="I1988" s="6">
        <v>45565</v>
      </c>
    </row>
    <row r="1989" spans="1:9" ht="13.5">
      <c r="A1989" s="2" t="s">
        <v>2636</v>
      </c>
      <c r="B1989" s="3"/>
      <c r="C1989" s="5" t="s">
        <v>3593</v>
      </c>
      <c r="D1989" s="5" t="s">
        <v>2702</v>
      </c>
      <c r="E1989" s="5" t="s">
        <v>3594</v>
      </c>
      <c r="F1989" s="5" t="str">
        <f t="shared" si="31"/>
        <v>kvarnx.com</v>
      </c>
      <c r="G1989" s="5" t="s">
        <v>4</v>
      </c>
      <c r="H1989" s="5" t="s">
        <v>5</v>
      </c>
      <c r="I1989" s="6">
        <v>45565</v>
      </c>
    </row>
    <row r="1990" spans="1:9" ht="13.5">
      <c r="A1990" s="2" t="s">
        <v>1342</v>
      </c>
      <c r="B1990" s="3"/>
      <c r="C1990" s="4" t="s">
        <v>3608</v>
      </c>
      <c r="D1990" s="298" t="s">
        <v>1001</v>
      </c>
      <c r="E1990" s="319" t="s">
        <v>3609</v>
      </c>
      <c r="F1990" s="5" t="str">
        <f t="shared" si="31"/>
        <v>pontonhamnar.se</v>
      </c>
      <c r="G1990" s="5" t="s">
        <v>4</v>
      </c>
      <c r="H1990" s="5" t="s">
        <v>5</v>
      </c>
      <c r="I1990" s="6">
        <v>45566</v>
      </c>
    </row>
    <row r="1991" spans="1:9" ht="13.5">
      <c r="A1991" s="2" t="s">
        <v>1318</v>
      </c>
      <c r="B1991" s="3"/>
      <c r="C1991" s="4" t="s">
        <v>3610</v>
      </c>
      <c r="D1991" s="4" t="s">
        <v>2823</v>
      </c>
      <c r="E1991" s="22" t="s">
        <v>1318</v>
      </c>
      <c r="F1991" s="5" t="str">
        <f t="shared" si="31"/>
        <v>spelklubben.se</v>
      </c>
      <c r="G1991" s="5" t="s">
        <v>4</v>
      </c>
      <c r="H1991" s="5" t="s">
        <v>5</v>
      </c>
      <c r="I1991" s="6">
        <v>45566</v>
      </c>
    </row>
    <row r="1992" spans="1:9" ht="13.5">
      <c r="A1992" s="2" t="s">
        <v>3058</v>
      </c>
      <c r="B1992" s="3"/>
      <c r="C1992" s="138" t="s">
        <v>3611</v>
      </c>
      <c r="D1992" s="138" t="s">
        <v>3063</v>
      </c>
      <c r="E1992" s="72" t="s">
        <v>3612</v>
      </c>
      <c r="F1992" s="5" t="str">
        <f t="shared" si="31"/>
        <v>rusta.se</v>
      </c>
      <c r="G1992" s="5" t="s">
        <v>4</v>
      </c>
      <c r="H1992" s="5" t="s">
        <v>5</v>
      </c>
      <c r="I1992" s="6">
        <v>45566</v>
      </c>
    </row>
    <row r="1993" spans="1:9" ht="13.5">
      <c r="A1993" s="7" t="s">
        <v>329</v>
      </c>
      <c r="B1993" s="3"/>
      <c r="C1993" s="4" t="s">
        <v>3613</v>
      </c>
      <c r="D1993" s="4" t="s">
        <v>331</v>
      </c>
      <c r="E1993" s="320" t="s">
        <v>3614</v>
      </c>
      <c r="F1993" s="5" t="str">
        <f t="shared" si="31"/>
        <v>vont</v>
      </c>
      <c r="G1993" s="5" t="s">
        <v>4</v>
      </c>
      <c r="H1993" s="5" t="s">
        <v>5</v>
      </c>
      <c r="I1993" s="6">
        <v>45566</v>
      </c>
    </row>
    <row r="1994" spans="1:9" ht="13.5">
      <c r="A1994" s="2" t="s">
        <v>3173</v>
      </c>
      <c r="B1994" s="3"/>
      <c r="C1994" s="4" t="s">
        <v>3615</v>
      </c>
      <c r="D1994" s="4" t="s">
        <v>3175</v>
      </c>
      <c r="E1994" s="5" t="s">
        <v>3616</v>
      </c>
      <c r="F1994" s="5" t="str">
        <f t="shared" si="31"/>
        <v>ekstromgaray.se</v>
      </c>
      <c r="G1994" s="5" t="s">
        <v>4</v>
      </c>
      <c r="H1994" s="5" t="s">
        <v>5</v>
      </c>
      <c r="I1994" s="6">
        <v>45566</v>
      </c>
    </row>
    <row r="1995" spans="1:9" ht="13.5">
      <c r="A1995" s="2" t="s">
        <v>2836</v>
      </c>
      <c r="B1995" s="3"/>
      <c r="C1995" s="4" t="s">
        <v>3617</v>
      </c>
      <c r="D1995" s="4" t="s">
        <v>2838</v>
      </c>
      <c r="E1995" s="5" t="s">
        <v>3618</v>
      </c>
      <c r="F1995" s="5" t="str">
        <f t="shared" si="31"/>
        <v>cherry.com</v>
      </c>
      <c r="G1995" s="5" t="s">
        <v>4</v>
      </c>
      <c r="H1995" s="5" t="s">
        <v>5</v>
      </c>
      <c r="I1995" s="6">
        <v>45566</v>
      </c>
    </row>
    <row r="1996" spans="1:9" ht="13.5">
      <c r="A1996" s="2" t="s">
        <v>2836</v>
      </c>
      <c r="B1996" s="3"/>
      <c r="C1996" s="4" t="s">
        <v>3619</v>
      </c>
      <c r="D1996" s="4" t="s">
        <v>2838</v>
      </c>
      <c r="E1996" s="5" t="s">
        <v>3620</v>
      </c>
      <c r="F1996" s="5" t="str">
        <f t="shared" si="31"/>
        <v>cherry.com</v>
      </c>
      <c r="G1996" s="5" t="s">
        <v>4</v>
      </c>
      <c r="H1996" s="5" t="s">
        <v>5</v>
      </c>
      <c r="I1996" s="6">
        <v>45566</v>
      </c>
    </row>
    <row r="1997" spans="1:9" ht="13.5">
      <c r="A1997" s="2" t="s">
        <v>3399</v>
      </c>
      <c r="B1997" s="3"/>
      <c r="C1997" s="138" t="s">
        <v>3621</v>
      </c>
      <c r="D1997" s="138" t="s">
        <v>3407</v>
      </c>
      <c r="E1997" s="9" t="s">
        <v>3622</v>
      </c>
      <c r="F1997" s="5" t="str">
        <f t="shared" si="31"/>
        <v>zmarta.se</v>
      </c>
      <c r="G1997" s="5" t="s">
        <v>4</v>
      </c>
      <c r="H1997" s="5" t="s">
        <v>5</v>
      </c>
      <c r="I1997" s="6">
        <v>45567</v>
      </c>
    </row>
    <row r="1998" spans="1:9" ht="13.5">
      <c r="A1998" s="2" t="s">
        <v>3399</v>
      </c>
      <c r="B1998" s="3"/>
      <c r="C1998" s="5" t="s">
        <v>3623</v>
      </c>
      <c r="D1998" s="138" t="s">
        <v>3407</v>
      </c>
      <c r="E1998" s="5" t="s">
        <v>3624</v>
      </c>
      <c r="F1998" s="5" t="str">
        <f t="shared" si="31"/>
        <v>zmarta.se</v>
      </c>
      <c r="G1998" s="5" t="s">
        <v>4</v>
      </c>
      <c r="H1998" s="5" t="s">
        <v>5</v>
      </c>
      <c r="I1998" s="6">
        <v>45567</v>
      </c>
    </row>
    <row r="1999" spans="1:9" ht="13.5">
      <c r="A1999" s="2" t="s">
        <v>2636</v>
      </c>
      <c r="B1999" s="3"/>
      <c r="C1999" s="4" t="s">
        <v>3625</v>
      </c>
      <c r="D1999" s="4" t="s">
        <v>3626</v>
      </c>
      <c r="E1999" s="5" t="s">
        <v>3627</v>
      </c>
      <c r="F1999" s="5" t="str">
        <f t="shared" si="31"/>
        <v>kvarnx.com</v>
      </c>
      <c r="G1999" s="5" t="s">
        <v>4</v>
      </c>
      <c r="H1999" s="5" t="s">
        <v>5</v>
      </c>
      <c r="I1999" s="6">
        <v>45567</v>
      </c>
    </row>
    <row r="2000" spans="1:9" ht="13.5">
      <c r="A2000" s="2" t="s">
        <v>2640</v>
      </c>
      <c r="B2000" s="3"/>
      <c r="C2000" s="4" t="s">
        <v>3628</v>
      </c>
      <c r="D2000" s="4" t="s">
        <v>3436</v>
      </c>
      <c r="E2000" s="5" t="s">
        <v>1366</v>
      </c>
      <c r="F2000" s="5" t="str">
        <f t="shared" si="31"/>
        <v>snusnetto.se</v>
      </c>
      <c r="G2000" s="5" t="s">
        <v>4</v>
      </c>
      <c r="H2000" s="5" t="s">
        <v>5</v>
      </c>
      <c r="I2000" s="6">
        <v>45567</v>
      </c>
    </row>
    <row r="2001" spans="1:9" ht="13.5">
      <c r="A2001" s="7" t="s">
        <v>67</v>
      </c>
      <c r="B2001" s="3"/>
      <c r="C2001" s="4" t="s">
        <v>3629</v>
      </c>
      <c r="D2001" s="4" t="s">
        <v>2622</v>
      </c>
      <c r="E2001" s="5" t="s">
        <v>2623</v>
      </c>
      <c r="F2001" s="5" t="str">
        <f t="shared" si="31"/>
        <v>nem.health</v>
      </c>
      <c r="G2001" s="5" t="s">
        <v>4</v>
      </c>
      <c r="H2001" s="5" t="s">
        <v>5</v>
      </c>
      <c r="I2001" s="6">
        <v>45567</v>
      </c>
    </row>
    <row r="2002" spans="1:9" ht="13.5">
      <c r="A2002" s="2" t="s">
        <v>3580</v>
      </c>
      <c r="B2002" s="3"/>
      <c r="C2002" s="138" t="s">
        <v>3630</v>
      </c>
      <c r="D2002" s="138" t="s">
        <v>3582</v>
      </c>
      <c r="E2002" s="5" t="s">
        <v>3631</v>
      </c>
      <c r="F2002" s="5" t="str">
        <f t="shared" si="31"/>
        <v>kleer.se</v>
      </c>
      <c r="G2002" s="5" t="s">
        <v>4</v>
      </c>
      <c r="H2002" s="5" t="s">
        <v>5</v>
      </c>
      <c r="I2002" s="6">
        <v>45567</v>
      </c>
    </row>
    <row r="2003" spans="1:9" ht="13.5">
      <c r="A2003" s="2" t="s">
        <v>3155</v>
      </c>
      <c r="B2003" s="3"/>
      <c r="C2003" s="4" t="s">
        <v>3632</v>
      </c>
      <c r="D2003" s="4" t="s">
        <v>3633</v>
      </c>
      <c r="E2003" s="22" t="s">
        <v>3155</v>
      </c>
      <c r="F2003" s="5" t="str">
        <f t="shared" si="31"/>
        <v>soartzy.com</v>
      </c>
      <c r="G2003" s="5" t="s">
        <v>4</v>
      </c>
      <c r="H2003" s="5" t="s">
        <v>5</v>
      </c>
      <c r="I2003" s="6">
        <v>45567</v>
      </c>
    </row>
    <row r="2004" spans="1:9" ht="13.5">
      <c r="A2004" s="2" t="s">
        <v>2592</v>
      </c>
      <c r="B2004" s="3"/>
      <c r="C2004" s="4" t="s">
        <v>3634</v>
      </c>
      <c r="D2004" s="4" t="s">
        <v>3635</v>
      </c>
      <c r="E2004" s="5" t="s">
        <v>3636</v>
      </c>
      <c r="F2004" s="5" t="str">
        <f t="shared" si="31"/>
        <v>everynightstudios.com</v>
      </c>
      <c r="G2004" s="5" t="s">
        <v>4</v>
      </c>
      <c r="H2004" s="5" t="s">
        <v>5</v>
      </c>
      <c r="I2004" s="6">
        <v>45567</v>
      </c>
    </row>
    <row r="2005" spans="1:9" ht="13.5">
      <c r="A2005" s="2" t="s">
        <v>3299</v>
      </c>
      <c r="B2005" s="3"/>
      <c r="C2005" s="4" t="s">
        <v>3637</v>
      </c>
      <c r="D2005" s="4" t="s">
        <v>3638</v>
      </c>
      <c r="E2005" s="5" t="s">
        <v>3639</v>
      </c>
      <c r="F2005" s="5" t="str">
        <f t="shared" si="31"/>
        <v>nodepositbonus.cc</v>
      </c>
      <c r="G2005" s="5" t="s">
        <v>4</v>
      </c>
      <c r="H2005" s="5" t="s">
        <v>1758</v>
      </c>
      <c r="I2005" s="6">
        <v>45567</v>
      </c>
    </row>
    <row r="2006" spans="1:9" ht="13.5">
      <c r="A2006" s="2" t="s">
        <v>1615</v>
      </c>
      <c r="B2006" s="3"/>
      <c r="C2006" s="4" t="s">
        <v>3640</v>
      </c>
      <c r="D2006" s="4" t="s">
        <v>1617</v>
      </c>
      <c r="E2006" s="5" t="s">
        <v>1619</v>
      </c>
      <c r="F2006" s="5" t="str">
        <f t="shared" si="31"/>
        <v>kamux.fi</v>
      </c>
      <c r="G2006" s="5" t="s">
        <v>4</v>
      </c>
      <c r="H2006" s="5" t="s">
        <v>1618</v>
      </c>
      <c r="I2006" s="6">
        <v>45588</v>
      </c>
    </row>
    <row r="2007" spans="1:9" ht="13.5">
      <c r="A2007" s="2" t="s">
        <v>3058</v>
      </c>
      <c r="B2007" s="3"/>
      <c r="C2007" s="4" t="s">
        <v>3641</v>
      </c>
      <c r="D2007" s="4" t="s">
        <v>3063</v>
      </c>
      <c r="E2007" s="5" t="s">
        <v>3185</v>
      </c>
      <c r="F2007" s="5" t="str">
        <f t="shared" si="31"/>
        <v>rusta.se</v>
      </c>
      <c r="G2007" s="5" t="s">
        <v>4</v>
      </c>
      <c r="H2007" s="5" t="s">
        <v>5</v>
      </c>
      <c r="I2007" s="6">
        <v>45567</v>
      </c>
    </row>
    <row r="2008" spans="1:9" ht="13.5">
      <c r="A2008" s="2" t="s">
        <v>2640</v>
      </c>
      <c r="B2008" s="3"/>
      <c r="C2008" s="5" t="s">
        <v>3628</v>
      </c>
      <c r="D2008" s="5" t="s">
        <v>3436</v>
      </c>
      <c r="E2008" s="5" t="s">
        <v>1366</v>
      </c>
      <c r="F2008" s="5" t="str">
        <f t="shared" si="31"/>
        <v>snusnetto.se</v>
      </c>
      <c r="G2008" s="5" t="s">
        <v>4</v>
      </c>
      <c r="H2008" s="5" t="s">
        <v>5</v>
      </c>
      <c r="I2008" s="6">
        <v>45567</v>
      </c>
    </row>
    <row r="2009" spans="1:9" ht="13.5">
      <c r="A2009" s="2" t="s">
        <v>2636</v>
      </c>
      <c r="B2009" s="3"/>
      <c r="C2009" s="5" t="s">
        <v>3625</v>
      </c>
      <c r="D2009" s="5" t="s">
        <v>3626</v>
      </c>
      <c r="E2009" s="5" t="s">
        <v>3627</v>
      </c>
      <c r="F2009" s="5" t="str">
        <f t="shared" si="31"/>
        <v>kvarnx.com</v>
      </c>
      <c r="G2009" s="5" t="s">
        <v>4</v>
      </c>
      <c r="H2009" s="5" t="s">
        <v>5</v>
      </c>
      <c r="I2009" s="6">
        <v>45567</v>
      </c>
    </row>
    <row r="2010" spans="1:9" ht="13.5">
      <c r="A2010" s="7" t="s">
        <v>3419</v>
      </c>
      <c r="B2010" s="3"/>
      <c r="C2010" s="5" t="s">
        <v>3621</v>
      </c>
      <c r="D2010" s="5" t="s">
        <v>3407</v>
      </c>
      <c r="E2010" s="5" t="s">
        <v>3622</v>
      </c>
      <c r="F2010" s="5" t="str">
        <f t="shared" si="31"/>
        <v>zmarta</v>
      </c>
      <c r="G2010" s="5" t="s">
        <v>4</v>
      </c>
      <c r="H2010" s="5" t="s">
        <v>5</v>
      </c>
      <c r="I2010" s="6">
        <v>45567</v>
      </c>
    </row>
    <row r="2011" spans="1:9" ht="13.5">
      <c r="A2011" s="7" t="s">
        <v>3419</v>
      </c>
      <c r="B2011" s="3"/>
      <c r="C2011" s="5" t="s">
        <v>3623</v>
      </c>
      <c r="D2011" s="5" t="s">
        <v>3407</v>
      </c>
      <c r="E2011" s="5" t="s">
        <v>3624</v>
      </c>
      <c r="F2011" s="5" t="str">
        <f t="shared" si="31"/>
        <v>zmarta</v>
      </c>
      <c r="G2011" s="5" t="s">
        <v>4</v>
      </c>
      <c r="H2011" s="5" t="s">
        <v>5</v>
      </c>
      <c r="I2011" s="6">
        <v>45567</v>
      </c>
    </row>
    <row r="2012" spans="1:9" ht="13.5">
      <c r="A2012" s="2" t="s">
        <v>435</v>
      </c>
      <c r="B2012" s="3"/>
      <c r="C2012" s="4" t="s">
        <v>3642</v>
      </c>
      <c r="D2012" s="4" t="s">
        <v>1384</v>
      </c>
      <c r="E2012" s="5" t="s">
        <v>3643</v>
      </c>
      <c r="F2012" s="5" t="str">
        <f t="shared" si="31"/>
        <v>fairinvestments.se</v>
      </c>
      <c r="G2012" s="5" t="s">
        <v>4</v>
      </c>
      <c r="H2012" s="5" t="s">
        <v>5</v>
      </c>
      <c r="I2012" s="6">
        <v>45568</v>
      </c>
    </row>
    <row r="2013" spans="1:9" ht="13.5">
      <c r="A2013" s="2" t="s">
        <v>1318</v>
      </c>
      <c r="B2013" s="3"/>
      <c r="C2013" s="4" t="s">
        <v>3644</v>
      </c>
      <c r="D2013" s="4" t="s">
        <v>1870</v>
      </c>
      <c r="E2013" s="5" t="s">
        <v>2165</v>
      </c>
      <c r="F2013" s="5" t="str">
        <f t="shared" si="31"/>
        <v>spelklubben.se</v>
      </c>
      <c r="G2013" s="5" t="s">
        <v>4</v>
      </c>
      <c r="H2013" s="5" t="s">
        <v>5</v>
      </c>
      <c r="I2013" s="6">
        <v>45568</v>
      </c>
    </row>
    <row r="2014" spans="1:9" ht="13.5">
      <c r="A2014" s="2" t="s">
        <v>1318</v>
      </c>
      <c r="B2014" s="3"/>
      <c r="C2014" s="4" t="s">
        <v>3645</v>
      </c>
      <c r="D2014" s="4" t="s">
        <v>1942</v>
      </c>
      <c r="E2014" s="5" t="s">
        <v>3646</v>
      </c>
      <c r="F2014" s="5" t="str">
        <f t="shared" si="31"/>
        <v>spelklubben.se</v>
      </c>
      <c r="G2014" s="5" t="s">
        <v>4</v>
      </c>
      <c r="H2014" s="5" t="s">
        <v>5</v>
      </c>
      <c r="I2014" s="6">
        <v>45568</v>
      </c>
    </row>
    <row r="2015" spans="1:9" ht="13.5">
      <c r="A2015" s="2" t="s">
        <v>1318</v>
      </c>
      <c r="B2015" s="3"/>
      <c r="C2015" s="4" t="s">
        <v>3647</v>
      </c>
      <c r="D2015" s="4" t="s">
        <v>3433</v>
      </c>
      <c r="E2015" s="5" t="s">
        <v>2840</v>
      </c>
      <c r="F2015" s="5" t="str">
        <f t="shared" si="31"/>
        <v>spelklubben.se</v>
      </c>
      <c r="G2015" s="5" t="s">
        <v>4</v>
      </c>
      <c r="H2015" s="5" t="s">
        <v>5</v>
      </c>
      <c r="I2015" s="6">
        <v>45569</v>
      </c>
    </row>
    <row r="2016" spans="1:9" ht="13.5">
      <c r="A2016" s="2" t="s">
        <v>1318</v>
      </c>
      <c r="B2016" s="3"/>
      <c r="C2016" s="4" t="s">
        <v>3648</v>
      </c>
      <c r="D2016" s="4" t="s">
        <v>3433</v>
      </c>
      <c r="E2016" s="5" t="s">
        <v>3649</v>
      </c>
      <c r="F2016" s="5" t="str">
        <f t="shared" si="31"/>
        <v>spelklubben.se</v>
      </c>
      <c r="G2016" s="5" t="s">
        <v>4</v>
      </c>
      <c r="H2016" s="5" t="s">
        <v>5</v>
      </c>
      <c r="I2016" s="6">
        <v>45569</v>
      </c>
    </row>
    <row r="2017" spans="1:9" ht="13.5">
      <c r="A2017" s="2" t="s">
        <v>2836</v>
      </c>
      <c r="B2017" s="3"/>
      <c r="C2017" s="4" t="s">
        <v>3650</v>
      </c>
      <c r="D2017" s="4" t="s">
        <v>2967</v>
      </c>
      <c r="E2017" s="5" t="s">
        <v>3651</v>
      </c>
      <c r="F2017" s="5" t="str">
        <f t="shared" si="31"/>
        <v>cherry.com</v>
      </c>
      <c r="G2017" s="5" t="s">
        <v>4</v>
      </c>
      <c r="H2017" s="5" t="s">
        <v>5</v>
      </c>
      <c r="I2017" s="6">
        <v>45570</v>
      </c>
    </row>
    <row r="2018" spans="1:9" ht="13.5">
      <c r="A2018" s="2" t="s">
        <v>1318</v>
      </c>
      <c r="B2018" s="3"/>
      <c r="C2018" s="4" t="s">
        <v>3652</v>
      </c>
      <c r="D2018" s="4" t="s">
        <v>3653</v>
      </c>
      <c r="E2018" s="5" t="s">
        <v>3654</v>
      </c>
      <c r="F2018" s="5" t="str">
        <f t="shared" si="31"/>
        <v>spelklubben.se</v>
      </c>
      <c r="G2018" s="5" t="s">
        <v>4</v>
      </c>
      <c r="H2018" s="5" t="s">
        <v>5</v>
      </c>
      <c r="I2018" s="6">
        <v>45572</v>
      </c>
    </row>
    <row r="2019" spans="1:9" ht="13.5">
      <c r="A2019" s="2" t="s">
        <v>2836</v>
      </c>
      <c r="B2019" s="3"/>
      <c r="C2019" s="8" t="s">
        <v>3655</v>
      </c>
      <c r="D2019" s="4" t="s">
        <v>3656</v>
      </c>
      <c r="E2019" s="5" t="s">
        <v>3657</v>
      </c>
      <c r="F2019" s="5" t="str">
        <f t="shared" si="31"/>
        <v>cherry.com</v>
      </c>
      <c r="G2019" s="5" t="s">
        <v>4</v>
      </c>
      <c r="H2019" s="5" t="s">
        <v>5</v>
      </c>
      <c r="I2019" s="6">
        <v>45572</v>
      </c>
    </row>
    <row r="2020" spans="1:9" ht="13.5">
      <c r="A2020" s="2" t="s">
        <v>3658</v>
      </c>
      <c r="B2020" s="3"/>
      <c r="C2020" s="4" t="s">
        <v>3659</v>
      </c>
      <c r="D2020" s="8" t="s">
        <v>3658</v>
      </c>
      <c r="E2020" s="22" t="s">
        <v>3658</v>
      </c>
      <c r="F2020" s="5" t="str">
        <f t="shared" si="31"/>
        <v>bbml.se</v>
      </c>
      <c r="G2020" s="5" t="s">
        <v>4</v>
      </c>
      <c r="H2020" s="5" t="s">
        <v>5</v>
      </c>
      <c r="I2020" s="6">
        <v>45572</v>
      </c>
    </row>
    <row r="2021" spans="1:9" ht="13.5">
      <c r="A2021" s="2" t="s">
        <v>3299</v>
      </c>
      <c r="B2021" s="3"/>
      <c r="C2021" s="4" t="s">
        <v>3660</v>
      </c>
      <c r="D2021" s="4" t="s">
        <v>3661</v>
      </c>
      <c r="E2021" s="5" t="s">
        <v>3662</v>
      </c>
      <c r="F2021" s="5" t="str">
        <f t="shared" si="31"/>
        <v>nodepositbonus.cc</v>
      </c>
      <c r="G2021" s="5" t="s">
        <v>4</v>
      </c>
      <c r="H2021" s="5" t="s">
        <v>5</v>
      </c>
      <c r="I2021" s="6">
        <v>45573</v>
      </c>
    </row>
    <row r="2022" spans="1:9" ht="13.5">
      <c r="A2022" s="2" t="s">
        <v>3658</v>
      </c>
      <c r="B2022" s="3"/>
      <c r="C2022" s="4" t="s">
        <v>3663</v>
      </c>
      <c r="D2022" s="4" t="s">
        <v>3664</v>
      </c>
      <c r="E2022" s="5" t="s">
        <v>3665</v>
      </c>
      <c r="F2022" s="5" t="str">
        <f t="shared" si="31"/>
        <v>bbml.se</v>
      </c>
      <c r="G2022" s="5" t="s">
        <v>4</v>
      </c>
      <c r="H2022" s="5" t="s">
        <v>5</v>
      </c>
      <c r="I2022" s="6">
        <v>45573</v>
      </c>
    </row>
    <row r="2023" spans="1:9" ht="13.5">
      <c r="A2023" s="2" t="s">
        <v>3128</v>
      </c>
      <c r="B2023" s="3"/>
      <c r="C2023" s="4" t="s">
        <v>3666</v>
      </c>
      <c r="D2023" s="4" t="s">
        <v>3667</v>
      </c>
      <c r="E2023" s="5" t="s">
        <v>3668</v>
      </c>
      <c r="F2023" s="5" t="str">
        <f t="shared" si="31"/>
        <v>bethard.com</v>
      </c>
      <c r="G2023" s="5" t="s">
        <v>4</v>
      </c>
      <c r="H2023" s="5" t="s">
        <v>5</v>
      </c>
      <c r="I2023" s="6">
        <v>45573</v>
      </c>
    </row>
    <row r="2024" spans="1:9" ht="13.5">
      <c r="A2024" s="2" t="s">
        <v>3128</v>
      </c>
      <c r="B2024" s="3"/>
      <c r="C2024" s="4" t="s">
        <v>3669</v>
      </c>
      <c r="D2024" s="4" t="s">
        <v>3130</v>
      </c>
      <c r="E2024" s="5" t="s">
        <v>3670</v>
      </c>
      <c r="F2024" s="5" t="str">
        <f t="shared" si="31"/>
        <v>bethard.com</v>
      </c>
      <c r="G2024" s="5" t="s">
        <v>4</v>
      </c>
      <c r="H2024" s="5" t="s">
        <v>5</v>
      </c>
      <c r="I2024" s="6">
        <v>45573</v>
      </c>
    </row>
    <row r="2025" spans="1:9" ht="13.5">
      <c r="A2025" s="2" t="s">
        <v>3128</v>
      </c>
      <c r="B2025" s="3"/>
      <c r="C2025" s="4" t="s">
        <v>3671</v>
      </c>
      <c r="D2025" s="4" t="s">
        <v>3672</v>
      </c>
      <c r="E2025" s="5" t="s">
        <v>3673</v>
      </c>
      <c r="F2025" s="5" t="str">
        <f t="shared" si="31"/>
        <v>bethard.com</v>
      </c>
      <c r="G2025" s="5" t="s">
        <v>4</v>
      </c>
      <c r="H2025" s="5" t="s">
        <v>5</v>
      </c>
      <c r="I2025" s="6">
        <v>45573</v>
      </c>
    </row>
    <row r="2026" spans="1:9" ht="13.5">
      <c r="A2026" s="2" t="s">
        <v>3128</v>
      </c>
      <c r="B2026" s="3"/>
      <c r="C2026" s="4" t="s">
        <v>3674</v>
      </c>
      <c r="D2026" s="4" t="s">
        <v>3130</v>
      </c>
      <c r="E2026" s="5" t="s">
        <v>3675</v>
      </c>
      <c r="F2026" s="5" t="str">
        <f t="shared" si="31"/>
        <v>bethard.com</v>
      </c>
      <c r="G2026" s="5" t="s">
        <v>4</v>
      </c>
      <c r="H2026" s="5" t="s">
        <v>5</v>
      </c>
      <c r="I2026" s="6">
        <v>45573</v>
      </c>
    </row>
    <row r="2027" spans="1:9" ht="13.5">
      <c r="A2027" s="2" t="s">
        <v>2640</v>
      </c>
      <c r="B2027" s="3"/>
      <c r="C2027" s="5" t="s">
        <v>3676</v>
      </c>
      <c r="D2027" s="5" t="s">
        <v>3436</v>
      </c>
      <c r="E2027" s="5" t="s">
        <v>3677</v>
      </c>
      <c r="F2027" s="5" t="str">
        <f t="shared" si="31"/>
        <v>snusnetto.se</v>
      </c>
      <c r="G2027" s="5" t="s">
        <v>4</v>
      </c>
      <c r="H2027" s="5" t="s">
        <v>5</v>
      </c>
      <c r="I2027" s="6">
        <v>45573</v>
      </c>
    </row>
    <row r="2028" spans="1:9" ht="13.5">
      <c r="A2028" s="2" t="s">
        <v>2640</v>
      </c>
      <c r="B2028" s="3"/>
      <c r="C2028" s="5" t="s">
        <v>3678</v>
      </c>
      <c r="D2028" s="5" t="s">
        <v>3232</v>
      </c>
      <c r="E2028" s="5" t="s">
        <v>3679</v>
      </c>
      <c r="F2028" s="5" t="str">
        <f t="shared" si="31"/>
        <v>snusnetto.se</v>
      </c>
      <c r="G2028" s="5" t="s">
        <v>4</v>
      </c>
      <c r="H2028" s="5" t="s">
        <v>5</v>
      </c>
      <c r="I2028" s="6">
        <v>45573</v>
      </c>
    </row>
    <row r="2029" spans="1:9" ht="13.5">
      <c r="A2029" s="2" t="s">
        <v>3128</v>
      </c>
      <c r="B2029" s="3"/>
      <c r="C2029" s="4" t="s">
        <v>3680</v>
      </c>
      <c r="D2029" s="4" t="s">
        <v>3130</v>
      </c>
      <c r="E2029" s="5" t="s">
        <v>3681</v>
      </c>
      <c r="F2029" s="5" t="str">
        <f t="shared" si="31"/>
        <v>bethard.com</v>
      </c>
      <c r="G2029" s="5" t="s">
        <v>4</v>
      </c>
      <c r="H2029" s="5" t="s">
        <v>5</v>
      </c>
      <c r="I2029" s="6">
        <v>45580</v>
      </c>
    </row>
    <row r="2030" spans="1:9" ht="13.5">
      <c r="A2030" s="2" t="s">
        <v>3682</v>
      </c>
      <c r="B2030" s="3"/>
      <c r="C2030" s="5" t="s">
        <v>3683</v>
      </c>
      <c r="D2030" s="5" t="s">
        <v>3684</v>
      </c>
      <c r="E2030" s="5" t="s">
        <v>3685</v>
      </c>
      <c r="F2030" s="5" t="str">
        <f t="shared" si="31"/>
        <v>upplevelse.com</v>
      </c>
      <c r="G2030" s="5" t="s">
        <v>4</v>
      </c>
      <c r="H2030" s="5" t="s">
        <v>5</v>
      </c>
      <c r="I2030" s="6">
        <v>45580</v>
      </c>
    </row>
    <row r="2031" spans="1:9" ht="13.5">
      <c r="A2031" s="2" t="s">
        <v>3682</v>
      </c>
      <c r="B2031" s="3"/>
      <c r="C2031" s="5" t="s">
        <v>3686</v>
      </c>
      <c r="D2031" s="5" t="s">
        <v>3687</v>
      </c>
      <c r="E2031" s="5" t="s">
        <v>3685</v>
      </c>
      <c r="F2031" s="5" t="str">
        <f t="shared" si="31"/>
        <v>upplevelse.com</v>
      </c>
      <c r="G2031" s="5" t="s">
        <v>4</v>
      </c>
      <c r="H2031" s="5" t="s">
        <v>5</v>
      </c>
      <c r="I2031" s="6">
        <v>45580</v>
      </c>
    </row>
    <row r="2032" spans="1:9" ht="13.5">
      <c r="A2032" s="2" t="s">
        <v>3682</v>
      </c>
      <c r="B2032" s="3"/>
      <c r="C2032" s="5" t="s">
        <v>3688</v>
      </c>
      <c r="D2032" s="5" t="s">
        <v>3689</v>
      </c>
      <c r="E2032" s="5" t="s">
        <v>3690</v>
      </c>
      <c r="F2032" s="5" t="str">
        <f t="shared" si="31"/>
        <v>upplevelse.com</v>
      </c>
      <c r="G2032" s="5" t="s">
        <v>4</v>
      </c>
      <c r="H2032" s="5" t="s">
        <v>5</v>
      </c>
      <c r="I2032" s="6">
        <v>45580</v>
      </c>
    </row>
    <row r="2033" spans="1:9" ht="13.5">
      <c r="A2033" s="2" t="s">
        <v>100</v>
      </c>
      <c r="B2033" s="3"/>
      <c r="C2033" s="4" t="s">
        <v>3691</v>
      </c>
      <c r="D2033" s="4" t="s">
        <v>3555</v>
      </c>
      <c r="E2033" s="5" t="s">
        <v>3692</v>
      </c>
      <c r="F2033" s="5" t="str">
        <f t="shared" si="31"/>
        <v>bigbenstandup.com</v>
      </c>
      <c r="G2033" s="5" t="s">
        <v>4</v>
      </c>
      <c r="H2033" s="5" t="s">
        <v>5</v>
      </c>
      <c r="I2033" s="6">
        <v>45581</v>
      </c>
    </row>
    <row r="2034" spans="1:9" ht="13.5">
      <c r="A2034" s="2" t="s">
        <v>308</v>
      </c>
      <c r="B2034" s="3"/>
      <c r="C2034" s="4" t="s">
        <v>3693</v>
      </c>
      <c r="D2034" s="4" t="s">
        <v>1395</v>
      </c>
      <c r="E2034" s="5" t="s">
        <v>2489</v>
      </c>
      <c r="F2034" s="5" t="str">
        <f t="shared" si="31"/>
        <v>lansfast.se</v>
      </c>
      <c r="G2034" s="5" t="s">
        <v>4</v>
      </c>
      <c r="H2034" s="5" t="s">
        <v>5</v>
      </c>
      <c r="I2034" s="6">
        <v>45581</v>
      </c>
    </row>
    <row r="2035" spans="1:9" ht="13.5">
      <c r="A2035" s="2" t="s">
        <v>1213</v>
      </c>
      <c r="B2035" s="3"/>
      <c r="C2035" s="4" t="s">
        <v>3694</v>
      </c>
      <c r="D2035" s="4" t="s">
        <v>1215</v>
      </c>
      <c r="E2035" s="5" t="s">
        <v>2491</v>
      </c>
      <c r="F2035" s="5" t="str">
        <f t="shared" si="31"/>
        <v>mariatand.se</v>
      </c>
      <c r="G2035" s="5" t="s">
        <v>4</v>
      </c>
      <c r="H2035" s="5" t="s">
        <v>5</v>
      </c>
      <c r="I2035" s="6">
        <v>45581</v>
      </c>
    </row>
    <row r="2036" spans="1:9" ht="13.5">
      <c r="A2036" s="7" t="s">
        <v>67</v>
      </c>
      <c r="B2036" s="3"/>
      <c r="C2036" s="4" t="s">
        <v>3695</v>
      </c>
      <c r="D2036" s="4" t="s">
        <v>2622</v>
      </c>
      <c r="E2036" s="5" t="s">
        <v>2623</v>
      </c>
      <c r="F2036" s="5" t="str">
        <f t="shared" si="31"/>
        <v>nem.health</v>
      </c>
      <c r="G2036" s="5" t="s">
        <v>4</v>
      </c>
      <c r="H2036" s="5" t="s">
        <v>5</v>
      </c>
      <c r="I2036" s="6">
        <v>45581</v>
      </c>
    </row>
    <row r="2037" spans="1:9" ht="13.5">
      <c r="A2037" s="7" t="s">
        <v>224</v>
      </c>
      <c r="B2037" s="3"/>
      <c r="C2037" s="4" t="s">
        <v>3696</v>
      </c>
      <c r="D2037" s="4" t="s">
        <v>461</v>
      </c>
      <c r="E2037" s="5" t="s">
        <v>1117</v>
      </c>
      <c r="F2037" s="5" t="str">
        <f t="shared" si="31"/>
        <v>swedoffice</v>
      </c>
      <c r="G2037" s="5" t="s">
        <v>4</v>
      </c>
      <c r="H2037" s="5" t="s">
        <v>5</v>
      </c>
      <c r="I2037" s="6">
        <v>45581</v>
      </c>
    </row>
    <row r="2038" spans="1:9" ht="13.5">
      <c r="A2038" s="2" t="s">
        <v>325</v>
      </c>
      <c r="B2038" s="3"/>
      <c r="C2038" s="4" t="s">
        <v>3697</v>
      </c>
      <c r="D2038" s="4" t="s">
        <v>1244</v>
      </c>
      <c r="E2038" s="5" t="s">
        <v>463</v>
      </c>
      <c r="F2038" s="5" t="str">
        <f t="shared" si="31"/>
        <v>tiotak.se</v>
      </c>
      <c r="G2038" s="5" t="s">
        <v>4</v>
      </c>
      <c r="H2038" s="5" t="s">
        <v>5</v>
      </c>
      <c r="I2038" s="6">
        <v>45581</v>
      </c>
    </row>
    <row r="2039" spans="1:9" ht="13.5">
      <c r="A2039" s="2" t="s">
        <v>325</v>
      </c>
      <c r="B2039" s="3"/>
      <c r="C2039" s="4" t="s">
        <v>3698</v>
      </c>
      <c r="D2039" s="4" t="s">
        <v>873</v>
      </c>
      <c r="E2039" s="5" t="s">
        <v>2922</v>
      </c>
      <c r="F2039" s="5" t="str">
        <f t="shared" si="31"/>
        <v>tiotak.se</v>
      </c>
      <c r="G2039" s="5" t="s">
        <v>4</v>
      </c>
      <c r="H2039" s="5" t="s">
        <v>5</v>
      </c>
      <c r="I2039" s="6">
        <v>45581</v>
      </c>
    </row>
    <row r="2040" spans="1:9" ht="13.5">
      <c r="A2040" s="2" t="s">
        <v>535</v>
      </c>
      <c r="B2040" s="3"/>
      <c r="C2040" s="4" t="s">
        <v>3699</v>
      </c>
      <c r="D2040" s="4" t="s">
        <v>2806</v>
      </c>
      <c r="E2040" s="5" t="s">
        <v>2807</v>
      </c>
      <c r="F2040" s="5" t="str">
        <f t="shared" si="31"/>
        <v>tryggbil.se</v>
      </c>
      <c r="G2040" s="5" t="s">
        <v>4</v>
      </c>
      <c r="H2040" s="5" t="s">
        <v>5</v>
      </c>
      <c r="I2040" s="6">
        <v>45581</v>
      </c>
    </row>
    <row r="2041" spans="1:9" ht="13.5">
      <c r="A2041" s="2" t="s">
        <v>3058</v>
      </c>
      <c r="B2041" s="3"/>
      <c r="C2041" s="4" t="s">
        <v>3700</v>
      </c>
      <c r="D2041" s="4" t="s">
        <v>3063</v>
      </c>
      <c r="E2041" s="5" t="s">
        <v>3064</v>
      </c>
      <c r="F2041" s="5" t="str">
        <f t="shared" si="31"/>
        <v>rusta.se</v>
      </c>
      <c r="G2041" s="5" t="s">
        <v>4</v>
      </c>
      <c r="H2041" s="5" t="s">
        <v>5</v>
      </c>
      <c r="I2041" s="6">
        <v>45581</v>
      </c>
    </row>
    <row r="2042" spans="1:9" ht="13.5">
      <c r="A2042" s="2" t="s">
        <v>3058</v>
      </c>
      <c r="B2042" s="3"/>
      <c r="C2042" s="4" t="s">
        <v>3701</v>
      </c>
      <c r="D2042" s="4" t="s">
        <v>3060</v>
      </c>
      <c r="E2042" s="5" t="s">
        <v>3061</v>
      </c>
      <c r="F2042" s="5" t="str">
        <f t="shared" si="31"/>
        <v>rusta.se</v>
      </c>
      <c r="G2042" s="5" t="s">
        <v>4</v>
      </c>
      <c r="H2042" s="5" t="s">
        <v>5</v>
      </c>
      <c r="I2042" s="6">
        <v>45581</v>
      </c>
    </row>
    <row r="2043" spans="1:9" ht="13.5">
      <c r="A2043" s="2" t="s">
        <v>2428</v>
      </c>
      <c r="B2043" s="3"/>
      <c r="C2043" s="4" t="s">
        <v>3702</v>
      </c>
      <c r="D2043" s="4" t="s">
        <v>2430</v>
      </c>
      <c r="E2043" s="5" t="s">
        <v>3098</v>
      </c>
      <c r="F2043" s="5" t="str">
        <f t="shared" si="31"/>
        <v>sakraror.se</v>
      </c>
      <c r="G2043" s="5" t="s">
        <v>4</v>
      </c>
      <c r="H2043" s="5" t="s">
        <v>5</v>
      </c>
      <c r="I2043" s="6">
        <v>45581</v>
      </c>
    </row>
    <row r="2044" spans="1:9" ht="13.5">
      <c r="A2044" s="7"/>
      <c r="B2044" s="3"/>
      <c r="C2044" s="4" t="s">
        <v>3703</v>
      </c>
      <c r="D2044" s="4" t="s">
        <v>3570</v>
      </c>
      <c r="E2044" s="5" t="s">
        <v>3571</v>
      </c>
      <c r="F2044" s="5">
        <f t="shared" si="31"/>
        <v>0</v>
      </c>
      <c r="G2044" s="5" t="s">
        <v>4</v>
      </c>
      <c r="H2044" s="5" t="s">
        <v>5</v>
      </c>
      <c r="I2044" s="6">
        <v>45581</v>
      </c>
    </row>
    <row r="2045" spans="1:9" ht="13.5">
      <c r="A2045" s="2" t="s">
        <v>3580</v>
      </c>
      <c r="B2045" s="3"/>
      <c r="C2045" s="4" t="s">
        <v>3704</v>
      </c>
      <c r="D2045" s="4" t="s">
        <v>3582</v>
      </c>
      <c r="E2045" s="5" t="s">
        <v>3583</v>
      </c>
      <c r="F2045" s="5" t="str">
        <f t="shared" si="31"/>
        <v>kleer.se</v>
      </c>
      <c r="G2045" s="5" t="s">
        <v>4</v>
      </c>
      <c r="H2045" s="5" t="s">
        <v>5</v>
      </c>
      <c r="I2045" s="6">
        <v>45581</v>
      </c>
    </row>
    <row r="2046" spans="1:9" ht="13.5">
      <c r="A2046" s="2" t="s">
        <v>2948</v>
      </c>
      <c r="B2046" s="3"/>
      <c r="C2046" s="4" t="s">
        <v>3705</v>
      </c>
      <c r="D2046" s="4" t="s">
        <v>2950</v>
      </c>
      <c r="E2046" s="5" t="s">
        <v>2951</v>
      </c>
      <c r="F2046" s="5" t="str">
        <f t="shared" si="31"/>
        <v>joureliten.se</v>
      </c>
      <c r="G2046" s="5" t="s">
        <v>4</v>
      </c>
      <c r="H2046" s="5" t="s">
        <v>5</v>
      </c>
      <c r="I2046" s="6">
        <v>45581</v>
      </c>
    </row>
    <row r="2047" spans="1:9" ht="13.5">
      <c r="A2047" s="2" t="s">
        <v>2948</v>
      </c>
      <c r="B2047" s="3"/>
      <c r="C2047" s="4" t="s">
        <v>3706</v>
      </c>
      <c r="D2047" s="4" t="s">
        <v>3428</v>
      </c>
      <c r="E2047" s="5" t="s">
        <v>3429</v>
      </c>
      <c r="F2047" s="5" t="str">
        <f t="shared" si="31"/>
        <v>joureliten.se</v>
      </c>
      <c r="G2047" s="5" t="s">
        <v>4</v>
      </c>
      <c r="H2047" s="5" t="s">
        <v>5</v>
      </c>
      <c r="I2047" s="6">
        <v>45581</v>
      </c>
    </row>
    <row r="2048" spans="1:9" ht="13.5">
      <c r="A2048" s="2" t="s">
        <v>803</v>
      </c>
      <c r="B2048" s="3"/>
      <c r="C2048" s="4" t="s">
        <v>3707</v>
      </c>
      <c r="D2048" s="4" t="s">
        <v>2599</v>
      </c>
      <c r="E2048" s="5" t="s">
        <v>3708</v>
      </c>
      <c r="F2048" s="5" t="str">
        <f t="shared" si="31"/>
        <v>foyen.se</v>
      </c>
      <c r="G2048" s="5" t="s">
        <v>4</v>
      </c>
      <c r="H2048" s="5" t="s">
        <v>5</v>
      </c>
      <c r="I2048" s="6">
        <v>45581</v>
      </c>
    </row>
    <row r="2049" spans="1:9" ht="13.5">
      <c r="A2049" s="2" t="s">
        <v>308</v>
      </c>
      <c r="B2049" s="3"/>
      <c r="C2049" s="4" t="s">
        <v>3709</v>
      </c>
      <c r="D2049" s="4" t="s">
        <v>1395</v>
      </c>
      <c r="E2049" s="5" t="s">
        <v>2489</v>
      </c>
      <c r="F2049" s="5" t="str">
        <f t="shared" si="31"/>
        <v>lansfast.se</v>
      </c>
      <c r="G2049" s="5" t="s">
        <v>4</v>
      </c>
      <c r="H2049" s="5" t="s">
        <v>5</v>
      </c>
      <c r="I2049" s="6">
        <v>45581</v>
      </c>
    </row>
    <row r="2050" spans="1:9" ht="13.5">
      <c r="A2050" s="2" t="s">
        <v>765</v>
      </c>
      <c r="B2050" s="3"/>
      <c r="C2050" s="4" t="s">
        <v>3710</v>
      </c>
      <c r="D2050" s="4" t="s">
        <v>1136</v>
      </c>
      <c r="E2050" s="5" t="s">
        <v>1234</v>
      </c>
      <c r="F2050" s="5" t="str">
        <f t="shared" si="31"/>
        <v>lemontree.se</v>
      </c>
      <c r="G2050" s="5" t="s">
        <v>4</v>
      </c>
      <c r="H2050" s="5" t="s">
        <v>5</v>
      </c>
      <c r="I2050" s="6">
        <v>45581</v>
      </c>
    </row>
    <row r="2051" spans="1:9" ht="13.5">
      <c r="A2051" s="2" t="s">
        <v>1213</v>
      </c>
      <c r="B2051" s="3"/>
      <c r="C2051" s="4" t="s">
        <v>3711</v>
      </c>
      <c r="D2051" s="4" t="s">
        <v>1314</v>
      </c>
      <c r="E2051" s="5" t="s">
        <v>2889</v>
      </c>
      <c r="F2051" s="5" t="str">
        <f t="shared" ref="F2051:F2114" si="32">A2051</f>
        <v>mariatand.se</v>
      </c>
      <c r="G2051" s="5" t="s">
        <v>4</v>
      </c>
      <c r="H2051" s="5" t="s">
        <v>5</v>
      </c>
      <c r="I2051" s="6">
        <v>45581</v>
      </c>
    </row>
    <row r="2052" spans="1:9" ht="13.5">
      <c r="A2052" s="2" t="s">
        <v>1213</v>
      </c>
      <c r="B2052" s="3"/>
      <c r="C2052" s="4" t="s">
        <v>3712</v>
      </c>
      <c r="D2052" s="4" t="s">
        <v>1215</v>
      </c>
      <c r="E2052" s="5" t="s">
        <v>2491</v>
      </c>
      <c r="F2052" s="5" t="str">
        <f t="shared" si="32"/>
        <v>mariatand.se</v>
      </c>
      <c r="G2052" s="5" t="s">
        <v>4</v>
      </c>
      <c r="H2052" s="5" t="s">
        <v>5</v>
      </c>
      <c r="I2052" s="6">
        <v>45581</v>
      </c>
    </row>
    <row r="2053" spans="1:9" ht="13.5">
      <c r="A2053" s="7" t="s">
        <v>67</v>
      </c>
      <c r="B2053" s="3"/>
      <c r="C2053" s="4" t="s">
        <v>3713</v>
      </c>
      <c r="D2053" s="4" t="s">
        <v>2622</v>
      </c>
      <c r="E2053" s="5" t="s">
        <v>2623</v>
      </c>
      <c r="F2053" s="5" t="str">
        <f t="shared" si="32"/>
        <v>nem.health</v>
      </c>
      <c r="G2053" s="5" t="s">
        <v>4</v>
      </c>
      <c r="H2053" s="5" t="s">
        <v>5</v>
      </c>
      <c r="I2053" s="6">
        <v>45581</v>
      </c>
    </row>
    <row r="2054" spans="1:9" ht="13.5">
      <c r="A2054" s="2" t="s">
        <v>405</v>
      </c>
      <c r="B2054" s="3"/>
      <c r="C2054" s="4" t="s">
        <v>3714</v>
      </c>
      <c r="D2054" s="4" t="s">
        <v>610</v>
      </c>
      <c r="E2054" s="5" t="s">
        <v>1430</v>
      </c>
      <c r="F2054" s="5" t="str">
        <f t="shared" si="32"/>
        <v>rehabgrossisten.com</v>
      </c>
      <c r="G2054" s="5" t="s">
        <v>4</v>
      </c>
      <c r="H2054" s="5" t="s">
        <v>5</v>
      </c>
      <c r="I2054" s="6">
        <v>45581</v>
      </c>
    </row>
    <row r="2055" spans="1:9" ht="13.5">
      <c r="A2055" s="2" t="s">
        <v>2352</v>
      </c>
      <c r="B2055" s="3"/>
      <c r="C2055" s="4" t="s">
        <v>3715</v>
      </c>
      <c r="D2055" s="4" t="s">
        <v>2352</v>
      </c>
      <c r="E2055" s="5" t="s">
        <v>3716</v>
      </c>
      <c r="F2055" s="5" t="str">
        <f t="shared" si="32"/>
        <v>seniorrabatt.se</v>
      </c>
      <c r="G2055" s="5" t="s">
        <v>4</v>
      </c>
      <c r="H2055" s="5" t="s">
        <v>5</v>
      </c>
      <c r="I2055" s="6">
        <v>45581</v>
      </c>
    </row>
    <row r="2056" spans="1:9" ht="13.5">
      <c r="A2056" s="2" t="s">
        <v>2127</v>
      </c>
      <c r="B2056" s="3"/>
      <c r="C2056" s="4" t="s">
        <v>3717</v>
      </c>
      <c r="D2056" s="4" t="s">
        <v>2415</v>
      </c>
      <c r="E2056" s="5" t="s">
        <v>2664</v>
      </c>
      <c r="F2056" s="5" t="str">
        <f t="shared" si="32"/>
        <v>startmotor.se</v>
      </c>
      <c r="G2056" s="5" t="s">
        <v>4</v>
      </c>
      <c r="H2056" s="5" t="s">
        <v>5</v>
      </c>
      <c r="I2056" s="6">
        <v>45581</v>
      </c>
    </row>
    <row r="2057" spans="1:9" ht="13.5">
      <c r="A2057" s="2" t="s">
        <v>2127</v>
      </c>
      <c r="B2057" s="3"/>
      <c r="C2057" s="4" t="s">
        <v>3718</v>
      </c>
      <c r="D2057" s="4" t="s">
        <v>2129</v>
      </c>
      <c r="E2057" s="5" t="s">
        <v>3719</v>
      </c>
      <c r="F2057" s="5" t="str">
        <f t="shared" si="32"/>
        <v>startmotor.se</v>
      </c>
      <c r="G2057" s="5" t="s">
        <v>4</v>
      </c>
      <c r="H2057" s="5" t="s">
        <v>5</v>
      </c>
      <c r="I2057" s="6">
        <v>45581</v>
      </c>
    </row>
    <row r="2058" spans="1:9" ht="13.5">
      <c r="A2058" s="7" t="s">
        <v>224</v>
      </c>
      <c r="B2058" s="3"/>
      <c r="C2058" s="4" t="s">
        <v>3720</v>
      </c>
      <c r="D2058" s="4" t="s">
        <v>226</v>
      </c>
      <c r="E2058" s="5" t="s">
        <v>368</v>
      </c>
      <c r="F2058" s="5" t="str">
        <f t="shared" si="32"/>
        <v>swedoffice</v>
      </c>
      <c r="G2058" s="5" t="s">
        <v>4</v>
      </c>
      <c r="H2058" s="5" t="s">
        <v>5</v>
      </c>
      <c r="I2058" s="6">
        <v>45581</v>
      </c>
    </row>
    <row r="2059" spans="1:9" ht="13.5">
      <c r="A2059" s="2" t="s">
        <v>846</v>
      </c>
      <c r="B2059" s="3"/>
      <c r="C2059" s="4" t="s">
        <v>3721</v>
      </c>
      <c r="D2059" s="4" t="s">
        <v>3722</v>
      </c>
      <c r="E2059" s="5" t="s">
        <v>3448</v>
      </c>
      <c r="F2059" s="5" t="str">
        <f t="shared" si="32"/>
        <v>tandea.se</v>
      </c>
      <c r="G2059" s="5" t="s">
        <v>4</v>
      </c>
      <c r="H2059" s="5" t="s">
        <v>5</v>
      </c>
      <c r="I2059" s="6">
        <v>45581</v>
      </c>
    </row>
    <row r="2060" spans="1:9" ht="13.5">
      <c r="A2060" s="2" t="s">
        <v>846</v>
      </c>
      <c r="B2060" s="3"/>
      <c r="C2060" s="4" t="s">
        <v>3723</v>
      </c>
      <c r="D2060" s="4" t="s">
        <v>3724</v>
      </c>
      <c r="E2060" s="5" t="s">
        <v>1151</v>
      </c>
      <c r="F2060" s="5" t="str">
        <f t="shared" si="32"/>
        <v>tandea.se</v>
      </c>
      <c r="G2060" s="5" t="s">
        <v>4</v>
      </c>
      <c r="H2060" s="5" t="s">
        <v>5</v>
      </c>
      <c r="I2060" s="6">
        <v>45581</v>
      </c>
    </row>
    <row r="2061" spans="1:9" ht="13.5">
      <c r="A2061" s="2" t="s">
        <v>325</v>
      </c>
      <c r="B2061" s="3"/>
      <c r="C2061" s="4" t="s">
        <v>3725</v>
      </c>
      <c r="D2061" s="4" t="s">
        <v>1244</v>
      </c>
      <c r="E2061" s="5" t="s">
        <v>463</v>
      </c>
      <c r="F2061" s="5" t="str">
        <f t="shared" si="32"/>
        <v>tiotak.se</v>
      </c>
      <c r="G2061" s="5" t="s">
        <v>4</v>
      </c>
      <c r="H2061" s="5" t="s">
        <v>5</v>
      </c>
      <c r="I2061" s="6">
        <v>45581</v>
      </c>
    </row>
    <row r="2062" spans="1:9" ht="13.5">
      <c r="A2062" s="2" t="s">
        <v>325</v>
      </c>
      <c r="B2062" s="3"/>
      <c r="C2062" s="4" t="s">
        <v>3726</v>
      </c>
      <c r="D2062" s="4" t="s">
        <v>873</v>
      </c>
      <c r="E2062" s="5" t="s">
        <v>2922</v>
      </c>
      <c r="F2062" s="5" t="str">
        <f t="shared" si="32"/>
        <v>tiotak.se</v>
      </c>
      <c r="G2062" s="5" t="s">
        <v>4</v>
      </c>
      <c r="H2062" s="5" t="s">
        <v>5</v>
      </c>
      <c r="I2062" s="6">
        <v>45581</v>
      </c>
    </row>
    <row r="2063" spans="1:9" ht="13.5">
      <c r="A2063" s="2" t="s">
        <v>535</v>
      </c>
      <c r="B2063" s="3"/>
      <c r="C2063" s="4" t="s">
        <v>3727</v>
      </c>
      <c r="D2063" s="4" t="s">
        <v>2806</v>
      </c>
      <c r="E2063" s="5" t="s">
        <v>2807</v>
      </c>
      <c r="F2063" s="5" t="str">
        <f t="shared" si="32"/>
        <v>tryggbil.se</v>
      </c>
      <c r="G2063" s="5" t="s">
        <v>4</v>
      </c>
      <c r="H2063" s="5" t="s">
        <v>5</v>
      </c>
      <c r="I2063" s="6">
        <v>45581</v>
      </c>
    </row>
    <row r="2064" spans="1:9" ht="13.5">
      <c r="A2064" s="2" t="s">
        <v>535</v>
      </c>
      <c r="B2064" s="3"/>
      <c r="C2064" s="4" t="s">
        <v>3728</v>
      </c>
      <c r="D2064" s="297" t="s">
        <v>536</v>
      </c>
      <c r="E2064" s="321" t="s">
        <v>2809</v>
      </c>
      <c r="F2064" s="5" t="str">
        <f t="shared" si="32"/>
        <v>tryggbil.se</v>
      </c>
      <c r="G2064" s="5" t="s">
        <v>4</v>
      </c>
      <c r="H2064" s="5" t="s">
        <v>5</v>
      </c>
      <c r="I2064" s="6">
        <v>45581</v>
      </c>
    </row>
    <row r="2065" spans="1:9" ht="13.5">
      <c r="A2065" s="7" t="s">
        <v>329</v>
      </c>
      <c r="B2065" s="3"/>
      <c r="C2065" s="4" t="s">
        <v>3729</v>
      </c>
      <c r="D2065" s="4" t="s">
        <v>472</v>
      </c>
      <c r="E2065" s="5" t="s">
        <v>473</v>
      </c>
      <c r="F2065" s="5" t="str">
        <f t="shared" si="32"/>
        <v>vont</v>
      </c>
      <c r="G2065" s="5" t="s">
        <v>4</v>
      </c>
      <c r="H2065" s="5" t="s">
        <v>5</v>
      </c>
      <c r="I2065" s="6">
        <v>45581</v>
      </c>
    </row>
    <row r="2066" spans="1:9" ht="13.5">
      <c r="A2066" s="7" t="s">
        <v>329</v>
      </c>
      <c r="B2066" s="3"/>
      <c r="C2066" s="4" t="s">
        <v>3730</v>
      </c>
      <c r="D2066" s="4" t="s">
        <v>2399</v>
      </c>
      <c r="E2066" s="5" t="s">
        <v>1553</v>
      </c>
      <c r="F2066" s="5" t="str">
        <f t="shared" si="32"/>
        <v>vont</v>
      </c>
      <c r="G2066" s="5" t="s">
        <v>4</v>
      </c>
      <c r="H2066" s="5" t="s">
        <v>5</v>
      </c>
      <c r="I2066" s="6">
        <v>45581</v>
      </c>
    </row>
    <row r="2067" spans="1:9" ht="13.5">
      <c r="A2067" s="7" t="s">
        <v>329</v>
      </c>
      <c r="B2067" s="3"/>
      <c r="C2067" s="4" t="s">
        <v>3731</v>
      </c>
      <c r="D2067" s="4" t="s">
        <v>2450</v>
      </c>
      <c r="E2067" s="5" t="s">
        <v>332</v>
      </c>
      <c r="F2067" s="5" t="str">
        <f t="shared" si="32"/>
        <v>vont</v>
      </c>
      <c r="G2067" s="5" t="s">
        <v>4</v>
      </c>
      <c r="H2067" s="5" t="s">
        <v>5</v>
      </c>
      <c r="I2067" s="6">
        <v>45581</v>
      </c>
    </row>
    <row r="2068" spans="1:9" ht="13.5">
      <c r="A2068" s="7" t="s">
        <v>329</v>
      </c>
      <c r="B2068" s="3"/>
      <c r="C2068" s="4" t="s">
        <v>3732</v>
      </c>
      <c r="D2068" s="4" t="s">
        <v>1488</v>
      </c>
      <c r="E2068" s="5" t="s">
        <v>1477</v>
      </c>
      <c r="F2068" s="5" t="str">
        <f t="shared" si="32"/>
        <v>vont</v>
      </c>
      <c r="G2068" s="5" t="s">
        <v>4</v>
      </c>
      <c r="H2068" s="5" t="s">
        <v>5</v>
      </c>
      <c r="I2068" s="6">
        <v>45581</v>
      </c>
    </row>
    <row r="2069" spans="1:9" ht="13.5">
      <c r="A2069" s="2" t="s">
        <v>1180</v>
      </c>
      <c r="B2069" s="3"/>
      <c r="C2069" s="4" t="s">
        <v>3733</v>
      </c>
      <c r="D2069" s="4" t="s">
        <v>2935</v>
      </c>
      <c r="E2069" s="5" t="s">
        <v>1477</v>
      </c>
      <c r="F2069" s="5" t="str">
        <f t="shared" si="32"/>
        <v>e-ciggbolaget.se</v>
      </c>
      <c r="G2069" s="5" t="s">
        <v>4</v>
      </c>
      <c r="H2069" s="5" t="s">
        <v>5</v>
      </c>
      <c r="I2069" s="6">
        <v>45581</v>
      </c>
    </row>
    <row r="2070" spans="1:9" ht="13.5">
      <c r="A2070" s="2" t="s">
        <v>1180</v>
      </c>
      <c r="B2070" s="3"/>
      <c r="C2070" s="4" t="s">
        <v>3734</v>
      </c>
      <c r="D2070" s="4" t="s">
        <v>1193</v>
      </c>
      <c r="E2070" s="5" t="s">
        <v>3574</v>
      </c>
      <c r="F2070" s="5" t="str">
        <f t="shared" si="32"/>
        <v>e-ciggbolaget.se</v>
      </c>
      <c r="G2070" s="5" t="s">
        <v>4</v>
      </c>
      <c r="H2070" s="5" t="s">
        <v>5</v>
      </c>
      <c r="I2070" s="6">
        <v>45581</v>
      </c>
    </row>
    <row r="2071" spans="1:9" ht="13.5">
      <c r="A2071" s="2" t="s">
        <v>1180</v>
      </c>
      <c r="B2071" s="3"/>
      <c r="C2071" s="4" t="s">
        <v>3735</v>
      </c>
      <c r="D2071" s="4" t="s">
        <v>2521</v>
      </c>
      <c r="E2071" s="5" t="s">
        <v>3736</v>
      </c>
      <c r="F2071" s="5" t="str">
        <f t="shared" si="32"/>
        <v>e-ciggbolaget.se</v>
      </c>
      <c r="G2071" s="5" t="s">
        <v>4</v>
      </c>
      <c r="H2071" s="5" t="s">
        <v>5</v>
      </c>
      <c r="I2071" s="6">
        <v>45581</v>
      </c>
    </row>
    <row r="2072" spans="1:9" ht="13.5">
      <c r="A2072" s="2" t="s">
        <v>1180</v>
      </c>
      <c r="B2072" s="3"/>
      <c r="C2072" s="4" t="s">
        <v>3737</v>
      </c>
      <c r="D2072" s="4" t="s">
        <v>1193</v>
      </c>
      <c r="E2072" s="5" t="s">
        <v>3738</v>
      </c>
      <c r="F2072" s="5" t="str">
        <f t="shared" si="32"/>
        <v>e-ciggbolaget.se</v>
      </c>
      <c r="G2072" s="5" t="s">
        <v>4</v>
      </c>
      <c r="H2072" s="5" t="s">
        <v>5</v>
      </c>
      <c r="I2072" s="6">
        <v>45581</v>
      </c>
    </row>
    <row r="2073" spans="1:9" ht="13.5">
      <c r="A2073" s="2" t="s">
        <v>3173</v>
      </c>
      <c r="B2073" s="3"/>
      <c r="C2073" s="4" t="s">
        <v>3739</v>
      </c>
      <c r="D2073" s="4" t="s">
        <v>3175</v>
      </c>
      <c r="E2073" s="5" t="s">
        <v>3217</v>
      </c>
      <c r="F2073" s="5" t="str">
        <f t="shared" si="32"/>
        <v>ekstromgaray.se</v>
      </c>
      <c r="G2073" s="5" t="s">
        <v>4</v>
      </c>
      <c r="H2073" s="5" t="s">
        <v>5</v>
      </c>
      <c r="I2073" s="6">
        <v>45581</v>
      </c>
    </row>
    <row r="2074" spans="1:9" ht="13.5">
      <c r="A2074" s="2" t="s">
        <v>2549</v>
      </c>
      <c r="B2074" s="3"/>
      <c r="C2074" s="4" t="s">
        <v>3740</v>
      </c>
      <c r="D2074" s="4" t="s">
        <v>3286</v>
      </c>
      <c r="E2074" s="5" t="s">
        <v>3741</v>
      </c>
      <c r="F2074" s="5" t="str">
        <f t="shared" si="32"/>
        <v>purakliniken.se</v>
      </c>
      <c r="G2074" s="5" t="s">
        <v>4</v>
      </c>
      <c r="H2074" s="5" t="s">
        <v>5</v>
      </c>
      <c r="I2074" s="6">
        <v>45581</v>
      </c>
    </row>
    <row r="2075" spans="1:9" ht="13.5">
      <c r="A2075" s="2" t="s">
        <v>2244</v>
      </c>
      <c r="B2075" s="3"/>
      <c r="C2075" s="4" t="s">
        <v>3742</v>
      </c>
      <c r="D2075" s="4" t="s">
        <v>2246</v>
      </c>
      <c r="E2075" s="5" t="s">
        <v>2546</v>
      </c>
      <c r="F2075" s="5" t="str">
        <f t="shared" si="32"/>
        <v>restate.se</v>
      </c>
      <c r="G2075" s="5" t="s">
        <v>4</v>
      </c>
      <c r="H2075" s="5" t="s">
        <v>5</v>
      </c>
      <c r="I2075" s="6">
        <v>45581</v>
      </c>
    </row>
    <row r="2076" spans="1:9" ht="13.5">
      <c r="A2076" s="2" t="s">
        <v>3743</v>
      </c>
      <c r="B2076" s="3"/>
      <c r="C2076" s="4" t="s">
        <v>3744</v>
      </c>
      <c r="D2076" s="4" t="s">
        <v>3745</v>
      </c>
      <c r="E2076" s="5" t="s">
        <v>3746</v>
      </c>
      <c r="F2076" s="5" t="str">
        <f t="shared" si="32"/>
        <v>acnespecialisten.se</v>
      </c>
      <c r="G2076" s="5" t="s">
        <v>4</v>
      </c>
      <c r="H2076" s="5" t="s">
        <v>5</v>
      </c>
      <c r="I2076" s="6">
        <v>45581</v>
      </c>
    </row>
    <row r="2077" spans="1:9" ht="13.5">
      <c r="A2077" s="7" t="s">
        <v>3747</v>
      </c>
      <c r="B2077" s="3"/>
      <c r="C2077" s="4" t="s">
        <v>3748</v>
      </c>
      <c r="D2077" s="4" t="s">
        <v>3749</v>
      </c>
      <c r="E2077" s="5" t="s">
        <v>3750</v>
      </c>
      <c r="F2077" s="5" t="str">
        <f t="shared" si="32"/>
        <v>supernormal.health</v>
      </c>
      <c r="G2077" s="5" t="s">
        <v>4</v>
      </c>
      <c r="H2077" s="5" t="s">
        <v>5</v>
      </c>
      <c r="I2077" s="6">
        <v>45581</v>
      </c>
    </row>
    <row r="2078" spans="1:9" ht="13.5">
      <c r="A2078" s="2" t="s">
        <v>2836</v>
      </c>
      <c r="B2078" s="3"/>
      <c r="C2078" s="4" t="s">
        <v>3751</v>
      </c>
      <c r="D2078" s="4" t="s">
        <v>3102</v>
      </c>
      <c r="E2078" s="5" t="s">
        <v>3752</v>
      </c>
      <c r="F2078" s="5" t="str">
        <f t="shared" si="32"/>
        <v>cherry.com</v>
      </c>
      <c r="G2078" s="5" t="s">
        <v>4</v>
      </c>
      <c r="H2078" s="5" t="s">
        <v>5</v>
      </c>
      <c r="I2078" s="6">
        <v>45581</v>
      </c>
    </row>
    <row r="2079" spans="1:9" ht="13.5">
      <c r="A2079" s="2" t="s">
        <v>2836</v>
      </c>
      <c r="B2079" s="3"/>
      <c r="C2079" s="4" t="s">
        <v>3753</v>
      </c>
      <c r="D2079" s="4" t="s">
        <v>3227</v>
      </c>
      <c r="E2079" s="5" t="s">
        <v>3754</v>
      </c>
      <c r="F2079" s="5" t="str">
        <f t="shared" si="32"/>
        <v>cherry.com</v>
      </c>
      <c r="G2079" s="5" t="s">
        <v>4</v>
      </c>
      <c r="H2079" s="5" t="s">
        <v>5</v>
      </c>
      <c r="I2079" s="6">
        <v>45581</v>
      </c>
    </row>
    <row r="2080" spans="1:9" ht="13.5">
      <c r="A2080" s="2" t="s">
        <v>1318</v>
      </c>
      <c r="B2080" s="3"/>
      <c r="C2080" s="4" t="s">
        <v>3755</v>
      </c>
      <c r="D2080" s="8" t="s">
        <v>3756</v>
      </c>
      <c r="E2080" s="5" t="s">
        <v>3757</v>
      </c>
      <c r="F2080" s="5" t="str">
        <f t="shared" si="32"/>
        <v>spelklubben.se</v>
      </c>
      <c r="G2080" s="5" t="s">
        <v>34</v>
      </c>
      <c r="H2080" s="5" t="s">
        <v>5</v>
      </c>
      <c r="I2080" s="6">
        <v>45581</v>
      </c>
    </row>
    <row r="2081" spans="1:9" ht="13.5">
      <c r="A2081" s="2" t="s">
        <v>1180</v>
      </c>
      <c r="B2081" s="3"/>
      <c r="C2081" s="4" t="s">
        <v>3758</v>
      </c>
      <c r="D2081" s="4" t="s">
        <v>3759</v>
      </c>
      <c r="E2081" s="5" t="s">
        <v>3760</v>
      </c>
      <c r="F2081" s="5" t="str">
        <f t="shared" si="32"/>
        <v>e-ciggbolaget.se</v>
      </c>
      <c r="G2081" s="5" t="s">
        <v>4</v>
      </c>
      <c r="H2081" s="5" t="s">
        <v>5</v>
      </c>
      <c r="I2081" s="6">
        <v>45581</v>
      </c>
    </row>
    <row r="2082" spans="1:9" ht="13.5">
      <c r="A2082" s="2" t="s">
        <v>3761</v>
      </c>
      <c r="B2082" s="3"/>
      <c r="C2082" s="5" t="s">
        <v>3762</v>
      </c>
      <c r="D2082" s="5" t="s">
        <v>3763</v>
      </c>
      <c r="E2082" s="5" t="s">
        <v>3764</v>
      </c>
      <c r="F2082" s="5" t="str">
        <f t="shared" si="32"/>
        <v>hajper.com</v>
      </c>
      <c r="G2082" s="5" t="s">
        <v>4</v>
      </c>
      <c r="H2082" s="5" t="s">
        <v>5</v>
      </c>
      <c r="I2082" s="6">
        <v>45581</v>
      </c>
    </row>
    <row r="2083" spans="1:9" ht="13.5">
      <c r="A2083" s="2" t="s">
        <v>3658</v>
      </c>
      <c r="B2083" s="3"/>
      <c r="C2083" s="8" t="s">
        <v>3765</v>
      </c>
      <c r="D2083" s="8" t="s">
        <v>3658</v>
      </c>
      <c r="E2083" s="22" t="s">
        <v>3658</v>
      </c>
      <c r="F2083" s="5" t="str">
        <f t="shared" si="32"/>
        <v>bbml.se</v>
      </c>
      <c r="G2083" s="5" t="s">
        <v>4</v>
      </c>
      <c r="H2083" s="5" t="s">
        <v>5</v>
      </c>
      <c r="I2083" s="6">
        <v>45582</v>
      </c>
    </row>
    <row r="2084" spans="1:9" ht="13.5">
      <c r="A2084" s="2" t="s">
        <v>3658</v>
      </c>
      <c r="B2084" s="3"/>
      <c r="C2084" s="4" t="s">
        <v>3766</v>
      </c>
      <c r="D2084" s="4" t="s">
        <v>3767</v>
      </c>
      <c r="E2084" s="5" t="s">
        <v>3768</v>
      </c>
      <c r="F2084" s="5" t="str">
        <f t="shared" si="32"/>
        <v>bbml.se</v>
      </c>
      <c r="G2084" s="5" t="s">
        <v>4</v>
      </c>
      <c r="H2084" s="5" t="s">
        <v>5</v>
      </c>
      <c r="I2084" s="6">
        <v>45582</v>
      </c>
    </row>
    <row r="2085" spans="1:9" ht="13.5">
      <c r="A2085" s="7" t="s">
        <v>3419</v>
      </c>
      <c r="B2085" s="3"/>
      <c r="C2085" s="5" t="s">
        <v>3769</v>
      </c>
      <c r="D2085" s="5" t="s">
        <v>3407</v>
      </c>
      <c r="E2085" s="5" t="s">
        <v>3770</v>
      </c>
      <c r="F2085" s="5" t="str">
        <f t="shared" si="32"/>
        <v>zmarta</v>
      </c>
      <c r="G2085" s="5" t="s">
        <v>4</v>
      </c>
      <c r="H2085" s="5" t="s">
        <v>5</v>
      </c>
      <c r="I2085" s="6">
        <v>45582</v>
      </c>
    </row>
    <row r="2086" spans="1:9" ht="13.5">
      <c r="A2086" s="2" t="s">
        <v>1180</v>
      </c>
      <c r="B2086" s="3"/>
      <c r="C2086" s="4" t="s">
        <v>3771</v>
      </c>
      <c r="D2086" s="4" t="s">
        <v>3772</v>
      </c>
      <c r="E2086" s="5" t="s">
        <v>655</v>
      </c>
      <c r="F2086" s="5" t="str">
        <f t="shared" si="32"/>
        <v>e-ciggbolaget.se</v>
      </c>
      <c r="G2086" s="5" t="s">
        <v>4</v>
      </c>
      <c r="H2086" s="5" t="s">
        <v>5</v>
      </c>
      <c r="I2086" s="6">
        <v>45583</v>
      </c>
    </row>
    <row r="2087" spans="1:9" ht="13.5">
      <c r="A2087" s="2" t="s">
        <v>1318</v>
      </c>
      <c r="B2087" s="3"/>
      <c r="C2087" s="4" t="s">
        <v>3773</v>
      </c>
      <c r="D2087" s="4" t="s">
        <v>1942</v>
      </c>
      <c r="E2087" s="5" t="s">
        <v>2833</v>
      </c>
      <c r="F2087" s="5" t="str">
        <f t="shared" si="32"/>
        <v>spelklubben.se</v>
      </c>
      <c r="G2087" s="5" t="s">
        <v>4</v>
      </c>
      <c r="H2087" s="5" t="s">
        <v>5</v>
      </c>
      <c r="I2087" s="6">
        <v>45583</v>
      </c>
    </row>
    <row r="2088" spans="1:9" ht="13.5">
      <c r="A2088" s="2" t="s">
        <v>435</v>
      </c>
      <c r="B2088" s="3"/>
      <c r="C2088" s="105" t="s">
        <v>3774</v>
      </c>
      <c r="D2088" s="4" t="s">
        <v>3474</v>
      </c>
      <c r="E2088" s="5" t="s">
        <v>3775</v>
      </c>
      <c r="F2088" s="5" t="str">
        <f t="shared" si="32"/>
        <v>fairinvestments.se</v>
      </c>
      <c r="G2088" s="5" t="s">
        <v>4</v>
      </c>
      <c r="H2088" s="5" t="s">
        <v>5</v>
      </c>
      <c r="I2088" s="6">
        <v>45583</v>
      </c>
    </row>
    <row r="2089" spans="1:9" ht="13.5">
      <c r="A2089" s="2" t="s">
        <v>435</v>
      </c>
      <c r="B2089" s="3"/>
      <c r="C2089" s="105" t="s">
        <v>3776</v>
      </c>
      <c r="D2089" s="4" t="s">
        <v>3777</v>
      </c>
      <c r="E2089" s="5" t="s">
        <v>839</v>
      </c>
      <c r="F2089" s="5" t="str">
        <f t="shared" si="32"/>
        <v>fairinvestments.se</v>
      </c>
      <c r="G2089" s="5" t="s">
        <v>4</v>
      </c>
      <c r="H2089" s="5" t="s">
        <v>5</v>
      </c>
      <c r="I2089" s="6">
        <v>45583</v>
      </c>
    </row>
    <row r="2090" spans="1:9" ht="13.5">
      <c r="A2090" s="2" t="s">
        <v>435</v>
      </c>
      <c r="B2090" s="3"/>
      <c r="C2090" s="105" t="s">
        <v>3778</v>
      </c>
      <c r="D2090" s="4" t="s">
        <v>3779</v>
      </c>
      <c r="E2090" s="5" t="s">
        <v>839</v>
      </c>
      <c r="F2090" s="5" t="str">
        <f t="shared" si="32"/>
        <v>fairinvestments.se</v>
      </c>
      <c r="G2090" s="5" t="s">
        <v>4</v>
      </c>
      <c r="H2090" s="5" t="s">
        <v>5</v>
      </c>
      <c r="I2090" s="6">
        <v>45583</v>
      </c>
    </row>
    <row r="2091" spans="1:9" ht="13.5">
      <c r="A2091" s="2" t="s">
        <v>846</v>
      </c>
      <c r="B2091" s="3"/>
      <c r="C2091" s="105" t="s">
        <v>3780</v>
      </c>
      <c r="D2091" s="4" t="s">
        <v>848</v>
      </c>
      <c r="E2091" s="5" t="s">
        <v>1151</v>
      </c>
      <c r="F2091" s="5" t="str">
        <f t="shared" si="32"/>
        <v>tandea.se</v>
      </c>
      <c r="G2091" s="5" t="s">
        <v>4</v>
      </c>
      <c r="H2091" s="5" t="s">
        <v>5</v>
      </c>
      <c r="I2091" s="6">
        <v>45583</v>
      </c>
    </row>
    <row r="2092" spans="1:9" ht="13.5">
      <c r="A2092" s="2" t="s">
        <v>2549</v>
      </c>
      <c r="B2092" s="3"/>
      <c r="C2092" s="105" t="s">
        <v>3781</v>
      </c>
      <c r="D2092" s="4" t="s">
        <v>3204</v>
      </c>
      <c r="E2092" s="5" t="s">
        <v>3477</v>
      </c>
      <c r="F2092" s="5" t="str">
        <f t="shared" si="32"/>
        <v>purakliniken.se</v>
      </c>
      <c r="G2092" s="5" t="s">
        <v>4</v>
      </c>
      <c r="H2092" s="5" t="s">
        <v>5</v>
      </c>
      <c r="I2092" s="6">
        <v>45583</v>
      </c>
    </row>
    <row r="2093" spans="1:9" ht="13.5">
      <c r="A2093" s="7" t="s">
        <v>3747</v>
      </c>
      <c r="B2093" s="3"/>
      <c r="C2093" s="105" t="s">
        <v>3782</v>
      </c>
      <c r="D2093" s="4" t="s">
        <v>3783</v>
      </c>
      <c r="E2093" s="5" t="s">
        <v>3784</v>
      </c>
      <c r="F2093" s="5" t="str">
        <f t="shared" si="32"/>
        <v>supernormal.health</v>
      </c>
      <c r="G2093" s="5" t="s">
        <v>4</v>
      </c>
      <c r="H2093" s="5" t="s">
        <v>5</v>
      </c>
      <c r="I2093" s="6">
        <v>45583</v>
      </c>
    </row>
    <row r="2094" spans="1:9" ht="13.5">
      <c r="A2094" s="2" t="s">
        <v>2127</v>
      </c>
      <c r="B2094" s="3"/>
      <c r="C2094" s="105" t="s">
        <v>3785</v>
      </c>
      <c r="D2094" s="4" t="s">
        <v>3786</v>
      </c>
      <c r="E2094" s="9" t="s">
        <v>3517</v>
      </c>
      <c r="F2094" s="5" t="str">
        <f t="shared" si="32"/>
        <v>startmotor.se</v>
      </c>
      <c r="G2094" s="5" t="s">
        <v>4</v>
      </c>
      <c r="H2094" s="5" t="s">
        <v>5</v>
      </c>
      <c r="I2094" s="6">
        <v>45583</v>
      </c>
    </row>
    <row r="2095" spans="1:9" ht="13.5">
      <c r="A2095" s="2" t="s">
        <v>3743</v>
      </c>
      <c r="B2095" s="3"/>
      <c r="C2095" s="105" t="s">
        <v>3787</v>
      </c>
      <c r="D2095" s="8" t="s">
        <v>3788</v>
      </c>
      <c r="E2095" s="9" t="s">
        <v>3743</v>
      </c>
      <c r="F2095" s="5" t="str">
        <f t="shared" si="32"/>
        <v>acnespecialisten.se</v>
      </c>
      <c r="G2095" s="5" t="s">
        <v>4</v>
      </c>
      <c r="H2095" s="5" t="s">
        <v>5</v>
      </c>
      <c r="I2095" s="6">
        <v>45587</v>
      </c>
    </row>
    <row r="2096" spans="1:9" ht="13.5">
      <c r="A2096" s="2" t="s">
        <v>2836</v>
      </c>
      <c r="B2096" s="3"/>
      <c r="C2096" s="4" t="s">
        <v>3789</v>
      </c>
      <c r="D2096" s="138" t="s">
        <v>3006</v>
      </c>
      <c r="E2096" s="5" t="s">
        <v>3790</v>
      </c>
      <c r="F2096" s="5" t="str">
        <f t="shared" si="32"/>
        <v>cherry.com</v>
      </c>
      <c r="G2096" s="5" t="s">
        <v>4</v>
      </c>
      <c r="H2096" s="5" t="s">
        <v>5</v>
      </c>
      <c r="I2096" s="6">
        <v>45587</v>
      </c>
    </row>
    <row r="2097" spans="1:9" ht="13.5">
      <c r="A2097" s="7" t="s">
        <v>3791</v>
      </c>
      <c r="B2097" s="3"/>
      <c r="C2097" s="4" t="s">
        <v>3792</v>
      </c>
      <c r="D2097" s="4" t="s">
        <v>3793</v>
      </c>
      <c r="E2097" s="5" t="s">
        <v>3794</v>
      </c>
      <c r="F2097" s="5" t="str">
        <f t="shared" si="32"/>
        <v>coface</v>
      </c>
      <c r="G2097" s="5" t="s">
        <v>4</v>
      </c>
      <c r="H2097" s="5" t="s">
        <v>382</v>
      </c>
      <c r="I2097" s="6">
        <v>45587</v>
      </c>
    </row>
    <row r="2098" spans="1:9" ht="13.5">
      <c r="A2098" s="2" t="s">
        <v>1492</v>
      </c>
      <c r="B2098" s="3"/>
      <c r="C2098" s="4" t="s">
        <v>3795</v>
      </c>
      <c r="D2098" s="4" t="s">
        <v>1494</v>
      </c>
      <c r="E2098" s="5" t="s">
        <v>2955</v>
      </c>
      <c r="F2098" s="5" t="str">
        <f t="shared" si="32"/>
        <v>cdg.io</v>
      </c>
      <c r="G2098" s="5" t="s">
        <v>4</v>
      </c>
      <c r="H2098" s="5" t="s">
        <v>5</v>
      </c>
      <c r="I2098" s="6">
        <v>45587</v>
      </c>
    </row>
    <row r="2099" spans="1:9" ht="13.5">
      <c r="A2099" s="2" t="s">
        <v>3155</v>
      </c>
      <c r="B2099" s="3"/>
      <c r="C2099" s="4" t="s">
        <v>3796</v>
      </c>
      <c r="D2099" s="4" t="s">
        <v>3633</v>
      </c>
      <c r="E2099" s="10" t="s">
        <v>3797</v>
      </c>
      <c r="F2099" s="5" t="str">
        <f t="shared" si="32"/>
        <v>soartzy.com</v>
      </c>
      <c r="G2099" s="5" t="s">
        <v>4</v>
      </c>
      <c r="H2099" s="5" t="s">
        <v>5</v>
      </c>
      <c r="I2099" s="6">
        <v>45587</v>
      </c>
    </row>
    <row r="2100" spans="1:9" ht="13.5">
      <c r="A2100" s="2" t="s">
        <v>3682</v>
      </c>
      <c r="B2100" s="3"/>
      <c r="C2100" s="5" t="s">
        <v>3798</v>
      </c>
      <c r="D2100" s="5" t="s">
        <v>3684</v>
      </c>
      <c r="E2100" s="5" t="s">
        <v>3799</v>
      </c>
      <c r="F2100" s="5" t="str">
        <f t="shared" si="32"/>
        <v>upplevelse.com</v>
      </c>
      <c r="G2100" s="5" t="s">
        <v>4</v>
      </c>
      <c r="H2100" s="5" t="s">
        <v>5</v>
      </c>
      <c r="I2100" s="6">
        <v>45587</v>
      </c>
    </row>
    <row r="2101" spans="1:9" ht="13.5">
      <c r="A2101" s="2" t="s">
        <v>3186</v>
      </c>
      <c r="B2101" s="3"/>
      <c r="C2101" s="138" t="s">
        <v>3800</v>
      </c>
      <c r="D2101" s="4" t="s">
        <v>3188</v>
      </c>
      <c r="E2101" s="5" t="s">
        <v>3468</v>
      </c>
      <c r="F2101" s="5" t="str">
        <f t="shared" si="32"/>
        <v>myownwater.com</v>
      </c>
      <c r="G2101" s="5" t="s">
        <v>4</v>
      </c>
      <c r="H2101" s="5" t="s">
        <v>345</v>
      </c>
      <c r="I2101" s="6">
        <v>45588</v>
      </c>
    </row>
    <row r="2102" spans="1:9" ht="13.5">
      <c r="A2102" s="2" t="s">
        <v>3186</v>
      </c>
      <c r="B2102" s="3"/>
      <c r="C2102" s="4" t="s">
        <v>3801</v>
      </c>
      <c r="D2102" s="4" t="s">
        <v>3188</v>
      </c>
      <c r="E2102" s="9" t="s">
        <v>3188</v>
      </c>
      <c r="F2102" s="5" t="str">
        <f t="shared" si="32"/>
        <v>myownwater.com</v>
      </c>
      <c r="G2102" s="5" t="s">
        <v>4</v>
      </c>
      <c r="H2102" s="5" t="s">
        <v>345</v>
      </c>
      <c r="I2102" s="6">
        <v>45588</v>
      </c>
    </row>
    <row r="2103" spans="1:9" ht="13.5">
      <c r="A2103" s="2" t="s">
        <v>3186</v>
      </c>
      <c r="B2103" s="3"/>
      <c r="C2103" s="4" t="s">
        <v>3802</v>
      </c>
      <c r="D2103" s="4" t="s">
        <v>3188</v>
      </c>
      <c r="E2103" s="5" t="s">
        <v>3490</v>
      </c>
      <c r="F2103" s="5" t="str">
        <f t="shared" si="32"/>
        <v>myownwater.com</v>
      </c>
      <c r="G2103" s="5" t="s">
        <v>4</v>
      </c>
      <c r="H2103" s="5" t="s">
        <v>345</v>
      </c>
      <c r="I2103" s="6">
        <v>45588</v>
      </c>
    </row>
    <row r="2104" spans="1:9" ht="13.5">
      <c r="A2104" s="7" t="s">
        <v>3341</v>
      </c>
      <c r="B2104" s="3"/>
      <c r="C2104" s="4" t="s">
        <v>3803</v>
      </c>
      <c r="D2104" s="4" t="s">
        <v>3530</v>
      </c>
      <c r="E2104" s="5" t="s">
        <v>3345</v>
      </c>
      <c r="F2104" s="5" t="str">
        <f t="shared" si="32"/>
        <v>navx.store</v>
      </c>
      <c r="G2104" s="5" t="s">
        <v>4</v>
      </c>
      <c r="H2104" s="5" t="s">
        <v>3344</v>
      </c>
      <c r="I2104" s="6">
        <v>45588</v>
      </c>
    </row>
    <row r="2105" spans="1:9" ht="13.5">
      <c r="A2105" s="7" t="s">
        <v>3341</v>
      </c>
      <c r="B2105" s="3"/>
      <c r="C2105" s="4" t="s">
        <v>3804</v>
      </c>
      <c r="D2105" s="4" t="s">
        <v>3440</v>
      </c>
      <c r="E2105" s="5" t="s">
        <v>3345</v>
      </c>
      <c r="F2105" s="5" t="str">
        <f t="shared" si="32"/>
        <v>navx.store</v>
      </c>
      <c r="G2105" s="5" t="s">
        <v>4</v>
      </c>
      <c r="H2105" s="5" t="s">
        <v>1618</v>
      </c>
      <c r="I2105" s="6">
        <v>45588</v>
      </c>
    </row>
    <row r="2106" spans="1:9" ht="13.5">
      <c r="A2106" s="2" t="s">
        <v>3491</v>
      </c>
      <c r="B2106" s="3"/>
      <c r="C2106" s="4" t="s">
        <v>3805</v>
      </c>
      <c r="D2106" s="4" t="s">
        <v>3493</v>
      </c>
      <c r="E2106" s="5" t="s">
        <v>3494</v>
      </c>
      <c r="F2106" s="5" t="str">
        <f t="shared" si="32"/>
        <v>mynicco.com</v>
      </c>
      <c r="G2106" s="5" t="s">
        <v>4</v>
      </c>
      <c r="H2106" s="5" t="s">
        <v>345</v>
      </c>
      <c r="I2106" s="6">
        <v>45588</v>
      </c>
    </row>
    <row r="2107" spans="1:9" ht="13.5">
      <c r="A2107" s="2" t="s">
        <v>3491</v>
      </c>
      <c r="B2107" s="3"/>
      <c r="C2107" s="4" t="s">
        <v>3806</v>
      </c>
      <c r="D2107" s="4" t="s">
        <v>3493</v>
      </c>
      <c r="E2107" s="5" t="s">
        <v>3494</v>
      </c>
      <c r="F2107" s="5" t="str">
        <f t="shared" si="32"/>
        <v>mynicco.com</v>
      </c>
      <c r="G2107" s="5" t="s">
        <v>4</v>
      </c>
      <c r="H2107" s="5" t="s">
        <v>345</v>
      </c>
      <c r="I2107" s="6">
        <v>45588</v>
      </c>
    </row>
    <row r="2108" spans="1:9" ht="13.5">
      <c r="A2108" s="2" t="s">
        <v>3299</v>
      </c>
      <c r="B2108" s="3"/>
      <c r="C2108" s="4" t="s">
        <v>3807</v>
      </c>
      <c r="D2108" s="4" t="s">
        <v>3808</v>
      </c>
      <c r="E2108" s="9" t="s">
        <v>3809</v>
      </c>
      <c r="F2108" s="5" t="str">
        <f t="shared" si="32"/>
        <v>nodepositbonus.cc</v>
      </c>
      <c r="G2108" s="5" t="s">
        <v>4</v>
      </c>
      <c r="H2108" s="5" t="s">
        <v>345</v>
      </c>
      <c r="I2108" s="6">
        <v>45588</v>
      </c>
    </row>
    <row r="2109" spans="1:9" ht="13.5">
      <c r="A2109" s="7" t="s">
        <v>1910</v>
      </c>
      <c r="B2109" s="3"/>
      <c r="C2109" s="4" t="s">
        <v>3810</v>
      </c>
      <c r="D2109" s="4" t="s">
        <v>3470</v>
      </c>
      <c r="E2109" s="5" t="s">
        <v>2862</v>
      </c>
      <c r="F2109" s="5" t="str">
        <f t="shared" si="32"/>
        <v>kelleher-international</v>
      </c>
      <c r="G2109" s="5" t="s">
        <v>4</v>
      </c>
      <c r="H2109" s="5" t="s">
        <v>345</v>
      </c>
      <c r="I2109" s="6">
        <v>45588</v>
      </c>
    </row>
    <row r="2110" spans="1:9" ht="13.5">
      <c r="A2110" s="7" t="s">
        <v>1910</v>
      </c>
      <c r="B2110" s="3"/>
      <c r="C2110" s="4" t="s">
        <v>3811</v>
      </c>
      <c r="D2110" s="4" t="s">
        <v>3470</v>
      </c>
      <c r="E2110" s="5" t="s">
        <v>2862</v>
      </c>
      <c r="F2110" s="5" t="str">
        <f t="shared" si="32"/>
        <v>kelleher-international</v>
      </c>
      <c r="G2110" s="5" t="s">
        <v>4</v>
      </c>
      <c r="H2110" s="5" t="s">
        <v>345</v>
      </c>
      <c r="I2110" s="6">
        <v>45588</v>
      </c>
    </row>
    <row r="2111" spans="1:9" ht="13.5">
      <c r="A2111" s="7" t="s">
        <v>1910</v>
      </c>
      <c r="B2111" s="3"/>
      <c r="C2111" s="4" t="s">
        <v>3812</v>
      </c>
      <c r="D2111" s="4" t="s">
        <v>3472</v>
      </c>
      <c r="E2111" s="5" t="s">
        <v>2862</v>
      </c>
      <c r="F2111" s="5" t="str">
        <f t="shared" si="32"/>
        <v>kelleher-international</v>
      </c>
      <c r="G2111" s="5" t="s">
        <v>4</v>
      </c>
      <c r="H2111" s="5" t="s">
        <v>345</v>
      </c>
      <c r="I2111" s="6">
        <v>45588</v>
      </c>
    </row>
    <row r="2112" spans="1:9" ht="13.5">
      <c r="A2112" s="2" t="s">
        <v>1615</v>
      </c>
      <c r="B2112" s="3"/>
      <c r="C2112" s="4" t="s">
        <v>3813</v>
      </c>
      <c r="D2112" s="4" t="s">
        <v>1617</v>
      </c>
      <c r="E2112" s="5" t="s">
        <v>1619</v>
      </c>
      <c r="F2112" s="5" t="str">
        <f t="shared" si="32"/>
        <v>kamux.fi</v>
      </c>
      <c r="G2112" s="5" t="s">
        <v>4</v>
      </c>
      <c r="H2112" s="5" t="s">
        <v>1618</v>
      </c>
      <c r="I2112" s="6">
        <v>45618</v>
      </c>
    </row>
    <row r="2113" spans="1:9" ht="13.5">
      <c r="A2113" s="2" t="s">
        <v>1615</v>
      </c>
      <c r="B2113" s="3"/>
      <c r="C2113" s="4" t="s">
        <v>3814</v>
      </c>
      <c r="D2113" s="4" t="s">
        <v>1617</v>
      </c>
      <c r="E2113" s="5" t="s">
        <v>1619</v>
      </c>
      <c r="F2113" s="5" t="str">
        <f t="shared" si="32"/>
        <v>kamux.fi</v>
      </c>
      <c r="G2113" s="5" t="s">
        <v>4</v>
      </c>
      <c r="H2113" s="5" t="s">
        <v>1618</v>
      </c>
      <c r="I2113" s="6">
        <v>45618</v>
      </c>
    </row>
    <row r="2114" spans="1:9" ht="13.5">
      <c r="A2114" s="2" t="s">
        <v>1492</v>
      </c>
      <c r="B2114" s="3"/>
      <c r="C2114" s="4" t="s">
        <v>3815</v>
      </c>
      <c r="D2114" s="4" t="s">
        <v>1494</v>
      </c>
      <c r="E2114" s="5" t="s">
        <v>2753</v>
      </c>
      <c r="F2114" s="5" t="str">
        <f t="shared" si="32"/>
        <v>cdg.io</v>
      </c>
      <c r="G2114" s="5" t="s">
        <v>4</v>
      </c>
      <c r="H2114" s="5" t="s">
        <v>345</v>
      </c>
      <c r="I2114" s="6">
        <v>45588</v>
      </c>
    </row>
    <row r="2115" spans="1:9" ht="13.5">
      <c r="A2115" s="2" t="s">
        <v>1492</v>
      </c>
      <c r="B2115" s="3"/>
      <c r="C2115" s="4" t="s">
        <v>3816</v>
      </c>
      <c r="D2115" s="4" t="s">
        <v>1494</v>
      </c>
      <c r="E2115" s="5" t="s">
        <v>2955</v>
      </c>
      <c r="F2115" s="5" t="str">
        <f t="shared" ref="F2115:F2178" si="33">A2115</f>
        <v>cdg.io</v>
      </c>
      <c r="G2115" s="5" t="s">
        <v>4</v>
      </c>
      <c r="H2115" s="5" t="s">
        <v>345</v>
      </c>
      <c r="I2115" s="6">
        <v>45588</v>
      </c>
    </row>
    <row r="2116" spans="1:9" ht="13.5">
      <c r="A2116" s="2" t="s">
        <v>3817</v>
      </c>
      <c r="B2116" s="3"/>
      <c r="C2116" s="4" t="s">
        <v>3818</v>
      </c>
      <c r="D2116" s="4" t="s">
        <v>3819</v>
      </c>
      <c r="E2116" s="5" t="s">
        <v>3820</v>
      </c>
      <c r="F2116" s="5" t="str">
        <f t="shared" si="33"/>
        <v>kanalgratis.se</v>
      </c>
      <c r="G2116" s="5" t="s">
        <v>4</v>
      </c>
      <c r="H2116" s="5" t="s">
        <v>5</v>
      </c>
      <c r="I2116" s="6">
        <v>45588</v>
      </c>
    </row>
    <row r="2117" spans="1:9" ht="13.9">
      <c r="A2117" s="7" t="s">
        <v>3791</v>
      </c>
      <c r="B2117" s="3"/>
      <c r="C2117" s="4" t="s">
        <v>3821</v>
      </c>
      <c r="D2117" s="4" t="s">
        <v>3822</v>
      </c>
      <c r="E2117" s="226" t="s">
        <v>3823</v>
      </c>
      <c r="F2117" s="5" t="str">
        <f t="shared" si="33"/>
        <v>coface</v>
      </c>
      <c r="G2117" s="5" t="s">
        <v>4</v>
      </c>
      <c r="H2117" s="5" t="s">
        <v>5</v>
      </c>
      <c r="I2117" s="6">
        <v>45588</v>
      </c>
    </row>
    <row r="2118" spans="1:9" ht="13.5">
      <c r="A2118" s="2" t="s">
        <v>3824</v>
      </c>
      <c r="B2118" s="3"/>
      <c r="C2118" s="4" t="s">
        <v>3825</v>
      </c>
      <c r="D2118" s="4" t="s">
        <v>3826</v>
      </c>
      <c r="E2118" s="5" t="s">
        <v>3827</v>
      </c>
      <c r="F2118" s="5" t="str">
        <f t="shared" si="33"/>
        <v>swedenlongstay.se</v>
      </c>
      <c r="G2118" s="5" t="s">
        <v>4</v>
      </c>
      <c r="H2118" s="5" t="s">
        <v>5</v>
      </c>
      <c r="I2118" s="6">
        <v>45588</v>
      </c>
    </row>
    <row r="2119" spans="1:9" ht="13.5">
      <c r="A2119" s="2" t="s">
        <v>3828</v>
      </c>
      <c r="B2119" s="3"/>
      <c r="C2119" s="4" t="s">
        <v>3829</v>
      </c>
      <c r="D2119" s="4" t="s">
        <v>3830</v>
      </c>
      <c r="E2119" s="5" t="s">
        <v>3831</v>
      </c>
      <c r="F2119" s="5" t="str">
        <f t="shared" si="33"/>
        <v>printler.com</v>
      </c>
      <c r="G2119" s="5" t="s">
        <v>4</v>
      </c>
      <c r="H2119" s="5" t="s">
        <v>5</v>
      </c>
      <c r="I2119" s="6">
        <v>45588</v>
      </c>
    </row>
    <row r="2120" spans="1:9" ht="13.5">
      <c r="A2120" s="2" t="s">
        <v>3832</v>
      </c>
      <c r="B2120" s="3"/>
      <c r="C2120" s="4" t="s">
        <v>3833</v>
      </c>
      <c r="D2120" s="4" t="s">
        <v>3834</v>
      </c>
      <c r="E2120" s="5" t="s">
        <v>3835</v>
      </c>
      <c r="F2120" s="5" t="str">
        <f t="shared" si="33"/>
        <v>michaelofrisorerna.se</v>
      </c>
      <c r="G2120" s="5" t="s">
        <v>4</v>
      </c>
      <c r="H2120" s="5" t="s">
        <v>5</v>
      </c>
      <c r="I2120" s="6">
        <v>45588</v>
      </c>
    </row>
    <row r="2121" spans="1:9" ht="13.5">
      <c r="A2121" s="2" t="s">
        <v>3058</v>
      </c>
      <c r="B2121" s="3"/>
      <c r="C2121" s="4" t="s">
        <v>3836</v>
      </c>
      <c r="D2121" s="4" t="s">
        <v>3063</v>
      </c>
      <c r="E2121" s="5" t="s">
        <v>3064</v>
      </c>
      <c r="F2121" s="5" t="str">
        <f t="shared" si="33"/>
        <v>rusta.se</v>
      </c>
      <c r="G2121" s="5" t="s">
        <v>4</v>
      </c>
      <c r="H2121" s="5" t="s">
        <v>5</v>
      </c>
      <c r="I2121" s="6">
        <v>45588</v>
      </c>
    </row>
    <row r="2122" spans="1:9" ht="13.5">
      <c r="A2122" s="2" t="s">
        <v>3743</v>
      </c>
      <c r="B2122" s="3"/>
      <c r="C2122" s="4" t="s">
        <v>3837</v>
      </c>
      <c r="D2122" s="8" t="s">
        <v>3838</v>
      </c>
      <c r="E2122" s="5" t="s">
        <v>3839</v>
      </c>
      <c r="F2122" s="5" t="str">
        <f t="shared" si="33"/>
        <v>acnespecialisten.se</v>
      </c>
      <c r="G2122" s="5" t="s">
        <v>4</v>
      </c>
      <c r="H2122" s="5" t="s">
        <v>5</v>
      </c>
      <c r="I2122" s="6">
        <v>45588</v>
      </c>
    </row>
    <row r="2123" spans="1:9" ht="13.5">
      <c r="A2123" s="2" t="s">
        <v>1318</v>
      </c>
      <c r="B2123" s="3"/>
      <c r="C2123" s="4" t="s">
        <v>3840</v>
      </c>
      <c r="D2123" s="4" t="s">
        <v>1942</v>
      </c>
      <c r="E2123" s="5" t="s">
        <v>3841</v>
      </c>
      <c r="F2123" s="5" t="str">
        <f t="shared" si="33"/>
        <v>spelklubben.se</v>
      </c>
      <c r="G2123" s="5" t="s">
        <v>34</v>
      </c>
      <c r="H2123" s="5" t="s">
        <v>5</v>
      </c>
      <c r="I2123" s="6">
        <v>45588</v>
      </c>
    </row>
    <row r="2124" spans="1:9" ht="13.5">
      <c r="A2124" s="7" t="s">
        <v>3419</v>
      </c>
      <c r="B2124" s="3"/>
      <c r="C2124" s="5" t="s">
        <v>3842</v>
      </c>
      <c r="D2124" s="5" t="s">
        <v>3843</v>
      </c>
      <c r="E2124" s="5" t="s">
        <v>3844</v>
      </c>
      <c r="F2124" s="5" t="str">
        <f t="shared" si="33"/>
        <v>zmarta</v>
      </c>
      <c r="G2124" s="5" t="s">
        <v>4</v>
      </c>
      <c r="H2124" s="5" t="s">
        <v>5</v>
      </c>
      <c r="I2124" s="6">
        <v>45588</v>
      </c>
    </row>
    <row r="2125" spans="1:9" ht="13.5">
      <c r="A2125" s="2" t="s">
        <v>3761</v>
      </c>
      <c r="B2125" s="3"/>
      <c r="C2125" s="5" t="s">
        <v>3845</v>
      </c>
      <c r="D2125" s="5" t="s">
        <v>3846</v>
      </c>
      <c r="E2125" s="5" t="s">
        <v>3847</v>
      </c>
      <c r="F2125" s="5" t="str">
        <f t="shared" si="33"/>
        <v>hajper.com</v>
      </c>
      <c r="G2125" s="5" t="s">
        <v>4</v>
      </c>
      <c r="H2125" s="5" t="s">
        <v>5</v>
      </c>
      <c r="I2125" s="6">
        <v>45588</v>
      </c>
    </row>
    <row r="2126" spans="1:9" ht="13.5">
      <c r="A2126" s="2" t="s">
        <v>2592</v>
      </c>
      <c r="B2126" s="3"/>
      <c r="C2126" s="4" t="s">
        <v>3848</v>
      </c>
      <c r="D2126" s="4" t="s">
        <v>2594</v>
      </c>
      <c r="E2126" s="5" t="s">
        <v>3849</v>
      </c>
      <c r="F2126" s="5" t="str">
        <f t="shared" si="33"/>
        <v>everynightstudios.com</v>
      </c>
      <c r="G2126" s="5" t="s">
        <v>4</v>
      </c>
      <c r="H2126" s="5" t="s">
        <v>5</v>
      </c>
      <c r="I2126" s="116">
        <v>45590</v>
      </c>
    </row>
    <row r="2127" spans="1:9" ht="13.5">
      <c r="A2127" s="2" t="s">
        <v>3828</v>
      </c>
      <c r="B2127" s="3"/>
      <c r="C2127" s="4" t="s">
        <v>3850</v>
      </c>
      <c r="D2127" s="4" t="s">
        <v>3851</v>
      </c>
      <c r="E2127" s="5" t="s">
        <v>3852</v>
      </c>
      <c r="F2127" s="5" t="str">
        <f t="shared" si="33"/>
        <v>printler.com</v>
      </c>
      <c r="G2127" s="5" t="s">
        <v>4</v>
      </c>
      <c r="H2127" s="5" t="s">
        <v>5</v>
      </c>
      <c r="I2127" s="6">
        <v>45593</v>
      </c>
    </row>
    <row r="2128" spans="1:9" ht="13.5">
      <c r="A2128" s="2" t="s">
        <v>3058</v>
      </c>
      <c r="B2128" s="3"/>
      <c r="C2128" s="4" t="s">
        <v>3853</v>
      </c>
      <c r="D2128" s="4" t="s">
        <v>3060</v>
      </c>
      <c r="E2128" s="5" t="s">
        <v>3061</v>
      </c>
      <c r="F2128" s="5" t="str">
        <f t="shared" si="33"/>
        <v>rusta.se</v>
      </c>
      <c r="G2128" s="5" t="s">
        <v>4</v>
      </c>
      <c r="H2128" s="5" t="s">
        <v>5</v>
      </c>
      <c r="I2128" s="6">
        <v>45593</v>
      </c>
    </row>
    <row r="2129" spans="1:9" ht="13.5">
      <c r="A2129" s="2" t="s">
        <v>2640</v>
      </c>
      <c r="B2129" s="3"/>
      <c r="C2129" s="5" t="s">
        <v>3854</v>
      </c>
      <c r="D2129" s="5" t="s">
        <v>2642</v>
      </c>
      <c r="E2129" s="5" t="s">
        <v>1477</v>
      </c>
      <c r="F2129" s="5" t="str">
        <f t="shared" si="33"/>
        <v>snusnetto.se</v>
      </c>
      <c r="G2129" s="5" t="s">
        <v>4</v>
      </c>
      <c r="H2129" s="5" t="s">
        <v>5</v>
      </c>
      <c r="I2129" s="6">
        <v>45593</v>
      </c>
    </row>
    <row r="2130" spans="1:9" ht="13.5">
      <c r="A2130" s="2" t="s">
        <v>2428</v>
      </c>
      <c r="B2130" s="3"/>
      <c r="C2130" s="4" t="s">
        <v>3855</v>
      </c>
      <c r="D2130" s="4" t="s">
        <v>3323</v>
      </c>
      <c r="E2130" s="5" t="s">
        <v>3446</v>
      </c>
      <c r="F2130" s="5" t="str">
        <f t="shared" si="33"/>
        <v>sakraror.se</v>
      </c>
      <c r="G2130" s="5" t="s">
        <v>4</v>
      </c>
      <c r="H2130" s="5" t="s">
        <v>5</v>
      </c>
      <c r="I2130" s="6">
        <v>45594</v>
      </c>
    </row>
    <row r="2131" spans="1:9" ht="13.5">
      <c r="A2131" s="2" t="s">
        <v>2948</v>
      </c>
      <c r="B2131" s="3"/>
      <c r="C2131" s="4" t="s">
        <v>3856</v>
      </c>
      <c r="D2131" s="4" t="s">
        <v>2950</v>
      </c>
      <c r="E2131" s="5" t="s">
        <v>3857</v>
      </c>
      <c r="F2131" s="5" t="str">
        <f t="shared" si="33"/>
        <v>joureliten.se</v>
      </c>
      <c r="G2131" s="5" t="s">
        <v>4</v>
      </c>
      <c r="H2131" s="5" t="s">
        <v>5</v>
      </c>
      <c r="I2131" s="6">
        <v>45594</v>
      </c>
    </row>
    <row r="2132" spans="1:9" ht="13.5">
      <c r="A2132" s="2" t="s">
        <v>435</v>
      </c>
      <c r="B2132" s="3"/>
      <c r="C2132" s="4" t="s">
        <v>3858</v>
      </c>
      <c r="D2132" s="4" t="s">
        <v>3515</v>
      </c>
      <c r="E2132" s="5" t="s">
        <v>3859</v>
      </c>
      <c r="F2132" s="5" t="str">
        <f t="shared" si="33"/>
        <v>fairinvestments.se</v>
      </c>
      <c r="G2132" s="5" t="s">
        <v>4</v>
      </c>
      <c r="H2132" s="5" t="s">
        <v>5</v>
      </c>
      <c r="I2132" s="6">
        <v>45594</v>
      </c>
    </row>
    <row r="2133" spans="1:9" ht="13.5">
      <c r="A2133" s="2" t="s">
        <v>1318</v>
      </c>
      <c r="B2133" s="3"/>
      <c r="C2133" s="4" t="s">
        <v>3860</v>
      </c>
      <c r="D2133" s="4" t="s">
        <v>2644</v>
      </c>
      <c r="E2133" s="5" t="s">
        <v>3861</v>
      </c>
      <c r="F2133" s="5" t="str">
        <f t="shared" si="33"/>
        <v>spelklubben.se</v>
      </c>
      <c r="G2133" s="5" t="s">
        <v>4</v>
      </c>
      <c r="H2133" s="5" t="s">
        <v>5</v>
      </c>
      <c r="I2133" s="6">
        <v>45594</v>
      </c>
    </row>
    <row r="2134" spans="1:9" ht="13.5">
      <c r="A2134" s="2" t="s">
        <v>2836</v>
      </c>
      <c r="B2134" s="3"/>
      <c r="C2134" s="4" t="s">
        <v>3862</v>
      </c>
      <c r="D2134" s="8" t="s">
        <v>2967</v>
      </c>
      <c r="E2134" s="5" t="s">
        <v>3863</v>
      </c>
      <c r="F2134" s="5" t="str">
        <f t="shared" si="33"/>
        <v>cherry.com</v>
      </c>
      <c r="G2134" s="5" t="s">
        <v>4</v>
      </c>
      <c r="H2134" s="5" t="s">
        <v>5</v>
      </c>
      <c r="I2134" s="6">
        <v>45594</v>
      </c>
    </row>
    <row r="2135" spans="1:9" ht="13.5">
      <c r="A2135" s="2" t="s">
        <v>1318</v>
      </c>
      <c r="B2135" s="3"/>
      <c r="C2135" s="4" t="s">
        <v>3864</v>
      </c>
      <c r="D2135" s="4" t="s">
        <v>2823</v>
      </c>
      <c r="E2135" s="5" t="s">
        <v>3865</v>
      </c>
      <c r="F2135" s="5" t="str">
        <f t="shared" si="33"/>
        <v>spelklubben.se</v>
      </c>
      <c r="G2135" s="5" t="s">
        <v>4</v>
      </c>
      <c r="H2135" s="5" t="s">
        <v>5</v>
      </c>
      <c r="I2135" s="6">
        <v>45594</v>
      </c>
    </row>
    <row r="2136" spans="1:9" ht="13.5">
      <c r="A2136" s="2" t="s">
        <v>1318</v>
      </c>
      <c r="B2136" s="3"/>
      <c r="C2136" s="4" t="s">
        <v>3866</v>
      </c>
      <c r="D2136" s="4" t="s">
        <v>2823</v>
      </c>
      <c r="E2136" s="5" t="s">
        <v>3867</v>
      </c>
      <c r="F2136" s="5" t="str">
        <f t="shared" si="33"/>
        <v>spelklubben.se</v>
      </c>
      <c r="G2136" s="5" t="s">
        <v>4</v>
      </c>
      <c r="H2136" s="5" t="s">
        <v>5</v>
      </c>
      <c r="I2136" s="6">
        <v>45594</v>
      </c>
    </row>
    <row r="2137" spans="1:9" ht="13.5">
      <c r="A2137" s="2" t="s">
        <v>435</v>
      </c>
      <c r="C2137" s="138" t="s">
        <v>3868</v>
      </c>
      <c r="D2137" s="138" t="s">
        <v>1384</v>
      </c>
      <c r="E2137" s="72" t="s">
        <v>3869</v>
      </c>
      <c r="F2137" s="5" t="str">
        <f t="shared" si="33"/>
        <v>fairinvestments.se</v>
      </c>
      <c r="G2137" s="5" t="s">
        <v>4</v>
      </c>
      <c r="H2137" s="5" t="s">
        <v>5</v>
      </c>
      <c r="I2137" s="6">
        <v>45594</v>
      </c>
    </row>
    <row r="2138" spans="1:9" ht="13.5">
      <c r="A2138" s="7" t="s">
        <v>329</v>
      </c>
      <c r="B2138" s="3"/>
      <c r="C2138" s="4" t="s">
        <v>3870</v>
      </c>
      <c r="D2138" s="4" t="s">
        <v>331</v>
      </c>
      <c r="E2138" s="5" t="s">
        <v>3871</v>
      </c>
      <c r="F2138" s="5" t="str">
        <f t="shared" si="33"/>
        <v>vont</v>
      </c>
      <c r="G2138" s="5" t="s">
        <v>4</v>
      </c>
      <c r="H2138" s="5" t="s">
        <v>5</v>
      </c>
      <c r="I2138" s="6">
        <v>45594</v>
      </c>
    </row>
    <row r="2139" spans="1:9" ht="13.5">
      <c r="A2139" s="2" t="s">
        <v>3155</v>
      </c>
      <c r="B2139" s="3"/>
      <c r="C2139" s="297" t="s">
        <v>3872</v>
      </c>
      <c r="D2139" s="297" t="s">
        <v>3633</v>
      </c>
      <c r="E2139" s="321" t="s">
        <v>3873</v>
      </c>
      <c r="F2139" s="5" t="str">
        <f t="shared" si="33"/>
        <v>soartzy.com</v>
      </c>
      <c r="G2139" s="5" t="s">
        <v>4</v>
      </c>
      <c r="H2139" s="5" t="s">
        <v>5</v>
      </c>
      <c r="I2139" s="6">
        <v>45594</v>
      </c>
    </row>
    <row r="2140" spans="1:9" ht="13.5">
      <c r="A2140" s="2" t="s">
        <v>3173</v>
      </c>
      <c r="B2140" s="3"/>
      <c r="C2140" s="4" t="s">
        <v>3874</v>
      </c>
      <c r="D2140" s="4" t="s">
        <v>3173</v>
      </c>
      <c r="E2140" s="5" t="s">
        <v>3875</v>
      </c>
      <c r="F2140" s="5" t="str">
        <f t="shared" si="33"/>
        <v>ekstromgaray.se</v>
      </c>
      <c r="G2140" s="5" t="s">
        <v>4</v>
      </c>
      <c r="H2140" s="5" t="s">
        <v>5</v>
      </c>
      <c r="I2140" s="6">
        <v>45594</v>
      </c>
    </row>
    <row r="2141" spans="1:9" ht="13.5">
      <c r="A2141" s="2" t="s">
        <v>3817</v>
      </c>
      <c r="B2141" s="3"/>
      <c r="C2141" s="4" t="s">
        <v>3876</v>
      </c>
      <c r="D2141" s="4" t="s">
        <v>3877</v>
      </c>
      <c r="E2141" s="5" t="s">
        <v>3878</v>
      </c>
      <c r="F2141" s="5" t="str">
        <f t="shared" si="33"/>
        <v>kanalgratis.se</v>
      </c>
      <c r="G2141" s="5" t="s">
        <v>4</v>
      </c>
      <c r="H2141" s="5" t="s">
        <v>5</v>
      </c>
      <c r="I2141" s="6">
        <v>45594</v>
      </c>
    </row>
    <row r="2142" spans="1:9" ht="13.5">
      <c r="A2142" s="2" t="s">
        <v>435</v>
      </c>
      <c r="B2142" s="3"/>
      <c r="C2142" s="4" t="s">
        <v>3879</v>
      </c>
      <c r="D2142" s="4" t="s">
        <v>3880</v>
      </c>
      <c r="E2142" s="5" t="s">
        <v>3881</v>
      </c>
      <c r="F2142" s="5" t="str">
        <f t="shared" si="33"/>
        <v>fairinvestments.se</v>
      </c>
      <c r="G2142" s="5" t="s">
        <v>4</v>
      </c>
      <c r="H2142" s="5" t="s">
        <v>5</v>
      </c>
      <c r="I2142" s="116">
        <v>45594</v>
      </c>
    </row>
    <row r="2143" spans="1:9" ht="13.5">
      <c r="A2143" s="2" t="s">
        <v>2592</v>
      </c>
      <c r="B2143" s="3"/>
      <c r="C2143" s="4" t="s">
        <v>3882</v>
      </c>
      <c r="D2143" s="4" t="s">
        <v>3635</v>
      </c>
      <c r="E2143" s="5" t="s">
        <v>3636</v>
      </c>
      <c r="F2143" s="5" t="str">
        <f t="shared" si="33"/>
        <v>everynightstudios.com</v>
      </c>
      <c r="G2143" s="5" t="s">
        <v>4</v>
      </c>
      <c r="H2143" s="5" t="s">
        <v>5</v>
      </c>
      <c r="I2143" s="116">
        <v>45594</v>
      </c>
    </row>
    <row r="2144" spans="1:9" ht="13.5">
      <c r="A2144" s="2" t="s">
        <v>1318</v>
      </c>
      <c r="B2144" s="3"/>
      <c r="C2144" s="278" t="s">
        <v>3883</v>
      </c>
      <c r="D2144" s="4" t="s">
        <v>2644</v>
      </c>
      <c r="E2144" s="5" t="s">
        <v>3884</v>
      </c>
      <c r="F2144" s="5" t="str">
        <f t="shared" si="33"/>
        <v>spelklubben.se</v>
      </c>
      <c r="G2144" s="5" t="s">
        <v>4</v>
      </c>
      <c r="H2144" s="5" t="s">
        <v>5</v>
      </c>
      <c r="I2144" s="6">
        <v>45594</v>
      </c>
    </row>
    <row r="2145" spans="1:9" ht="13.5">
      <c r="A2145" s="2" t="s">
        <v>3885</v>
      </c>
      <c r="B2145" s="3"/>
      <c r="C2145" s="4" t="s">
        <v>3886</v>
      </c>
      <c r="D2145" s="4" t="s">
        <v>3887</v>
      </c>
      <c r="E2145" s="5" t="s">
        <v>3888</v>
      </c>
      <c r="F2145" s="5" t="str">
        <f t="shared" si="33"/>
        <v>chattanoogarehab.com</v>
      </c>
      <c r="G2145" s="5" t="s">
        <v>4</v>
      </c>
      <c r="H2145" s="5" t="s">
        <v>345</v>
      </c>
      <c r="I2145" s="6">
        <v>45594</v>
      </c>
    </row>
    <row r="2146" spans="1:9" ht="13.5">
      <c r="A2146" s="2" t="s">
        <v>3885</v>
      </c>
      <c r="B2146" s="3"/>
      <c r="C2146" s="4" t="s">
        <v>3889</v>
      </c>
      <c r="D2146" s="4" t="s">
        <v>3887</v>
      </c>
      <c r="E2146" s="5" t="s">
        <v>3890</v>
      </c>
      <c r="F2146" s="5" t="str">
        <f t="shared" si="33"/>
        <v>chattanoogarehab.com</v>
      </c>
      <c r="G2146" s="5" t="s">
        <v>4</v>
      </c>
      <c r="H2146" s="5" t="s">
        <v>345</v>
      </c>
      <c r="I2146" s="6">
        <v>45594</v>
      </c>
    </row>
    <row r="2147" spans="1:9" ht="13.5">
      <c r="A2147" s="2" t="s">
        <v>3658</v>
      </c>
      <c r="B2147" s="3"/>
      <c r="C2147" s="4" t="s">
        <v>3891</v>
      </c>
      <c r="D2147" s="8" t="s">
        <v>3658</v>
      </c>
      <c r="E2147" s="22" t="s">
        <v>3658</v>
      </c>
      <c r="F2147" s="5" t="str">
        <f t="shared" si="33"/>
        <v>bbml.se</v>
      </c>
      <c r="G2147" s="5" t="s">
        <v>4</v>
      </c>
      <c r="H2147" s="5" t="s">
        <v>5</v>
      </c>
      <c r="I2147" s="6">
        <v>45594</v>
      </c>
    </row>
    <row r="2148" spans="1:9" ht="13.5">
      <c r="A2148" s="2" t="s">
        <v>3885</v>
      </c>
      <c r="B2148" s="3"/>
      <c r="C2148" s="4" t="s">
        <v>3892</v>
      </c>
      <c r="D2148" s="4" t="s">
        <v>3893</v>
      </c>
      <c r="E2148" s="5" t="s">
        <v>3894</v>
      </c>
      <c r="F2148" s="5" t="str">
        <f t="shared" si="33"/>
        <v>chattanoogarehab.com</v>
      </c>
      <c r="G2148" s="5" t="s">
        <v>4</v>
      </c>
      <c r="H2148" s="5" t="s">
        <v>345</v>
      </c>
      <c r="I2148" s="6">
        <v>45594</v>
      </c>
    </row>
    <row r="2149" spans="1:9" ht="13.5">
      <c r="A2149" s="2" t="s">
        <v>3885</v>
      </c>
      <c r="B2149" s="3"/>
      <c r="C2149" s="4" t="s">
        <v>3895</v>
      </c>
      <c r="D2149" s="4" t="s">
        <v>3893</v>
      </c>
      <c r="E2149" s="5" t="s">
        <v>3896</v>
      </c>
      <c r="F2149" s="5" t="str">
        <f t="shared" si="33"/>
        <v>chattanoogarehab.com</v>
      </c>
      <c r="G2149" s="5" t="s">
        <v>4</v>
      </c>
      <c r="H2149" s="5" t="s">
        <v>345</v>
      </c>
      <c r="I2149" s="6">
        <v>45594</v>
      </c>
    </row>
    <row r="2150" spans="1:9" ht="13.5">
      <c r="A2150" s="2" t="s">
        <v>2636</v>
      </c>
      <c r="B2150" s="3"/>
      <c r="C2150" s="5" t="s">
        <v>3897</v>
      </c>
      <c r="D2150" s="5" t="s">
        <v>3898</v>
      </c>
      <c r="E2150" s="5" t="s">
        <v>3899</v>
      </c>
      <c r="F2150" s="5" t="str">
        <f t="shared" si="33"/>
        <v>kvarnx.com</v>
      </c>
      <c r="G2150" s="5" t="s">
        <v>4</v>
      </c>
      <c r="H2150" s="5" t="s">
        <v>5</v>
      </c>
      <c r="I2150" s="6">
        <v>45594</v>
      </c>
    </row>
    <row r="2151" spans="1:9" ht="13.5">
      <c r="A2151" s="7" t="s">
        <v>3419</v>
      </c>
      <c r="B2151" s="3"/>
      <c r="C2151" s="5" t="s">
        <v>3900</v>
      </c>
      <c r="D2151" s="5" t="s">
        <v>3407</v>
      </c>
      <c r="E2151" s="5" t="s">
        <v>3901</v>
      </c>
      <c r="F2151" s="5" t="str">
        <f t="shared" si="33"/>
        <v>zmarta</v>
      </c>
      <c r="G2151" s="5" t="s">
        <v>4</v>
      </c>
      <c r="H2151" s="5" t="s">
        <v>5</v>
      </c>
      <c r="I2151" s="6">
        <v>45594</v>
      </c>
    </row>
    <row r="2152" spans="1:9" ht="13.5">
      <c r="A2152" s="7" t="s">
        <v>3419</v>
      </c>
      <c r="B2152" s="3"/>
      <c r="C2152" s="5" t="s">
        <v>3902</v>
      </c>
      <c r="D2152" s="5" t="s">
        <v>3401</v>
      </c>
      <c r="E2152" s="5" t="s">
        <v>3903</v>
      </c>
      <c r="F2152" s="5" t="str">
        <f t="shared" si="33"/>
        <v>zmarta</v>
      </c>
      <c r="G2152" s="5" t="s">
        <v>4</v>
      </c>
      <c r="H2152" s="5" t="s">
        <v>5</v>
      </c>
      <c r="I2152" s="6">
        <v>45594</v>
      </c>
    </row>
    <row r="2153" spans="1:9" ht="13.5">
      <c r="A2153" s="7" t="s">
        <v>3419</v>
      </c>
      <c r="B2153" s="3"/>
      <c r="C2153" s="5" t="s">
        <v>3904</v>
      </c>
      <c r="D2153" s="5" t="s">
        <v>3905</v>
      </c>
      <c r="E2153" s="5" t="s">
        <v>3906</v>
      </c>
      <c r="F2153" s="5" t="str">
        <f t="shared" si="33"/>
        <v>zmarta</v>
      </c>
      <c r="G2153" s="5" t="s">
        <v>4</v>
      </c>
      <c r="H2153" s="5" t="s">
        <v>5</v>
      </c>
      <c r="I2153" s="6">
        <v>45594</v>
      </c>
    </row>
    <row r="2154" spans="1:9" ht="13.5">
      <c r="A2154" s="2" t="s">
        <v>3761</v>
      </c>
      <c r="B2154" s="3"/>
      <c r="C2154" s="5" t="s">
        <v>3907</v>
      </c>
      <c r="D2154" s="5" t="s">
        <v>3908</v>
      </c>
      <c r="E2154" s="5" t="s">
        <v>3909</v>
      </c>
      <c r="F2154" s="5" t="str">
        <f t="shared" si="33"/>
        <v>hajper.com</v>
      </c>
      <c r="G2154" s="5" t="s">
        <v>4</v>
      </c>
      <c r="H2154" s="5" t="s">
        <v>5</v>
      </c>
      <c r="I2154" s="6">
        <v>45594</v>
      </c>
    </row>
    <row r="2155" spans="1:9" ht="13.5">
      <c r="A2155" s="2" t="s">
        <v>3817</v>
      </c>
      <c r="B2155" s="3"/>
      <c r="C2155" s="4" t="s">
        <v>3910</v>
      </c>
      <c r="D2155" s="4" t="s">
        <v>3911</v>
      </c>
      <c r="E2155" s="22" t="s">
        <v>3817</v>
      </c>
      <c r="F2155" s="5" t="str">
        <f t="shared" si="33"/>
        <v>kanalgratis.se</v>
      </c>
      <c r="G2155" s="5" t="s">
        <v>4</v>
      </c>
      <c r="H2155" s="5" t="s">
        <v>5</v>
      </c>
      <c r="I2155" s="6">
        <v>45595</v>
      </c>
    </row>
    <row r="2156" spans="1:9" ht="13.5">
      <c r="A2156" s="2" t="s">
        <v>3580</v>
      </c>
      <c r="B2156" s="3"/>
      <c r="C2156" s="4" t="s">
        <v>3912</v>
      </c>
      <c r="D2156" s="138" t="s">
        <v>3582</v>
      </c>
      <c r="E2156" s="5" t="s">
        <v>3583</v>
      </c>
      <c r="F2156" s="5" t="str">
        <f t="shared" si="33"/>
        <v>kleer.se</v>
      </c>
      <c r="G2156" s="5" t="s">
        <v>4</v>
      </c>
      <c r="H2156" s="5" t="s">
        <v>5</v>
      </c>
      <c r="I2156" s="6">
        <v>45595</v>
      </c>
    </row>
    <row r="2157" spans="1:9" ht="13.5">
      <c r="A2157" s="2" t="s">
        <v>2636</v>
      </c>
      <c r="B2157" s="3"/>
      <c r="C2157" s="5" t="s">
        <v>3913</v>
      </c>
      <c r="D2157" s="5" t="s">
        <v>2702</v>
      </c>
      <c r="E2157" s="5" t="s">
        <v>2998</v>
      </c>
      <c r="F2157" s="5" t="str">
        <f t="shared" si="33"/>
        <v>kvarnx.com</v>
      </c>
      <c r="G2157" s="5" t="s">
        <v>4</v>
      </c>
      <c r="H2157" s="5" t="s">
        <v>5</v>
      </c>
      <c r="I2157" s="6">
        <v>45595</v>
      </c>
    </row>
    <row r="2158" spans="1:9" ht="13.5">
      <c r="A2158" s="2" t="s">
        <v>2636</v>
      </c>
      <c r="B2158" s="3"/>
      <c r="C2158" s="5" t="s">
        <v>3914</v>
      </c>
      <c r="D2158" s="5" t="s">
        <v>3915</v>
      </c>
      <c r="E2158" s="5" t="s">
        <v>3916</v>
      </c>
      <c r="F2158" s="5" t="str">
        <f t="shared" si="33"/>
        <v>kvarnx.com</v>
      </c>
      <c r="G2158" s="5" t="s">
        <v>4</v>
      </c>
      <c r="H2158" s="5" t="s">
        <v>5</v>
      </c>
      <c r="I2158" s="6">
        <v>45595</v>
      </c>
    </row>
    <row r="2159" spans="1:9" ht="13.5">
      <c r="A2159" s="2" t="s">
        <v>2636</v>
      </c>
      <c r="B2159" s="3"/>
      <c r="C2159" s="5" t="s">
        <v>3917</v>
      </c>
      <c r="D2159" s="5" t="s">
        <v>3626</v>
      </c>
      <c r="E2159" s="5" t="s">
        <v>3918</v>
      </c>
      <c r="F2159" s="5" t="str">
        <f t="shared" si="33"/>
        <v>kvarnx.com</v>
      </c>
      <c r="G2159" s="5" t="s">
        <v>4</v>
      </c>
      <c r="H2159" s="5" t="s">
        <v>5</v>
      </c>
      <c r="I2159" s="6">
        <v>45595</v>
      </c>
    </row>
    <row r="2160" spans="1:9" ht="13.5">
      <c r="A2160" s="2" t="s">
        <v>3761</v>
      </c>
      <c r="B2160" s="3"/>
      <c r="C2160" s="5" t="s">
        <v>3919</v>
      </c>
      <c r="D2160" s="5" t="s">
        <v>3908</v>
      </c>
      <c r="E2160" s="5" t="s">
        <v>3920</v>
      </c>
      <c r="F2160" s="5" t="str">
        <f t="shared" si="33"/>
        <v>hajper.com</v>
      </c>
      <c r="G2160" s="5" t="s">
        <v>4</v>
      </c>
      <c r="H2160" s="5" t="s">
        <v>5</v>
      </c>
      <c r="I2160" s="6">
        <v>45595</v>
      </c>
    </row>
    <row r="2161" spans="1:9" ht="13.5">
      <c r="A2161" s="7" t="s">
        <v>3921</v>
      </c>
      <c r="B2161" s="3"/>
      <c r="C2161" s="5" t="s">
        <v>3922</v>
      </c>
      <c r="D2161" s="5" t="s">
        <v>3923</v>
      </c>
      <c r="E2161" s="5" t="s">
        <v>3924</v>
      </c>
      <c r="F2161" s="5" t="str">
        <f t="shared" si="33"/>
        <v>svenskalasjouren.se</v>
      </c>
      <c r="G2161" s="5" t="s">
        <v>4</v>
      </c>
      <c r="H2161" s="5" t="s">
        <v>5</v>
      </c>
      <c r="I2161" s="6">
        <v>45595</v>
      </c>
    </row>
    <row r="2162" spans="1:9" ht="13.5">
      <c r="A2162" s="2" t="s">
        <v>3682</v>
      </c>
      <c r="B2162" s="3"/>
      <c r="C2162" s="5" t="s">
        <v>3925</v>
      </c>
      <c r="D2162" s="5" t="s">
        <v>3926</v>
      </c>
      <c r="E2162" s="5" t="s">
        <v>3927</v>
      </c>
      <c r="F2162" s="5" t="str">
        <f t="shared" si="33"/>
        <v>upplevelse.com</v>
      </c>
      <c r="G2162" s="5" t="s">
        <v>4</v>
      </c>
      <c r="H2162" s="5" t="s">
        <v>5</v>
      </c>
      <c r="I2162" s="6">
        <v>45596</v>
      </c>
    </row>
    <row r="2163" spans="1:9" ht="13.5">
      <c r="A2163" s="2" t="s">
        <v>3885</v>
      </c>
      <c r="B2163" s="3"/>
      <c r="C2163" s="4" t="s">
        <v>3928</v>
      </c>
      <c r="D2163" s="4" t="s">
        <v>3929</v>
      </c>
      <c r="E2163" s="9" t="s">
        <v>3885</v>
      </c>
      <c r="F2163" s="5" t="str">
        <f t="shared" si="33"/>
        <v>chattanoogarehab.com</v>
      </c>
      <c r="G2163" s="5" t="s">
        <v>4</v>
      </c>
      <c r="H2163" s="5" t="s">
        <v>345</v>
      </c>
      <c r="I2163" s="6">
        <v>45597</v>
      </c>
    </row>
    <row r="2164" spans="1:9" ht="13.5">
      <c r="A2164" s="2" t="s">
        <v>3885</v>
      </c>
      <c r="B2164" s="3"/>
      <c r="C2164" s="4" t="s">
        <v>3930</v>
      </c>
      <c r="D2164" s="4" t="s">
        <v>3931</v>
      </c>
      <c r="E2164" s="5" t="s">
        <v>3932</v>
      </c>
      <c r="F2164" s="5" t="str">
        <f t="shared" si="33"/>
        <v>chattanoogarehab.com</v>
      </c>
      <c r="G2164" s="5" t="s">
        <v>4</v>
      </c>
      <c r="H2164" s="5" t="s">
        <v>345</v>
      </c>
      <c r="I2164" s="6">
        <v>45597</v>
      </c>
    </row>
    <row r="2165" spans="1:9" ht="13.5">
      <c r="A2165" s="2" t="s">
        <v>3491</v>
      </c>
      <c r="B2165" s="3"/>
      <c r="C2165" s="4" t="s">
        <v>3933</v>
      </c>
      <c r="D2165" s="4" t="s">
        <v>3493</v>
      </c>
      <c r="E2165" s="5" t="s">
        <v>3494</v>
      </c>
      <c r="F2165" s="5" t="str">
        <f t="shared" si="33"/>
        <v>mynicco.com</v>
      </c>
      <c r="G2165" s="5" t="s">
        <v>4</v>
      </c>
      <c r="H2165" s="5" t="s">
        <v>3496</v>
      </c>
      <c r="I2165" s="6">
        <v>45597</v>
      </c>
    </row>
    <row r="2166" spans="1:9" ht="13.5">
      <c r="A2166" s="2" t="s">
        <v>3491</v>
      </c>
      <c r="B2166" s="3"/>
      <c r="C2166" s="4" t="s">
        <v>3934</v>
      </c>
      <c r="D2166" s="4" t="s">
        <v>3493</v>
      </c>
      <c r="E2166" s="5" t="s">
        <v>3494</v>
      </c>
      <c r="F2166" s="5" t="str">
        <f t="shared" si="33"/>
        <v>mynicco.com</v>
      </c>
      <c r="G2166" s="5" t="s">
        <v>4</v>
      </c>
      <c r="H2166" s="5" t="s">
        <v>345</v>
      </c>
      <c r="I2166" s="6">
        <v>45597</v>
      </c>
    </row>
    <row r="2167" spans="1:9" ht="13.5">
      <c r="A2167" s="2" t="s">
        <v>3491</v>
      </c>
      <c r="B2167" s="3"/>
      <c r="C2167" s="4" t="s">
        <v>3935</v>
      </c>
      <c r="D2167" s="4" t="s">
        <v>3493</v>
      </c>
      <c r="E2167" s="5" t="s">
        <v>3494</v>
      </c>
      <c r="F2167" s="5" t="str">
        <f t="shared" si="33"/>
        <v>mynicco.com</v>
      </c>
      <c r="G2167" s="5" t="s">
        <v>4</v>
      </c>
      <c r="H2167" s="5" t="s">
        <v>3496</v>
      </c>
      <c r="I2167" s="6">
        <v>45597</v>
      </c>
    </row>
    <row r="2168" spans="1:9" ht="13.5">
      <c r="A2168" s="2" t="s">
        <v>3299</v>
      </c>
      <c r="B2168" s="3"/>
      <c r="C2168" s="4" t="s">
        <v>3936</v>
      </c>
      <c r="D2168" s="4" t="s">
        <v>3661</v>
      </c>
      <c r="E2168" s="9" t="s">
        <v>3809</v>
      </c>
      <c r="F2168" s="5" t="str">
        <f t="shared" si="33"/>
        <v>nodepositbonus.cc</v>
      </c>
      <c r="G2168" s="5" t="s">
        <v>4</v>
      </c>
      <c r="H2168" s="5" t="s">
        <v>345</v>
      </c>
      <c r="I2168" s="6">
        <v>45597</v>
      </c>
    </row>
    <row r="2169" spans="1:9" ht="13.5">
      <c r="A2169" s="2" t="s">
        <v>3299</v>
      </c>
      <c r="B2169" s="3"/>
      <c r="C2169" s="4" t="s">
        <v>3937</v>
      </c>
      <c r="D2169" s="4" t="s">
        <v>3938</v>
      </c>
      <c r="E2169" s="5" t="s">
        <v>3939</v>
      </c>
      <c r="F2169" s="5" t="str">
        <f t="shared" si="33"/>
        <v>nodepositbonus.cc</v>
      </c>
      <c r="G2169" s="5" t="s">
        <v>4</v>
      </c>
      <c r="H2169" s="5" t="s">
        <v>345</v>
      </c>
      <c r="I2169" s="6">
        <v>45597</v>
      </c>
    </row>
    <row r="2170" spans="1:9" ht="13.5">
      <c r="A2170" s="2" t="s">
        <v>723</v>
      </c>
      <c r="B2170" s="3"/>
      <c r="C2170" s="4" t="s">
        <v>3940</v>
      </c>
      <c r="D2170" s="4" t="s">
        <v>725</v>
      </c>
      <c r="E2170" s="5" t="s">
        <v>3941</v>
      </c>
      <c r="F2170" s="5" t="str">
        <f t="shared" si="33"/>
        <v>aretrotale.com</v>
      </c>
      <c r="G2170" s="5" t="s">
        <v>4</v>
      </c>
      <c r="H2170" s="5" t="s">
        <v>23</v>
      </c>
      <c r="I2170" s="6">
        <v>45597</v>
      </c>
    </row>
    <row r="2171" spans="1:9" ht="13.5">
      <c r="A2171" s="7" t="s">
        <v>3791</v>
      </c>
      <c r="B2171" s="3"/>
      <c r="C2171" s="4" t="s">
        <v>3942</v>
      </c>
      <c r="D2171" s="4" t="s">
        <v>3943</v>
      </c>
      <c r="E2171" s="5" t="s">
        <v>3944</v>
      </c>
      <c r="F2171" s="5" t="str">
        <f t="shared" si="33"/>
        <v>coface</v>
      </c>
      <c r="G2171" s="5" t="s">
        <v>4</v>
      </c>
      <c r="H2171" s="5" t="s">
        <v>1618</v>
      </c>
      <c r="I2171" s="6">
        <v>45597</v>
      </c>
    </row>
    <row r="2172" spans="1:9" ht="13.5">
      <c r="A2172" s="7" t="s">
        <v>3791</v>
      </c>
      <c r="B2172" s="3"/>
      <c r="C2172" s="4" t="s">
        <v>3945</v>
      </c>
      <c r="D2172" s="4" t="s">
        <v>3946</v>
      </c>
      <c r="E2172" s="5" t="s">
        <v>3947</v>
      </c>
      <c r="F2172" s="5" t="str">
        <f t="shared" si="33"/>
        <v>coface</v>
      </c>
      <c r="G2172" s="5" t="s">
        <v>4</v>
      </c>
      <c r="H2172" s="5" t="s">
        <v>267</v>
      </c>
      <c r="I2172" s="6">
        <v>45597</v>
      </c>
    </row>
    <row r="2173" spans="1:9" ht="13.5">
      <c r="A2173" s="2" t="s">
        <v>2836</v>
      </c>
      <c r="B2173" s="3"/>
      <c r="C2173" s="4" t="s">
        <v>3948</v>
      </c>
      <c r="D2173" s="4" t="s">
        <v>3656</v>
      </c>
      <c r="E2173" s="5" t="s">
        <v>3949</v>
      </c>
      <c r="F2173" s="5" t="str">
        <f t="shared" si="33"/>
        <v>cherry.com</v>
      </c>
      <c r="G2173" s="5" t="s">
        <v>4</v>
      </c>
      <c r="H2173" s="5" t="s">
        <v>5</v>
      </c>
      <c r="I2173" s="6">
        <v>45597</v>
      </c>
    </row>
    <row r="2174" spans="1:9" ht="13.5">
      <c r="A2174" s="2" t="s">
        <v>1318</v>
      </c>
      <c r="B2174" s="3"/>
      <c r="C2174" s="4" t="s">
        <v>3950</v>
      </c>
      <c r="D2174" s="4" t="s">
        <v>2644</v>
      </c>
      <c r="E2174" s="5" t="s">
        <v>3951</v>
      </c>
      <c r="F2174" s="5" t="str">
        <f t="shared" si="33"/>
        <v>spelklubben.se</v>
      </c>
      <c r="G2174" s="5" t="s">
        <v>4</v>
      </c>
      <c r="H2174" s="5" t="s">
        <v>5</v>
      </c>
      <c r="I2174" s="6">
        <v>45597</v>
      </c>
    </row>
    <row r="2175" spans="1:9" ht="13.5">
      <c r="A2175" s="2" t="s">
        <v>171</v>
      </c>
      <c r="B2175" s="3"/>
      <c r="C2175" s="4" t="s">
        <v>3952</v>
      </c>
      <c r="D2175" s="4" t="s">
        <v>1095</v>
      </c>
      <c r="E2175" s="5" t="s">
        <v>3953</v>
      </c>
      <c r="F2175" s="5" t="str">
        <f t="shared" si="33"/>
        <v>arctic.se</v>
      </c>
      <c r="G2175" s="5" t="s">
        <v>4</v>
      </c>
      <c r="H2175" s="5" t="s">
        <v>5</v>
      </c>
      <c r="I2175" s="6">
        <v>45597</v>
      </c>
    </row>
    <row r="2176" spans="1:9" ht="13.5">
      <c r="A2176" s="2" t="s">
        <v>1180</v>
      </c>
      <c r="B2176" s="3"/>
      <c r="C2176" s="4" t="s">
        <v>3954</v>
      </c>
      <c r="D2176" s="4" t="s">
        <v>2521</v>
      </c>
      <c r="E2176" s="5" t="s">
        <v>1570</v>
      </c>
      <c r="F2176" s="5" t="str">
        <f t="shared" si="33"/>
        <v>e-ciggbolaget.se</v>
      </c>
      <c r="G2176" s="5" t="s">
        <v>4</v>
      </c>
      <c r="H2176" s="5" t="s">
        <v>5</v>
      </c>
      <c r="I2176" s="6">
        <v>45597</v>
      </c>
    </row>
    <row r="2177" spans="1:9" ht="13.5">
      <c r="A2177" s="2" t="s">
        <v>2592</v>
      </c>
      <c r="B2177" s="3"/>
      <c r="C2177" s="4" t="s">
        <v>3955</v>
      </c>
      <c r="D2177" s="4" t="s">
        <v>2594</v>
      </c>
      <c r="E2177" s="5" t="s">
        <v>2779</v>
      </c>
      <c r="F2177" s="5" t="str">
        <f t="shared" si="33"/>
        <v>everynightstudios.com</v>
      </c>
      <c r="G2177" s="5" t="s">
        <v>4</v>
      </c>
      <c r="H2177" s="5" t="s">
        <v>5</v>
      </c>
      <c r="I2177" s="6">
        <v>45597</v>
      </c>
    </row>
    <row r="2178" spans="1:9" ht="13.5">
      <c r="A2178" s="2" t="s">
        <v>171</v>
      </c>
      <c r="B2178" s="3"/>
      <c r="C2178" s="4" t="s">
        <v>3956</v>
      </c>
      <c r="D2178" s="4" t="s">
        <v>1095</v>
      </c>
      <c r="E2178" s="5" t="s">
        <v>1655</v>
      </c>
      <c r="F2178" s="5" t="str">
        <f t="shared" si="33"/>
        <v>arctic.se</v>
      </c>
      <c r="G2178" s="5" t="s">
        <v>4</v>
      </c>
      <c r="H2178" s="5" t="s">
        <v>5</v>
      </c>
      <c r="I2178" s="6">
        <v>45597</v>
      </c>
    </row>
    <row r="2179" spans="1:9" ht="13.5">
      <c r="A2179" s="2" t="s">
        <v>1180</v>
      </c>
      <c r="B2179" s="3"/>
      <c r="C2179" s="4" t="s">
        <v>3957</v>
      </c>
      <c r="D2179" s="4" t="s">
        <v>3772</v>
      </c>
      <c r="E2179" s="5" t="s">
        <v>3958</v>
      </c>
      <c r="F2179" s="5" t="str">
        <f t="shared" ref="F2179:F2242" si="34">A2179</f>
        <v>e-ciggbolaget.se</v>
      </c>
      <c r="G2179" s="5" t="s">
        <v>4</v>
      </c>
      <c r="H2179" s="5" t="s">
        <v>5</v>
      </c>
      <c r="I2179" s="6">
        <v>45597</v>
      </c>
    </row>
    <row r="2180" spans="1:9" ht="13.5">
      <c r="A2180" s="2" t="s">
        <v>723</v>
      </c>
      <c r="B2180" s="3"/>
      <c r="C2180" s="4" t="s">
        <v>3959</v>
      </c>
      <c r="D2180" s="4" t="s">
        <v>725</v>
      </c>
      <c r="E2180" s="9" t="s">
        <v>723</v>
      </c>
      <c r="F2180" s="5" t="str">
        <f t="shared" si="34"/>
        <v>aretrotale.com</v>
      </c>
      <c r="G2180" s="5" t="s">
        <v>4</v>
      </c>
      <c r="H2180" s="5" t="s">
        <v>23</v>
      </c>
      <c r="I2180" s="6">
        <v>45597</v>
      </c>
    </row>
    <row r="2181" spans="1:9" ht="13.5">
      <c r="A2181" s="2" t="s">
        <v>171</v>
      </c>
      <c r="B2181" s="3"/>
      <c r="C2181" s="4" t="s">
        <v>3960</v>
      </c>
      <c r="D2181" s="4" t="s">
        <v>3961</v>
      </c>
      <c r="E2181" s="5" t="s">
        <v>1505</v>
      </c>
      <c r="F2181" s="5" t="str">
        <f t="shared" si="34"/>
        <v>arctic.se</v>
      </c>
      <c r="G2181" s="5" t="s">
        <v>4</v>
      </c>
      <c r="H2181" s="5" t="s">
        <v>262</v>
      </c>
      <c r="I2181" s="6">
        <v>45597</v>
      </c>
    </row>
    <row r="2182" spans="1:9" ht="13.5">
      <c r="A2182" s="2" t="s">
        <v>2592</v>
      </c>
      <c r="B2182" s="3"/>
      <c r="C2182" s="4" t="s">
        <v>3962</v>
      </c>
      <c r="D2182" s="4" t="s">
        <v>3461</v>
      </c>
      <c r="E2182" s="5" t="s">
        <v>3963</v>
      </c>
      <c r="F2182" s="5" t="str">
        <f t="shared" si="34"/>
        <v>everynightstudios.com</v>
      </c>
      <c r="G2182" s="5" t="s">
        <v>4</v>
      </c>
      <c r="H2182" s="5" t="s">
        <v>5</v>
      </c>
      <c r="I2182" s="6">
        <v>45597</v>
      </c>
    </row>
    <row r="2183" spans="1:9" ht="13.5">
      <c r="A2183" s="2" t="s">
        <v>3885</v>
      </c>
      <c r="B2183" s="3"/>
      <c r="C2183" s="4" t="s">
        <v>3964</v>
      </c>
      <c r="D2183" s="4" t="s">
        <v>3893</v>
      </c>
      <c r="E2183" s="5" t="s">
        <v>3965</v>
      </c>
      <c r="F2183" s="5" t="str">
        <f t="shared" si="34"/>
        <v>chattanoogarehab.com</v>
      </c>
      <c r="G2183" s="5" t="s">
        <v>4</v>
      </c>
      <c r="H2183" s="5" t="s">
        <v>345</v>
      </c>
      <c r="I2183" s="6">
        <v>45597</v>
      </c>
    </row>
    <row r="2184" spans="1:9" ht="13.5">
      <c r="A2184" s="2" t="s">
        <v>3885</v>
      </c>
      <c r="B2184" s="3"/>
      <c r="C2184" s="4" t="s">
        <v>3966</v>
      </c>
      <c r="D2184" s="4" t="s">
        <v>3967</v>
      </c>
      <c r="E2184" s="5" t="s">
        <v>3968</v>
      </c>
      <c r="F2184" s="5" t="str">
        <f t="shared" si="34"/>
        <v>chattanoogarehab.com</v>
      </c>
      <c r="G2184" s="5" t="s">
        <v>4</v>
      </c>
      <c r="H2184" s="5" t="s">
        <v>345</v>
      </c>
      <c r="I2184" s="6">
        <v>45597</v>
      </c>
    </row>
    <row r="2185" spans="1:9" ht="13.5">
      <c r="A2185" s="2" t="s">
        <v>3885</v>
      </c>
      <c r="B2185" s="3"/>
      <c r="C2185" s="4" t="s">
        <v>3969</v>
      </c>
      <c r="D2185" s="4" t="s">
        <v>3967</v>
      </c>
      <c r="E2185" s="5" t="s">
        <v>3970</v>
      </c>
      <c r="F2185" s="5" t="str">
        <f t="shared" si="34"/>
        <v>chattanoogarehab.com</v>
      </c>
      <c r="G2185" s="5" t="s">
        <v>4</v>
      </c>
      <c r="H2185" s="5" t="s">
        <v>345</v>
      </c>
      <c r="I2185" s="6">
        <v>45597</v>
      </c>
    </row>
    <row r="2186" spans="1:9" ht="13.5">
      <c r="A2186" s="2" t="s">
        <v>3885</v>
      </c>
      <c r="B2186" s="3"/>
      <c r="C2186" s="4" t="s">
        <v>3971</v>
      </c>
      <c r="D2186" s="4" t="s">
        <v>3931</v>
      </c>
      <c r="E2186" s="5" t="s">
        <v>3932</v>
      </c>
      <c r="F2186" s="5" t="str">
        <f t="shared" si="34"/>
        <v>chattanoogarehab.com</v>
      </c>
      <c r="G2186" s="5" t="s">
        <v>4</v>
      </c>
      <c r="H2186" s="5" t="s">
        <v>5</v>
      </c>
      <c r="I2186" s="6">
        <v>45598</v>
      </c>
    </row>
    <row r="2187" spans="1:9" ht="13.5">
      <c r="A2187" s="2" t="s">
        <v>2836</v>
      </c>
      <c r="B2187" s="3"/>
      <c r="C2187" s="4" t="s">
        <v>3972</v>
      </c>
      <c r="D2187" s="4" t="s">
        <v>3656</v>
      </c>
      <c r="E2187" s="5" t="s">
        <v>3973</v>
      </c>
      <c r="F2187" s="5" t="str">
        <f t="shared" si="34"/>
        <v>cherry.com</v>
      </c>
      <c r="G2187" s="5" t="s">
        <v>4</v>
      </c>
      <c r="H2187" s="5" t="s">
        <v>5</v>
      </c>
      <c r="I2187" s="6">
        <v>45601</v>
      </c>
    </row>
    <row r="2188" spans="1:9" ht="13.5">
      <c r="A2188" s="2" t="s">
        <v>2428</v>
      </c>
      <c r="B2188" s="3"/>
      <c r="C2188" s="4" t="s">
        <v>3974</v>
      </c>
      <c r="D2188" s="13" t="s">
        <v>2709</v>
      </c>
      <c r="E2188" s="9" t="s">
        <v>3975</v>
      </c>
      <c r="F2188" s="5" t="str">
        <f t="shared" si="34"/>
        <v>sakraror.se</v>
      </c>
      <c r="G2188" s="5" t="s">
        <v>4</v>
      </c>
      <c r="H2188" s="5" t="s">
        <v>5</v>
      </c>
      <c r="I2188" s="6">
        <v>45607</v>
      </c>
    </row>
    <row r="2189" spans="1:9" ht="14.25">
      <c r="A2189" s="2" t="s">
        <v>1318</v>
      </c>
      <c r="B2189" s="3"/>
      <c r="C2189" s="322" t="s">
        <v>3976</v>
      </c>
      <c r="D2189" s="4" t="s">
        <v>3977</v>
      </c>
      <c r="E2189" s="5" t="s">
        <v>3978</v>
      </c>
      <c r="F2189" s="5" t="str">
        <f t="shared" si="34"/>
        <v>spelklubben.se</v>
      </c>
      <c r="G2189" s="5" t="s">
        <v>4</v>
      </c>
      <c r="H2189" s="5" t="s">
        <v>5</v>
      </c>
      <c r="I2189" s="6">
        <v>45610</v>
      </c>
    </row>
    <row r="2190" spans="1:9" ht="13.5">
      <c r="A2190" s="2" t="s">
        <v>1318</v>
      </c>
      <c r="B2190" s="3"/>
      <c r="C2190" s="4" t="s">
        <v>3979</v>
      </c>
      <c r="D2190" s="4" t="s">
        <v>1942</v>
      </c>
      <c r="E2190" s="138" t="s">
        <v>3980</v>
      </c>
      <c r="F2190" s="5" t="str">
        <f t="shared" si="34"/>
        <v>spelklubben.se</v>
      </c>
      <c r="G2190" s="5" t="s">
        <v>4</v>
      </c>
      <c r="H2190" s="5" t="s">
        <v>5</v>
      </c>
      <c r="I2190" s="6">
        <v>45610</v>
      </c>
    </row>
    <row r="2191" spans="1:9" ht="13.5">
      <c r="A2191" s="7" t="s">
        <v>3791</v>
      </c>
      <c r="B2191" s="3"/>
      <c r="C2191" s="4" t="s">
        <v>3981</v>
      </c>
      <c r="D2191" s="4" t="s">
        <v>3982</v>
      </c>
      <c r="E2191" s="5" t="s">
        <v>3983</v>
      </c>
      <c r="F2191" s="5" t="str">
        <f t="shared" si="34"/>
        <v>coface</v>
      </c>
      <c r="G2191" s="5" t="s">
        <v>4</v>
      </c>
      <c r="H2191" s="5" t="s">
        <v>382</v>
      </c>
      <c r="I2191" s="6">
        <v>45610</v>
      </c>
    </row>
    <row r="2192" spans="1:9" ht="14.25">
      <c r="A2192" s="7" t="s">
        <v>3791</v>
      </c>
      <c r="B2192" s="3"/>
      <c r="C2192" s="323" t="s">
        <v>3984</v>
      </c>
      <c r="D2192" s="4" t="s">
        <v>3985</v>
      </c>
      <c r="E2192" s="5" t="s">
        <v>268</v>
      </c>
      <c r="F2192" s="5" t="str">
        <f t="shared" si="34"/>
        <v>coface</v>
      </c>
      <c r="G2192" s="5" t="s">
        <v>4</v>
      </c>
      <c r="H2192" s="5" t="s">
        <v>382</v>
      </c>
      <c r="I2192" s="6">
        <v>45611</v>
      </c>
    </row>
    <row r="2193" spans="1:9" ht="13.5">
      <c r="A2193" s="2" t="s">
        <v>3986</v>
      </c>
      <c r="B2193" s="3"/>
      <c r="C2193" s="4" t="s">
        <v>3987</v>
      </c>
      <c r="D2193" s="4" t="s">
        <v>3988</v>
      </c>
      <c r="E2193" s="5" t="s">
        <v>3989</v>
      </c>
      <c r="F2193" s="5" t="str">
        <f t="shared" si="34"/>
        <v>dinkorskola.se</v>
      </c>
      <c r="G2193" s="5" t="s">
        <v>4</v>
      </c>
      <c r="H2193" s="5" t="s">
        <v>5</v>
      </c>
      <c r="I2193" s="6">
        <v>45611</v>
      </c>
    </row>
    <row r="2194" spans="1:9" ht="13.5">
      <c r="A2194" s="2" t="s">
        <v>3173</v>
      </c>
      <c r="B2194" s="3"/>
      <c r="C2194" s="4" t="s">
        <v>3990</v>
      </c>
      <c r="D2194" s="4" t="s">
        <v>3458</v>
      </c>
      <c r="E2194" s="5" t="s">
        <v>3991</v>
      </c>
      <c r="F2194" s="5" t="str">
        <f t="shared" si="34"/>
        <v>ekstromgaray.se</v>
      </c>
      <c r="G2194" s="5" t="s">
        <v>4</v>
      </c>
      <c r="H2194" s="5" t="s">
        <v>5</v>
      </c>
      <c r="I2194" s="6">
        <v>45611</v>
      </c>
    </row>
    <row r="2195" spans="1:9" ht="13.5">
      <c r="A2195" s="2" t="s">
        <v>435</v>
      </c>
      <c r="B2195" s="3"/>
      <c r="C2195" s="4" t="s">
        <v>3992</v>
      </c>
      <c r="D2195" s="4" t="s">
        <v>3993</v>
      </c>
      <c r="E2195" s="5" t="s">
        <v>563</v>
      </c>
      <c r="F2195" s="5" t="str">
        <f t="shared" si="34"/>
        <v>fairinvestments.se</v>
      </c>
      <c r="G2195" s="5" t="s">
        <v>4</v>
      </c>
      <c r="H2195" s="5" t="s">
        <v>5</v>
      </c>
      <c r="I2195" s="6">
        <v>45611</v>
      </c>
    </row>
    <row r="2196" spans="1:9" ht="13.5">
      <c r="A2196" s="7" t="s">
        <v>3341</v>
      </c>
      <c r="B2196" s="3"/>
      <c r="C2196" s="4" t="s">
        <v>3994</v>
      </c>
      <c r="D2196" s="4" t="s">
        <v>3995</v>
      </c>
      <c r="E2196" s="5" t="s">
        <v>3996</v>
      </c>
      <c r="F2196" s="5" t="str">
        <f t="shared" si="34"/>
        <v>navx.store</v>
      </c>
      <c r="G2196" s="5" t="s">
        <v>4</v>
      </c>
      <c r="H2196" s="5" t="s">
        <v>5</v>
      </c>
      <c r="I2196" s="6">
        <v>45611</v>
      </c>
    </row>
    <row r="2197" spans="1:9" ht="13.5">
      <c r="A2197" s="2" t="s">
        <v>2549</v>
      </c>
      <c r="B2197" s="3"/>
      <c r="C2197" s="4" t="s">
        <v>3997</v>
      </c>
      <c r="D2197" s="4" t="s">
        <v>3998</v>
      </c>
      <c r="E2197" s="5" t="s">
        <v>3477</v>
      </c>
      <c r="F2197" s="5" t="str">
        <f t="shared" si="34"/>
        <v>purakliniken.se</v>
      </c>
      <c r="G2197" s="5" t="s">
        <v>4</v>
      </c>
      <c r="H2197" s="5" t="s">
        <v>5</v>
      </c>
      <c r="I2197" s="6">
        <v>45611</v>
      </c>
    </row>
    <row r="2198" spans="1:9" ht="13.5">
      <c r="A2198" s="2" t="s">
        <v>3986</v>
      </c>
      <c r="B2198" s="3"/>
      <c r="C2198" s="4" t="s">
        <v>3999</v>
      </c>
      <c r="D2198" s="4" t="s">
        <v>4000</v>
      </c>
      <c r="E2198" s="5" t="s">
        <v>4001</v>
      </c>
      <c r="F2198" s="5" t="str">
        <f t="shared" si="34"/>
        <v>dinkorskola.se</v>
      </c>
      <c r="G2198" s="5" t="s">
        <v>4</v>
      </c>
      <c r="H2198" s="5" t="s">
        <v>5</v>
      </c>
      <c r="I2198" s="6">
        <v>45614</v>
      </c>
    </row>
    <row r="2199" spans="1:9" ht="13.5">
      <c r="A2199" s="2" t="s">
        <v>100</v>
      </c>
      <c r="B2199" s="3"/>
      <c r="C2199" s="4" t="s">
        <v>4002</v>
      </c>
      <c r="D2199" s="4" t="s">
        <v>3555</v>
      </c>
      <c r="E2199" s="5" t="s">
        <v>2479</v>
      </c>
      <c r="F2199" s="5" t="str">
        <f t="shared" si="34"/>
        <v>bigbenstandup.com</v>
      </c>
      <c r="G2199" s="5" t="s">
        <v>4</v>
      </c>
      <c r="H2199" s="5" t="s">
        <v>5</v>
      </c>
      <c r="I2199" s="6">
        <v>45615</v>
      </c>
    </row>
    <row r="2200" spans="1:9" ht="13.5">
      <c r="A2200" s="2" t="s">
        <v>308</v>
      </c>
      <c r="B2200" s="3"/>
      <c r="C2200" s="4" t="s">
        <v>4003</v>
      </c>
      <c r="D2200" s="4" t="s">
        <v>1395</v>
      </c>
      <c r="E2200" s="5" t="s">
        <v>4004</v>
      </c>
      <c r="F2200" s="5" t="str">
        <f t="shared" si="34"/>
        <v>lansfast.se</v>
      </c>
      <c r="G2200" s="5" t="s">
        <v>4</v>
      </c>
      <c r="H2200" s="5" t="s">
        <v>5</v>
      </c>
      <c r="I2200" s="6">
        <v>45615</v>
      </c>
    </row>
    <row r="2201" spans="1:9" ht="13.5">
      <c r="A2201" s="2" t="s">
        <v>1213</v>
      </c>
      <c r="B2201" s="3"/>
      <c r="C2201" s="4" t="s">
        <v>4005</v>
      </c>
      <c r="D2201" s="4" t="s">
        <v>1215</v>
      </c>
      <c r="E2201" s="5" t="s">
        <v>2891</v>
      </c>
      <c r="F2201" s="5" t="str">
        <f t="shared" si="34"/>
        <v>mariatand.se</v>
      </c>
      <c r="G2201" s="5" t="s">
        <v>4</v>
      </c>
      <c r="H2201" s="5" t="s">
        <v>5</v>
      </c>
      <c r="I2201" s="6">
        <v>45615</v>
      </c>
    </row>
    <row r="2202" spans="1:9" ht="13.5">
      <c r="A2202" s="2" t="s">
        <v>1213</v>
      </c>
      <c r="B2202" s="3"/>
      <c r="C2202" s="4" t="s">
        <v>4006</v>
      </c>
      <c r="D2202" s="4" t="s">
        <v>1215</v>
      </c>
      <c r="E2202" s="5" t="s">
        <v>2491</v>
      </c>
      <c r="F2202" s="5" t="str">
        <f t="shared" si="34"/>
        <v>mariatand.se</v>
      </c>
      <c r="G2202" s="5" t="s">
        <v>4</v>
      </c>
      <c r="H2202" s="5" t="s">
        <v>5</v>
      </c>
      <c r="I2202" s="6">
        <v>45615</v>
      </c>
    </row>
    <row r="2203" spans="1:9" ht="13.5">
      <c r="A2203" s="7" t="s">
        <v>224</v>
      </c>
      <c r="B2203" s="3"/>
      <c r="C2203" s="4" t="s">
        <v>4007</v>
      </c>
      <c r="D2203" s="4" t="s">
        <v>461</v>
      </c>
      <c r="E2203" s="5" t="s">
        <v>1117</v>
      </c>
      <c r="F2203" s="5" t="str">
        <f t="shared" si="34"/>
        <v>swedoffice</v>
      </c>
      <c r="G2203" s="5" t="s">
        <v>4</v>
      </c>
      <c r="H2203" s="5" t="s">
        <v>5</v>
      </c>
      <c r="I2203" s="6">
        <v>45615</v>
      </c>
    </row>
    <row r="2204" spans="1:9" ht="13.5">
      <c r="A2204" s="7" t="s">
        <v>224</v>
      </c>
      <c r="B2204" s="3"/>
      <c r="C2204" s="4" t="s">
        <v>4008</v>
      </c>
      <c r="D2204" s="4" t="s">
        <v>226</v>
      </c>
      <c r="E2204" s="5" t="s">
        <v>368</v>
      </c>
      <c r="F2204" s="5" t="str">
        <f t="shared" si="34"/>
        <v>swedoffice</v>
      </c>
      <c r="G2204" s="5" t="s">
        <v>4</v>
      </c>
      <c r="H2204" s="5" t="s">
        <v>5</v>
      </c>
      <c r="I2204" s="6">
        <v>45615</v>
      </c>
    </row>
    <row r="2205" spans="1:9" ht="13.5">
      <c r="A2205" s="2" t="s">
        <v>325</v>
      </c>
      <c r="B2205" s="3"/>
      <c r="C2205" s="4" t="s">
        <v>4009</v>
      </c>
      <c r="D2205" s="4" t="s">
        <v>1244</v>
      </c>
      <c r="E2205" s="5" t="s">
        <v>463</v>
      </c>
      <c r="F2205" s="5" t="str">
        <f t="shared" si="34"/>
        <v>tiotak.se</v>
      </c>
      <c r="G2205" s="5" t="s">
        <v>4</v>
      </c>
      <c r="H2205" s="5" t="s">
        <v>5</v>
      </c>
      <c r="I2205" s="6">
        <v>45615</v>
      </c>
    </row>
    <row r="2206" spans="1:9" ht="13.5">
      <c r="A2206" s="2" t="s">
        <v>325</v>
      </c>
      <c r="B2206" s="3"/>
      <c r="C2206" s="4" t="s">
        <v>4010</v>
      </c>
      <c r="D2206" s="4" t="s">
        <v>873</v>
      </c>
      <c r="E2206" s="5" t="s">
        <v>4011</v>
      </c>
      <c r="F2206" s="5" t="str">
        <f t="shared" si="34"/>
        <v>tiotak.se</v>
      </c>
      <c r="G2206" s="5" t="s">
        <v>4</v>
      </c>
      <c r="H2206" s="5" t="s">
        <v>5</v>
      </c>
      <c r="I2206" s="6">
        <v>45615</v>
      </c>
    </row>
    <row r="2207" spans="1:9" ht="13.5">
      <c r="A2207" s="2" t="s">
        <v>535</v>
      </c>
      <c r="B2207" s="3"/>
      <c r="C2207" s="4" t="s">
        <v>4012</v>
      </c>
      <c r="D2207" s="4" t="s">
        <v>2806</v>
      </c>
      <c r="E2207" s="5" t="s">
        <v>2807</v>
      </c>
      <c r="F2207" s="5" t="str">
        <f t="shared" si="34"/>
        <v>tryggbil.se</v>
      </c>
      <c r="G2207" s="5" t="s">
        <v>4</v>
      </c>
      <c r="H2207" s="5" t="s">
        <v>5</v>
      </c>
      <c r="I2207" s="6">
        <v>45615</v>
      </c>
    </row>
    <row r="2208" spans="1:9" ht="13.5">
      <c r="A2208" s="2" t="s">
        <v>535</v>
      </c>
      <c r="B2208" s="3"/>
      <c r="C2208" s="4" t="s">
        <v>4013</v>
      </c>
      <c r="D2208" s="4" t="s">
        <v>536</v>
      </c>
      <c r="E2208" s="5" t="s">
        <v>2809</v>
      </c>
      <c r="F2208" s="5" t="str">
        <f t="shared" si="34"/>
        <v>tryggbil.se</v>
      </c>
      <c r="G2208" s="5" t="s">
        <v>4</v>
      </c>
      <c r="H2208" s="5" t="s">
        <v>5</v>
      </c>
      <c r="I2208" s="6">
        <v>45615</v>
      </c>
    </row>
    <row r="2209" spans="1:9" ht="13.5">
      <c r="A2209" s="2" t="s">
        <v>535</v>
      </c>
      <c r="B2209" s="3"/>
      <c r="C2209" s="4" t="s">
        <v>4014</v>
      </c>
      <c r="D2209" s="4" t="s">
        <v>2806</v>
      </c>
      <c r="E2209" s="5" t="s">
        <v>2807</v>
      </c>
      <c r="F2209" s="5" t="str">
        <f t="shared" si="34"/>
        <v>tryggbil.se</v>
      </c>
      <c r="G2209" s="5" t="s">
        <v>4</v>
      </c>
      <c r="H2209" s="5" t="s">
        <v>5</v>
      </c>
      <c r="I2209" s="6">
        <v>45615</v>
      </c>
    </row>
    <row r="2210" spans="1:9" ht="13.5">
      <c r="A2210" s="2" t="s">
        <v>3058</v>
      </c>
      <c r="B2210" s="3"/>
      <c r="C2210" s="4" t="s">
        <v>4015</v>
      </c>
      <c r="D2210" s="4" t="s">
        <v>3063</v>
      </c>
      <c r="E2210" s="5" t="s">
        <v>3064</v>
      </c>
      <c r="F2210" s="5" t="str">
        <f t="shared" si="34"/>
        <v>rusta.se</v>
      </c>
      <c r="G2210" s="5" t="s">
        <v>4</v>
      </c>
      <c r="H2210" s="5" t="s">
        <v>5</v>
      </c>
      <c r="I2210" s="6">
        <v>45615</v>
      </c>
    </row>
    <row r="2211" spans="1:9" ht="13.5">
      <c r="A2211" s="2" t="s">
        <v>2428</v>
      </c>
      <c r="B2211" s="3"/>
      <c r="C2211" s="4" t="s">
        <v>4016</v>
      </c>
      <c r="D2211" s="4" t="s">
        <v>2430</v>
      </c>
      <c r="E2211" s="5" t="s">
        <v>3098</v>
      </c>
      <c r="F2211" s="5" t="str">
        <f t="shared" si="34"/>
        <v>sakraror.se</v>
      </c>
      <c r="G2211" s="5" t="s">
        <v>4</v>
      </c>
      <c r="H2211" s="5" t="s">
        <v>5</v>
      </c>
      <c r="I2211" s="6">
        <v>45615</v>
      </c>
    </row>
    <row r="2212" spans="1:9" ht="13.5">
      <c r="A2212" s="2" t="s">
        <v>3580</v>
      </c>
      <c r="B2212" s="3"/>
      <c r="C2212" s="4" t="s">
        <v>4017</v>
      </c>
      <c r="D2212" s="4" t="s">
        <v>3582</v>
      </c>
      <c r="E2212" s="5" t="s">
        <v>3583</v>
      </c>
      <c r="F2212" s="5" t="str">
        <f t="shared" si="34"/>
        <v>kleer.se</v>
      </c>
      <c r="G2212" s="5" t="s">
        <v>4</v>
      </c>
      <c r="H2212" s="5" t="s">
        <v>5</v>
      </c>
      <c r="I2212" s="6">
        <v>45615</v>
      </c>
    </row>
    <row r="2213" spans="1:9" ht="13.5">
      <c r="A2213" s="2" t="s">
        <v>2948</v>
      </c>
      <c r="B2213" s="3"/>
      <c r="C2213" s="4" t="s">
        <v>4018</v>
      </c>
      <c r="D2213" s="4" t="s">
        <v>3428</v>
      </c>
      <c r="E2213" s="5" t="s">
        <v>3429</v>
      </c>
      <c r="F2213" s="5" t="str">
        <f t="shared" si="34"/>
        <v>joureliten.se</v>
      </c>
      <c r="G2213" s="5" t="s">
        <v>4</v>
      </c>
      <c r="H2213" s="5" t="s">
        <v>5</v>
      </c>
      <c r="I2213" s="6">
        <v>45615</v>
      </c>
    </row>
    <row r="2214" spans="1:9" ht="13.5">
      <c r="A2214" s="2" t="s">
        <v>803</v>
      </c>
      <c r="B2214" s="3"/>
      <c r="C2214" s="4" t="s">
        <v>4019</v>
      </c>
      <c r="D2214" s="4" t="s">
        <v>2599</v>
      </c>
      <c r="E2214" s="5" t="s">
        <v>3708</v>
      </c>
      <c r="F2214" s="5" t="str">
        <f t="shared" si="34"/>
        <v>foyen.se</v>
      </c>
      <c r="G2214" s="5" t="s">
        <v>4</v>
      </c>
      <c r="H2214" s="5" t="s">
        <v>5</v>
      </c>
      <c r="I2214" s="6">
        <v>45615</v>
      </c>
    </row>
    <row r="2215" spans="1:9" ht="13.5">
      <c r="A2215" s="2" t="s">
        <v>308</v>
      </c>
      <c r="B2215" s="3"/>
      <c r="C2215" s="4" t="s">
        <v>4020</v>
      </c>
      <c r="D2215" s="4" t="s">
        <v>1395</v>
      </c>
      <c r="E2215" s="5" t="s">
        <v>2489</v>
      </c>
      <c r="F2215" s="5" t="str">
        <f t="shared" si="34"/>
        <v>lansfast.se</v>
      </c>
      <c r="G2215" s="5" t="s">
        <v>4</v>
      </c>
      <c r="H2215" s="5" t="s">
        <v>5</v>
      </c>
      <c r="I2215" s="6">
        <v>45615</v>
      </c>
    </row>
    <row r="2216" spans="1:9" ht="13.5">
      <c r="A2216" s="7" t="s">
        <v>67</v>
      </c>
      <c r="B2216" s="3"/>
      <c r="C2216" s="4" t="s">
        <v>4021</v>
      </c>
      <c r="D2216" s="5" t="s">
        <v>67</v>
      </c>
      <c r="E2216" s="5" t="s">
        <v>4022</v>
      </c>
      <c r="F2216" s="5" t="str">
        <f t="shared" si="34"/>
        <v>nem.health</v>
      </c>
      <c r="G2216" s="5" t="s">
        <v>4</v>
      </c>
      <c r="H2216" s="5" t="s">
        <v>5</v>
      </c>
      <c r="I2216" s="6">
        <v>45615</v>
      </c>
    </row>
    <row r="2217" spans="1:9" ht="13.5">
      <c r="A2217" s="7" t="s">
        <v>67</v>
      </c>
      <c r="B2217" s="3"/>
      <c r="C2217" s="4" t="s">
        <v>4023</v>
      </c>
      <c r="D2217" s="4" t="s">
        <v>2622</v>
      </c>
      <c r="E2217" s="5" t="s">
        <v>2623</v>
      </c>
      <c r="F2217" s="5" t="str">
        <f t="shared" si="34"/>
        <v>nem.health</v>
      </c>
      <c r="G2217" s="5" t="s">
        <v>4</v>
      </c>
      <c r="H2217" s="5" t="s">
        <v>5</v>
      </c>
      <c r="I2217" s="6">
        <v>45615</v>
      </c>
    </row>
    <row r="2218" spans="1:9" ht="13.5">
      <c r="A2218" s="2" t="s">
        <v>405</v>
      </c>
      <c r="B2218" s="3"/>
      <c r="C2218" s="4" t="s">
        <v>4024</v>
      </c>
      <c r="D2218" s="4" t="s">
        <v>610</v>
      </c>
      <c r="E2218" s="5" t="s">
        <v>1430</v>
      </c>
      <c r="F2218" s="5" t="str">
        <f t="shared" si="34"/>
        <v>rehabgrossisten.com</v>
      </c>
      <c r="G2218" s="5" t="s">
        <v>4</v>
      </c>
      <c r="H2218" s="5" t="s">
        <v>5</v>
      </c>
      <c r="I2218" s="6">
        <v>45615</v>
      </c>
    </row>
    <row r="2219" spans="1:9" ht="13.5">
      <c r="A2219" s="2" t="s">
        <v>2352</v>
      </c>
      <c r="B2219" s="3"/>
      <c r="C2219" s="4" t="s">
        <v>4025</v>
      </c>
      <c r="D2219" s="4" t="s">
        <v>2352</v>
      </c>
      <c r="E2219" s="5" t="s">
        <v>3716</v>
      </c>
      <c r="F2219" s="5" t="str">
        <f t="shared" si="34"/>
        <v>seniorrabatt.se</v>
      </c>
      <c r="G2219" s="5" t="s">
        <v>4</v>
      </c>
      <c r="H2219" s="5" t="s">
        <v>5</v>
      </c>
      <c r="I2219" s="6">
        <v>45615</v>
      </c>
    </row>
    <row r="2220" spans="1:9" ht="13.5">
      <c r="A2220" s="2" t="s">
        <v>2127</v>
      </c>
      <c r="B2220" s="3"/>
      <c r="C2220" s="4" t="s">
        <v>4026</v>
      </c>
      <c r="D2220" s="4" t="s">
        <v>2415</v>
      </c>
      <c r="E2220" s="5" t="s">
        <v>2664</v>
      </c>
      <c r="F2220" s="5" t="str">
        <f t="shared" si="34"/>
        <v>startmotor.se</v>
      </c>
      <c r="G2220" s="5" t="s">
        <v>4</v>
      </c>
      <c r="H2220" s="5" t="s">
        <v>5</v>
      </c>
      <c r="I2220" s="6">
        <v>45615</v>
      </c>
    </row>
    <row r="2221" spans="1:9" ht="13.5">
      <c r="A2221" s="2" t="s">
        <v>2127</v>
      </c>
      <c r="B2221" s="3"/>
      <c r="C2221" s="4" t="s">
        <v>4027</v>
      </c>
      <c r="D2221" s="4" t="s">
        <v>2129</v>
      </c>
      <c r="E2221" s="5" t="s">
        <v>3719</v>
      </c>
      <c r="F2221" s="5" t="str">
        <f t="shared" si="34"/>
        <v>startmotor.se</v>
      </c>
      <c r="G2221" s="5" t="s">
        <v>4</v>
      </c>
      <c r="H2221" s="5" t="s">
        <v>5</v>
      </c>
      <c r="I2221" s="6">
        <v>45615</v>
      </c>
    </row>
    <row r="2222" spans="1:9" ht="13.5">
      <c r="A2222" s="2" t="s">
        <v>846</v>
      </c>
      <c r="B2222" s="3"/>
      <c r="C2222" s="4" t="s">
        <v>4028</v>
      </c>
      <c r="D2222" s="4" t="s">
        <v>3722</v>
      </c>
      <c r="E2222" s="5" t="s">
        <v>3448</v>
      </c>
      <c r="F2222" s="5" t="str">
        <f t="shared" si="34"/>
        <v>tandea.se</v>
      </c>
      <c r="G2222" s="5" t="s">
        <v>4</v>
      </c>
      <c r="H2222" s="5" t="s">
        <v>5</v>
      </c>
      <c r="I2222" s="6">
        <v>45615</v>
      </c>
    </row>
    <row r="2223" spans="1:9" ht="13.5">
      <c r="A2223" s="2" t="s">
        <v>325</v>
      </c>
      <c r="B2223" s="3"/>
      <c r="C2223" s="4" t="s">
        <v>4029</v>
      </c>
      <c r="D2223" s="4" t="s">
        <v>1244</v>
      </c>
      <c r="E2223" s="5" t="s">
        <v>463</v>
      </c>
      <c r="F2223" s="5" t="str">
        <f t="shared" si="34"/>
        <v>tiotak.se</v>
      </c>
      <c r="G2223" s="5" t="s">
        <v>4</v>
      </c>
      <c r="H2223" s="5" t="s">
        <v>5</v>
      </c>
      <c r="I2223" s="6">
        <v>45615</v>
      </c>
    </row>
    <row r="2224" spans="1:9" ht="13.5">
      <c r="A2224" s="2" t="s">
        <v>325</v>
      </c>
      <c r="B2224" s="3"/>
      <c r="C2224" s="4" t="s">
        <v>4030</v>
      </c>
      <c r="D2224" s="4" t="s">
        <v>873</v>
      </c>
      <c r="E2224" s="5" t="s">
        <v>4011</v>
      </c>
      <c r="F2224" s="5" t="str">
        <f t="shared" si="34"/>
        <v>tiotak.se</v>
      </c>
      <c r="G2224" s="5" t="s">
        <v>4</v>
      </c>
      <c r="H2224" s="5" t="s">
        <v>5</v>
      </c>
      <c r="I2224" s="6">
        <v>45615</v>
      </c>
    </row>
    <row r="2225" spans="1:9" ht="13.5">
      <c r="A2225" s="2" t="s">
        <v>329</v>
      </c>
      <c r="B2225" s="3"/>
      <c r="C2225" s="4" t="s">
        <v>4031</v>
      </c>
      <c r="D2225" s="4" t="s">
        <v>2450</v>
      </c>
      <c r="E2225" s="5" t="s">
        <v>332</v>
      </c>
      <c r="F2225" s="5" t="str">
        <f t="shared" si="34"/>
        <v>vont</v>
      </c>
      <c r="G2225" s="5" t="s">
        <v>4</v>
      </c>
      <c r="H2225" s="5" t="s">
        <v>5</v>
      </c>
      <c r="I2225" s="6">
        <v>45615</v>
      </c>
    </row>
    <row r="2226" spans="1:9" ht="13.5">
      <c r="A2226" s="7" t="s">
        <v>329</v>
      </c>
      <c r="B2226" s="3"/>
      <c r="C2226" s="4" t="s">
        <v>4032</v>
      </c>
      <c r="D2226" s="4" t="s">
        <v>1488</v>
      </c>
      <c r="E2226" s="5" t="s">
        <v>1477</v>
      </c>
      <c r="F2226" s="5" t="str">
        <f t="shared" si="34"/>
        <v>vont</v>
      </c>
      <c r="G2226" s="5" t="s">
        <v>4</v>
      </c>
      <c r="H2226" s="5" t="s">
        <v>5</v>
      </c>
      <c r="I2226" s="6">
        <v>45615</v>
      </c>
    </row>
    <row r="2227" spans="1:9" ht="13.5">
      <c r="A2227" s="2" t="s">
        <v>3173</v>
      </c>
      <c r="B2227" s="3"/>
      <c r="C2227" s="4" t="s">
        <v>4033</v>
      </c>
      <c r="D2227" s="4" t="s">
        <v>3175</v>
      </c>
      <c r="E2227" s="5" t="s">
        <v>3217</v>
      </c>
      <c r="F2227" s="5" t="str">
        <f t="shared" si="34"/>
        <v>ekstromgaray.se</v>
      </c>
      <c r="G2227" s="5" t="s">
        <v>4</v>
      </c>
      <c r="H2227" s="5" t="s">
        <v>5</v>
      </c>
      <c r="I2227" s="6">
        <v>45615</v>
      </c>
    </row>
    <row r="2228" spans="1:9" ht="13.5">
      <c r="A2228" s="2" t="s">
        <v>2549</v>
      </c>
      <c r="B2228" s="3"/>
      <c r="C2228" s="4" t="s">
        <v>4034</v>
      </c>
      <c r="D2228" s="4" t="s">
        <v>3204</v>
      </c>
      <c r="E2228" s="5" t="s">
        <v>3205</v>
      </c>
      <c r="F2228" s="5" t="str">
        <f t="shared" si="34"/>
        <v>purakliniken.se</v>
      </c>
      <c r="G2228" s="5" t="s">
        <v>4</v>
      </c>
      <c r="H2228" s="5" t="s">
        <v>5</v>
      </c>
      <c r="I2228" s="6">
        <v>45615</v>
      </c>
    </row>
    <row r="2229" spans="1:9" ht="13.5">
      <c r="A2229" s="7" t="s">
        <v>3747</v>
      </c>
      <c r="B2229" s="3"/>
      <c r="C2229" s="4" t="s">
        <v>4035</v>
      </c>
      <c r="D2229" s="4" t="s">
        <v>3749</v>
      </c>
      <c r="E2229" s="5" t="s">
        <v>3750</v>
      </c>
      <c r="F2229" s="5" t="str">
        <f t="shared" si="34"/>
        <v>supernormal.health</v>
      </c>
      <c r="G2229" s="5" t="s">
        <v>4</v>
      </c>
      <c r="H2229" s="5" t="s">
        <v>5</v>
      </c>
      <c r="I2229" s="6">
        <v>45615</v>
      </c>
    </row>
    <row r="2230" spans="1:9" ht="13.5">
      <c r="A2230" s="2" t="s">
        <v>3824</v>
      </c>
      <c r="B2230" s="3"/>
      <c r="C2230" s="4" t="s">
        <v>4036</v>
      </c>
      <c r="D2230" s="4" t="s">
        <v>3826</v>
      </c>
      <c r="E2230" s="5" t="s">
        <v>4037</v>
      </c>
      <c r="F2230" s="5" t="str">
        <f t="shared" si="34"/>
        <v>swedenlongstay.se</v>
      </c>
      <c r="G2230" s="5" t="s">
        <v>4</v>
      </c>
      <c r="H2230" s="5" t="s">
        <v>5</v>
      </c>
      <c r="I2230" s="6">
        <v>45615</v>
      </c>
    </row>
    <row r="2231" spans="1:9" ht="13.5">
      <c r="A2231" s="2" t="s">
        <v>3824</v>
      </c>
      <c r="B2231" s="3"/>
      <c r="C2231" s="4" t="s">
        <v>4038</v>
      </c>
      <c r="D2231" s="4" t="s">
        <v>4039</v>
      </c>
      <c r="E2231" s="5" t="s">
        <v>4040</v>
      </c>
      <c r="F2231" s="5" t="str">
        <f t="shared" si="34"/>
        <v>swedenlongstay.se</v>
      </c>
      <c r="G2231" s="5" t="s">
        <v>4</v>
      </c>
      <c r="H2231" s="5" t="s">
        <v>5</v>
      </c>
      <c r="I2231" s="6">
        <v>45615</v>
      </c>
    </row>
    <row r="2232" spans="1:9" ht="13.5">
      <c r="A2232" s="2" t="s">
        <v>4041</v>
      </c>
      <c r="B2232" s="3"/>
      <c r="C2232" s="4" t="s">
        <v>4042</v>
      </c>
      <c r="D2232" s="4" t="s">
        <v>4043</v>
      </c>
      <c r="E2232" s="5" t="s">
        <v>4044</v>
      </c>
      <c r="F2232" s="5" t="str">
        <f t="shared" si="34"/>
        <v>cateringfabriken.se</v>
      </c>
      <c r="G2232" s="5" t="s">
        <v>4</v>
      </c>
      <c r="H2232" s="5" t="s">
        <v>5</v>
      </c>
      <c r="I2232" s="6">
        <v>45615</v>
      </c>
    </row>
    <row r="2233" spans="1:9" ht="13.5">
      <c r="A2233" s="2" t="s">
        <v>3986</v>
      </c>
      <c r="B2233" s="3"/>
      <c r="C2233" s="4" t="s">
        <v>4045</v>
      </c>
      <c r="D2233" s="4" t="s">
        <v>4000</v>
      </c>
      <c r="E2233" s="5" t="s">
        <v>4046</v>
      </c>
      <c r="F2233" s="5" t="str">
        <f t="shared" si="34"/>
        <v>dinkorskola.se</v>
      </c>
      <c r="G2233" s="5" t="s">
        <v>4</v>
      </c>
      <c r="H2233" s="5" t="s">
        <v>5</v>
      </c>
      <c r="I2233" s="6">
        <v>45615</v>
      </c>
    </row>
    <row r="2234" spans="1:9" ht="13.5">
      <c r="A2234" s="2" t="s">
        <v>3817</v>
      </c>
      <c r="B2234" s="3"/>
      <c r="C2234" s="4" t="s">
        <v>4047</v>
      </c>
      <c r="D2234" s="4" t="s">
        <v>3819</v>
      </c>
      <c r="E2234" s="5" t="s">
        <v>3820</v>
      </c>
      <c r="F2234" s="5" t="str">
        <f t="shared" si="34"/>
        <v>kanalgratis.se</v>
      </c>
      <c r="G2234" s="5" t="s">
        <v>4</v>
      </c>
      <c r="H2234" s="5" t="s">
        <v>5</v>
      </c>
      <c r="I2234" s="6">
        <v>45615</v>
      </c>
    </row>
    <row r="2235" spans="1:9" ht="13.5">
      <c r="A2235" s="2" t="s">
        <v>2592</v>
      </c>
      <c r="B2235" s="3"/>
      <c r="C2235" s="4" t="s">
        <v>4048</v>
      </c>
      <c r="D2235" s="4" t="s">
        <v>2592</v>
      </c>
      <c r="E2235" s="5" t="s">
        <v>4049</v>
      </c>
      <c r="F2235" s="5" t="str">
        <f t="shared" si="34"/>
        <v>everynightstudios.com</v>
      </c>
      <c r="G2235" s="5" t="s">
        <v>4</v>
      </c>
      <c r="H2235" s="5" t="s">
        <v>5</v>
      </c>
      <c r="I2235" s="6">
        <v>45615</v>
      </c>
    </row>
    <row r="2236" spans="1:9" ht="13.5">
      <c r="A2236" s="2" t="s">
        <v>2592</v>
      </c>
      <c r="B2236" s="3"/>
      <c r="C2236" s="4" t="s">
        <v>4050</v>
      </c>
      <c r="D2236" s="4" t="s">
        <v>2592</v>
      </c>
      <c r="E2236" s="5" t="s">
        <v>2779</v>
      </c>
      <c r="F2236" s="5" t="str">
        <f t="shared" si="34"/>
        <v>everynightstudios.com</v>
      </c>
      <c r="G2236" s="5" t="s">
        <v>4</v>
      </c>
      <c r="H2236" s="5" t="s">
        <v>5</v>
      </c>
      <c r="I2236" s="6">
        <v>45615</v>
      </c>
    </row>
    <row r="2237" spans="1:9" ht="13.5">
      <c r="A2237" s="2" t="s">
        <v>4051</v>
      </c>
      <c r="B2237" s="3"/>
      <c r="C2237" s="4" t="s">
        <v>4052</v>
      </c>
      <c r="D2237" s="4" t="s">
        <v>4053</v>
      </c>
      <c r="E2237" s="5" t="s">
        <v>4054</v>
      </c>
      <c r="F2237" s="5" t="str">
        <f t="shared" si="34"/>
        <v>hund.se</v>
      </c>
      <c r="G2237" s="5" t="s">
        <v>4</v>
      </c>
      <c r="H2237" s="5" t="s">
        <v>5</v>
      </c>
      <c r="I2237" s="6">
        <v>45615</v>
      </c>
    </row>
    <row r="2238" spans="1:9" ht="13.5">
      <c r="A2238" s="2" t="s">
        <v>4055</v>
      </c>
      <c r="B2238" s="3"/>
      <c r="C2238" s="4" t="s">
        <v>4056</v>
      </c>
      <c r="D2238" s="4" t="s">
        <v>4057</v>
      </c>
      <c r="E2238" s="5" t="s">
        <v>4058</v>
      </c>
      <c r="F2238" s="5" t="str">
        <f t="shared" si="34"/>
        <v>skidvalla.se</v>
      </c>
      <c r="G2238" s="5" t="s">
        <v>4</v>
      </c>
      <c r="H2238" s="5" t="s">
        <v>5</v>
      </c>
      <c r="I2238" s="6">
        <v>45615</v>
      </c>
    </row>
    <row r="2239" spans="1:9" ht="13.5">
      <c r="A2239" s="2" t="s">
        <v>4055</v>
      </c>
      <c r="B2239" s="3"/>
      <c r="C2239" s="4" t="s">
        <v>4059</v>
      </c>
      <c r="D2239" s="4" t="s">
        <v>4057</v>
      </c>
      <c r="E2239" s="5" t="s">
        <v>4060</v>
      </c>
      <c r="F2239" s="5" t="str">
        <f t="shared" si="34"/>
        <v>skidvalla.se</v>
      </c>
      <c r="G2239" s="5" t="s">
        <v>4</v>
      </c>
      <c r="H2239" s="5" t="s">
        <v>5</v>
      </c>
      <c r="I2239" s="6">
        <v>45615</v>
      </c>
    </row>
    <row r="2240" spans="1:9" ht="13.5">
      <c r="A2240" s="2" t="s">
        <v>3058</v>
      </c>
      <c r="B2240" s="3"/>
      <c r="C2240" s="4" t="s">
        <v>4061</v>
      </c>
      <c r="D2240" s="4" t="s">
        <v>3060</v>
      </c>
      <c r="E2240" s="5" t="s">
        <v>3061</v>
      </c>
      <c r="F2240" s="5" t="str">
        <f t="shared" si="34"/>
        <v>rusta.se</v>
      </c>
      <c r="G2240" s="5" t="s">
        <v>4</v>
      </c>
      <c r="H2240" s="5" t="s">
        <v>5</v>
      </c>
      <c r="I2240" s="6">
        <v>45617</v>
      </c>
    </row>
    <row r="2241" spans="1:9" ht="13.5">
      <c r="A2241" s="2" t="s">
        <v>2640</v>
      </c>
      <c r="B2241" s="3"/>
      <c r="C2241" s="5" t="s">
        <v>4062</v>
      </c>
      <c r="D2241" s="5" t="s">
        <v>4063</v>
      </c>
      <c r="E2241" s="5" t="s">
        <v>1477</v>
      </c>
      <c r="F2241" s="5" t="str">
        <f t="shared" si="34"/>
        <v>snusnetto.se</v>
      </c>
      <c r="G2241" s="5" t="s">
        <v>4</v>
      </c>
      <c r="H2241" s="5" t="s">
        <v>5</v>
      </c>
      <c r="I2241" s="6">
        <v>45617</v>
      </c>
    </row>
    <row r="2242" spans="1:9" ht="13.5">
      <c r="A2242" s="2" t="s">
        <v>2636</v>
      </c>
      <c r="B2242" s="3"/>
      <c r="C2242" s="5" t="s">
        <v>4064</v>
      </c>
      <c r="D2242" s="5" t="s">
        <v>3626</v>
      </c>
      <c r="E2242" s="5" t="s">
        <v>4065</v>
      </c>
      <c r="F2242" s="5" t="str">
        <f t="shared" si="34"/>
        <v>kvarnx.com</v>
      </c>
      <c r="G2242" s="5" t="s">
        <v>4</v>
      </c>
      <c r="H2242" s="5" t="s">
        <v>5</v>
      </c>
      <c r="I2242" s="6">
        <v>45617</v>
      </c>
    </row>
    <row r="2243" spans="1:9" ht="13.5">
      <c r="A2243" s="2" t="s">
        <v>2636</v>
      </c>
      <c r="B2243" s="3"/>
      <c r="C2243" s="5" t="s">
        <v>4066</v>
      </c>
      <c r="D2243" s="5" t="s">
        <v>2702</v>
      </c>
      <c r="E2243" s="5" t="s">
        <v>4067</v>
      </c>
      <c r="F2243" s="5" t="str">
        <f t="shared" ref="F2243:F2306" si="35">A2243</f>
        <v>kvarnx.com</v>
      </c>
      <c r="G2243" s="5" t="s">
        <v>4</v>
      </c>
      <c r="H2243" s="5" t="s">
        <v>5</v>
      </c>
      <c r="I2243" s="6">
        <v>45617</v>
      </c>
    </row>
    <row r="2244" spans="1:9" ht="13.5">
      <c r="A2244" s="7" t="s">
        <v>3419</v>
      </c>
      <c r="B2244" s="3"/>
      <c r="C2244" s="5" t="s">
        <v>4068</v>
      </c>
      <c r="D2244" s="5" t="s">
        <v>4069</v>
      </c>
      <c r="E2244" s="5" t="s">
        <v>4070</v>
      </c>
      <c r="F2244" s="5" t="str">
        <f t="shared" si="35"/>
        <v>zmarta</v>
      </c>
      <c r="G2244" s="5" t="s">
        <v>4</v>
      </c>
      <c r="H2244" s="5" t="s">
        <v>5</v>
      </c>
      <c r="I2244" s="6">
        <v>45617</v>
      </c>
    </row>
    <row r="2245" spans="1:9" ht="13.5">
      <c r="A2245" s="2" t="s">
        <v>3682</v>
      </c>
      <c r="B2245" s="3"/>
      <c r="C2245" s="5" t="s">
        <v>4071</v>
      </c>
      <c r="D2245" s="5" t="s">
        <v>4072</v>
      </c>
      <c r="E2245" s="5" t="s">
        <v>4073</v>
      </c>
      <c r="F2245" s="5" t="str">
        <f t="shared" si="35"/>
        <v>upplevelse.com</v>
      </c>
      <c r="G2245" s="5" t="s">
        <v>4</v>
      </c>
      <c r="H2245" s="5" t="s">
        <v>5</v>
      </c>
      <c r="I2245" s="6">
        <v>45617</v>
      </c>
    </row>
    <row r="2246" spans="1:9" ht="13.5">
      <c r="A2246" s="7" t="s">
        <v>3921</v>
      </c>
      <c r="B2246" s="3"/>
      <c r="C2246" s="5" t="s">
        <v>4074</v>
      </c>
      <c r="D2246" s="5" t="s">
        <v>3923</v>
      </c>
      <c r="E2246" s="5" t="s">
        <v>4075</v>
      </c>
      <c r="F2246" s="5" t="str">
        <f t="shared" si="35"/>
        <v>svenskalasjouren.se</v>
      </c>
      <c r="G2246" s="5" t="s">
        <v>4</v>
      </c>
      <c r="H2246" s="5" t="s">
        <v>5</v>
      </c>
      <c r="I2246" s="6">
        <v>45617</v>
      </c>
    </row>
    <row r="2247" spans="1:9" ht="13.5">
      <c r="A2247" s="7" t="s">
        <v>1559</v>
      </c>
      <c r="B2247" s="3"/>
      <c r="C2247" s="5" t="s">
        <v>4076</v>
      </c>
      <c r="D2247" s="5" t="s">
        <v>3153</v>
      </c>
      <c r="E2247" s="5" t="s">
        <v>4077</v>
      </c>
      <c r="F2247" s="5" t="str">
        <f t="shared" si="35"/>
        <v>rorjour247.se</v>
      </c>
      <c r="G2247" s="5" t="s">
        <v>4</v>
      </c>
      <c r="H2247" s="5" t="s">
        <v>5</v>
      </c>
      <c r="I2247" s="6">
        <v>45617</v>
      </c>
    </row>
    <row r="2248" spans="1:9" ht="13.5">
      <c r="A2248" s="7" t="s">
        <v>1559</v>
      </c>
      <c r="B2248" s="3"/>
      <c r="C2248" s="5" t="s">
        <v>4078</v>
      </c>
      <c r="D2248" s="5" t="s">
        <v>4079</v>
      </c>
      <c r="E2248" s="5" t="s">
        <v>4080</v>
      </c>
      <c r="F2248" s="5" t="str">
        <f t="shared" si="35"/>
        <v>rorjour247.se</v>
      </c>
      <c r="G2248" s="5" t="s">
        <v>4</v>
      </c>
      <c r="H2248" s="5" t="s">
        <v>5</v>
      </c>
      <c r="I2248" s="6">
        <v>45617</v>
      </c>
    </row>
    <row r="2249" spans="1:9" ht="15">
      <c r="A2249" s="2" t="s">
        <v>3885</v>
      </c>
      <c r="B2249" s="3"/>
      <c r="C2249" s="4" t="s">
        <v>4081</v>
      </c>
      <c r="D2249" s="4" t="s">
        <v>3931</v>
      </c>
      <c r="E2249" s="324" t="s">
        <v>3932</v>
      </c>
      <c r="F2249" s="5" t="str">
        <f t="shared" si="35"/>
        <v>chattanoogarehab.com</v>
      </c>
      <c r="G2249" s="5" t="s">
        <v>4</v>
      </c>
      <c r="H2249" s="5" t="s">
        <v>345</v>
      </c>
      <c r="I2249" s="6">
        <v>45618</v>
      </c>
    </row>
    <row r="2250" spans="1:9" ht="13.5">
      <c r="A2250" s="7" t="s">
        <v>386</v>
      </c>
      <c r="B2250" s="3"/>
      <c r="C2250" s="71" t="s">
        <v>4082</v>
      </c>
      <c r="D2250" s="4" t="s">
        <v>599</v>
      </c>
      <c r="E2250" s="5" t="s">
        <v>1002</v>
      </c>
      <c r="F2250" s="5" t="str">
        <f t="shared" si="35"/>
        <v>pontech</v>
      </c>
      <c r="G2250" s="5" t="s">
        <v>4</v>
      </c>
      <c r="H2250" s="5" t="s">
        <v>5</v>
      </c>
      <c r="I2250" s="6">
        <v>45618</v>
      </c>
    </row>
    <row r="2251" spans="1:9" ht="13.5">
      <c r="A2251" s="2" t="s">
        <v>1342</v>
      </c>
      <c r="B2251" s="3"/>
      <c r="C2251" s="71" t="s">
        <v>4083</v>
      </c>
      <c r="D2251" s="4" t="s">
        <v>1001</v>
      </c>
      <c r="E2251" s="5" t="s">
        <v>3609</v>
      </c>
      <c r="F2251" s="5" t="str">
        <f t="shared" si="35"/>
        <v>pontonhamnar.se</v>
      </c>
      <c r="G2251" s="5" t="s">
        <v>4</v>
      </c>
      <c r="H2251" s="5" t="s">
        <v>5</v>
      </c>
      <c r="I2251" s="6">
        <v>45618</v>
      </c>
    </row>
    <row r="2252" spans="1:9" ht="13.5">
      <c r="A2252" s="2" t="s">
        <v>3828</v>
      </c>
      <c r="B2252" s="3"/>
      <c r="C2252" s="4" t="s">
        <v>4084</v>
      </c>
      <c r="D2252" s="4" t="s">
        <v>4085</v>
      </c>
      <c r="E2252" s="5" t="s">
        <v>3852</v>
      </c>
      <c r="F2252" s="5" t="str">
        <f t="shared" si="35"/>
        <v>printler.com</v>
      </c>
      <c r="G2252" s="5" t="s">
        <v>4</v>
      </c>
      <c r="H2252" s="5" t="s">
        <v>3496</v>
      </c>
      <c r="I2252" s="6">
        <v>45618</v>
      </c>
    </row>
    <row r="2253" spans="1:9" ht="13.5">
      <c r="A2253" s="2" t="s">
        <v>1492</v>
      </c>
      <c r="B2253" s="3"/>
      <c r="C2253" s="4" t="s">
        <v>4086</v>
      </c>
      <c r="D2253" s="4" t="s">
        <v>1494</v>
      </c>
      <c r="E2253" s="5" t="s">
        <v>1495</v>
      </c>
      <c r="F2253" s="5" t="str">
        <f t="shared" si="35"/>
        <v>cdg.io</v>
      </c>
      <c r="G2253" s="5" t="s">
        <v>4</v>
      </c>
      <c r="H2253" s="5" t="s">
        <v>345</v>
      </c>
      <c r="I2253" s="6">
        <v>45618</v>
      </c>
    </row>
    <row r="2254" spans="1:9" ht="13.5">
      <c r="A2254" s="2" t="s">
        <v>1492</v>
      </c>
      <c r="B2254" s="3"/>
      <c r="C2254" s="4" t="s">
        <v>4087</v>
      </c>
      <c r="D2254" s="4" t="s">
        <v>3465</v>
      </c>
      <c r="E2254" s="5" t="s">
        <v>4088</v>
      </c>
      <c r="F2254" s="5" t="str">
        <f t="shared" si="35"/>
        <v>cdg.io</v>
      </c>
      <c r="G2254" s="5" t="s">
        <v>4</v>
      </c>
      <c r="H2254" s="5" t="s">
        <v>345</v>
      </c>
      <c r="I2254" s="6">
        <v>45618</v>
      </c>
    </row>
    <row r="2255" spans="1:9" ht="13.5">
      <c r="A2255" s="2" t="s">
        <v>3186</v>
      </c>
      <c r="B2255" s="3"/>
      <c r="C2255" s="4" t="s">
        <v>4089</v>
      </c>
      <c r="D2255" s="4" t="s">
        <v>3188</v>
      </c>
      <c r="E2255" s="5" t="s">
        <v>3468</v>
      </c>
      <c r="F2255" s="5" t="str">
        <f t="shared" si="35"/>
        <v>myownwater.com</v>
      </c>
      <c r="G2255" s="5" t="s">
        <v>4</v>
      </c>
      <c r="H2255" s="5" t="s">
        <v>345</v>
      </c>
      <c r="I2255" s="6">
        <v>45618</v>
      </c>
    </row>
    <row r="2256" spans="1:9" ht="13.5">
      <c r="A2256" s="2" t="s">
        <v>3186</v>
      </c>
      <c r="B2256" s="3"/>
      <c r="C2256" s="4" t="s">
        <v>4090</v>
      </c>
      <c r="D2256" s="4" t="s">
        <v>3188</v>
      </c>
      <c r="E2256" s="9" t="s">
        <v>3186</v>
      </c>
      <c r="F2256" s="5" t="str">
        <f t="shared" si="35"/>
        <v>myownwater.com</v>
      </c>
      <c r="G2256" s="5" t="s">
        <v>4</v>
      </c>
      <c r="H2256" s="5" t="s">
        <v>345</v>
      </c>
      <c r="I2256" s="6">
        <v>45618</v>
      </c>
    </row>
    <row r="2257" spans="1:9" ht="13.5">
      <c r="A2257" s="2" t="s">
        <v>3491</v>
      </c>
      <c r="B2257" s="3"/>
      <c r="C2257" s="4" t="s">
        <v>4091</v>
      </c>
      <c r="D2257" s="4" t="s">
        <v>3493</v>
      </c>
      <c r="E2257" s="5" t="s">
        <v>3494</v>
      </c>
      <c r="F2257" s="5" t="str">
        <f t="shared" si="35"/>
        <v>mynicco.com</v>
      </c>
      <c r="G2257" s="5" t="s">
        <v>4</v>
      </c>
      <c r="H2257" s="5" t="s">
        <v>345</v>
      </c>
      <c r="I2257" s="6">
        <v>45618</v>
      </c>
    </row>
    <row r="2258" spans="1:9" ht="13.5">
      <c r="A2258" s="2" t="s">
        <v>3491</v>
      </c>
      <c r="B2258" s="3"/>
      <c r="C2258" s="4" t="s">
        <v>4092</v>
      </c>
      <c r="D2258" s="4" t="s">
        <v>3493</v>
      </c>
      <c r="E2258" s="5" t="s">
        <v>3494</v>
      </c>
      <c r="F2258" s="5" t="str">
        <f t="shared" si="35"/>
        <v>mynicco.com</v>
      </c>
      <c r="G2258" s="5" t="s">
        <v>4</v>
      </c>
      <c r="H2258" s="5" t="s">
        <v>3496</v>
      </c>
      <c r="I2258" s="6">
        <v>45618</v>
      </c>
    </row>
    <row r="2259" spans="1:9" ht="13.5">
      <c r="A2259" s="7" t="s">
        <v>1910</v>
      </c>
      <c r="B2259" s="3"/>
      <c r="C2259" s="4" t="s">
        <v>4093</v>
      </c>
      <c r="D2259" s="4" t="s">
        <v>3470</v>
      </c>
      <c r="E2259" s="5" t="s">
        <v>4094</v>
      </c>
      <c r="F2259" s="5" t="str">
        <f t="shared" si="35"/>
        <v>kelleher-international</v>
      </c>
      <c r="G2259" s="5" t="s">
        <v>4</v>
      </c>
      <c r="H2259" s="5" t="s">
        <v>345</v>
      </c>
      <c r="I2259" s="6">
        <v>45618</v>
      </c>
    </row>
    <row r="2260" spans="1:9" ht="13.5">
      <c r="A2260" s="7" t="s">
        <v>1910</v>
      </c>
      <c r="B2260" s="3"/>
      <c r="C2260" s="4" t="s">
        <v>4095</v>
      </c>
      <c r="D2260" s="4" t="s">
        <v>3472</v>
      </c>
      <c r="E2260" s="5" t="s">
        <v>2862</v>
      </c>
      <c r="F2260" s="5" t="str">
        <f t="shared" si="35"/>
        <v>kelleher-international</v>
      </c>
      <c r="G2260" s="5" t="s">
        <v>4</v>
      </c>
      <c r="H2260" s="5" t="s">
        <v>345</v>
      </c>
      <c r="I2260" s="6">
        <v>45618</v>
      </c>
    </row>
    <row r="2261" spans="1:9" ht="15">
      <c r="A2261" s="2" t="s">
        <v>3885</v>
      </c>
      <c r="B2261" s="3"/>
      <c r="C2261" s="4" t="s">
        <v>4096</v>
      </c>
      <c r="D2261" s="4" t="s">
        <v>3887</v>
      </c>
      <c r="E2261" s="324" t="s">
        <v>3890</v>
      </c>
      <c r="F2261" s="5" t="str">
        <f t="shared" si="35"/>
        <v>chattanoogarehab.com</v>
      </c>
      <c r="G2261" s="5" t="s">
        <v>4</v>
      </c>
      <c r="H2261" s="5" t="s">
        <v>345</v>
      </c>
      <c r="I2261" s="6">
        <v>45618</v>
      </c>
    </row>
    <row r="2262" spans="1:9" ht="13.5">
      <c r="A2262" s="7" t="s">
        <v>3791</v>
      </c>
      <c r="B2262" s="3"/>
      <c r="C2262" s="4" t="s">
        <v>4097</v>
      </c>
      <c r="D2262" s="4" t="s">
        <v>4098</v>
      </c>
      <c r="E2262" s="5" t="s">
        <v>4099</v>
      </c>
      <c r="F2262" s="5" t="str">
        <f t="shared" si="35"/>
        <v>coface</v>
      </c>
      <c r="G2262" s="5" t="s">
        <v>4</v>
      </c>
      <c r="H2262" s="5" t="s">
        <v>1618</v>
      </c>
      <c r="I2262" s="6">
        <v>45618</v>
      </c>
    </row>
    <row r="2263" spans="1:9" ht="13.5">
      <c r="A2263" s="7" t="s">
        <v>3791</v>
      </c>
      <c r="B2263" s="3"/>
      <c r="C2263" s="4" t="s">
        <v>4100</v>
      </c>
      <c r="D2263" s="4" t="s">
        <v>4101</v>
      </c>
      <c r="E2263" s="5" t="s">
        <v>268</v>
      </c>
      <c r="F2263" s="5" t="str">
        <f t="shared" si="35"/>
        <v>coface</v>
      </c>
      <c r="G2263" s="5" t="s">
        <v>4</v>
      </c>
      <c r="H2263" s="5" t="s">
        <v>267</v>
      </c>
      <c r="I2263" s="6">
        <v>45618</v>
      </c>
    </row>
    <row r="2264" spans="1:9" ht="13.5">
      <c r="A2264" s="7" t="s">
        <v>3791</v>
      </c>
      <c r="B2264" s="3"/>
      <c r="C2264" s="4" t="s">
        <v>4102</v>
      </c>
      <c r="D2264" s="4" t="s">
        <v>4103</v>
      </c>
      <c r="E2264" s="5" t="s">
        <v>4104</v>
      </c>
      <c r="F2264" s="5" t="str">
        <f t="shared" si="35"/>
        <v>coface</v>
      </c>
      <c r="G2264" s="5" t="s">
        <v>4</v>
      </c>
      <c r="H2264" s="5" t="s">
        <v>1618</v>
      </c>
      <c r="I2264" s="6">
        <v>45618</v>
      </c>
    </row>
    <row r="2265" spans="1:9" ht="13.5">
      <c r="A2265" s="2" t="s">
        <v>1615</v>
      </c>
      <c r="B2265" s="3"/>
      <c r="C2265" s="4" t="s">
        <v>4105</v>
      </c>
      <c r="D2265" s="4" t="s">
        <v>4106</v>
      </c>
      <c r="E2265" s="5" t="s">
        <v>1619</v>
      </c>
      <c r="F2265" s="5" t="str">
        <f t="shared" si="35"/>
        <v>kamux.fi</v>
      </c>
      <c r="G2265" s="5" t="s">
        <v>4</v>
      </c>
      <c r="H2265" s="5" t="s">
        <v>1618</v>
      </c>
      <c r="I2265" s="6">
        <v>45655</v>
      </c>
    </row>
    <row r="2266" spans="1:9" ht="13.5">
      <c r="A2266" s="2" t="s">
        <v>1615</v>
      </c>
      <c r="B2266" s="3"/>
      <c r="C2266" s="4" t="s">
        <v>4107</v>
      </c>
      <c r="D2266" s="8" t="s">
        <v>1615</v>
      </c>
      <c r="E2266" s="5" t="s">
        <v>1619</v>
      </c>
      <c r="F2266" s="5" t="str">
        <f t="shared" si="35"/>
        <v>kamux.fi</v>
      </c>
      <c r="G2266" s="5" t="s">
        <v>4</v>
      </c>
      <c r="H2266" s="5" t="s">
        <v>1618</v>
      </c>
      <c r="I2266" s="6">
        <v>45655</v>
      </c>
    </row>
    <row r="2267" spans="1:9" ht="13.5">
      <c r="A2267" s="7" t="s">
        <v>4108</v>
      </c>
      <c r="B2267" s="3"/>
      <c r="C2267" s="4" t="s">
        <v>4109</v>
      </c>
      <c r="D2267" s="4" t="s">
        <v>4110</v>
      </c>
      <c r="E2267" s="5" t="s">
        <v>4111</v>
      </c>
      <c r="F2267" s="5" t="str">
        <f t="shared" si="35"/>
        <v>racha-organics</v>
      </c>
      <c r="G2267" s="5" t="s">
        <v>4</v>
      </c>
      <c r="H2267" s="5" t="s">
        <v>345</v>
      </c>
      <c r="I2267" s="6">
        <v>45618</v>
      </c>
    </row>
    <row r="2268" spans="1:9" ht="13.5">
      <c r="A2268" s="7" t="s">
        <v>4108</v>
      </c>
      <c r="B2268" s="3"/>
      <c r="C2268" s="4" t="s">
        <v>4112</v>
      </c>
      <c r="D2268" s="4" t="s">
        <v>4113</v>
      </c>
      <c r="E2268" s="5" t="s">
        <v>4111</v>
      </c>
      <c r="F2268" s="5" t="str">
        <f t="shared" si="35"/>
        <v>racha-organics</v>
      </c>
      <c r="G2268" s="5" t="s">
        <v>4</v>
      </c>
      <c r="H2268" s="5" t="s">
        <v>345</v>
      </c>
      <c r="I2268" s="6">
        <v>45618</v>
      </c>
    </row>
    <row r="2269" spans="1:9" ht="15">
      <c r="A2269" s="2" t="s">
        <v>3885</v>
      </c>
      <c r="B2269" s="3"/>
      <c r="C2269" s="4" t="s">
        <v>4114</v>
      </c>
      <c r="D2269" s="4" t="s">
        <v>3893</v>
      </c>
      <c r="E2269" s="324" t="s">
        <v>3896</v>
      </c>
      <c r="F2269" s="5" t="str">
        <f t="shared" si="35"/>
        <v>chattanoogarehab.com</v>
      </c>
      <c r="G2269" s="5" t="s">
        <v>4</v>
      </c>
      <c r="H2269" s="5" t="s">
        <v>345</v>
      </c>
      <c r="I2269" s="6">
        <v>45618</v>
      </c>
    </row>
    <row r="2270" spans="1:9" ht="15">
      <c r="A2270" s="2" t="s">
        <v>3885</v>
      </c>
      <c r="B2270" s="3"/>
      <c r="C2270" s="4" t="s">
        <v>4115</v>
      </c>
      <c r="D2270" s="4" t="s">
        <v>3967</v>
      </c>
      <c r="E2270" s="324" t="s">
        <v>3968</v>
      </c>
      <c r="F2270" s="5" t="str">
        <f t="shared" si="35"/>
        <v>chattanoogarehab.com</v>
      </c>
      <c r="G2270" s="5" t="s">
        <v>4</v>
      </c>
      <c r="H2270" s="5" t="s">
        <v>345</v>
      </c>
      <c r="I2270" s="6">
        <v>45618</v>
      </c>
    </row>
    <row r="2271" spans="1:9" ht="13.5">
      <c r="A2271" s="7" t="s">
        <v>3419</v>
      </c>
      <c r="B2271" s="3"/>
      <c r="C2271" s="5" t="s">
        <v>4116</v>
      </c>
      <c r="D2271" s="5" t="s">
        <v>3843</v>
      </c>
      <c r="E2271" s="5" t="s">
        <v>4117</v>
      </c>
      <c r="F2271" s="5" t="str">
        <f t="shared" si="35"/>
        <v>zmarta</v>
      </c>
      <c r="G2271" s="5" t="s">
        <v>4</v>
      </c>
      <c r="H2271" s="5" t="s">
        <v>5</v>
      </c>
      <c r="I2271" s="6">
        <v>45618</v>
      </c>
    </row>
    <row r="2272" spans="1:9" ht="13.5">
      <c r="A2272" s="7" t="s">
        <v>3921</v>
      </c>
      <c r="B2272" s="3"/>
      <c r="C2272" s="5" t="s">
        <v>4118</v>
      </c>
      <c r="D2272" s="5" t="s">
        <v>3923</v>
      </c>
      <c r="E2272" s="5" t="s">
        <v>4119</v>
      </c>
      <c r="F2272" s="5" t="str">
        <f t="shared" si="35"/>
        <v>svenskalasjouren.se</v>
      </c>
      <c r="G2272" s="5" t="s">
        <v>4</v>
      </c>
      <c r="H2272" s="5" t="s">
        <v>5</v>
      </c>
      <c r="I2272" s="6">
        <v>45621</v>
      </c>
    </row>
    <row r="2273" spans="1:9" ht="13.5">
      <c r="A2273" s="2" t="s">
        <v>2240</v>
      </c>
      <c r="B2273" s="3"/>
      <c r="C2273" s="4" t="s">
        <v>4120</v>
      </c>
      <c r="D2273" s="4" t="s">
        <v>2242</v>
      </c>
      <c r="E2273" s="5" t="s">
        <v>2586</v>
      </c>
      <c r="F2273" s="5" t="str">
        <f t="shared" si="35"/>
        <v>mrnicco.com</v>
      </c>
      <c r="G2273" s="5" t="s">
        <v>4</v>
      </c>
      <c r="H2273" s="5" t="s">
        <v>4121</v>
      </c>
      <c r="I2273" s="6">
        <v>45622</v>
      </c>
    </row>
    <row r="2274" spans="1:9" ht="13.5">
      <c r="A2274" s="7" t="s">
        <v>3791</v>
      </c>
      <c r="B2274" s="3"/>
      <c r="C2274" s="317" t="s">
        <v>4122</v>
      </c>
      <c r="D2274" s="4" t="s">
        <v>4123</v>
      </c>
      <c r="E2274" s="5" t="s">
        <v>4124</v>
      </c>
      <c r="F2274" s="5" t="str">
        <f t="shared" si="35"/>
        <v>coface</v>
      </c>
      <c r="G2274" s="5" t="s">
        <v>4</v>
      </c>
      <c r="H2274" s="5" t="s">
        <v>5</v>
      </c>
      <c r="I2274" s="6">
        <v>45622</v>
      </c>
    </row>
    <row r="2275" spans="1:9" ht="13.5">
      <c r="A2275" s="2" t="s">
        <v>435</v>
      </c>
      <c r="B2275" s="3"/>
      <c r="C2275" s="317" t="s">
        <v>4125</v>
      </c>
      <c r="D2275" s="4" t="s">
        <v>3777</v>
      </c>
      <c r="E2275" s="5" t="s">
        <v>563</v>
      </c>
      <c r="F2275" s="5" t="str">
        <f t="shared" si="35"/>
        <v>fairinvestments.se</v>
      </c>
      <c r="G2275" s="5" t="s">
        <v>4</v>
      </c>
      <c r="H2275" s="5" t="s">
        <v>5</v>
      </c>
      <c r="I2275" s="6">
        <v>45622</v>
      </c>
    </row>
    <row r="2276" spans="1:9" ht="13.5">
      <c r="A2276" s="2" t="s">
        <v>435</v>
      </c>
      <c r="B2276" s="3"/>
      <c r="C2276" s="317" t="s">
        <v>4126</v>
      </c>
      <c r="D2276" s="4" t="s">
        <v>1012</v>
      </c>
      <c r="E2276" s="5" t="s">
        <v>563</v>
      </c>
      <c r="F2276" s="5" t="str">
        <f t="shared" si="35"/>
        <v>fairinvestments.se</v>
      </c>
      <c r="G2276" s="5" t="s">
        <v>4</v>
      </c>
      <c r="H2276" s="5" t="s">
        <v>5</v>
      </c>
      <c r="I2276" s="6">
        <v>45622</v>
      </c>
    </row>
    <row r="2277" spans="1:9" ht="13.5">
      <c r="A2277" s="2" t="s">
        <v>4051</v>
      </c>
      <c r="B2277" s="3"/>
      <c r="C2277" s="317" t="s">
        <v>4127</v>
      </c>
      <c r="D2277" s="4" t="s">
        <v>4128</v>
      </c>
      <c r="E2277" s="5" t="s">
        <v>4129</v>
      </c>
      <c r="F2277" s="5" t="str">
        <f t="shared" si="35"/>
        <v>hund.se</v>
      </c>
      <c r="G2277" s="5" t="s">
        <v>4</v>
      </c>
      <c r="H2277" s="5" t="s">
        <v>5</v>
      </c>
      <c r="I2277" s="6">
        <v>45622</v>
      </c>
    </row>
    <row r="2278" spans="1:9" ht="13.5">
      <c r="A2278" s="7" t="s">
        <v>3341</v>
      </c>
      <c r="B2278" s="3"/>
      <c r="C2278" s="317" t="s">
        <v>4130</v>
      </c>
      <c r="D2278" s="4" t="s">
        <v>4131</v>
      </c>
      <c r="E2278" s="9" t="s">
        <v>4131</v>
      </c>
      <c r="F2278" s="5" t="str">
        <f t="shared" si="35"/>
        <v>navx.store</v>
      </c>
      <c r="G2278" s="5" t="s">
        <v>4</v>
      </c>
      <c r="H2278" s="5" t="s">
        <v>5</v>
      </c>
      <c r="I2278" s="6">
        <v>45622</v>
      </c>
    </row>
    <row r="2279" spans="1:9" ht="13.5">
      <c r="A2279" s="2" t="s">
        <v>3058</v>
      </c>
      <c r="B2279" s="3"/>
      <c r="C2279" s="317" t="s">
        <v>4132</v>
      </c>
      <c r="D2279" s="4" t="s">
        <v>4133</v>
      </c>
      <c r="E2279" s="5" t="s">
        <v>4134</v>
      </c>
      <c r="F2279" s="5" t="str">
        <f t="shared" si="35"/>
        <v>rusta.se</v>
      </c>
      <c r="G2279" s="5" t="s">
        <v>4</v>
      </c>
      <c r="H2279" s="5" t="s">
        <v>5</v>
      </c>
      <c r="I2279" s="6">
        <v>45622</v>
      </c>
    </row>
    <row r="2280" spans="1:9" ht="13.5">
      <c r="A2280" s="2" t="s">
        <v>4135</v>
      </c>
      <c r="B2280" s="3"/>
      <c r="C2280" s="4" t="s">
        <v>4136</v>
      </c>
      <c r="D2280" s="4" t="s">
        <v>4137</v>
      </c>
      <c r="E2280" s="5" t="s">
        <v>4138</v>
      </c>
      <c r="F2280" s="5" t="str">
        <f t="shared" si="35"/>
        <v>aerius.se</v>
      </c>
      <c r="G2280" s="5" t="s">
        <v>4</v>
      </c>
      <c r="H2280" s="5" t="s">
        <v>5</v>
      </c>
      <c r="I2280" s="6">
        <v>45623</v>
      </c>
    </row>
    <row r="2281" spans="1:9" ht="13.5">
      <c r="A2281" s="7" t="s">
        <v>4139</v>
      </c>
      <c r="B2281" s="3"/>
      <c r="C2281" s="4" t="s">
        <v>4140</v>
      </c>
      <c r="D2281" s="4" t="s">
        <v>4141</v>
      </c>
      <c r="E2281" s="5" t="s">
        <v>4142</v>
      </c>
      <c r="F2281" s="5" t="str">
        <f t="shared" si="35"/>
        <v>nätcasinoguide.se</v>
      </c>
      <c r="G2281" s="5" t="s">
        <v>4</v>
      </c>
      <c r="H2281" s="5" t="s">
        <v>5</v>
      </c>
      <c r="I2281" s="6">
        <v>45623</v>
      </c>
    </row>
    <row r="2282" spans="1:9" ht="13.5">
      <c r="A2282" s="7" t="s">
        <v>4143</v>
      </c>
      <c r="B2282" s="3"/>
      <c r="C2282" s="4" t="s">
        <v>4144</v>
      </c>
      <c r="D2282" s="4" t="s">
        <v>3923</v>
      </c>
      <c r="E2282" s="5" t="s">
        <v>4145</v>
      </c>
      <c r="F2282" s="5" t="str">
        <f t="shared" si="35"/>
        <v>IP i Sverige</v>
      </c>
      <c r="G2282" s="5" t="s">
        <v>4</v>
      </c>
      <c r="H2282" s="5" t="s">
        <v>5</v>
      </c>
      <c r="I2282" s="6">
        <v>45623</v>
      </c>
    </row>
    <row r="2283" spans="1:9" ht="13.5">
      <c r="A2283" s="2" t="s">
        <v>2948</v>
      </c>
      <c r="B2283" s="3"/>
      <c r="C2283" s="4" t="s">
        <v>4146</v>
      </c>
      <c r="D2283" s="4" t="s">
        <v>2950</v>
      </c>
      <c r="E2283" s="5" t="s">
        <v>3357</v>
      </c>
      <c r="F2283" s="5" t="str">
        <f t="shared" si="35"/>
        <v>joureliten.se</v>
      </c>
      <c r="G2283" s="5" t="s">
        <v>4</v>
      </c>
      <c r="H2283" s="5" t="s">
        <v>5</v>
      </c>
      <c r="I2283" s="6">
        <v>45623</v>
      </c>
    </row>
    <row r="2284" spans="1:9" ht="13.5">
      <c r="A2284" s="2" t="s">
        <v>4147</v>
      </c>
      <c r="B2284" s="3"/>
      <c r="C2284" s="4" t="s">
        <v>4148</v>
      </c>
      <c r="D2284" s="4" t="s">
        <v>4147</v>
      </c>
      <c r="E2284" s="5" t="s">
        <v>4149</v>
      </c>
      <c r="F2284" s="5" t="str">
        <f t="shared" si="35"/>
        <v>petster.se</v>
      </c>
      <c r="G2284" s="5" t="s">
        <v>4</v>
      </c>
      <c r="H2284" s="5" t="s">
        <v>5</v>
      </c>
      <c r="I2284" s="6">
        <v>45623</v>
      </c>
    </row>
    <row r="2285" spans="1:9" ht="13.5">
      <c r="A2285" s="7" t="s">
        <v>3419</v>
      </c>
      <c r="B2285" s="3"/>
      <c r="C2285" s="5" t="s">
        <v>4150</v>
      </c>
      <c r="D2285" s="5" t="s">
        <v>3905</v>
      </c>
      <c r="E2285" s="5" t="s">
        <v>4151</v>
      </c>
      <c r="F2285" s="5" t="str">
        <f t="shared" si="35"/>
        <v>zmarta</v>
      </c>
      <c r="G2285" s="5" t="s">
        <v>4</v>
      </c>
      <c r="H2285" s="5" t="s">
        <v>5</v>
      </c>
      <c r="I2285" s="6">
        <v>45623</v>
      </c>
    </row>
    <row r="2286" spans="1:9" ht="13.5">
      <c r="A2286" s="2" t="s">
        <v>2127</v>
      </c>
      <c r="B2286" s="3"/>
      <c r="C2286" s="4" t="s">
        <v>4152</v>
      </c>
      <c r="D2286" s="4" t="s">
        <v>3526</v>
      </c>
      <c r="E2286" s="5" t="s">
        <v>4153</v>
      </c>
      <c r="F2286" s="5" t="str">
        <f t="shared" si="35"/>
        <v>startmotor.se</v>
      </c>
      <c r="G2286" s="5" t="s">
        <v>4</v>
      </c>
      <c r="H2286" s="5" t="s">
        <v>5</v>
      </c>
      <c r="I2286" s="6">
        <v>45624</v>
      </c>
    </row>
    <row r="2287" spans="1:9" ht="13.5">
      <c r="A2287" s="2" t="s">
        <v>846</v>
      </c>
      <c r="B2287" s="3"/>
      <c r="C2287" s="4" t="s">
        <v>4154</v>
      </c>
      <c r="D2287" s="4" t="s">
        <v>1043</v>
      </c>
      <c r="E2287" s="5" t="s">
        <v>4155</v>
      </c>
      <c r="F2287" s="5" t="str">
        <f t="shared" si="35"/>
        <v>tandea.se</v>
      </c>
      <c r="G2287" s="5" t="s">
        <v>4</v>
      </c>
      <c r="H2287" s="5" t="s">
        <v>5</v>
      </c>
      <c r="I2287" s="6">
        <v>45624</v>
      </c>
    </row>
    <row r="2288" spans="1:9" ht="13.5">
      <c r="A2288" s="2" t="s">
        <v>2640</v>
      </c>
      <c r="B2288" s="3"/>
      <c r="C2288" s="5" t="s">
        <v>4156</v>
      </c>
      <c r="D2288" s="5" t="s">
        <v>3232</v>
      </c>
      <c r="E2288" s="5" t="s">
        <v>3190</v>
      </c>
      <c r="F2288" s="5" t="str">
        <f t="shared" si="35"/>
        <v>snusnetto.se</v>
      </c>
      <c r="G2288" s="5" t="s">
        <v>4</v>
      </c>
      <c r="H2288" s="5" t="s">
        <v>5</v>
      </c>
      <c r="I2288" s="6">
        <v>45624</v>
      </c>
    </row>
    <row r="2289" spans="1:9" ht="13.5">
      <c r="A2289" s="7" t="s">
        <v>3419</v>
      </c>
      <c r="B2289" s="3"/>
      <c r="C2289" s="5" t="s">
        <v>4157</v>
      </c>
      <c r="D2289" s="5" t="s">
        <v>3407</v>
      </c>
      <c r="E2289" s="5" t="s">
        <v>4158</v>
      </c>
      <c r="F2289" s="5" t="str">
        <f t="shared" si="35"/>
        <v>zmarta</v>
      </c>
      <c r="G2289" s="5" t="s">
        <v>4</v>
      </c>
      <c r="H2289" s="5" t="s">
        <v>5</v>
      </c>
      <c r="I2289" s="6">
        <v>45624</v>
      </c>
    </row>
    <row r="2290" spans="1:9" ht="13.5">
      <c r="A2290" s="7" t="s">
        <v>3419</v>
      </c>
      <c r="B2290" s="3"/>
      <c r="C2290" s="5" t="s">
        <v>4159</v>
      </c>
      <c r="D2290" s="5" t="s">
        <v>3401</v>
      </c>
      <c r="E2290" s="5" t="s">
        <v>4160</v>
      </c>
      <c r="F2290" s="5" t="str">
        <f t="shared" si="35"/>
        <v>zmarta</v>
      </c>
      <c r="G2290" s="5" t="s">
        <v>4</v>
      </c>
      <c r="H2290" s="5" t="s">
        <v>5</v>
      </c>
      <c r="I2290" s="6">
        <v>45624</v>
      </c>
    </row>
    <row r="2291" spans="1:9" ht="13.5">
      <c r="A2291" s="2" t="s">
        <v>2836</v>
      </c>
      <c r="B2291" s="3"/>
      <c r="C2291" s="4" t="s">
        <v>4161</v>
      </c>
      <c r="D2291" s="4" t="s">
        <v>2838</v>
      </c>
      <c r="E2291" s="5" t="s">
        <v>3007</v>
      </c>
      <c r="F2291" s="5" t="str">
        <f t="shared" si="35"/>
        <v>cherry.com</v>
      </c>
      <c r="G2291" s="5" t="s">
        <v>4</v>
      </c>
      <c r="H2291" s="5" t="s">
        <v>5</v>
      </c>
      <c r="I2291" s="6">
        <v>45625</v>
      </c>
    </row>
    <row r="2292" spans="1:9" ht="13.5">
      <c r="A2292" s="2" t="s">
        <v>2836</v>
      </c>
      <c r="B2292" s="3"/>
      <c r="C2292" s="4" t="s">
        <v>4162</v>
      </c>
      <c r="D2292" s="4" t="s">
        <v>3100</v>
      </c>
      <c r="E2292" s="5" t="s">
        <v>3618</v>
      </c>
      <c r="F2292" s="5" t="str">
        <f t="shared" si="35"/>
        <v>cherry.com</v>
      </c>
      <c r="G2292" s="5" t="s">
        <v>4</v>
      </c>
      <c r="H2292" s="5" t="s">
        <v>5</v>
      </c>
      <c r="I2292" s="6">
        <v>45625</v>
      </c>
    </row>
    <row r="2293" spans="1:9" ht="13.5">
      <c r="A2293" s="2" t="s">
        <v>2592</v>
      </c>
      <c r="B2293" s="3"/>
      <c r="C2293" s="4" t="s">
        <v>4163</v>
      </c>
      <c r="D2293" s="4" t="s">
        <v>2594</v>
      </c>
      <c r="E2293" s="5" t="s">
        <v>3636</v>
      </c>
      <c r="F2293" s="5" t="str">
        <f t="shared" si="35"/>
        <v>everynightstudios.com</v>
      </c>
      <c r="G2293" s="5" t="s">
        <v>4</v>
      </c>
      <c r="H2293" s="5" t="s">
        <v>5</v>
      </c>
      <c r="I2293" s="6">
        <v>45625</v>
      </c>
    </row>
    <row r="2294" spans="1:9" ht="13.5">
      <c r="A2294" s="2" t="s">
        <v>4164</v>
      </c>
      <c r="B2294" s="3"/>
      <c r="C2294" s="4" t="s">
        <v>4165</v>
      </c>
      <c r="D2294" s="277" t="s">
        <v>4166</v>
      </c>
      <c r="E2294" s="5" t="s">
        <v>4167</v>
      </c>
      <c r="F2294" s="5" t="str">
        <f t="shared" si="35"/>
        <v>casinogringos.se</v>
      </c>
      <c r="G2294" s="5" t="s">
        <v>4</v>
      </c>
      <c r="H2294" s="5" t="s">
        <v>5</v>
      </c>
      <c r="I2294" s="6">
        <v>45625</v>
      </c>
    </row>
    <row r="2295" spans="1:9" ht="13.5">
      <c r="A2295" s="7" t="s">
        <v>4143</v>
      </c>
      <c r="B2295" s="3"/>
      <c r="C2295" s="4" t="s">
        <v>4168</v>
      </c>
      <c r="D2295" s="4" t="s">
        <v>4079</v>
      </c>
      <c r="E2295" s="5" t="s">
        <v>4169</v>
      </c>
      <c r="F2295" s="5" t="str">
        <f t="shared" si="35"/>
        <v>IP i Sverige</v>
      </c>
      <c r="G2295" s="5" t="s">
        <v>4</v>
      </c>
      <c r="H2295" s="5" t="s">
        <v>5</v>
      </c>
      <c r="I2295" s="6">
        <v>45625</v>
      </c>
    </row>
    <row r="2296" spans="1:9" ht="13.5">
      <c r="A2296" s="2" t="s">
        <v>3058</v>
      </c>
      <c r="B2296" s="3"/>
      <c r="C2296" s="4" t="s">
        <v>4170</v>
      </c>
      <c r="D2296" s="4" t="s">
        <v>3060</v>
      </c>
      <c r="E2296" s="5" t="s">
        <v>3061</v>
      </c>
      <c r="F2296" s="5" t="str">
        <f t="shared" si="35"/>
        <v>rusta.se</v>
      </c>
      <c r="G2296" s="5" t="s">
        <v>4</v>
      </c>
      <c r="H2296" s="5" t="s">
        <v>5</v>
      </c>
      <c r="I2296" s="6">
        <v>45625</v>
      </c>
    </row>
    <row r="2297" spans="1:9" ht="13.5">
      <c r="A2297" s="2" t="s">
        <v>4041</v>
      </c>
      <c r="B2297" s="3"/>
      <c r="C2297" s="4" t="s">
        <v>4171</v>
      </c>
      <c r="D2297" s="4" t="s">
        <v>4043</v>
      </c>
      <c r="E2297" s="5" t="s">
        <v>4172</v>
      </c>
      <c r="F2297" s="5" t="str">
        <f t="shared" si="35"/>
        <v>cateringfabriken.se</v>
      </c>
      <c r="G2297" s="5" t="s">
        <v>4</v>
      </c>
      <c r="H2297" s="5" t="s">
        <v>5</v>
      </c>
      <c r="I2297" s="6">
        <v>45625</v>
      </c>
    </row>
    <row r="2298" spans="1:9" ht="13.5">
      <c r="A2298" s="2" t="s">
        <v>4164</v>
      </c>
      <c r="B2298" s="3"/>
      <c r="C2298" s="8" t="s">
        <v>4173</v>
      </c>
      <c r="D2298" s="4" t="s">
        <v>4166</v>
      </c>
      <c r="E2298" s="5" t="s">
        <v>4174</v>
      </c>
      <c r="F2298" s="5" t="str">
        <f t="shared" si="35"/>
        <v>casinogringos.se</v>
      </c>
      <c r="G2298" s="5" t="s">
        <v>4</v>
      </c>
      <c r="H2298" s="5" t="s">
        <v>5</v>
      </c>
      <c r="I2298" s="6">
        <v>45625</v>
      </c>
    </row>
    <row r="2299" spans="1:9" ht="13.5">
      <c r="A2299" s="2" t="s">
        <v>3832</v>
      </c>
      <c r="B2299" s="3"/>
      <c r="C2299" s="4" t="s">
        <v>4175</v>
      </c>
      <c r="D2299" s="4" t="s">
        <v>3834</v>
      </c>
      <c r="E2299" s="5" t="s">
        <v>4176</v>
      </c>
      <c r="F2299" s="5" t="str">
        <f t="shared" si="35"/>
        <v>michaelofrisorerna.se</v>
      </c>
      <c r="G2299" s="5" t="s">
        <v>4</v>
      </c>
      <c r="H2299" s="5" t="s">
        <v>5</v>
      </c>
      <c r="I2299" s="6">
        <v>45625</v>
      </c>
    </row>
    <row r="2300" spans="1:9" ht="13.5">
      <c r="A2300" s="2" t="s">
        <v>4164</v>
      </c>
      <c r="B2300" s="3"/>
      <c r="C2300" s="4" t="s">
        <v>4177</v>
      </c>
      <c r="D2300" s="4" t="s">
        <v>4178</v>
      </c>
      <c r="E2300" s="5" t="s">
        <v>4179</v>
      </c>
      <c r="F2300" s="5" t="str">
        <f t="shared" si="35"/>
        <v>casinogringos.se</v>
      </c>
      <c r="G2300" s="5" t="s">
        <v>4</v>
      </c>
      <c r="H2300" s="5" t="s">
        <v>5</v>
      </c>
      <c r="I2300" s="6">
        <v>45625</v>
      </c>
    </row>
    <row r="2301" spans="1:9" ht="13.5">
      <c r="A2301" s="2" t="s">
        <v>2549</v>
      </c>
      <c r="B2301" s="3"/>
      <c r="C2301" s="4" t="s">
        <v>4180</v>
      </c>
      <c r="D2301" s="4" t="s">
        <v>4181</v>
      </c>
      <c r="E2301" s="5" t="s">
        <v>4182</v>
      </c>
      <c r="F2301" s="5" t="str">
        <f t="shared" si="35"/>
        <v>purakliniken.se</v>
      </c>
      <c r="G2301" s="5" t="s">
        <v>4</v>
      </c>
      <c r="H2301" s="5" t="s">
        <v>5</v>
      </c>
      <c r="I2301" s="6">
        <v>45625</v>
      </c>
    </row>
    <row r="2302" spans="1:9" ht="13.5">
      <c r="A2302" s="2" t="s">
        <v>4135</v>
      </c>
      <c r="B2302" s="3"/>
      <c r="C2302" s="4" t="s">
        <v>4183</v>
      </c>
      <c r="D2302" s="4" t="s">
        <v>4184</v>
      </c>
      <c r="E2302" s="5" t="s">
        <v>4185</v>
      </c>
      <c r="F2302" s="5" t="str">
        <f t="shared" si="35"/>
        <v>aerius.se</v>
      </c>
      <c r="G2302" s="5" t="s">
        <v>4</v>
      </c>
      <c r="H2302" s="5" t="s">
        <v>5</v>
      </c>
      <c r="I2302" s="6">
        <v>45625</v>
      </c>
    </row>
    <row r="2303" spans="1:9" ht="13.5">
      <c r="A2303" s="7" t="s">
        <v>3791</v>
      </c>
      <c r="B2303" s="3"/>
      <c r="C2303" s="4" t="s">
        <v>4186</v>
      </c>
      <c r="D2303" s="4" t="s">
        <v>4187</v>
      </c>
      <c r="E2303" s="5" t="s">
        <v>4188</v>
      </c>
      <c r="F2303" s="5" t="str">
        <f t="shared" si="35"/>
        <v>coface</v>
      </c>
      <c r="G2303" s="5" t="s">
        <v>4</v>
      </c>
      <c r="H2303" s="5" t="s">
        <v>5</v>
      </c>
      <c r="I2303" s="6">
        <v>45625</v>
      </c>
    </row>
    <row r="2304" spans="1:9" ht="13.5">
      <c r="A2304" s="7" t="s">
        <v>4143</v>
      </c>
      <c r="B2304" s="3"/>
      <c r="C2304" s="4" t="s">
        <v>4189</v>
      </c>
      <c r="D2304" s="4" t="s">
        <v>4190</v>
      </c>
      <c r="E2304" s="5" t="s">
        <v>4191</v>
      </c>
      <c r="F2304" s="5" t="str">
        <f t="shared" si="35"/>
        <v>IP i Sverige</v>
      </c>
      <c r="G2304" s="5" t="s">
        <v>4</v>
      </c>
      <c r="H2304" s="5" t="s">
        <v>5</v>
      </c>
      <c r="I2304" s="6">
        <v>45625</v>
      </c>
    </row>
    <row r="2305" spans="1:9" ht="13.5">
      <c r="A2305" s="7" t="s">
        <v>3747</v>
      </c>
      <c r="B2305" s="3"/>
      <c r="C2305" s="4" t="s">
        <v>4192</v>
      </c>
      <c r="D2305" s="4" t="s">
        <v>3783</v>
      </c>
      <c r="E2305" s="5" t="s">
        <v>4193</v>
      </c>
      <c r="F2305" s="5" t="str">
        <f t="shared" si="35"/>
        <v>supernormal.health</v>
      </c>
      <c r="G2305" s="5" t="s">
        <v>4</v>
      </c>
      <c r="H2305" s="5" t="s">
        <v>5</v>
      </c>
      <c r="I2305" s="6">
        <v>45625</v>
      </c>
    </row>
    <row r="2306" spans="1:9" ht="13.5">
      <c r="A2306" s="2" t="s">
        <v>4051</v>
      </c>
      <c r="B2306" s="3"/>
      <c r="C2306" s="4" t="s">
        <v>4194</v>
      </c>
      <c r="D2306" s="4" t="s">
        <v>4051</v>
      </c>
      <c r="E2306" s="5" t="s">
        <v>4195</v>
      </c>
      <c r="F2306" s="5" t="str">
        <f t="shared" si="35"/>
        <v>hund.se</v>
      </c>
      <c r="G2306" s="5" t="s">
        <v>4</v>
      </c>
      <c r="H2306" s="5" t="s">
        <v>5</v>
      </c>
      <c r="I2306" s="6">
        <v>45625</v>
      </c>
    </row>
    <row r="2307" spans="1:9" ht="13.5">
      <c r="A2307" s="2" t="s">
        <v>3817</v>
      </c>
      <c r="B2307" s="3"/>
      <c r="C2307" s="4" t="s">
        <v>4196</v>
      </c>
      <c r="D2307" s="4" t="s">
        <v>3877</v>
      </c>
      <c r="E2307" s="5" t="s">
        <v>3878</v>
      </c>
      <c r="F2307" s="5" t="str">
        <f t="shared" ref="F2307:F2370" si="36">A2307</f>
        <v>kanalgratis.se</v>
      </c>
      <c r="G2307" s="5" t="s">
        <v>4</v>
      </c>
      <c r="H2307" s="5" t="s">
        <v>5</v>
      </c>
      <c r="I2307" s="6">
        <v>45625</v>
      </c>
    </row>
    <row r="2308" spans="1:9" ht="13.5">
      <c r="A2308" s="2" t="s">
        <v>4197</v>
      </c>
      <c r="B2308" s="3"/>
      <c r="C2308" s="4" t="s">
        <v>4198</v>
      </c>
      <c r="D2308" s="4" t="s">
        <v>4199</v>
      </c>
      <c r="E2308" s="5" t="s">
        <v>4200</v>
      </c>
      <c r="F2308" s="5" t="str">
        <f t="shared" si="36"/>
        <v>tigerofsweden.com</v>
      </c>
      <c r="G2308" s="5" t="s">
        <v>4</v>
      </c>
      <c r="H2308" s="5" t="s">
        <v>5</v>
      </c>
      <c r="I2308" s="6">
        <v>45625</v>
      </c>
    </row>
    <row r="2309" spans="1:9" ht="13.5">
      <c r="A2309" s="2" t="s">
        <v>2592</v>
      </c>
      <c r="B2309" s="3"/>
      <c r="C2309" s="4" t="s">
        <v>4201</v>
      </c>
      <c r="D2309" s="4" t="s">
        <v>2594</v>
      </c>
      <c r="E2309" s="5" t="s">
        <v>3212</v>
      </c>
      <c r="F2309" s="5" t="str">
        <f t="shared" si="36"/>
        <v>everynightstudios.com</v>
      </c>
      <c r="G2309" s="5" t="s">
        <v>4</v>
      </c>
      <c r="H2309" s="5" t="s">
        <v>5</v>
      </c>
      <c r="I2309" s="6">
        <v>45625</v>
      </c>
    </row>
    <row r="2310" spans="1:9" ht="13.5">
      <c r="A2310" s="2" t="s">
        <v>435</v>
      </c>
      <c r="B2310" s="3"/>
      <c r="C2310" s="4" t="s">
        <v>4202</v>
      </c>
      <c r="D2310" s="4" t="s">
        <v>1384</v>
      </c>
      <c r="E2310" s="5" t="s">
        <v>4203</v>
      </c>
      <c r="F2310" s="5" t="str">
        <f t="shared" si="36"/>
        <v>fairinvestments.se</v>
      </c>
      <c r="G2310" s="5" t="s">
        <v>4</v>
      </c>
      <c r="H2310" s="5" t="s">
        <v>5</v>
      </c>
      <c r="I2310" s="6">
        <v>45625</v>
      </c>
    </row>
    <row r="2311" spans="1:9" ht="13.5">
      <c r="A2311" s="2" t="s">
        <v>435</v>
      </c>
      <c r="B2311" s="3"/>
      <c r="C2311" s="4" t="s">
        <v>4204</v>
      </c>
      <c r="D2311" s="4" t="s">
        <v>3779</v>
      </c>
      <c r="E2311" s="5" t="s">
        <v>563</v>
      </c>
      <c r="F2311" s="5" t="str">
        <f t="shared" si="36"/>
        <v>fairinvestments.se</v>
      </c>
      <c r="G2311" s="5" t="s">
        <v>4</v>
      </c>
      <c r="H2311" s="5" t="s">
        <v>5</v>
      </c>
      <c r="I2311" s="6">
        <v>45625</v>
      </c>
    </row>
    <row r="2312" spans="1:9" ht="13.5">
      <c r="A2312" s="2" t="s">
        <v>3580</v>
      </c>
      <c r="B2312" s="3"/>
      <c r="C2312" s="4" t="s">
        <v>4205</v>
      </c>
      <c r="D2312" s="4" t="s">
        <v>3582</v>
      </c>
      <c r="E2312" s="5" t="s">
        <v>3583</v>
      </c>
      <c r="F2312" s="5" t="str">
        <f t="shared" si="36"/>
        <v>kleer.se</v>
      </c>
      <c r="G2312" s="5" t="s">
        <v>4</v>
      </c>
      <c r="H2312" s="5" t="s">
        <v>5</v>
      </c>
      <c r="I2312" s="6">
        <v>45625</v>
      </c>
    </row>
    <row r="2313" spans="1:9" ht="13.5">
      <c r="A2313" s="2" t="s">
        <v>3186</v>
      </c>
      <c r="B2313" s="3"/>
      <c r="C2313" s="4" t="s">
        <v>4206</v>
      </c>
      <c r="D2313" s="4" t="s">
        <v>4207</v>
      </c>
      <c r="E2313" s="5" t="s">
        <v>4208</v>
      </c>
      <c r="F2313" s="5" t="str">
        <f t="shared" si="36"/>
        <v>myownwater.com</v>
      </c>
      <c r="G2313" s="5" t="s">
        <v>4</v>
      </c>
      <c r="H2313" s="5" t="s">
        <v>345</v>
      </c>
      <c r="I2313" s="6">
        <v>45625</v>
      </c>
    </row>
    <row r="2314" spans="1:9" ht="13.5">
      <c r="A2314" s="2" t="s">
        <v>3299</v>
      </c>
      <c r="B2314" s="3"/>
      <c r="C2314" s="138" t="s">
        <v>4209</v>
      </c>
      <c r="D2314" s="4" t="s">
        <v>4210</v>
      </c>
      <c r="E2314" s="9" t="s">
        <v>3809</v>
      </c>
      <c r="F2314" s="5" t="str">
        <f t="shared" si="36"/>
        <v>nodepositbonus.cc</v>
      </c>
      <c r="G2314" s="5" t="s">
        <v>4</v>
      </c>
      <c r="H2314" s="5" t="s">
        <v>345</v>
      </c>
      <c r="I2314" s="6">
        <v>45625</v>
      </c>
    </row>
    <row r="2315" spans="1:9" ht="13.5">
      <c r="A2315" s="2" t="s">
        <v>3299</v>
      </c>
      <c r="B2315" s="3"/>
      <c r="C2315" s="4" t="s">
        <v>4211</v>
      </c>
      <c r="D2315" s="4" t="s">
        <v>3938</v>
      </c>
      <c r="E2315" s="5" t="s">
        <v>4212</v>
      </c>
      <c r="F2315" s="5" t="str">
        <f t="shared" si="36"/>
        <v>nodepositbonus.cc</v>
      </c>
      <c r="G2315" s="5" t="s">
        <v>4</v>
      </c>
      <c r="H2315" s="5" t="s">
        <v>345</v>
      </c>
      <c r="I2315" s="6">
        <v>45625</v>
      </c>
    </row>
    <row r="2316" spans="1:9" ht="13.5">
      <c r="A2316" s="2" t="s">
        <v>3299</v>
      </c>
      <c r="B2316" s="3"/>
      <c r="C2316" s="4" t="s">
        <v>4213</v>
      </c>
      <c r="D2316" s="4" t="s">
        <v>3938</v>
      </c>
      <c r="E2316" s="5" t="s">
        <v>4212</v>
      </c>
      <c r="F2316" s="5" t="str">
        <f t="shared" si="36"/>
        <v>nodepositbonus.cc</v>
      </c>
      <c r="G2316" s="5" t="s">
        <v>4</v>
      </c>
      <c r="H2316" s="5" t="s">
        <v>345</v>
      </c>
      <c r="I2316" s="6">
        <v>45625</v>
      </c>
    </row>
    <row r="2317" spans="1:9" ht="13.5">
      <c r="A2317" s="2" t="s">
        <v>3299</v>
      </c>
      <c r="B2317" s="3"/>
      <c r="C2317" s="4" t="s">
        <v>4214</v>
      </c>
      <c r="D2317" s="4" t="s">
        <v>3301</v>
      </c>
      <c r="E2317" s="9" t="s">
        <v>3809</v>
      </c>
      <c r="F2317" s="5" t="str">
        <f t="shared" si="36"/>
        <v>nodepositbonus.cc</v>
      </c>
      <c r="G2317" s="5" t="s">
        <v>4</v>
      </c>
      <c r="H2317" s="5" t="s">
        <v>345</v>
      </c>
      <c r="I2317" s="6">
        <v>45625</v>
      </c>
    </row>
    <row r="2318" spans="1:9" ht="13.5">
      <c r="A2318" s="2" t="s">
        <v>723</v>
      </c>
      <c r="B2318" s="3"/>
      <c r="C2318" s="4" t="s">
        <v>4215</v>
      </c>
      <c r="D2318" s="4" t="s">
        <v>725</v>
      </c>
      <c r="E2318" s="5" t="s">
        <v>4216</v>
      </c>
      <c r="F2318" s="5" t="str">
        <f t="shared" si="36"/>
        <v>aretrotale.com</v>
      </c>
      <c r="G2318" s="5" t="s">
        <v>4</v>
      </c>
      <c r="H2318" s="5" t="s">
        <v>5</v>
      </c>
      <c r="I2318" s="6">
        <v>45625</v>
      </c>
    </row>
    <row r="2319" spans="1:9" ht="13.5">
      <c r="A2319" s="7" t="s">
        <v>3791</v>
      </c>
      <c r="B2319" s="3"/>
      <c r="C2319" s="4" t="s">
        <v>4217</v>
      </c>
      <c r="D2319" s="4" t="s">
        <v>4218</v>
      </c>
      <c r="E2319" s="5" t="s">
        <v>3983</v>
      </c>
      <c r="F2319" s="5" t="str">
        <f t="shared" si="36"/>
        <v>coface</v>
      </c>
      <c r="G2319" s="5" t="s">
        <v>4</v>
      </c>
      <c r="H2319" s="5" t="s">
        <v>267</v>
      </c>
      <c r="I2319" s="6">
        <v>45625</v>
      </c>
    </row>
    <row r="2320" spans="1:9" ht="13.5">
      <c r="A2320" s="2" t="s">
        <v>4219</v>
      </c>
      <c r="B2320" s="3"/>
      <c r="C2320" s="4" t="s">
        <v>4220</v>
      </c>
      <c r="D2320" s="4" t="s">
        <v>4221</v>
      </c>
      <c r="E2320" s="5" t="s">
        <v>4222</v>
      </c>
      <c r="F2320" s="5" t="str">
        <f t="shared" si="36"/>
        <v>clearfuze.com</v>
      </c>
      <c r="G2320" s="5" t="s">
        <v>4</v>
      </c>
      <c r="H2320" s="5" t="s">
        <v>345</v>
      </c>
      <c r="I2320" s="6">
        <v>45625</v>
      </c>
    </row>
    <row r="2321" spans="1:9" ht="13.5">
      <c r="A2321" s="2" t="s">
        <v>4219</v>
      </c>
      <c r="B2321" s="3"/>
      <c r="C2321" s="4" t="s">
        <v>4223</v>
      </c>
      <c r="D2321" s="4" t="s">
        <v>4224</v>
      </c>
      <c r="E2321" s="5" t="s">
        <v>4225</v>
      </c>
      <c r="F2321" s="5" t="str">
        <f t="shared" si="36"/>
        <v>clearfuze.com</v>
      </c>
      <c r="G2321" s="5" t="s">
        <v>4</v>
      </c>
      <c r="H2321" s="5" t="s">
        <v>345</v>
      </c>
      <c r="I2321" s="6">
        <v>45625</v>
      </c>
    </row>
    <row r="2322" spans="1:9" ht="13.5">
      <c r="A2322" s="2" t="s">
        <v>4219</v>
      </c>
      <c r="B2322" s="3"/>
      <c r="C2322" s="4" t="s">
        <v>4226</v>
      </c>
      <c r="D2322" s="4" t="s">
        <v>4227</v>
      </c>
      <c r="E2322" s="5" t="s">
        <v>4228</v>
      </c>
      <c r="F2322" s="5" t="str">
        <f t="shared" si="36"/>
        <v>clearfuze.com</v>
      </c>
      <c r="G2322" s="5" t="s">
        <v>4</v>
      </c>
      <c r="H2322" s="5" t="s">
        <v>345</v>
      </c>
      <c r="I2322" s="6">
        <v>45625</v>
      </c>
    </row>
    <row r="2323" spans="1:9" ht="13.5">
      <c r="A2323" s="2" t="s">
        <v>4229</v>
      </c>
      <c r="B2323" s="3"/>
      <c r="C2323" s="4" t="s">
        <v>4230</v>
      </c>
      <c r="D2323" s="4" t="s">
        <v>4231</v>
      </c>
      <c r="E2323" s="5" t="s">
        <v>4233</v>
      </c>
      <c r="F2323" s="5" t="str">
        <f t="shared" si="36"/>
        <v>cwinz.com</v>
      </c>
      <c r="G2323" s="5" t="s">
        <v>4</v>
      </c>
      <c r="H2323" s="5" t="s">
        <v>4232</v>
      </c>
      <c r="I2323" s="6">
        <v>45625</v>
      </c>
    </row>
    <row r="2324" spans="1:9" ht="13.5">
      <c r="A2324" s="2" t="s">
        <v>4229</v>
      </c>
      <c r="B2324" s="3"/>
      <c r="C2324" s="4" t="s">
        <v>4234</v>
      </c>
      <c r="D2324" s="138" t="s">
        <v>4231</v>
      </c>
      <c r="E2324" s="9" t="s">
        <v>4235</v>
      </c>
      <c r="F2324" s="5" t="str">
        <f t="shared" si="36"/>
        <v>cwinz.com</v>
      </c>
      <c r="G2324" s="5" t="s">
        <v>4</v>
      </c>
      <c r="H2324" s="5" t="s">
        <v>4232</v>
      </c>
      <c r="I2324" s="6">
        <v>45625</v>
      </c>
    </row>
    <row r="2325" spans="1:9" ht="13.5">
      <c r="A2325" s="2" t="s">
        <v>171</v>
      </c>
      <c r="B2325" s="3"/>
      <c r="C2325" s="4" t="s">
        <v>4236</v>
      </c>
      <c r="D2325" s="138" t="s">
        <v>1708</v>
      </c>
      <c r="E2325" s="5" t="s">
        <v>1505</v>
      </c>
      <c r="F2325" s="5" t="str">
        <f t="shared" si="36"/>
        <v>arctic.se</v>
      </c>
      <c r="G2325" s="5" t="s">
        <v>4</v>
      </c>
      <c r="H2325" s="5" t="s">
        <v>262</v>
      </c>
      <c r="I2325" s="6">
        <v>45625</v>
      </c>
    </row>
    <row r="2326" spans="1:9" ht="13.5">
      <c r="A2326" s="2" t="s">
        <v>171</v>
      </c>
      <c r="B2326" s="3"/>
      <c r="C2326" s="4" t="s">
        <v>4237</v>
      </c>
      <c r="D2326" s="138" t="s">
        <v>1095</v>
      </c>
      <c r="E2326" s="5" t="s">
        <v>2279</v>
      </c>
      <c r="F2326" s="5" t="str">
        <f t="shared" si="36"/>
        <v>arctic.se</v>
      </c>
      <c r="G2326" s="5" t="s">
        <v>4</v>
      </c>
      <c r="H2326" s="5" t="s">
        <v>5</v>
      </c>
      <c r="I2326" s="6">
        <v>45625</v>
      </c>
    </row>
    <row r="2327" spans="1:9" ht="13.5">
      <c r="A2327" s="2" t="s">
        <v>171</v>
      </c>
      <c r="B2327" s="3"/>
      <c r="C2327" s="4" t="s">
        <v>2388</v>
      </c>
      <c r="D2327" s="138" t="s">
        <v>1095</v>
      </c>
      <c r="E2327" s="5" t="s">
        <v>1533</v>
      </c>
      <c r="F2327" s="5" t="str">
        <f t="shared" si="36"/>
        <v>arctic.se</v>
      </c>
      <c r="G2327" s="5" t="s">
        <v>4</v>
      </c>
      <c r="H2327" s="5" t="s">
        <v>5</v>
      </c>
      <c r="I2327" s="6">
        <v>45625</v>
      </c>
    </row>
    <row r="2328" spans="1:9" ht="13.5">
      <c r="A2328" s="2" t="s">
        <v>535</v>
      </c>
      <c r="B2328" s="3"/>
      <c r="C2328" s="4" t="s">
        <v>4238</v>
      </c>
      <c r="D2328" s="138" t="s">
        <v>2806</v>
      </c>
      <c r="E2328" s="5" t="s">
        <v>4239</v>
      </c>
      <c r="F2328" s="5" t="str">
        <f t="shared" si="36"/>
        <v>tryggbil.se</v>
      </c>
      <c r="G2328" s="5" t="s">
        <v>4</v>
      </c>
      <c r="H2328" s="5" t="s">
        <v>5</v>
      </c>
      <c r="I2328" s="6">
        <v>45625</v>
      </c>
    </row>
    <row r="2329" spans="1:9" ht="13.5">
      <c r="A2329" s="7" t="s">
        <v>329</v>
      </c>
      <c r="B2329" s="3"/>
      <c r="C2329" s="4" t="s">
        <v>4240</v>
      </c>
      <c r="D2329" s="138" t="s">
        <v>2399</v>
      </c>
      <c r="E2329" s="5" t="s">
        <v>1553</v>
      </c>
      <c r="F2329" s="5" t="str">
        <f t="shared" si="36"/>
        <v>vont</v>
      </c>
      <c r="G2329" s="5" t="s">
        <v>4</v>
      </c>
      <c r="H2329" s="5" t="s">
        <v>5</v>
      </c>
      <c r="I2329" s="6">
        <v>45625</v>
      </c>
    </row>
    <row r="2330" spans="1:9" ht="13.5">
      <c r="A2330" s="7" t="s">
        <v>329</v>
      </c>
      <c r="B2330" s="3"/>
      <c r="C2330" s="4" t="s">
        <v>4241</v>
      </c>
      <c r="D2330" s="138" t="s">
        <v>472</v>
      </c>
      <c r="E2330" s="5" t="s">
        <v>4242</v>
      </c>
      <c r="F2330" s="5" t="str">
        <f t="shared" si="36"/>
        <v>vont</v>
      </c>
      <c r="G2330" s="5" t="s">
        <v>4</v>
      </c>
      <c r="H2330" s="5" t="s">
        <v>5</v>
      </c>
      <c r="I2330" s="6">
        <v>45625</v>
      </c>
    </row>
    <row r="2331" spans="1:9" ht="13.5">
      <c r="A2331" s="2" t="s">
        <v>3128</v>
      </c>
      <c r="B2331" s="3"/>
      <c r="C2331" s="138" t="s">
        <v>4243</v>
      </c>
      <c r="D2331" s="325" t="s">
        <v>3130</v>
      </c>
      <c r="E2331" s="5" t="s">
        <v>3162</v>
      </c>
      <c r="F2331" s="5" t="str">
        <f t="shared" si="36"/>
        <v>bethard.com</v>
      </c>
      <c r="G2331" s="5" t="s">
        <v>4</v>
      </c>
      <c r="H2331" s="5" t="s">
        <v>5</v>
      </c>
      <c r="I2331" s="6">
        <v>45625</v>
      </c>
    </row>
    <row r="2332" spans="1:9" ht="13.5">
      <c r="A2332" s="2" t="s">
        <v>3128</v>
      </c>
      <c r="B2332" s="3"/>
      <c r="C2332" s="138" t="s">
        <v>4244</v>
      </c>
      <c r="D2332" s="326" t="s">
        <v>3130</v>
      </c>
      <c r="E2332" s="5" t="s">
        <v>4245</v>
      </c>
      <c r="F2332" s="5" t="str">
        <f t="shared" si="36"/>
        <v>bethard.com</v>
      </c>
      <c r="G2332" s="5" t="s">
        <v>4</v>
      </c>
      <c r="H2332" s="5" t="s">
        <v>5</v>
      </c>
      <c r="I2332" s="6">
        <v>45625</v>
      </c>
    </row>
    <row r="2333" spans="1:9" ht="13.5">
      <c r="A2333" s="2" t="s">
        <v>3128</v>
      </c>
      <c r="B2333" s="3"/>
      <c r="C2333" s="4" t="s">
        <v>4246</v>
      </c>
      <c r="D2333" s="4" t="s">
        <v>3130</v>
      </c>
      <c r="E2333" s="5" t="s">
        <v>3033</v>
      </c>
      <c r="F2333" s="5" t="str">
        <f t="shared" si="36"/>
        <v>bethard.com</v>
      </c>
      <c r="G2333" s="5" t="s">
        <v>4</v>
      </c>
      <c r="H2333" s="5" t="s">
        <v>5</v>
      </c>
      <c r="I2333" s="6">
        <v>45625</v>
      </c>
    </row>
    <row r="2334" spans="1:9" ht="13.5">
      <c r="A2334" s="2" t="s">
        <v>2636</v>
      </c>
      <c r="B2334" s="3"/>
      <c r="C2334" s="5" t="s">
        <v>4247</v>
      </c>
      <c r="D2334" s="5" t="s">
        <v>3915</v>
      </c>
      <c r="E2334" s="5" t="s">
        <v>4248</v>
      </c>
      <c r="F2334" s="5" t="str">
        <f t="shared" si="36"/>
        <v>kvarnx.com</v>
      </c>
      <c r="G2334" s="5" t="s">
        <v>4</v>
      </c>
      <c r="H2334" s="5" t="s">
        <v>5</v>
      </c>
      <c r="I2334" s="6">
        <v>45625</v>
      </c>
    </row>
    <row r="2335" spans="1:9" ht="13.5">
      <c r="A2335" s="2" t="s">
        <v>3682</v>
      </c>
      <c r="B2335" s="3"/>
      <c r="C2335" s="5" t="s">
        <v>4249</v>
      </c>
      <c r="D2335" s="5" t="s">
        <v>3684</v>
      </c>
      <c r="E2335" s="5" t="s">
        <v>3682</v>
      </c>
      <c r="F2335" s="5" t="str">
        <f t="shared" si="36"/>
        <v>upplevelse.com</v>
      </c>
      <c r="G2335" s="5" t="s">
        <v>4</v>
      </c>
      <c r="H2335" s="5" t="s">
        <v>5</v>
      </c>
      <c r="I2335" s="6">
        <v>45625</v>
      </c>
    </row>
    <row r="2336" spans="1:9" ht="13.5">
      <c r="A2336" s="2" t="s">
        <v>3761</v>
      </c>
      <c r="B2336" s="3"/>
      <c r="C2336" s="5" t="s">
        <v>4250</v>
      </c>
      <c r="D2336" s="5" t="s">
        <v>3846</v>
      </c>
      <c r="E2336" s="5" t="s">
        <v>3115</v>
      </c>
      <c r="F2336" s="5" t="str">
        <f t="shared" si="36"/>
        <v>hajper.com</v>
      </c>
      <c r="G2336" s="5" t="s">
        <v>4</v>
      </c>
      <c r="H2336" s="5" t="s">
        <v>5</v>
      </c>
      <c r="I2336" s="6">
        <v>45625</v>
      </c>
    </row>
    <row r="2337" spans="1:9" ht="16.5" customHeight="1">
      <c r="A2337" s="2" t="s">
        <v>3761</v>
      </c>
      <c r="B2337" s="3"/>
      <c r="C2337" s="5" t="s">
        <v>4251</v>
      </c>
      <c r="D2337" s="5" t="s">
        <v>3908</v>
      </c>
      <c r="E2337" s="5" t="s">
        <v>3920</v>
      </c>
      <c r="F2337" s="5" t="str">
        <f t="shared" si="36"/>
        <v>hajper.com</v>
      </c>
      <c r="G2337" s="5" t="s">
        <v>4</v>
      </c>
      <c r="H2337" s="5" t="s">
        <v>5</v>
      </c>
      <c r="I2337" s="6">
        <v>45625</v>
      </c>
    </row>
    <row r="2338" spans="1:9" ht="13.5">
      <c r="A2338" s="7" t="s">
        <v>3921</v>
      </c>
      <c r="B2338" s="3"/>
      <c r="C2338" s="5" t="s">
        <v>4252</v>
      </c>
      <c r="D2338" s="5" t="s">
        <v>4190</v>
      </c>
      <c r="E2338" s="5" t="s">
        <v>4191</v>
      </c>
      <c r="F2338" s="5" t="str">
        <f t="shared" si="36"/>
        <v>svenskalasjouren.se</v>
      </c>
      <c r="G2338" s="5" t="s">
        <v>4</v>
      </c>
      <c r="H2338" s="5" t="s">
        <v>5</v>
      </c>
      <c r="I2338" s="6">
        <v>45625</v>
      </c>
    </row>
    <row r="2339" spans="1:9" ht="13.5">
      <c r="A2339" s="7" t="s">
        <v>1559</v>
      </c>
      <c r="B2339" s="3"/>
      <c r="C2339" s="5" t="s">
        <v>4253</v>
      </c>
      <c r="D2339" s="5" t="s">
        <v>4079</v>
      </c>
      <c r="E2339" s="5" t="s">
        <v>4169</v>
      </c>
      <c r="F2339" s="5" t="str">
        <f t="shared" si="36"/>
        <v>rorjour247.se</v>
      </c>
      <c r="G2339" s="5" t="s">
        <v>4</v>
      </c>
      <c r="H2339" s="5" t="s">
        <v>5</v>
      </c>
      <c r="I2339" s="6">
        <v>45625</v>
      </c>
    </row>
    <row r="2340" spans="1:9" ht="13.5">
      <c r="A2340" s="7" t="s">
        <v>4164</v>
      </c>
      <c r="B2340" s="3"/>
      <c r="C2340" s="5" t="s">
        <v>4254</v>
      </c>
      <c r="D2340" s="5" t="s">
        <v>4255</v>
      </c>
      <c r="E2340" s="5" t="s">
        <v>4167</v>
      </c>
      <c r="F2340" s="5" t="str">
        <f t="shared" si="36"/>
        <v>casinogringos.se</v>
      </c>
      <c r="G2340" s="5" t="s">
        <v>4</v>
      </c>
      <c r="H2340" s="5" t="s">
        <v>5</v>
      </c>
      <c r="I2340" s="6">
        <v>45625</v>
      </c>
    </row>
    <row r="2341" spans="1:9" ht="13.5">
      <c r="A2341" s="7" t="s">
        <v>4164</v>
      </c>
      <c r="B2341" s="3"/>
      <c r="C2341" s="5" t="s">
        <v>4256</v>
      </c>
      <c r="D2341" s="5" t="s">
        <v>4255</v>
      </c>
      <c r="E2341" s="5" t="s">
        <v>4174</v>
      </c>
      <c r="F2341" s="5" t="str">
        <f t="shared" si="36"/>
        <v>casinogringos.se</v>
      </c>
      <c r="G2341" s="5" t="s">
        <v>4</v>
      </c>
      <c r="H2341" s="5" t="s">
        <v>5</v>
      </c>
      <c r="I2341" s="6">
        <v>45625</v>
      </c>
    </row>
    <row r="2342" spans="1:9" ht="13.5">
      <c r="A2342" s="7" t="s">
        <v>4164</v>
      </c>
      <c r="B2342" s="3"/>
      <c r="C2342" s="5" t="s">
        <v>4257</v>
      </c>
      <c r="D2342" s="5" t="s">
        <v>4258</v>
      </c>
      <c r="E2342" s="5" t="s">
        <v>4179</v>
      </c>
      <c r="F2342" s="5" t="str">
        <f t="shared" si="36"/>
        <v>casinogringos.se</v>
      </c>
      <c r="G2342" s="5" t="s">
        <v>4</v>
      </c>
      <c r="H2342" s="5" t="s">
        <v>5</v>
      </c>
      <c r="I2342" s="6">
        <v>45625</v>
      </c>
    </row>
    <row r="2343" spans="1:9" ht="13.5">
      <c r="A2343" s="2" t="s">
        <v>2836</v>
      </c>
      <c r="B2343" s="3"/>
      <c r="C2343" s="4" t="s">
        <v>4259</v>
      </c>
      <c r="D2343" s="138" t="s">
        <v>3656</v>
      </c>
      <c r="E2343" s="5" t="s">
        <v>4260</v>
      </c>
      <c r="F2343" s="5" t="str">
        <f t="shared" si="36"/>
        <v>cherry.com</v>
      </c>
      <c r="G2343" s="5" t="s">
        <v>4</v>
      </c>
      <c r="H2343" s="5" t="s">
        <v>5</v>
      </c>
      <c r="I2343" s="6">
        <v>45628</v>
      </c>
    </row>
    <row r="2344" spans="1:9" ht="13.5">
      <c r="A2344" s="2" t="s">
        <v>2549</v>
      </c>
      <c r="B2344" s="3"/>
      <c r="C2344" s="4" t="s">
        <v>4261</v>
      </c>
      <c r="D2344" s="138" t="s">
        <v>4262</v>
      </c>
      <c r="E2344" s="5" t="s">
        <v>4263</v>
      </c>
      <c r="F2344" s="5" t="str">
        <f t="shared" si="36"/>
        <v>purakliniken.se</v>
      </c>
      <c r="G2344" s="5" t="s">
        <v>4</v>
      </c>
      <c r="H2344" s="5" t="s">
        <v>5</v>
      </c>
      <c r="I2344" s="6">
        <v>45628</v>
      </c>
    </row>
    <row r="2345" spans="1:9" ht="13.5">
      <c r="A2345" s="2" t="s">
        <v>3817</v>
      </c>
      <c r="B2345" s="3"/>
      <c r="C2345" s="4" t="s">
        <v>4264</v>
      </c>
      <c r="D2345" s="138" t="s">
        <v>3911</v>
      </c>
      <c r="E2345" s="9" t="s">
        <v>4265</v>
      </c>
      <c r="F2345" s="5" t="str">
        <f t="shared" si="36"/>
        <v>kanalgratis.se</v>
      </c>
      <c r="G2345" s="5" t="s">
        <v>4</v>
      </c>
      <c r="H2345" s="5" t="s">
        <v>5</v>
      </c>
      <c r="I2345" s="6">
        <v>45628</v>
      </c>
    </row>
    <row r="2346" spans="1:9" ht="13.5">
      <c r="A2346" s="2" t="s">
        <v>4197</v>
      </c>
      <c r="B2346" s="3"/>
      <c r="C2346" s="4" t="s">
        <v>4266</v>
      </c>
      <c r="D2346" s="138" t="s">
        <v>4199</v>
      </c>
      <c r="E2346" s="5" t="s">
        <v>4267</v>
      </c>
      <c r="F2346" s="5" t="str">
        <f t="shared" si="36"/>
        <v>tigerofsweden.com</v>
      </c>
      <c r="G2346" s="5" t="s">
        <v>4</v>
      </c>
      <c r="H2346" s="5" t="s">
        <v>5</v>
      </c>
      <c r="I2346" s="6">
        <v>45628</v>
      </c>
    </row>
    <row r="2347" spans="1:9" ht="13.5">
      <c r="A2347" s="2" t="s">
        <v>1318</v>
      </c>
      <c r="B2347" s="3"/>
      <c r="C2347" s="4" t="s">
        <v>4268</v>
      </c>
      <c r="D2347" s="4" t="s">
        <v>4269</v>
      </c>
      <c r="E2347" s="5" t="s">
        <v>4270</v>
      </c>
      <c r="F2347" s="5" t="str">
        <f t="shared" si="36"/>
        <v>spelklubben.se</v>
      </c>
      <c r="G2347" s="5" t="s">
        <v>4</v>
      </c>
      <c r="H2347" s="5" t="s">
        <v>5</v>
      </c>
      <c r="I2347" s="6">
        <v>45628</v>
      </c>
    </row>
    <row r="2348" spans="1:9" ht="13.5">
      <c r="A2348" s="2" t="s">
        <v>1318</v>
      </c>
      <c r="B2348" s="3"/>
      <c r="C2348" s="4" t="s">
        <v>4271</v>
      </c>
      <c r="D2348" s="4" t="s">
        <v>2644</v>
      </c>
      <c r="E2348" s="5" t="s">
        <v>4272</v>
      </c>
      <c r="F2348" s="5" t="str">
        <f t="shared" si="36"/>
        <v>spelklubben.se</v>
      </c>
      <c r="G2348" s="5" t="s">
        <v>4</v>
      </c>
      <c r="H2348" s="5" t="s">
        <v>5</v>
      </c>
      <c r="I2348" s="6">
        <v>45628</v>
      </c>
    </row>
    <row r="2349" spans="1:9" ht="13.5">
      <c r="A2349" s="2" t="s">
        <v>2836</v>
      </c>
      <c r="B2349" s="3"/>
      <c r="C2349" s="4" t="s">
        <v>4273</v>
      </c>
      <c r="D2349" s="4" t="s">
        <v>3227</v>
      </c>
      <c r="E2349" s="5" t="s">
        <v>4274</v>
      </c>
      <c r="F2349" s="5" t="str">
        <f t="shared" si="36"/>
        <v>cherry.com</v>
      </c>
      <c r="G2349" s="5" t="s">
        <v>4</v>
      </c>
      <c r="H2349" s="5" t="s">
        <v>5</v>
      </c>
      <c r="I2349" s="6">
        <v>45628</v>
      </c>
    </row>
    <row r="2350" spans="1:9" ht="13.5">
      <c r="A2350" s="7" t="s">
        <v>4139</v>
      </c>
      <c r="B2350" s="3"/>
      <c r="C2350" s="138" t="s">
        <v>4275</v>
      </c>
      <c r="D2350" s="5" t="s">
        <v>4276</v>
      </c>
      <c r="E2350" s="5" t="s">
        <v>4277</v>
      </c>
      <c r="F2350" s="5" t="str">
        <f t="shared" si="36"/>
        <v>nätcasinoguide.se</v>
      </c>
      <c r="G2350" s="5" t="s">
        <v>4</v>
      </c>
      <c r="H2350" s="5" t="s">
        <v>5</v>
      </c>
      <c r="I2350" s="6">
        <v>45628</v>
      </c>
    </row>
    <row r="2351" spans="1:9" ht="13.5">
      <c r="A2351" s="2" t="s">
        <v>3128</v>
      </c>
      <c r="B2351" s="3"/>
      <c r="C2351" s="138" t="s">
        <v>4278</v>
      </c>
      <c r="D2351" s="4" t="s">
        <v>3130</v>
      </c>
      <c r="E2351" s="5" t="s">
        <v>4279</v>
      </c>
      <c r="F2351" s="5" t="str">
        <f t="shared" si="36"/>
        <v>bethard.com</v>
      </c>
      <c r="G2351" s="5" t="s">
        <v>4</v>
      </c>
      <c r="H2351" s="5" t="s">
        <v>5</v>
      </c>
      <c r="I2351" s="6">
        <v>45628</v>
      </c>
    </row>
    <row r="2352" spans="1:9" ht="13.5">
      <c r="A2352" s="2" t="s">
        <v>3682</v>
      </c>
      <c r="B2352" s="3"/>
      <c r="C2352" s="5" t="s">
        <v>4280</v>
      </c>
      <c r="D2352" s="5" t="s">
        <v>3684</v>
      </c>
      <c r="E2352" s="5" t="s">
        <v>4281</v>
      </c>
      <c r="F2352" s="5" t="str">
        <f t="shared" si="36"/>
        <v>upplevelse.com</v>
      </c>
      <c r="G2352" s="5" t="s">
        <v>4</v>
      </c>
      <c r="H2352" s="5" t="s">
        <v>5</v>
      </c>
      <c r="I2352" s="6">
        <v>45628</v>
      </c>
    </row>
    <row r="2353" spans="1:9" ht="13.5">
      <c r="A2353" s="2" t="s">
        <v>3682</v>
      </c>
      <c r="B2353" s="3"/>
      <c r="C2353" s="5" t="s">
        <v>4282</v>
      </c>
      <c r="D2353" s="5" t="s">
        <v>3926</v>
      </c>
      <c r="E2353" s="5" t="s">
        <v>4283</v>
      </c>
      <c r="F2353" s="5" t="str">
        <f t="shared" si="36"/>
        <v>upplevelse.com</v>
      </c>
      <c r="G2353" s="5" t="s">
        <v>4</v>
      </c>
      <c r="H2353" s="5" t="s">
        <v>5</v>
      </c>
      <c r="I2353" s="6">
        <v>45628</v>
      </c>
    </row>
    <row r="2354" spans="1:9" ht="13.5">
      <c r="A2354" s="2" t="s">
        <v>3761</v>
      </c>
      <c r="B2354" s="3"/>
      <c r="C2354" s="5" t="s">
        <v>4284</v>
      </c>
      <c r="D2354" s="5" t="s">
        <v>4285</v>
      </c>
      <c r="E2354" s="5" t="s">
        <v>4286</v>
      </c>
      <c r="F2354" s="5" t="str">
        <f t="shared" si="36"/>
        <v>hajper.com</v>
      </c>
      <c r="G2354" s="5" t="s">
        <v>4</v>
      </c>
      <c r="H2354" s="5" t="s">
        <v>5</v>
      </c>
      <c r="I2354" s="6">
        <v>45628</v>
      </c>
    </row>
    <row r="2355" spans="1:9" ht="13.5">
      <c r="A2355" s="2" t="s">
        <v>3761</v>
      </c>
      <c r="B2355" s="3"/>
      <c r="C2355" s="5" t="s">
        <v>4287</v>
      </c>
      <c r="D2355" s="5" t="s">
        <v>4288</v>
      </c>
      <c r="E2355" s="5" t="s">
        <v>3920</v>
      </c>
      <c r="F2355" s="5" t="str">
        <f t="shared" si="36"/>
        <v>hajper.com</v>
      </c>
      <c r="G2355" s="5" t="s">
        <v>4</v>
      </c>
      <c r="H2355" s="5" t="s">
        <v>5</v>
      </c>
      <c r="I2355" s="6">
        <v>45628</v>
      </c>
    </row>
    <row r="2356" spans="1:9" ht="13.5">
      <c r="A2356" s="7" t="s">
        <v>4139</v>
      </c>
      <c r="B2356" s="3"/>
      <c r="C2356" s="5" t="s">
        <v>4289</v>
      </c>
      <c r="D2356" s="5" t="s">
        <v>4290</v>
      </c>
      <c r="E2356" s="5" t="s">
        <v>4277</v>
      </c>
      <c r="F2356" s="5" t="str">
        <f t="shared" si="36"/>
        <v>nätcasinoguide.se</v>
      </c>
      <c r="G2356" s="5" t="s">
        <v>4</v>
      </c>
      <c r="H2356" s="5" t="s">
        <v>5</v>
      </c>
      <c r="I2356" s="6">
        <v>45628</v>
      </c>
    </row>
    <row r="2357" spans="1:9" ht="13.5">
      <c r="A2357" s="2" t="s">
        <v>1318</v>
      </c>
      <c r="B2357" s="3"/>
      <c r="C2357" s="138" t="s">
        <v>4291</v>
      </c>
      <c r="D2357" s="4" t="s">
        <v>1870</v>
      </c>
      <c r="E2357" s="5" t="s">
        <v>4292</v>
      </c>
      <c r="F2357" s="5" t="str">
        <f t="shared" si="36"/>
        <v>spelklubben.se</v>
      </c>
      <c r="G2357" s="5" t="s">
        <v>4</v>
      </c>
      <c r="H2357" s="5" t="s">
        <v>5</v>
      </c>
      <c r="I2357" s="6">
        <v>45630</v>
      </c>
    </row>
    <row r="2358" spans="1:9" ht="13.5">
      <c r="A2358" s="2" t="s">
        <v>2836</v>
      </c>
      <c r="B2358" s="3"/>
      <c r="C2358" s="138" t="s">
        <v>4293</v>
      </c>
      <c r="D2358" s="4" t="s">
        <v>3656</v>
      </c>
      <c r="E2358" s="5" t="s">
        <v>4294</v>
      </c>
      <c r="F2358" s="5" t="str">
        <f t="shared" si="36"/>
        <v>cherry.com</v>
      </c>
      <c r="G2358" s="5" t="s">
        <v>4</v>
      </c>
      <c r="H2358" s="5" t="s">
        <v>5</v>
      </c>
      <c r="I2358" s="6">
        <v>45630</v>
      </c>
    </row>
    <row r="2359" spans="1:9" ht="13.5">
      <c r="A2359" s="7" t="s">
        <v>4139</v>
      </c>
      <c r="B2359" s="3"/>
      <c r="C2359" s="138" t="s">
        <v>4295</v>
      </c>
      <c r="D2359" s="4" t="s">
        <v>4141</v>
      </c>
      <c r="E2359" s="5" t="s">
        <v>4296</v>
      </c>
      <c r="F2359" s="5" t="str">
        <f t="shared" si="36"/>
        <v>nätcasinoguide.se</v>
      </c>
      <c r="G2359" s="5" t="s">
        <v>4</v>
      </c>
      <c r="H2359" s="5" t="s">
        <v>5</v>
      </c>
      <c r="I2359" s="6">
        <v>45630</v>
      </c>
    </row>
    <row r="2360" spans="1:9" ht="13.5">
      <c r="A2360" s="2" t="s">
        <v>4147</v>
      </c>
      <c r="B2360" s="3"/>
      <c r="C2360" s="4" t="s">
        <v>4297</v>
      </c>
      <c r="D2360" s="4" t="s">
        <v>4298</v>
      </c>
      <c r="E2360" s="5" t="s">
        <v>4299</v>
      </c>
      <c r="F2360" s="5" t="str">
        <f t="shared" si="36"/>
        <v>petster.se</v>
      </c>
      <c r="G2360" s="5" t="s">
        <v>4</v>
      </c>
      <c r="H2360" s="5" t="s">
        <v>5</v>
      </c>
      <c r="I2360" s="6">
        <v>45630</v>
      </c>
    </row>
    <row r="2361" spans="1:9" ht="13.5">
      <c r="A2361" s="7" t="s">
        <v>4139</v>
      </c>
      <c r="B2361" s="3"/>
      <c r="C2361" s="5" t="s">
        <v>4300</v>
      </c>
      <c r="D2361" s="5" t="s">
        <v>4301</v>
      </c>
      <c r="E2361" s="5" t="s">
        <v>4296</v>
      </c>
      <c r="F2361" s="5" t="str">
        <f t="shared" si="36"/>
        <v>nätcasinoguide.se</v>
      </c>
      <c r="G2361" s="5" t="s">
        <v>4</v>
      </c>
      <c r="H2361" s="5" t="s">
        <v>5</v>
      </c>
      <c r="I2361" s="6">
        <v>45630</v>
      </c>
    </row>
    <row r="2362" spans="1:9" ht="13.5">
      <c r="A2362" s="2" t="s">
        <v>2836</v>
      </c>
      <c r="B2362" s="3"/>
      <c r="C2362" s="4" t="s">
        <v>4302</v>
      </c>
      <c r="D2362" s="4" t="s">
        <v>3102</v>
      </c>
      <c r="E2362" s="5" t="s">
        <v>4303</v>
      </c>
      <c r="F2362" s="5" t="str">
        <f t="shared" si="36"/>
        <v>cherry.com</v>
      </c>
      <c r="G2362" s="5" t="s">
        <v>4</v>
      </c>
      <c r="H2362" s="5" t="s">
        <v>5</v>
      </c>
      <c r="I2362" s="6">
        <v>45631</v>
      </c>
    </row>
    <row r="2363" spans="1:9" ht="13.5">
      <c r="A2363" s="7" t="s">
        <v>3419</v>
      </c>
      <c r="B2363" s="3"/>
      <c r="C2363" s="5" t="s">
        <v>4304</v>
      </c>
      <c r="D2363" s="5" t="s">
        <v>4305</v>
      </c>
      <c r="E2363" s="5" t="s">
        <v>4306</v>
      </c>
      <c r="F2363" s="5" t="str">
        <f t="shared" si="36"/>
        <v>zmarta</v>
      </c>
      <c r="G2363" s="5" t="s">
        <v>4</v>
      </c>
      <c r="H2363" s="5" t="s">
        <v>5</v>
      </c>
      <c r="I2363" s="6">
        <v>45631</v>
      </c>
    </row>
    <row r="2364" spans="1:9" ht="13.5">
      <c r="A2364" s="7" t="s">
        <v>3921</v>
      </c>
      <c r="B2364" s="3"/>
      <c r="C2364" s="5" t="s">
        <v>4307</v>
      </c>
      <c r="D2364" s="5" t="s">
        <v>3923</v>
      </c>
      <c r="E2364" s="5" t="s">
        <v>4145</v>
      </c>
      <c r="F2364" s="5" t="str">
        <f t="shared" si="36"/>
        <v>svenskalasjouren.se</v>
      </c>
      <c r="G2364" s="5" t="s">
        <v>4</v>
      </c>
      <c r="H2364" s="5" t="s">
        <v>5</v>
      </c>
      <c r="I2364" s="6">
        <v>45631</v>
      </c>
    </row>
    <row r="2365" spans="1:9" ht="13.5">
      <c r="A2365" s="7" t="s">
        <v>4139</v>
      </c>
      <c r="B2365" s="3"/>
      <c r="C2365" s="5" t="s">
        <v>4308</v>
      </c>
      <c r="D2365" s="5" t="s">
        <v>4141</v>
      </c>
      <c r="E2365" s="5" t="s">
        <v>4142</v>
      </c>
      <c r="F2365" s="5" t="str">
        <f t="shared" si="36"/>
        <v>nätcasinoguide.se</v>
      </c>
      <c r="G2365" s="5" t="s">
        <v>4</v>
      </c>
      <c r="H2365" s="5" t="s">
        <v>5</v>
      </c>
      <c r="I2365" s="6">
        <v>45631</v>
      </c>
    </row>
    <row r="2366" spans="1:9" ht="13.5">
      <c r="A2366" s="2" t="s">
        <v>435</v>
      </c>
      <c r="B2366" s="3"/>
      <c r="C2366" s="4" t="s">
        <v>4309</v>
      </c>
      <c r="D2366" s="8" t="s">
        <v>435</v>
      </c>
      <c r="E2366" s="5" t="s">
        <v>4310</v>
      </c>
      <c r="F2366" s="5" t="str">
        <f t="shared" si="36"/>
        <v>fairinvestments.se</v>
      </c>
      <c r="G2366" s="5" t="s">
        <v>4</v>
      </c>
      <c r="H2366" s="5" t="s">
        <v>5</v>
      </c>
      <c r="I2366" s="6">
        <v>45632</v>
      </c>
    </row>
    <row r="2367" spans="1:9" ht="13.5">
      <c r="A2367" s="2" t="s">
        <v>435</v>
      </c>
      <c r="B2367" s="3"/>
      <c r="C2367" s="8" t="s">
        <v>4311</v>
      </c>
      <c r="D2367" s="8" t="s">
        <v>435</v>
      </c>
      <c r="E2367" s="5" t="s">
        <v>1762</v>
      </c>
      <c r="F2367" s="5" t="str">
        <f t="shared" si="36"/>
        <v>fairinvestments.se</v>
      </c>
      <c r="G2367" s="5" t="s">
        <v>4</v>
      </c>
      <c r="H2367" s="5" t="s">
        <v>5</v>
      </c>
      <c r="I2367" s="6">
        <v>45632</v>
      </c>
    </row>
    <row r="2368" spans="1:9" ht="13.5">
      <c r="A2368" s="2" t="s">
        <v>435</v>
      </c>
      <c r="B2368" s="3"/>
      <c r="C2368" s="4" t="s">
        <v>4312</v>
      </c>
      <c r="D2368" s="4" t="s">
        <v>3777</v>
      </c>
      <c r="E2368" s="5" t="s">
        <v>563</v>
      </c>
      <c r="F2368" s="5" t="str">
        <f t="shared" si="36"/>
        <v>fairinvestments.se</v>
      </c>
      <c r="G2368" s="5" t="s">
        <v>4</v>
      </c>
      <c r="H2368" s="5" t="s">
        <v>5</v>
      </c>
      <c r="I2368" s="6">
        <v>45632</v>
      </c>
    </row>
    <row r="2369" spans="1:9" ht="13.5">
      <c r="A2369" s="2" t="s">
        <v>4051</v>
      </c>
      <c r="B2369" s="3"/>
      <c r="C2369" s="4" t="s">
        <v>4313</v>
      </c>
      <c r="D2369" s="4" t="s">
        <v>4314</v>
      </c>
      <c r="E2369" s="5" t="s">
        <v>4315</v>
      </c>
      <c r="F2369" s="5" t="str">
        <f t="shared" si="36"/>
        <v>hund.se</v>
      </c>
      <c r="G2369" s="5" t="s">
        <v>4</v>
      </c>
      <c r="H2369" s="5" t="s">
        <v>5</v>
      </c>
      <c r="I2369" s="6">
        <v>45632</v>
      </c>
    </row>
    <row r="2370" spans="1:9" ht="13.5">
      <c r="A2370" s="2" t="s">
        <v>3058</v>
      </c>
      <c r="B2370" s="3"/>
      <c r="C2370" s="4" t="s">
        <v>4316</v>
      </c>
      <c r="D2370" s="4" t="s">
        <v>4133</v>
      </c>
      <c r="E2370" s="5" t="s">
        <v>3064</v>
      </c>
      <c r="F2370" s="5" t="str">
        <f t="shared" si="36"/>
        <v>rusta.se</v>
      </c>
      <c r="G2370" s="5" t="s">
        <v>4</v>
      </c>
      <c r="H2370" s="5" t="s">
        <v>5</v>
      </c>
      <c r="I2370" s="6">
        <v>45632</v>
      </c>
    </row>
    <row r="2371" spans="1:9" ht="13.5">
      <c r="A2371" s="2" t="s">
        <v>4164</v>
      </c>
      <c r="B2371" s="3"/>
      <c r="C2371" s="4" t="s">
        <v>4317</v>
      </c>
      <c r="D2371" s="4" t="s">
        <v>4318</v>
      </c>
      <c r="E2371" s="5" t="s">
        <v>4319</v>
      </c>
      <c r="F2371" s="5" t="str">
        <f t="shared" ref="F2371:F2434" si="37">A2371</f>
        <v>casinogringos.se</v>
      </c>
      <c r="G2371" s="5" t="s">
        <v>4</v>
      </c>
      <c r="H2371" s="5" t="s">
        <v>5</v>
      </c>
      <c r="I2371" s="6">
        <v>45632</v>
      </c>
    </row>
    <row r="2372" spans="1:9" ht="13.5">
      <c r="A2372" s="2" t="s">
        <v>3128</v>
      </c>
      <c r="B2372" s="3"/>
      <c r="C2372" s="4" t="s">
        <v>4320</v>
      </c>
      <c r="D2372" s="8" t="s">
        <v>3130</v>
      </c>
      <c r="E2372" s="5" t="s">
        <v>4321</v>
      </c>
      <c r="F2372" s="5" t="str">
        <f t="shared" si="37"/>
        <v>bethard.com</v>
      </c>
      <c r="G2372" s="5" t="s">
        <v>4</v>
      </c>
      <c r="H2372" s="5" t="s">
        <v>5</v>
      </c>
      <c r="I2372" s="6">
        <v>45632</v>
      </c>
    </row>
    <row r="2373" spans="1:9" ht="13.5">
      <c r="A2373" s="2" t="s">
        <v>2640</v>
      </c>
      <c r="B2373" s="3"/>
      <c r="C2373" s="5" t="s">
        <v>4322</v>
      </c>
      <c r="D2373" s="5" t="s">
        <v>3436</v>
      </c>
      <c r="E2373" s="5" t="s">
        <v>3677</v>
      </c>
      <c r="F2373" s="5" t="str">
        <f t="shared" si="37"/>
        <v>snusnetto.se</v>
      </c>
      <c r="G2373" s="5" t="s">
        <v>4</v>
      </c>
      <c r="H2373" s="5" t="s">
        <v>5</v>
      </c>
      <c r="I2373" s="6">
        <v>45632</v>
      </c>
    </row>
    <row r="2374" spans="1:9" ht="13.5">
      <c r="A2374" s="2" t="s">
        <v>2640</v>
      </c>
      <c r="B2374" s="3"/>
      <c r="C2374" s="5" t="s">
        <v>4323</v>
      </c>
      <c r="D2374" s="5" t="s">
        <v>4063</v>
      </c>
      <c r="E2374" s="5" t="s">
        <v>2571</v>
      </c>
      <c r="F2374" s="5" t="str">
        <f t="shared" si="37"/>
        <v>snusnetto.se</v>
      </c>
      <c r="G2374" s="5" t="s">
        <v>4</v>
      </c>
      <c r="H2374" s="5" t="s">
        <v>5</v>
      </c>
      <c r="I2374" s="6">
        <v>45632</v>
      </c>
    </row>
    <row r="2375" spans="1:9" ht="13.5">
      <c r="A2375" s="2" t="s">
        <v>2636</v>
      </c>
      <c r="B2375" s="3"/>
      <c r="C2375" s="5" t="s">
        <v>4324</v>
      </c>
      <c r="D2375" s="5" t="s">
        <v>3626</v>
      </c>
      <c r="E2375" s="5" t="s">
        <v>4325</v>
      </c>
      <c r="F2375" s="5" t="str">
        <f t="shared" si="37"/>
        <v>kvarnx.com</v>
      </c>
      <c r="G2375" s="5" t="s">
        <v>4</v>
      </c>
      <c r="H2375" s="5" t="s">
        <v>5</v>
      </c>
      <c r="I2375" s="6">
        <v>45632</v>
      </c>
    </row>
    <row r="2376" spans="1:9" ht="13.5">
      <c r="A2376" s="7" t="s">
        <v>4164</v>
      </c>
      <c r="B2376" s="3"/>
      <c r="C2376" s="5" t="s">
        <v>4326</v>
      </c>
      <c r="D2376" s="5" t="s">
        <v>4327</v>
      </c>
      <c r="E2376" s="5" t="s">
        <v>4319</v>
      </c>
      <c r="F2376" s="5" t="str">
        <f t="shared" si="37"/>
        <v>casinogringos.se</v>
      </c>
      <c r="G2376" s="5" t="s">
        <v>4</v>
      </c>
      <c r="H2376" s="5" t="s">
        <v>5</v>
      </c>
      <c r="I2376" s="6">
        <v>45632</v>
      </c>
    </row>
    <row r="2377" spans="1:9" ht="13.5">
      <c r="A2377" s="2" t="s">
        <v>2836</v>
      </c>
      <c r="B2377" s="3"/>
      <c r="C2377" s="4" t="s">
        <v>4328</v>
      </c>
      <c r="D2377" s="4" t="s">
        <v>4329</v>
      </c>
      <c r="E2377" s="5" t="s">
        <v>4330</v>
      </c>
      <c r="F2377" s="5" t="str">
        <f t="shared" si="37"/>
        <v>cherry.com</v>
      </c>
      <c r="G2377" s="5" t="s">
        <v>4</v>
      </c>
      <c r="H2377" s="5" t="s">
        <v>5</v>
      </c>
      <c r="I2377" s="6">
        <v>45635</v>
      </c>
    </row>
    <row r="2378" spans="1:9" ht="13.5">
      <c r="A2378" s="7" t="s">
        <v>4164</v>
      </c>
      <c r="B2378" s="3"/>
      <c r="C2378" s="5" t="s">
        <v>4331</v>
      </c>
      <c r="D2378" s="5" t="s">
        <v>4178</v>
      </c>
      <c r="E2378" s="5" t="s">
        <v>4332</v>
      </c>
      <c r="F2378" s="5" t="str">
        <f t="shared" si="37"/>
        <v>casinogringos.se</v>
      </c>
      <c r="G2378" s="5" t="s">
        <v>4</v>
      </c>
      <c r="H2378" s="5" t="s">
        <v>5</v>
      </c>
      <c r="I2378" s="6">
        <v>45635</v>
      </c>
    </row>
    <row r="2379" spans="1:9" ht="13.5">
      <c r="A2379" s="2" t="s">
        <v>1318</v>
      </c>
      <c r="B2379" s="3"/>
      <c r="C2379" s="8" t="s">
        <v>4333</v>
      </c>
      <c r="D2379" s="8" t="s">
        <v>1318</v>
      </c>
      <c r="E2379" s="5" t="s">
        <v>939</v>
      </c>
      <c r="F2379" s="5" t="str">
        <f t="shared" si="37"/>
        <v>spelklubben.se</v>
      </c>
      <c r="G2379" s="5" t="s">
        <v>4</v>
      </c>
      <c r="H2379" s="5" t="s">
        <v>5</v>
      </c>
      <c r="I2379" s="6">
        <v>45636</v>
      </c>
    </row>
    <row r="2380" spans="1:9" ht="13.5">
      <c r="A2380" s="2" t="s">
        <v>100</v>
      </c>
      <c r="B2380" s="3"/>
      <c r="C2380" s="327" t="s">
        <v>4334</v>
      </c>
      <c r="D2380" s="138" t="s">
        <v>3555</v>
      </c>
      <c r="E2380" s="5" t="s">
        <v>3692</v>
      </c>
      <c r="F2380" s="5" t="str">
        <f t="shared" si="37"/>
        <v>bigbenstandup.com</v>
      </c>
      <c r="G2380" s="5" t="s">
        <v>4</v>
      </c>
      <c r="H2380" s="5" t="s">
        <v>5</v>
      </c>
      <c r="I2380" s="6">
        <v>45636</v>
      </c>
    </row>
    <row r="2381" spans="1:9" ht="13.5">
      <c r="A2381" s="2" t="s">
        <v>308</v>
      </c>
      <c r="B2381" s="3"/>
      <c r="C2381" s="328" t="s">
        <v>4335</v>
      </c>
      <c r="D2381" s="4" t="s">
        <v>1395</v>
      </c>
      <c r="E2381" s="5" t="s">
        <v>2489</v>
      </c>
      <c r="F2381" s="5" t="str">
        <f t="shared" si="37"/>
        <v>lansfast.se</v>
      </c>
      <c r="G2381" s="5" t="s">
        <v>4</v>
      </c>
      <c r="H2381" s="5" t="s">
        <v>5</v>
      </c>
      <c r="I2381" s="6">
        <v>45636</v>
      </c>
    </row>
    <row r="2382" spans="1:9" ht="13.5">
      <c r="A2382" s="2" t="s">
        <v>1213</v>
      </c>
      <c r="B2382" s="3"/>
      <c r="C2382" s="27" t="s">
        <v>4336</v>
      </c>
      <c r="D2382" s="4" t="s">
        <v>1215</v>
      </c>
      <c r="E2382" s="5" t="s">
        <v>2491</v>
      </c>
      <c r="F2382" s="5" t="str">
        <f t="shared" si="37"/>
        <v>mariatand.se</v>
      </c>
      <c r="G2382" s="5" t="s">
        <v>4</v>
      </c>
      <c r="H2382" s="5" t="s">
        <v>5</v>
      </c>
      <c r="I2382" s="6">
        <v>45636</v>
      </c>
    </row>
    <row r="2383" spans="1:9" ht="13.5">
      <c r="A2383" s="2" t="s">
        <v>1213</v>
      </c>
      <c r="B2383" s="3"/>
      <c r="C2383" s="328" t="s">
        <v>4337</v>
      </c>
      <c r="D2383" s="4" t="s">
        <v>1215</v>
      </c>
      <c r="E2383" s="5" t="s">
        <v>2491</v>
      </c>
      <c r="F2383" s="5" t="str">
        <f t="shared" si="37"/>
        <v>mariatand.se</v>
      </c>
      <c r="G2383" s="5" t="s">
        <v>4</v>
      </c>
      <c r="H2383" s="5" t="s">
        <v>5</v>
      </c>
      <c r="I2383" s="6">
        <v>45636</v>
      </c>
    </row>
    <row r="2384" spans="1:9" ht="13.5">
      <c r="A2384" s="7" t="s">
        <v>224</v>
      </c>
      <c r="B2384" s="3"/>
      <c r="C2384" s="328" t="s">
        <v>4338</v>
      </c>
      <c r="D2384" s="4" t="s">
        <v>461</v>
      </c>
      <c r="E2384" s="5" t="s">
        <v>1117</v>
      </c>
      <c r="F2384" s="5" t="str">
        <f t="shared" si="37"/>
        <v>swedoffice</v>
      </c>
      <c r="G2384" s="5" t="s">
        <v>4</v>
      </c>
      <c r="H2384" s="5" t="s">
        <v>5</v>
      </c>
      <c r="I2384" s="6">
        <v>45636</v>
      </c>
    </row>
    <row r="2385" spans="1:9" ht="13.5">
      <c r="A2385" s="2" t="s">
        <v>3058</v>
      </c>
      <c r="B2385" s="3"/>
      <c r="C2385" s="328" t="s">
        <v>4339</v>
      </c>
      <c r="D2385" s="8" t="s">
        <v>3063</v>
      </c>
      <c r="E2385" s="5" t="s">
        <v>3064</v>
      </c>
      <c r="F2385" s="5" t="str">
        <f t="shared" si="37"/>
        <v>rusta.se</v>
      </c>
      <c r="G2385" s="5" t="s">
        <v>4</v>
      </c>
      <c r="H2385" s="5" t="s">
        <v>5</v>
      </c>
      <c r="I2385" s="6">
        <v>45636</v>
      </c>
    </row>
    <row r="2386" spans="1:9" ht="13.5">
      <c r="A2386" s="2" t="s">
        <v>3058</v>
      </c>
      <c r="B2386" s="3"/>
      <c r="C2386" s="328" t="s">
        <v>4340</v>
      </c>
      <c r="D2386" s="8" t="s">
        <v>3060</v>
      </c>
      <c r="E2386" s="5" t="s">
        <v>3061</v>
      </c>
      <c r="F2386" s="5" t="str">
        <f t="shared" si="37"/>
        <v>rusta.se</v>
      </c>
      <c r="G2386" s="5" t="s">
        <v>4</v>
      </c>
      <c r="H2386" s="5" t="s">
        <v>5</v>
      </c>
      <c r="I2386" s="6">
        <v>45636</v>
      </c>
    </row>
    <row r="2387" spans="1:9" ht="13.5">
      <c r="A2387" s="2" t="s">
        <v>2428</v>
      </c>
      <c r="B2387" s="3"/>
      <c r="C2387" s="328" t="s">
        <v>4341</v>
      </c>
      <c r="D2387" s="8" t="s">
        <v>2430</v>
      </c>
      <c r="E2387" s="5" t="s">
        <v>3098</v>
      </c>
      <c r="F2387" s="5" t="str">
        <f t="shared" si="37"/>
        <v>sakraror.se</v>
      </c>
      <c r="G2387" s="5" t="s">
        <v>4</v>
      </c>
      <c r="H2387" s="5" t="s">
        <v>5</v>
      </c>
      <c r="I2387" s="6">
        <v>45636</v>
      </c>
    </row>
    <row r="2388" spans="1:9" ht="13.5">
      <c r="A2388" s="2" t="s">
        <v>3580</v>
      </c>
      <c r="B2388" s="3"/>
      <c r="C2388" s="328" t="s">
        <v>4342</v>
      </c>
      <c r="D2388" s="4" t="s">
        <v>3582</v>
      </c>
      <c r="E2388" s="5" t="s">
        <v>3583</v>
      </c>
      <c r="F2388" s="5" t="str">
        <f t="shared" si="37"/>
        <v>kleer.se</v>
      </c>
      <c r="G2388" s="5" t="s">
        <v>4</v>
      </c>
      <c r="H2388" s="5" t="s">
        <v>5</v>
      </c>
      <c r="I2388" s="6">
        <v>45636</v>
      </c>
    </row>
    <row r="2389" spans="1:9" ht="13.5">
      <c r="A2389" s="2" t="s">
        <v>2948</v>
      </c>
      <c r="B2389" s="3"/>
      <c r="C2389" s="4" t="s">
        <v>4343</v>
      </c>
      <c r="D2389" s="4" t="s">
        <v>3428</v>
      </c>
      <c r="E2389" s="5" t="s">
        <v>3429</v>
      </c>
      <c r="F2389" s="5" t="str">
        <f t="shared" si="37"/>
        <v>joureliten.se</v>
      </c>
      <c r="G2389" s="5" t="s">
        <v>4</v>
      </c>
      <c r="H2389" s="5" t="s">
        <v>5</v>
      </c>
      <c r="I2389" s="6">
        <v>45636</v>
      </c>
    </row>
    <row r="2390" spans="1:9" ht="13.5">
      <c r="A2390" s="2" t="s">
        <v>803</v>
      </c>
      <c r="B2390" s="3"/>
      <c r="C2390" s="4" t="s">
        <v>4344</v>
      </c>
      <c r="D2390" s="4" t="s">
        <v>2599</v>
      </c>
      <c r="E2390" s="5" t="s">
        <v>3708</v>
      </c>
      <c r="F2390" s="5" t="str">
        <f t="shared" si="37"/>
        <v>foyen.se</v>
      </c>
      <c r="G2390" s="5" t="s">
        <v>4</v>
      </c>
      <c r="H2390" s="5" t="s">
        <v>5</v>
      </c>
      <c r="I2390" s="6">
        <v>45636</v>
      </c>
    </row>
    <row r="2391" spans="1:9" ht="13.5">
      <c r="A2391" s="2" t="s">
        <v>308</v>
      </c>
      <c r="B2391" s="3"/>
      <c r="C2391" s="4" t="s">
        <v>4345</v>
      </c>
      <c r="D2391" s="4" t="s">
        <v>1395</v>
      </c>
      <c r="E2391" s="5" t="s">
        <v>2489</v>
      </c>
      <c r="F2391" s="5" t="str">
        <f t="shared" si="37"/>
        <v>lansfast.se</v>
      </c>
      <c r="G2391" s="5" t="s">
        <v>4</v>
      </c>
      <c r="H2391" s="5" t="s">
        <v>5</v>
      </c>
      <c r="I2391" s="6">
        <v>45636</v>
      </c>
    </row>
    <row r="2392" spans="1:9" ht="13.5">
      <c r="A2392" s="7" t="s">
        <v>67</v>
      </c>
      <c r="B2392" s="3"/>
      <c r="C2392" s="4" t="s">
        <v>4346</v>
      </c>
      <c r="D2392" s="4" t="s">
        <v>2622</v>
      </c>
      <c r="E2392" s="5" t="s">
        <v>2623</v>
      </c>
      <c r="F2392" s="5" t="str">
        <f t="shared" si="37"/>
        <v>nem.health</v>
      </c>
      <c r="G2392" s="5" t="s">
        <v>4</v>
      </c>
      <c r="H2392" s="5" t="s">
        <v>5</v>
      </c>
      <c r="I2392" s="6">
        <v>45636</v>
      </c>
    </row>
    <row r="2393" spans="1:9" ht="13.5">
      <c r="A2393" s="7" t="s">
        <v>67</v>
      </c>
      <c r="B2393" s="3"/>
      <c r="C2393" s="4" t="s">
        <v>4347</v>
      </c>
      <c r="D2393" s="5" t="s">
        <v>67</v>
      </c>
      <c r="E2393" s="5" t="s">
        <v>4022</v>
      </c>
      <c r="F2393" s="5" t="str">
        <f t="shared" si="37"/>
        <v>nem.health</v>
      </c>
      <c r="G2393" s="5" t="s">
        <v>4</v>
      </c>
      <c r="H2393" s="5" t="s">
        <v>5</v>
      </c>
      <c r="I2393" s="6">
        <v>45636</v>
      </c>
    </row>
    <row r="2394" spans="1:9" ht="13.5">
      <c r="A2394" s="2" t="s">
        <v>2352</v>
      </c>
      <c r="B2394" s="3"/>
      <c r="C2394" s="15" t="s">
        <v>4348</v>
      </c>
      <c r="D2394" s="4" t="s">
        <v>2352</v>
      </c>
      <c r="E2394" s="5" t="s">
        <v>2635</v>
      </c>
      <c r="F2394" s="5" t="str">
        <f t="shared" si="37"/>
        <v>seniorrabatt.se</v>
      </c>
      <c r="G2394" s="5" t="s">
        <v>4</v>
      </c>
      <c r="H2394" s="5" t="s">
        <v>5</v>
      </c>
      <c r="I2394" s="6">
        <v>45636</v>
      </c>
    </row>
    <row r="2395" spans="1:9" ht="13.5">
      <c r="A2395" s="2" t="s">
        <v>2127</v>
      </c>
      <c r="B2395" s="3"/>
      <c r="C2395" s="4" t="s">
        <v>4349</v>
      </c>
      <c r="D2395" s="4" t="s">
        <v>2415</v>
      </c>
      <c r="E2395" s="5" t="s">
        <v>2664</v>
      </c>
      <c r="F2395" s="5" t="str">
        <f t="shared" si="37"/>
        <v>startmotor.se</v>
      </c>
      <c r="G2395" s="5" t="s">
        <v>4</v>
      </c>
      <c r="H2395" s="5" t="s">
        <v>5</v>
      </c>
      <c r="I2395" s="6">
        <v>45636</v>
      </c>
    </row>
    <row r="2396" spans="1:9" ht="13.5">
      <c r="A2396" s="2" t="s">
        <v>2127</v>
      </c>
      <c r="B2396" s="3"/>
      <c r="C2396" s="4" t="s">
        <v>4350</v>
      </c>
      <c r="D2396" s="4" t="s">
        <v>2129</v>
      </c>
      <c r="E2396" s="5" t="s">
        <v>3719</v>
      </c>
      <c r="F2396" s="5" t="str">
        <f t="shared" si="37"/>
        <v>startmotor.se</v>
      </c>
      <c r="G2396" s="5" t="s">
        <v>4</v>
      </c>
      <c r="H2396" s="5" t="s">
        <v>5</v>
      </c>
      <c r="I2396" s="6">
        <v>45636</v>
      </c>
    </row>
    <row r="2397" spans="1:9" ht="13.5">
      <c r="A2397" s="7" t="s">
        <v>224</v>
      </c>
      <c r="B2397" s="3"/>
      <c r="C2397" s="4" t="s">
        <v>4351</v>
      </c>
      <c r="D2397" s="4" t="s">
        <v>226</v>
      </c>
      <c r="E2397" s="5" t="s">
        <v>368</v>
      </c>
      <c r="F2397" s="5" t="str">
        <f t="shared" si="37"/>
        <v>swedoffice</v>
      </c>
      <c r="G2397" s="5" t="s">
        <v>4</v>
      </c>
      <c r="H2397" s="5" t="s">
        <v>5</v>
      </c>
      <c r="I2397" s="6">
        <v>45636</v>
      </c>
    </row>
    <row r="2398" spans="1:9" ht="13.5">
      <c r="A2398" s="7" t="s">
        <v>329</v>
      </c>
      <c r="B2398" s="3"/>
      <c r="C2398" s="4" t="s">
        <v>4352</v>
      </c>
      <c r="D2398" s="4" t="s">
        <v>2450</v>
      </c>
      <c r="E2398" s="5" t="s">
        <v>332</v>
      </c>
      <c r="F2398" s="5" t="str">
        <f t="shared" si="37"/>
        <v>vont</v>
      </c>
      <c r="G2398" s="5" t="s">
        <v>4</v>
      </c>
      <c r="H2398" s="5" t="s">
        <v>5</v>
      </c>
      <c r="I2398" s="6">
        <v>45636</v>
      </c>
    </row>
    <row r="2399" spans="1:9" ht="13.5">
      <c r="A2399" s="7" t="s">
        <v>329</v>
      </c>
      <c r="B2399" s="3"/>
      <c r="C2399" s="4" t="s">
        <v>4353</v>
      </c>
      <c r="D2399" s="4" t="s">
        <v>1488</v>
      </c>
      <c r="E2399" s="5" t="s">
        <v>1477</v>
      </c>
      <c r="F2399" s="5" t="str">
        <f t="shared" si="37"/>
        <v>vont</v>
      </c>
      <c r="G2399" s="5" t="s">
        <v>4</v>
      </c>
      <c r="H2399" s="5" t="s">
        <v>5</v>
      </c>
      <c r="I2399" s="6">
        <v>45636</v>
      </c>
    </row>
    <row r="2400" spans="1:9" ht="13.5">
      <c r="A2400" s="2" t="s">
        <v>3173</v>
      </c>
      <c r="B2400" s="3"/>
      <c r="C2400" s="4" t="s">
        <v>4354</v>
      </c>
      <c r="D2400" s="4" t="s">
        <v>3175</v>
      </c>
      <c r="E2400" s="5" t="s">
        <v>3217</v>
      </c>
      <c r="F2400" s="5" t="str">
        <f t="shared" si="37"/>
        <v>ekstromgaray.se</v>
      </c>
      <c r="G2400" s="5" t="s">
        <v>4</v>
      </c>
      <c r="H2400" s="5" t="s">
        <v>5</v>
      </c>
      <c r="I2400" s="6">
        <v>45636</v>
      </c>
    </row>
    <row r="2401" spans="1:9" ht="13.5">
      <c r="A2401" s="2" t="s">
        <v>2549</v>
      </c>
      <c r="B2401" s="3"/>
      <c r="C2401" s="4" t="s">
        <v>4355</v>
      </c>
      <c r="D2401" s="4" t="s">
        <v>3204</v>
      </c>
      <c r="E2401" s="5" t="s">
        <v>3205</v>
      </c>
      <c r="F2401" s="5" t="str">
        <f t="shared" si="37"/>
        <v>purakliniken.se</v>
      </c>
      <c r="G2401" s="5" t="s">
        <v>4</v>
      </c>
      <c r="H2401" s="5" t="s">
        <v>5</v>
      </c>
      <c r="I2401" s="6">
        <v>45636</v>
      </c>
    </row>
    <row r="2402" spans="1:9" ht="13.5">
      <c r="A2402" s="7" t="s">
        <v>3747</v>
      </c>
      <c r="B2402" s="3"/>
      <c r="C2402" s="4" t="s">
        <v>4356</v>
      </c>
      <c r="D2402" s="4" t="s">
        <v>3749</v>
      </c>
      <c r="E2402" s="5" t="s">
        <v>3750</v>
      </c>
      <c r="F2402" s="5" t="str">
        <f t="shared" si="37"/>
        <v>supernormal.health</v>
      </c>
      <c r="G2402" s="5" t="s">
        <v>4</v>
      </c>
      <c r="H2402" s="5" t="s">
        <v>5</v>
      </c>
      <c r="I2402" s="6">
        <v>45636</v>
      </c>
    </row>
    <row r="2403" spans="1:9" ht="13.5">
      <c r="A2403" s="2" t="s">
        <v>3824</v>
      </c>
      <c r="B2403" s="3"/>
      <c r="C2403" s="4" t="s">
        <v>4357</v>
      </c>
      <c r="D2403" s="4" t="s">
        <v>4358</v>
      </c>
      <c r="E2403" s="5" t="s">
        <v>4040</v>
      </c>
      <c r="F2403" s="5" t="str">
        <f t="shared" si="37"/>
        <v>swedenlongstay.se</v>
      </c>
      <c r="G2403" s="5" t="s">
        <v>4</v>
      </c>
      <c r="H2403" s="5" t="s">
        <v>5</v>
      </c>
      <c r="I2403" s="6">
        <v>45636</v>
      </c>
    </row>
    <row r="2404" spans="1:9" ht="13.5">
      <c r="A2404" s="2" t="s">
        <v>3986</v>
      </c>
      <c r="B2404" s="3"/>
      <c r="C2404" s="328" t="s">
        <v>4359</v>
      </c>
      <c r="D2404" s="8" t="s">
        <v>4000</v>
      </c>
      <c r="E2404" s="5" t="s">
        <v>4046</v>
      </c>
      <c r="F2404" s="5" t="str">
        <f t="shared" si="37"/>
        <v>dinkorskola.se</v>
      </c>
      <c r="G2404" s="5" t="s">
        <v>4</v>
      </c>
      <c r="H2404" s="5" t="s">
        <v>5</v>
      </c>
      <c r="I2404" s="6">
        <v>45636</v>
      </c>
    </row>
    <row r="2405" spans="1:9" ht="13.5">
      <c r="A2405" s="2" t="s">
        <v>2592</v>
      </c>
      <c r="B2405" s="3"/>
      <c r="C2405" s="328" t="s">
        <v>4360</v>
      </c>
      <c r="D2405" s="4" t="s">
        <v>2592</v>
      </c>
      <c r="E2405" s="5" t="s">
        <v>4049</v>
      </c>
      <c r="F2405" s="5" t="str">
        <f t="shared" si="37"/>
        <v>everynightstudios.com</v>
      </c>
      <c r="G2405" s="5" t="s">
        <v>4</v>
      </c>
      <c r="H2405" s="5" t="s">
        <v>5</v>
      </c>
      <c r="I2405" s="6">
        <v>45636</v>
      </c>
    </row>
    <row r="2406" spans="1:9" ht="13.5">
      <c r="A2406" s="2" t="s">
        <v>2592</v>
      </c>
      <c r="B2406" s="3"/>
      <c r="C2406" s="328" t="s">
        <v>4361</v>
      </c>
      <c r="D2406" s="4" t="s">
        <v>2592</v>
      </c>
      <c r="E2406" s="32" t="s">
        <v>2779</v>
      </c>
      <c r="F2406" s="5" t="str">
        <f t="shared" si="37"/>
        <v>everynightstudios.com</v>
      </c>
      <c r="G2406" s="5" t="s">
        <v>4</v>
      </c>
      <c r="H2406" s="5" t="s">
        <v>5</v>
      </c>
      <c r="I2406" s="6">
        <v>45636</v>
      </c>
    </row>
    <row r="2407" spans="1:9" ht="13.5">
      <c r="A2407" s="2" t="s">
        <v>4055</v>
      </c>
      <c r="B2407" s="3"/>
      <c r="C2407" s="4" t="s">
        <v>4362</v>
      </c>
      <c r="D2407" s="4" t="s">
        <v>4057</v>
      </c>
      <c r="E2407" s="5" t="s">
        <v>4363</v>
      </c>
      <c r="F2407" s="5" t="str">
        <f t="shared" si="37"/>
        <v>skidvalla.se</v>
      </c>
      <c r="G2407" s="5" t="s">
        <v>4</v>
      </c>
      <c r="H2407" s="5" t="s">
        <v>5</v>
      </c>
      <c r="I2407" s="6">
        <v>45636</v>
      </c>
    </row>
    <row r="2408" spans="1:9" ht="13.5">
      <c r="A2408" s="2" t="s">
        <v>4055</v>
      </c>
      <c r="B2408" s="3"/>
      <c r="C2408" s="4" t="s">
        <v>4364</v>
      </c>
      <c r="D2408" s="4" t="s">
        <v>4057</v>
      </c>
      <c r="E2408" s="5" t="s">
        <v>4363</v>
      </c>
      <c r="F2408" s="5" t="str">
        <f t="shared" si="37"/>
        <v>skidvalla.se</v>
      </c>
      <c r="G2408" s="5" t="s">
        <v>4</v>
      </c>
      <c r="H2408" s="5" t="s">
        <v>5</v>
      </c>
      <c r="I2408" s="6">
        <v>45636</v>
      </c>
    </row>
    <row r="2409" spans="1:9" ht="13.5">
      <c r="A2409" s="2" t="s">
        <v>4051</v>
      </c>
      <c r="B2409" s="3"/>
      <c r="C2409" s="4" t="s">
        <v>4365</v>
      </c>
      <c r="D2409" s="8" t="s">
        <v>4051</v>
      </c>
      <c r="E2409" s="9" t="s">
        <v>4051</v>
      </c>
      <c r="F2409" s="5" t="str">
        <f t="shared" si="37"/>
        <v>hund.se</v>
      </c>
      <c r="G2409" s="5" t="s">
        <v>4</v>
      </c>
      <c r="H2409" s="5" t="s">
        <v>5</v>
      </c>
      <c r="I2409" s="6">
        <v>45636</v>
      </c>
    </row>
    <row r="2410" spans="1:9" ht="13.5">
      <c r="A2410" s="2" t="s">
        <v>4051</v>
      </c>
      <c r="B2410" s="3"/>
      <c r="C2410" s="4" t="s">
        <v>4366</v>
      </c>
      <c r="D2410" s="4" t="s">
        <v>4128</v>
      </c>
      <c r="E2410" s="5" t="s">
        <v>4129</v>
      </c>
      <c r="F2410" s="5" t="str">
        <f t="shared" si="37"/>
        <v>hund.se</v>
      </c>
      <c r="G2410" s="5" t="s">
        <v>4</v>
      </c>
      <c r="H2410" s="5" t="s">
        <v>5</v>
      </c>
      <c r="I2410" s="6">
        <v>45636</v>
      </c>
    </row>
    <row r="2411" spans="1:9" ht="13.5">
      <c r="A2411" s="2" t="s">
        <v>4135</v>
      </c>
      <c r="B2411" s="3"/>
      <c r="C2411" s="4" t="s">
        <v>4367</v>
      </c>
      <c r="D2411" s="4" t="s">
        <v>4368</v>
      </c>
      <c r="E2411" s="5" t="s">
        <v>4369</v>
      </c>
      <c r="F2411" s="5" t="str">
        <f t="shared" si="37"/>
        <v>aerius.se</v>
      </c>
      <c r="G2411" s="5" t="s">
        <v>4</v>
      </c>
      <c r="H2411" s="5" t="s">
        <v>5</v>
      </c>
      <c r="I2411" s="6">
        <v>45636</v>
      </c>
    </row>
    <row r="2412" spans="1:9" ht="13.5">
      <c r="A2412" s="2" t="s">
        <v>171</v>
      </c>
      <c r="B2412" s="3"/>
      <c r="C2412" s="4" t="s">
        <v>4370</v>
      </c>
      <c r="D2412" s="4" t="s">
        <v>1095</v>
      </c>
      <c r="E2412" s="5" t="s">
        <v>1533</v>
      </c>
      <c r="F2412" s="5" t="str">
        <f t="shared" si="37"/>
        <v>arctic.se</v>
      </c>
      <c r="G2412" s="5" t="s">
        <v>4</v>
      </c>
      <c r="H2412" s="5" t="s">
        <v>5</v>
      </c>
      <c r="I2412" s="6">
        <v>45636</v>
      </c>
    </row>
    <row r="2413" spans="1:9" ht="13.5">
      <c r="A2413" s="2" t="s">
        <v>171</v>
      </c>
      <c r="B2413" s="3"/>
      <c r="C2413" s="4" t="s">
        <v>4371</v>
      </c>
      <c r="D2413" s="4" t="s">
        <v>1095</v>
      </c>
      <c r="E2413" s="5" t="s">
        <v>2856</v>
      </c>
      <c r="F2413" s="5" t="str">
        <f t="shared" si="37"/>
        <v>arctic.se</v>
      </c>
      <c r="G2413" s="5" t="s">
        <v>4</v>
      </c>
      <c r="H2413" s="5" t="s">
        <v>5</v>
      </c>
      <c r="I2413" s="6">
        <v>45636</v>
      </c>
    </row>
    <row r="2414" spans="1:9" ht="13.5">
      <c r="A2414" s="2" t="s">
        <v>535</v>
      </c>
      <c r="B2414" s="3"/>
      <c r="C2414" s="4" t="s">
        <v>4372</v>
      </c>
      <c r="D2414" s="4" t="s">
        <v>2806</v>
      </c>
      <c r="E2414" s="5" t="s">
        <v>2807</v>
      </c>
      <c r="F2414" s="5" t="str">
        <f t="shared" si="37"/>
        <v>tryggbil.se</v>
      </c>
      <c r="G2414" s="5" t="s">
        <v>4</v>
      </c>
      <c r="H2414" s="5" t="s">
        <v>5</v>
      </c>
      <c r="I2414" s="6">
        <v>45636</v>
      </c>
    </row>
    <row r="2415" spans="1:9" ht="13.5">
      <c r="A2415" s="2" t="s">
        <v>4373</v>
      </c>
      <c r="B2415" s="3"/>
      <c r="C2415" s="4" t="s">
        <v>4374</v>
      </c>
      <c r="D2415" s="4" t="s">
        <v>4375</v>
      </c>
      <c r="E2415" s="5" t="s">
        <v>4376</v>
      </c>
      <c r="F2415" s="5" t="str">
        <f t="shared" si="37"/>
        <v>vardagsfrid.se</v>
      </c>
      <c r="G2415" s="5" t="s">
        <v>4</v>
      </c>
      <c r="H2415" s="5" t="s">
        <v>5</v>
      </c>
      <c r="I2415" s="6">
        <v>45636</v>
      </c>
    </row>
    <row r="2416" spans="1:9" ht="13.5">
      <c r="A2416" s="2" t="s">
        <v>2948</v>
      </c>
      <c r="B2416" s="3"/>
      <c r="C2416" s="4" t="s">
        <v>4377</v>
      </c>
      <c r="D2416" s="4" t="s">
        <v>2950</v>
      </c>
      <c r="E2416" s="5" t="s">
        <v>3357</v>
      </c>
      <c r="F2416" s="5" t="str">
        <f t="shared" si="37"/>
        <v>joureliten.se</v>
      </c>
      <c r="G2416" s="5" t="s">
        <v>4</v>
      </c>
      <c r="H2416" s="5" t="s">
        <v>5</v>
      </c>
      <c r="I2416" s="6">
        <v>45636</v>
      </c>
    </row>
    <row r="2417" spans="1:9" ht="13.5">
      <c r="A2417" s="7" t="s">
        <v>2948</v>
      </c>
      <c r="B2417" s="3"/>
      <c r="C2417" s="4" t="s">
        <v>4378</v>
      </c>
      <c r="D2417" s="4" t="s">
        <v>2950</v>
      </c>
      <c r="E2417" s="5" t="s">
        <v>3357</v>
      </c>
      <c r="F2417" s="5" t="str">
        <f t="shared" si="37"/>
        <v>joureliten.se</v>
      </c>
      <c r="G2417" s="5" t="s">
        <v>4</v>
      </c>
      <c r="H2417" s="5" t="s">
        <v>5</v>
      </c>
      <c r="I2417" s="6">
        <v>45636</v>
      </c>
    </row>
    <row r="2418" spans="1:9" ht="13.5">
      <c r="A2418" s="2" t="s">
        <v>2549</v>
      </c>
      <c r="B2418" s="3"/>
      <c r="C2418" s="4" t="s">
        <v>4379</v>
      </c>
      <c r="D2418" s="4" t="s">
        <v>4380</v>
      </c>
      <c r="E2418" s="5" t="s">
        <v>4381</v>
      </c>
      <c r="F2418" s="5" t="str">
        <f t="shared" si="37"/>
        <v>purakliniken.se</v>
      </c>
      <c r="G2418" s="5" t="s">
        <v>4</v>
      </c>
      <c r="H2418" s="5" t="s">
        <v>5</v>
      </c>
      <c r="I2418" s="6">
        <v>45636</v>
      </c>
    </row>
    <row r="2419" spans="1:9" ht="13.5">
      <c r="A2419" s="2" t="s">
        <v>3743</v>
      </c>
      <c r="B2419" s="3"/>
      <c r="C2419" s="4" t="s">
        <v>4382</v>
      </c>
      <c r="D2419" s="4" t="s">
        <v>4383</v>
      </c>
      <c r="E2419" s="5" t="s">
        <v>4384</v>
      </c>
      <c r="F2419" s="5" t="str">
        <f t="shared" si="37"/>
        <v>acnespecialisten.se</v>
      </c>
      <c r="G2419" s="5" t="s">
        <v>4</v>
      </c>
      <c r="H2419" s="5" t="s">
        <v>5</v>
      </c>
      <c r="I2419" s="6">
        <v>45636</v>
      </c>
    </row>
    <row r="2420" spans="1:9" ht="13.5">
      <c r="A2420" s="2" t="s">
        <v>435</v>
      </c>
      <c r="B2420" s="3"/>
      <c r="C2420" s="4" t="s">
        <v>4385</v>
      </c>
      <c r="D2420" s="4" t="s">
        <v>3777</v>
      </c>
      <c r="E2420" s="5" t="s">
        <v>4386</v>
      </c>
      <c r="F2420" s="5" t="str">
        <f t="shared" si="37"/>
        <v>fairinvestments.se</v>
      </c>
      <c r="G2420" s="5" t="s">
        <v>4</v>
      </c>
      <c r="H2420" s="5" t="s">
        <v>5</v>
      </c>
      <c r="I2420" s="6">
        <v>45637</v>
      </c>
    </row>
    <row r="2421" spans="1:9" ht="13.5">
      <c r="A2421" s="2" t="s">
        <v>435</v>
      </c>
      <c r="B2421" s="3"/>
      <c r="C2421" s="4" t="s">
        <v>4387</v>
      </c>
      <c r="D2421" s="4" t="s">
        <v>4388</v>
      </c>
      <c r="E2421" s="5" t="s">
        <v>4389</v>
      </c>
      <c r="F2421" s="5" t="str">
        <f t="shared" si="37"/>
        <v>fairinvestments.se</v>
      </c>
      <c r="G2421" s="5" t="s">
        <v>4</v>
      </c>
      <c r="H2421" s="5" t="s">
        <v>5</v>
      </c>
      <c r="I2421" s="6">
        <v>45637</v>
      </c>
    </row>
    <row r="2422" spans="1:9" ht="13.5">
      <c r="A2422" s="2" t="s">
        <v>2636</v>
      </c>
      <c r="B2422" s="3"/>
      <c r="C2422" s="5" t="s">
        <v>4390</v>
      </c>
      <c r="D2422" s="5" t="s">
        <v>4391</v>
      </c>
      <c r="E2422" s="5" t="s">
        <v>4392</v>
      </c>
      <c r="F2422" s="5" t="str">
        <f t="shared" si="37"/>
        <v>kvarnx.com</v>
      </c>
      <c r="G2422" s="5" t="s">
        <v>4</v>
      </c>
      <c r="H2422" s="5" t="s">
        <v>5</v>
      </c>
      <c r="I2422" s="6">
        <v>45637</v>
      </c>
    </row>
    <row r="2423" spans="1:9" ht="13.5">
      <c r="A2423" s="7" t="s">
        <v>3419</v>
      </c>
      <c r="B2423" s="3"/>
      <c r="C2423" s="5" t="s">
        <v>4393</v>
      </c>
      <c r="D2423" s="5" t="s">
        <v>4394</v>
      </c>
      <c r="E2423" s="5" t="s">
        <v>4395</v>
      </c>
      <c r="F2423" s="5" t="str">
        <f t="shared" si="37"/>
        <v>zmarta</v>
      </c>
      <c r="G2423" s="5" t="s">
        <v>4</v>
      </c>
      <c r="H2423" s="5" t="s">
        <v>5</v>
      </c>
      <c r="I2423" s="6">
        <v>45637</v>
      </c>
    </row>
    <row r="2424" spans="1:9" ht="13.5">
      <c r="A2424" s="7" t="s">
        <v>3419</v>
      </c>
      <c r="B2424" s="3"/>
      <c r="C2424" s="5" t="s">
        <v>4396</v>
      </c>
      <c r="D2424" s="5" t="s">
        <v>4397</v>
      </c>
      <c r="E2424" s="5" t="s">
        <v>4398</v>
      </c>
      <c r="F2424" s="5" t="str">
        <f t="shared" si="37"/>
        <v>zmarta</v>
      </c>
      <c r="G2424" s="5" t="s">
        <v>4</v>
      </c>
      <c r="H2424" s="5" t="s">
        <v>5</v>
      </c>
      <c r="I2424" s="6">
        <v>45637</v>
      </c>
    </row>
    <row r="2425" spans="1:9" ht="13.5">
      <c r="A2425" s="7" t="s">
        <v>3419</v>
      </c>
      <c r="B2425" s="3"/>
      <c r="C2425" s="5" t="s">
        <v>4399</v>
      </c>
      <c r="D2425" s="5" t="s">
        <v>3407</v>
      </c>
      <c r="E2425" s="5" t="s">
        <v>4400</v>
      </c>
      <c r="F2425" s="5" t="str">
        <f t="shared" si="37"/>
        <v>zmarta</v>
      </c>
      <c r="G2425" s="5" t="s">
        <v>4</v>
      </c>
      <c r="H2425" s="5" t="s">
        <v>5</v>
      </c>
      <c r="I2425" s="6">
        <v>45637</v>
      </c>
    </row>
    <row r="2426" spans="1:9" ht="13.5">
      <c r="A2426" s="2" t="s">
        <v>3682</v>
      </c>
      <c r="B2426" s="3"/>
      <c r="C2426" s="5" t="s">
        <v>4401</v>
      </c>
      <c r="D2426" s="5" t="s">
        <v>3926</v>
      </c>
      <c r="E2426" s="5" t="s">
        <v>3682</v>
      </c>
      <c r="F2426" s="5" t="str">
        <f t="shared" si="37"/>
        <v>upplevelse.com</v>
      </c>
      <c r="G2426" s="5" t="s">
        <v>4</v>
      </c>
      <c r="H2426" s="5" t="s">
        <v>5</v>
      </c>
      <c r="I2426" s="6">
        <v>45638</v>
      </c>
    </row>
    <row r="2427" spans="1:9" ht="13.5">
      <c r="A2427" s="2" t="s">
        <v>535</v>
      </c>
      <c r="B2427" s="3"/>
      <c r="C2427" s="4" t="s">
        <v>4402</v>
      </c>
      <c r="D2427" s="4" t="s">
        <v>3327</v>
      </c>
      <c r="E2427" s="5" t="s">
        <v>4403</v>
      </c>
      <c r="F2427" s="5" t="str">
        <f t="shared" si="37"/>
        <v>tryggbil.se</v>
      </c>
      <c r="G2427" s="5" t="s">
        <v>4</v>
      </c>
      <c r="H2427" s="5" t="s">
        <v>5</v>
      </c>
      <c r="I2427" s="6">
        <v>45641</v>
      </c>
    </row>
    <row r="2428" spans="1:9" ht="13.5">
      <c r="A2428" s="2" t="s">
        <v>3761</v>
      </c>
      <c r="B2428" s="3"/>
      <c r="C2428" s="5" t="s">
        <v>4404</v>
      </c>
      <c r="D2428" s="5" t="s">
        <v>3908</v>
      </c>
      <c r="E2428" s="5" t="s">
        <v>4405</v>
      </c>
      <c r="F2428" s="5" t="str">
        <f t="shared" si="37"/>
        <v>hajper.com</v>
      </c>
      <c r="G2428" s="5" t="s">
        <v>4</v>
      </c>
      <c r="H2428" s="5" t="s">
        <v>5</v>
      </c>
      <c r="I2428" s="6">
        <v>45641</v>
      </c>
    </row>
    <row r="2429" spans="1:9" ht="13.5">
      <c r="A2429" s="2" t="s">
        <v>3682</v>
      </c>
      <c r="B2429" s="3"/>
      <c r="C2429" s="5" t="s">
        <v>4406</v>
      </c>
      <c r="D2429" s="5" t="s">
        <v>3926</v>
      </c>
      <c r="E2429" s="5" t="s">
        <v>4407</v>
      </c>
      <c r="F2429" s="5" t="str">
        <f t="shared" si="37"/>
        <v>upplevelse.com</v>
      </c>
      <c r="G2429" s="5" t="s">
        <v>4</v>
      </c>
      <c r="H2429" s="5" t="s">
        <v>5</v>
      </c>
      <c r="I2429" s="6">
        <v>45643</v>
      </c>
    </row>
    <row r="2430" spans="1:9" ht="13.5">
      <c r="A2430" s="2" t="s">
        <v>435</v>
      </c>
      <c r="B2430" s="3"/>
      <c r="C2430" s="4" t="s">
        <v>4408</v>
      </c>
      <c r="D2430" s="8" t="s">
        <v>435</v>
      </c>
      <c r="E2430" s="5" t="s">
        <v>2606</v>
      </c>
      <c r="F2430" s="5" t="str">
        <f t="shared" si="37"/>
        <v>fairinvestments.se</v>
      </c>
      <c r="G2430" s="5" t="s">
        <v>4</v>
      </c>
      <c r="H2430" s="5" t="s">
        <v>5</v>
      </c>
      <c r="I2430" s="6">
        <v>45644</v>
      </c>
    </row>
    <row r="2431" spans="1:9" ht="13.5">
      <c r="A2431" s="2" t="s">
        <v>4409</v>
      </c>
      <c r="B2431" s="3"/>
      <c r="C2431" s="4" t="s">
        <v>4410</v>
      </c>
      <c r="D2431" s="4" t="s">
        <v>4411</v>
      </c>
      <c r="E2431" s="5" t="s">
        <v>4412</v>
      </c>
      <c r="F2431" s="5" t="str">
        <f t="shared" si="37"/>
        <v>svenskafonster.se</v>
      </c>
      <c r="G2431" s="5" t="s">
        <v>4</v>
      </c>
      <c r="H2431" s="5" t="s">
        <v>5</v>
      </c>
      <c r="I2431" s="6">
        <v>45645</v>
      </c>
    </row>
    <row r="2432" spans="1:9" ht="13.5">
      <c r="A2432" s="2" t="s">
        <v>4135</v>
      </c>
      <c r="B2432" s="3"/>
      <c r="C2432" s="4" t="s">
        <v>4413</v>
      </c>
      <c r="D2432" s="4" t="s">
        <v>4137</v>
      </c>
      <c r="E2432" s="5" t="s">
        <v>4414</v>
      </c>
      <c r="F2432" s="5" t="str">
        <f t="shared" si="37"/>
        <v>aerius.se</v>
      </c>
      <c r="G2432" s="5" t="s">
        <v>4</v>
      </c>
      <c r="H2432" s="5" t="s">
        <v>5</v>
      </c>
      <c r="I2432" s="6">
        <v>45645</v>
      </c>
    </row>
    <row r="2433" spans="1:9" ht="13.5">
      <c r="A2433" s="2" t="s">
        <v>4197</v>
      </c>
      <c r="B2433" s="3"/>
      <c r="C2433" s="138" t="s">
        <v>4415</v>
      </c>
      <c r="D2433" s="4" t="s">
        <v>4199</v>
      </c>
      <c r="E2433" s="5" t="s">
        <v>4416</v>
      </c>
      <c r="F2433" s="5" t="str">
        <f t="shared" si="37"/>
        <v>tigerofsweden.com</v>
      </c>
      <c r="G2433" s="5" t="s">
        <v>4</v>
      </c>
      <c r="H2433" s="5" t="s">
        <v>5</v>
      </c>
      <c r="I2433" s="6">
        <v>45645</v>
      </c>
    </row>
    <row r="2434" spans="1:9" ht="13.5">
      <c r="A2434" s="2" t="s">
        <v>3986</v>
      </c>
      <c r="B2434" s="3"/>
      <c r="C2434" s="138" t="s">
        <v>4417</v>
      </c>
      <c r="D2434" s="4" t="s">
        <v>3988</v>
      </c>
      <c r="E2434" s="5" t="s">
        <v>4418</v>
      </c>
      <c r="F2434" s="5" t="str">
        <f t="shared" si="37"/>
        <v>dinkorskola.se</v>
      </c>
      <c r="G2434" s="5" t="s">
        <v>4</v>
      </c>
      <c r="H2434" s="5" t="s">
        <v>5</v>
      </c>
      <c r="I2434" s="6">
        <v>45645</v>
      </c>
    </row>
    <row r="2435" spans="1:9" ht="13.5">
      <c r="A2435" s="2" t="s">
        <v>3141</v>
      </c>
      <c r="B2435" s="3"/>
      <c r="C2435" s="138" t="s">
        <v>4419</v>
      </c>
      <c r="D2435" s="4" t="s">
        <v>3160</v>
      </c>
      <c r="E2435" s="5" t="s">
        <v>1477</v>
      </c>
      <c r="F2435" s="5" t="str">
        <f t="shared" ref="F2435:F2498" si="38">A2435</f>
        <v>snuset.se</v>
      </c>
      <c r="G2435" s="5" t="s">
        <v>4</v>
      </c>
      <c r="H2435" s="5" t="s">
        <v>5</v>
      </c>
      <c r="I2435" s="6">
        <v>45645</v>
      </c>
    </row>
    <row r="2436" spans="1:9" ht="13.5">
      <c r="A2436" s="2" t="s">
        <v>2549</v>
      </c>
      <c r="B2436" s="3"/>
      <c r="C2436" s="138" t="s">
        <v>4420</v>
      </c>
      <c r="D2436" s="4" t="s">
        <v>4181</v>
      </c>
      <c r="E2436" s="5" t="s">
        <v>4421</v>
      </c>
      <c r="F2436" s="5" t="str">
        <f t="shared" si="38"/>
        <v>purakliniken.se</v>
      </c>
      <c r="G2436" s="5" t="s">
        <v>4</v>
      </c>
      <c r="H2436" s="5" t="s">
        <v>5</v>
      </c>
      <c r="I2436" s="6">
        <v>45645</v>
      </c>
    </row>
    <row r="2437" spans="1:9" ht="13.5">
      <c r="A2437" s="7" t="s">
        <v>3791</v>
      </c>
      <c r="B2437" s="3"/>
      <c r="C2437" s="138" t="s">
        <v>4422</v>
      </c>
      <c r="D2437" s="4" t="s">
        <v>4187</v>
      </c>
      <c r="E2437" s="5" t="s">
        <v>3983</v>
      </c>
      <c r="F2437" s="5" t="str">
        <f t="shared" si="38"/>
        <v>coface</v>
      </c>
      <c r="G2437" s="5" t="s">
        <v>4</v>
      </c>
      <c r="H2437" s="5" t="s">
        <v>5</v>
      </c>
      <c r="I2437" s="6">
        <v>45645</v>
      </c>
    </row>
    <row r="2438" spans="1:9" ht="13.5">
      <c r="A2438" s="2" t="s">
        <v>3173</v>
      </c>
      <c r="B2438" s="3"/>
      <c r="C2438" s="138" t="s">
        <v>4423</v>
      </c>
      <c r="D2438" s="4" t="s">
        <v>3458</v>
      </c>
      <c r="E2438" s="5" t="s">
        <v>3991</v>
      </c>
      <c r="F2438" s="5" t="str">
        <f t="shared" si="38"/>
        <v>ekstromgaray.se</v>
      </c>
      <c r="G2438" s="5" t="s">
        <v>4</v>
      </c>
      <c r="H2438" s="5" t="s">
        <v>5</v>
      </c>
      <c r="I2438" s="6">
        <v>45645</v>
      </c>
    </row>
    <row r="2439" spans="1:9" ht="13.5">
      <c r="A2439" s="2" t="s">
        <v>2592</v>
      </c>
      <c r="B2439" s="3"/>
      <c r="C2439" s="138" t="s">
        <v>4424</v>
      </c>
      <c r="D2439" s="4" t="s">
        <v>2594</v>
      </c>
      <c r="E2439" s="5" t="s">
        <v>3636</v>
      </c>
      <c r="F2439" s="5" t="str">
        <f t="shared" si="38"/>
        <v>everynightstudios.com</v>
      </c>
      <c r="G2439" s="5" t="s">
        <v>4</v>
      </c>
      <c r="H2439" s="5" t="s">
        <v>5</v>
      </c>
      <c r="I2439" s="6">
        <v>45645</v>
      </c>
    </row>
    <row r="2440" spans="1:9" ht="13.5">
      <c r="A2440" s="2" t="s">
        <v>4051</v>
      </c>
      <c r="B2440" s="3"/>
      <c r="C2440" s="138" t="s">
        <v>4425</v>
      </c>
      <c r="D2440" s="4" t="s">
        <v>4314</v>
      </c>
      <c r="E2440" s="5" t="s">
        <v>4315</v>
      </c>
      <c r="F2440" s="5" t="str">
        <f t="shared" si="38"/>
        <v>hund.se</v>
      </c>
      <c r="G2440" s="5" t="s">
        <v>4</v>
      </c>
      <c r="H2440" s="5" t="s">
        <v>5</v>
      </c>
      <c r="I2440" s="6">
        <v>45645</v>
      </c>
    </row>
    <row r="2441" spans="1:9" ht="13.5">
      <c r="A2441" s="2" t="s">
        <v>4409</v>
      </c>
      <c r="B2441" s="3"/>
      <c r="C2441" s="138" t="s">
        <v>4426</v>
      </c>
      <c r="D2441" s="4" t="s">
        <v>4427</v>
      </c>
      <c r="E2441" s="5" t="s">
        <v>4428</v>
      </c>
      <c r="F2441" s="5" t="str">
        <f t="shared" si="38"/>
        <v>svenskafonster.se</v>
      </c>
      <c r="G2441" s="5" t="s">
        <v>4</v>
      </c>
      <c r="H2441" s="5" t="s">
        <v>5</v>
      </c>
      <c r="I2441" s="6">
        <v>45645</v>
      </c>
    </row>
    <row r="2442" spans="1:9" ht="13.5">
      <c r="A2442" s="2" t="s">
        <v>1318</v>
      </c>
      <c r="B2442" s="3"/>
      <c r="C2442" s="138" t="s">
        <v>4429</v>
      </c>
      <c r="D2442" s="138" t="s">
        <v>3433</v>
      </c>
      <c r="E2442" s="5" t="s">
        <v>4430</v>
      </c>
      <c r="F2442" s="5" t="str">
        <f t="shared" si="38"/>
        <v>spelklubben.se</v>
      </c>
      <c r="G2442" s="5" t="s">
        <v>4</v>
      </c>
      <c r="H2442" s="5" t="s">
        <v>5</v>
      </c>
      <c r="I2442" s="6">
        <v>45645</v>
      </c>
    </row>
    <row r="2443" spans="1:9" ht="13.5">
      <c r="A2443" s="2" t="s">
        <v>1318</v>
      </c>
      <c r="B2443" s="3"/>
      <c r="C2443" s="4" t="s">
        <v>4431</v>
      </c>
      <c r="D2443" s="4" t="s">
        <v>1320</v>
      </c>
      <c r="E2443" s="22" t="s">
        <v>1318</v>
      </c>
      <c r="F2443" s="5" t="str">
        <f t="shared" si="38"/>
        <v>spelklubben.se</v>
      </c>
      <c r="G2443" s="5" t="s">
        <v>4</v>
      </c>
      <c r="H2443" s="5" t="s">
        <v>5</v>
      </c>
      <c r="I2443" s="6">
        <v>45645</v>
      </c>
    </row>
    <row r="2444" spans="1:9" ht="13.5">
      <c r="A2444" s="2" t="s">
        <v>1318</v>
      </c>
      <c r="B2444" s="3"/>
      <c r="C2444" s="4" t="s">
        <v>4432</v>
      </c>
      <c r="D2444" s="4" t="s">
        <v>2644</v>
      </c>
      <c r="E2444" s="5" t="s">
        <v>3125</v>
      </c>
      <c r="F2444" s="5" t="str">
        <f t="shared" si="38"/>
        <v>spelklubben.se</v>
      </c>
      <c r="G2444" s="5" t="s">
        <v>4</v>
      </c>
      <c r="H2444" s="5" t="s">
        <v>5</v>
      </c>
      <c r="I2444" s="6">
        <v>45645</v>
      </c>
    </row>
    <row r="2445" spans="1:9" ht="13.5">
      <c r="A2445" s="2" t="s">
        <v>4433</v>
      </c>
      <c r="B2445" s="3"/>
      <c r="C2445" s="4" t="s">
        <v>4434</v>
      </c>
      <c r="D2445" s="4" t="s">
        <v>4435</v>
      </c>
      <c r="E2445" s="5" t="s">
        <v>4436</v>
      </c>
      <c r="F2445" s="5" t="str">
        <f t="shared" si="38"/>
        <v>svenskiptv.com</v>
      </c>
      <c r="G2445" s="5" t="s">
        <v>4</v>
      </c>
      <c r="H2445" s="5" t="s">
        <v>5</v>
      </c>
      <c r="I2445" s="6">
        <v>45645</v>
      </c>
    </row>
    <row r="2446" spans="1:9" ht="15.4">
      <c r="A2446" s="2" t="s">
        <v>3128</v>
      </c>
      <c r="B2446" s="3"/>
      <c r="C2446" s="329" t="s">
        <v>4437</v>
      </c>
      <c r="D2446" s="4" t="s">
        <v>3130</v>
      </c>
      <c r="E2446" s="5" t="s">
        <v>4438</v>
      </c>
      <c r="F2446" s="5" t="str">
        <f t="shared" si="38"/>
        <v>bethard.com</v>
      </c>
      <c r="G2446" s="5" t="s">
        <v>4</v>
      </c>
      <c r="H2446" s="5" t="s">
        <v>5</v>
      </c>
      <c r="I2446" s="6">
        <v>45645</v>
      </c>
    </row>
    <row r="2447" spans="1:9" ht="13.5">
      <c r="A2447" s="2" t="s">
        <v>3128</v>
      </c>
      <c r="B2447" s="3"/>
      <c r="C2447" s="138" t="s">
        <v>4439</v>
      </c>
      <c r="D2447" s="4" t="s">
        <v>3393</v>
      </c>
      <c r="E2447" s="72" t="s">
        <v>4440</v>
      </c>
      <c r="F2447" s="5" t="str">
        <f t="shared" si="38"/>
        <v>bethard.com</v>
      </c>
      <c r="G2447" s="5" t="s">
        <v>4</v>
      </c>
      <c r="H2447" s="5" t="s">
        <v>5</v>
      </c>
      <c r="I2447" s="6">
        <v>45645</v>
      </c>
    </row>
    <row r="2448" spans="1:9" ht="13.5">
      <c r="A2448" s="2" t="s">
        <v>2636</v>
      </c>
      <c r="B2448" s="3"/>
      <c r="C2448" s="5" t="s">
        <v>4441</v>
      </c>
      <c r="D2448" s="5" t="s">
        <v>2702</v>
      </c>
      <c r="E2448" s="5" t="s">
        <v>4442</v>
      </c>
      <c r="F2448" s="5" t="str">
        <f t="shared" si="38"/>
        <v>kvarnx.com</v>
      </c>
      <c r="G2448" s="5" t="s">
        <v>4</v>
      </c>
      <c r="H2448" s="5" t="s">
        <v>5</v>
      </c>
      <c r="I2448" s="6">
        <v>45645</v>
      </c>
    </row>
    <row r="2449" spans="1:9" ht="13.5">
      <c r="A2449" s="2" t="s">
        <v>3682</v>
      </c>
      <c r="B2449" s="3"/>
      <c r="C2449" s="5" t="s">
        <v>4443</v>
      </c>
      <c r="D2449" s="5" t="s">
        <v>3926</v>
      </c>
      <c r="E2449" s="5" t="s">
        <v>3685</v>
      </c>
      <c r="F2449" s="5" t="str">
        <f t="shared" si="38"/>
        <v>upplevelse.com</v>
      </c>
      <c r="G2449" s="5" t="s">
        <v>4</v>
      </c>
      <c r="H2449" s="5" t="s">
        <v>5</v>
      </c>
      <c r="I2449" s="6">
        <v>45645</v>
      </c>
    </row>
    <row r="2450" spans="1:9" ht="13.5">
      <c r="A2450" s="2" t="s">
        <v>3761</v>
      </c>
      <c r="B2450" s="3"/>
      <c r="C2450" s="5" t="s">
        <v>4444</v>
      </c>
      <c r="D2450" s="5" t="s">
        <v>3908</v>
      </c>
      <c r="E2450" s="5" t="s">
        <v>3920</v>
      </c>
      <c r="F2450" s="5" t="str">
        <f t="shared" si="38"/>
        <v>hajper.com</v>
      </c>
      <c r="G2450" s="5" t="s">
        <v>4</v>
      </c>
      <c r="H2450" s="5" t="s">
        <v>5</v>
      </c>
      <c r="I2450" s="6">
        <v>45645</v>
      </c>
    </row>
    <row r="2451" spans="1:9" ht="13.5">
      <c r="A2451" s="7" t="s">
        <v>3921</v>
      </c>
      <c r="B2451" s="3"/>
      <c r="C2451" s="5" t="s">
        <v>4445</v>
      </c>
      <c r="D2451" s="5" t="s">
        <v>3923</v>
      </c>
      <c r="E2451" s="5" t="s">
        <v>4446</v>
      </c>
      <c r="F2451" s="5" t="str">
        <f t="shared" si="38"/>
        <v>svenskalasjouren.se</v>
      </c>
      <c r="G2451" s="5" t="s">
        <v>4</v>
      </c>
      <c r="H2451" s="5" t="s">
        <v>5</v>
      </c>
      <c r="I2451" s="6">
        <v>45645</v>
      </c>
    </row>
    <row r="2452" spans="1:9" ht="13.5">
      <c r="A2452" s="7" t="s">
        <v>4164</v>
      </c>
      <c r="B2452" s="3"/>
      <c r="C2452" s="5" t="s">
        <v>4447</v>
      </c>
      <c r="D2452" s="5" t="s">
        <v>4448</v>
      </c>
      <c r="E2452" s="5" t="s">
        <v>4449</v>
      </c>
      <c r="F2452" s="5" t="str">
        <f t="shared" si="38"/>
        <v>casinogringos.se</v>
      </c>
      <c r="G2452" s="5" t="s">
        <v>4</v>
      </c>
      <c r="H2452" s="5" t="s">
        <v>5</v>
      </c>
      <c r="I2452" s="6">
        <v>45645</v>
      </c>
    </row>
    <row r="2453" spans="1:9" ht="13.5">
      <c r="A2453" s="7" t="s">
        <v>4139</v>
      </c>
      <c r="B2453" s="3"/>
      <c r="C2453" s="5" t="s">
        <v>4450</v>
      </c>
      <c r="D2453" s="5" t="s">
        <v>4141</v>
      </c>
      <c r="E2453" s="5" t="s">
        <v>4451</v>
      </c>
      <c r="F2453" s="5" t="str">
        <f t="shared" si="38"/>
        <v>nätcasinoguide.se</v>
      </c>
      <c r="G2453" s="5" t="s">
        <v>4</v>
      </c>
      <c r="H2453" s="5" t="s">
        <v>5</v>
      </c>
      <c r="I2453" s="6">
        <v>45645</v>
      </c>
    </row>
    <row r="2454" spans="1:9" ht="13.5">
      <c r="A2454" s="7" t="s">
        <v>4139</v>
      </c>
      <c r="B2454" s="3"/>
      <c r="C2454" s="5" t="s">
        <v>4452</v>
      </c>
      <c r="D2454" s="5" t="s">
        <v>4141</v>
      </c>
      <c r="E2454" s="5" t="s">
        <v>4453</v>
      </c>
      <c r="F2454" s="5" t="str">
        <f t="shared" si="38"/>
        <v>nätcasinoguide.se</v>
      </c>
      <c r="G2454" s="5" t="s">
        <v>4</v>
      </c>
      <c r="H2454" s="5" t="s">
        <v>5</v>
      </c>
      <c r="I2454" s="6">
        <v>45645</v>
      </c>
    </row>
    <row r="2455" spans="1:9" ht="13.5">
      <c r="A2455" s="7" t="s">
        <v>4139</v>
      </c>
      <c r="B2455" s="3"/>
      <c r="C2455" s="5" t="s">
        <v>4454</v>
      </c>
      <c r="D2455" s="5" t="s">
        <v>4141</v>
      </c>
      <c r="E2455" s="5" t="s">
        <v>4455</v>
      </c>
      <c r="F2455" s="5" t="str">
        <f t="shared" si="38"/>
        <v>nätcasinoguide.se</v>
      </c>
      <c r="G2455" s="5" t="s">
        <v>4</v>
      </c>
      <c r="H2455" s="5" t="s">
        <v>5</v>
      </c>
      <c r="I2455" s="6">
        <v>45645</v>
      </c>
    </row>
    <row r="2456" spans="1:9" ht="13.5">
      <c r="A2456" s="2" t="s">
        <v>3817</v>
      </c>
      <c r="B2456" s="3"/>
      <c r="C2456" s="138" t="s">
        <v>4456</v>
      </c>
      <c r="D2456" s="4" t="s">
        <v>3911</v>
      </c>
      <c r="E2456" s="5" t="s">
        <v>4457</v>
      </c>
      <c r="F2456" s="5" t="str">
        <f t="shared" si="38"/>
        <v>kanalgratis.se</v>
      </c>
      <c r="G2456" s="5" t="s">
        <v>4</v>
      </c>
      <c r="H2456" s="5" t="s">
        <v>5</v>
      </c>
      <c r="I2456" s="6">
        <v>45646</v>
      </c>
    </row>
    <row r="2457" spans="1:9" ht="13.5">
      <c r="A2457" s="2" t="s">
        <v>4458</v>
      </c>
      <c r="B2457" s="3"/>
      <c r="C2457" s="138" t="s">
        <v>4459</v>
      </c>
      <c r="D2457" s="4" t="s">
        <v>4460</v>
      </c>
      <c r="E2457" s="5" t="s">
        <v>2234</v>
      </c>
      <c r="F2457" s="5" t="str">
        <f t="shared" si="38"/>
        <v>cdbilvardsprodukter.se</v>
      </c>
      <c r="G2457" s="5" t="s">
        <v>4</v>
      </c>
      <c r="H2457" s="5" t="s">
        <v>5</v>
      </c>
      <c r="I2457" s="6">
        <v>45646</v>
      </c>
    </row>
    <row r="2458" spans="1:9" ht="13.5">
      <c r="A2458" s="2" t="s">
        <v>2127</v>
      </c>
      <c r="B2458" s="3"/>
      <c r="C2458" s="138" t="s">
        <v>4461</v>
      </c>
      <c r="D2458" s="4" t="s">
        <v>4462</v>
      </c>
      <c r="E2458" s="5" t="s">
        <v>4153</v>
      </c>
      <c r="F2458" s="5" t="str">
        <f t="shared" si="38"/>
        <v>startmotor.se</v>
      </c>
      <c r="G2458" s="5" t="s">
        <v>4</v>
      </c>
      <c r="H2458" s="5" t="s">
        <v>5</v>
      </c>
      <c r="I2458" s="6">
        <v>45646</v>
      </c>
    </row>
    <row r="2459" spans="1:9" ht="13.5">
      <c r="A2459" s="2" t="s">
        <v>4373</v>
      </c>
      <c r="B2459" s="3"/>
      <c r="C2459" s="138" t="s">
        <v>4463</v>
      </c>
      <c r="D2459" s="4" t="s">
        <v>4373</v>
      </c>
      <c r="E2459" s="5" t="s">
        <v>4464</v>
      </c>
      <c r="F2459" s="5" t="str">
        <f t="shared" si="38"/>
        <v>vardagsfrid.se</v>
      </c>
      <c r="G2459" s="5" t="s">
        <v>4</v>
      </c>
      <c r="H2459" s="5" t="s">
        <v>5</v>
      </c>
      <c r="I2459" s="6">
        <v>45646</v>
      </c>
    </row>
    <row r="2460" spans="1:9" ht="13.5">
      <c r="A2460" s="2" t="s">
        <v>4373</v>
      </c>
      <c r="B2460" s="3"/>
      <c r="C2460" s="138" t="s">
        <v>4465</v>
      </c>
      <c r="D2460" s="4" t="s">
        <v>4466</v>
      </c>
      <c r="E2460" s="5" t="s">
        <v>4467</v>
      </c>
      <c r="F2460" s="5" t="str">
        <f t="shared" si="38"/>
        <v>vardagsfrid.se</v>
      </c>
      <c r="G2460" s="5" t="s">
        <v>4</v>
      </c>
      <c r="H2460" s="5" t="s">
        <v>5</v>
      </c>
      <c r="I2460" s="6">
        <v>45646</v>
      </c>
    </row>
    <row r="2461" spans="1:9" ht="13.5">
      <c r="A2461" s="2" t="s">
        <v>1318</v>
      </c>
      <c r="B2461" s="3"/>
      <c r="C2461" s="138" t="s">
        <v>4468</v>
      </c>
      <c r="D2461" s="4" t="s">
        <v>2644</v>
      </c>
      <c r="E2461" s="5" t="s">
        <v>3861</v>
      </c>
      <c r="F2461" s="5" t="str">
        <f t="shared" si="38"/>
        <v>spelklubben.se</v>
      </c>
      <c r="G2461" s="5" t="s">
        <v>4</v>
      </c>
      <c r="H2461" s="5" t="s">
        <v>5</v>
      </c>
      <c r="I2461" s="6">
        <v>45646</v>
      </c>
    </row>
    <row r="2462" spans="1:9" ht="13.5">
      <c r="A2462" s="2" t="s">
        <v>4433</v>
      </c>
      <c r="B2462" s="3"/>
      <c r="C2462" s="4" t="s">
        <v>4469</v>
      </c>
      <c r="D2462" s="4" t="s">
        <v>4435</v>
      </c>
      <c r="E2462" s="5" t="s">
        <v>4470</v>
      </c>
      <c r="F2462" s="5" t="str">
        <f t="shared" si="38"/>
        <v>svenskiptv.com</v>
      </c>
      <c r="G2462" s="5" t="s">
        <v>4</v>
      </c>
      <c r="H2462" s="5" t="s">
        <v>5</v>
      </c>
      <c r="I2462" s="6">
        <v>45646</v>
      </c>
    </row>
    <row r="2463" spans="1:9" ht="13.5">
      <c r="A2463" s="2" t="s">
        <v>3682</v>
      </c>
      <c r="B2463" s="3"/>
      <c r="C2463" s="5" t="s">
        <v>4471</v>
      </c>
      <c r="D2463" s="5" t="s">
        <v>3684</v>
      </c>
      <c r="E2463" s="5" t="s">
        <v>3685</v>
      </c>
      <c r="F2463" s="5" t="str">
        <f t="shared" si="38"/>
        <v>upplevelse.com</v>
      </c>
      <c r="G2463" s="5" t="s">
        <v>4</v>
      </c>
      <c r="H2463" s="5" t="s">
        <v>5</v>
      </c>
      <c r="I2463" s="6">
        <v>45646</v>
      </c>
    </row>
    <row r="2464" spans="1:9" ht="13.5">
      <c r="A2464" s="2" t="s">
        <v>3761</v>
      </c>
      <c r="B2464" s="3"/>
      <c r="C2464" s="5" t="s">
        <v>4472</v>
      </c>
      <c r="D2464" s="5" t="s">
        <v>4288</v>
      </c>
      <c r="E2464" s="5" t="s">
        <v>3920</v>
      </c>
      <c r="F2464" s="5" t="str">
        <f t="shared" si="38"/>
        <v>hajper.com</v>
      </c>
      <c r="G2464" s="5" t="s">
        <v>4</v>
      </c>
      <c r="H2464" s="5" t="s">
        <v>5</v>
      </c>
      <c r="I2464" s="6">
        <v>45646</v>
      </c>
    </row>
    <row r="2465" spans="1:9" ht="13.5">
      <c r="A2465" s="2" t="s">
        <v>3761</v>
      </c>
      <c r="B2465" s="3"/>
      <c r="C2465" s="5" t="s">
        <v>4473</v>
      </c>
      <c r="D2465" s="5" t="s">
        <v>4474</v>
      </c>
      <c r="E2465" s="5" t="s">
        <v>4475</v>
      </c>
      <c r="F2465" s="5" t="str">
        <f t="shared" si="38"/>
        <v>hajper.com</v>
      </c>
      <c r="G2465" s="5" t="s">
        <v>4</v>
      </c>
      <c r="H2465" s="5" t="s">
        <v>5</v>
      </c>
      <c r="I2465" s="6">
        <v>45646</v>
      </c>
    </row>
    <row r="2466" spans="1:9" ht="13.5">
      <c r="A2466" s="2" t="s">
        <v>3682</v>
      </c>
      <c r="B2466" s="3"/>
      <c r="C2466" s="5" t="s">
        <v>4476</v>
      </c>
      <c r="D2466" s="5" t="s">
        <v>3684</v>
      </c>
      <c r="E2466" s="5" t="s">
        <v>3685</v>
      </c>
      <c r="F2466" s="5" t="str">
        <f t="shared" si="38"/>
        <v>upplevelse.com</v>
      </c>
      <c r="G2466" s="5" t="s">
        <v>4</v>
      </c>
      <c r="H2466" s="5" t="s">
        <v>5</v>
      </c>
      <c r="I2466" s="6">
        <v>45647</v>
      </c>
    </row>
    <row r="2467" spans="1:9" ht="13.5">
      <c r="A2467" s="2" t="s">
        <v>3761</v>
      </c>
      <c r="B2467" s="3"/>
      <c r="C2467" s="5" t="s">
        <v>4477</v>
      </c>
      <c r="D2467" s="5" t="s">
        <v>3908</v>
      </c>
      <c r="E2467" s="5" t="s">
        <v>3920</v>
      </c>
      <c r="F2467" s="5" t="str">
        <f t="shared" si="38"/>
        <v>hajper.com</v>
      </c>
      <c r="G2467" s="5" t="s">
        <v>4</v>
      </c>
      <c r="H2467" s="5" t="s">
        <v>5</v>
      </c>
      <c r="I2467" s="6">
        <v>45647</v>
      </c>
    </row>
    <row r="2468" spans="1:9" ht="13.5">
      <c r="A2468" s="2" t="s">
        <v>1318</v>
      </c>
      <c r="B2468" s="3"/>
      <c r="C2468" s="138" t="s">
        <v>4478</v>
      </c>
      <c r="D2468" s="4" t="s">
        <v>2750</v>
      </c>
      <c r="E2468" s="5" t="s">
        <v>4479</v>
      </c>
      <c r="F2468" s="5" t="str">
        <f t="shared" si="38"/>
        <v>spelklubben.se</v>
      </c>
      <c r="G2468" s="5" t="s">
        <v>4</v>
      </c>
      <c r="H2468" s="5" t="s">
        <v>5</v>
      </c>
      <c r="I2468" s="6">
        <v>45648</v>
      </c>
    </row>
    <row r="2469" spans="1:9" ht="13.5">
      <c r="A2469" s="2" t="s">
        <v>4433</v>
      </c>
      <c r="B2469" s="3"/>
      <c r="C2469" s="4" t="s">
        <v>4480</v>
      </c>
      <c r="D2469" s="4" t="s">
        <v>4435</v>
      </c>
      <c r="E2469" s="5" t="s">
        <v>4481</v>
      </c>
      <c r="F2469" s="5" t="str">
        <f t="shared" si="38"/>
        <v>svenskiptv.com</v>
      </c>
      <c r="G2469" s="5" t="s">
        <v>4</v>
      </c>
      <c r="H2469" s="5" t="s">
        <v>5</v>
      </c>
      <c r="I2469" s="6">
        <v>45648</v>
      </c>
    </row>
    <row r="2470" spans="1:9" ht="13.5">
      <c r="A2470" s="2" t="s">
        <v>4482</v>
      </c>
      <c r="B2470" s="3"/>
      <c r="C2470" s="4" t="s">
        <v>4483</v>
      </c>
      <c r="D2470" s="4" t="s">
        <v>4484</v>
      </c>
      <c r="E2470" s="5" t="s">
        <v>4485</v>
      </c>
      <c r="F2470" s="5" t="str">
        <f t="shared" si="38"/>
        <v>godies.fi</v>
      </c>
      <c r="G2470" s="5" t="s">
        <v>4</v>
      </c>
      <c r="H2470" s="5" t="s">
        <v>1618</v>
      </c>
      <c r="I2470" s="6">
        <v>45648</v>
      </c>
    </row>
    <row r="2471" spans="1:9" ht="13.5">
      <c r="A2471" s="2" t="s">
        <v>4482</v>
      </c>
      <c r="B2471" s="3"/>
      <c r="C2471" s="4" t="s">
        <v>4486</v>
      </c>
      <c r="D2471" s="4" t="s">
        <v>4487</v>
      </c>
      <c r="E2471" s="5" t="s">
        <v>4488</v>
      </c>
      <c r="F2471" s="5" t="str">
        <f t="shared" si="38"/>
        <v>godies.fi</v>
      </c>
      <c r="G2471" s="5" t="s">
        <v>4</v>
      </c>
      <c r="H2471" s="5" t="s">
        <v>1618</v>
      </c>
      <c r="I2471" s="6">
        <v>45648</v>
      </c>
    </row>
    <row r="2472" spans="1:9" ht="13.5">
      <c r="A2472" s="2" t="s">
        <v>4489</v>
      </c>
      <c r="B2472" s="3"/>
      <c r="C2472" s="4" t="s">
        <v>4490</v>
      </c>
      <c r="D2472" s="4" t="s">
        <v>4491</v>
      </c>
      <c r="E2472" s="5" t="s">
        <v>4492</v>
      </c>
      <c r="F2472" s="5" t="str">
        <f t="shared" si="38"/>
        <v>nordicknots.com</v>
      </c>
      <c r="G2472" s="5" t="s">
        <v>4</v>
      </c>
      <c r="H2472" s="5" t="s">
        <v>345</v>
      </c>
      <c r="I2472" s="6">
        <v>45649</v>
      </c>
    </row>
    <row r="2473" spans="1:9" ht="13.5">
      <c r="A2473" s="2" t="s">
        <v>4489</v>
      </c>
      <c r="B2473" s="3"/>
      <c r="C2473" s="4" t="s">
        <v>4493</v>
      </c>
      <c r="D2473" s="4" t="s">
        <v>4494</v>
      </c>
      <c r="E2473" s="5" t="s">
        <v>4495</v>
      </c>
      <c r="F2473" s="5" t="str">
        <f t="shared" si="38"/>
        <v>nordicknots.com</v>
      </c>
      <c r="G2473" s="5" t="s">
        <v>4</v>
      </c>
      <c r="H2473" s="5" t="s">
        <v>345</v>
      </c>
      <c r="I2473" s="6">
        <v>45649</v>
      </c>
    </row>
    <row r="2474" spans="1:9" ht="13.5">
      <c r="A2474" s="2" t="s">
        <v>1318</v>
      </c>
      <c r="B2474" s="3"/>
      <c r="C2474" s="4" t="s">
        <v>4291</v>
      </c>
      <c r="D2474" s="4" t="s">
        <v>1870</v>
      </c>
      <c r="E2474" s="5" t="s">
        <v>4292</v>
      </c>
      <c r="F2474" s="5" t="str">
        <f t="shared" si="38"/>
        <v>spelklubben.se</v>
      </c>
      <c r="G2474" s="5" t="s">
        <v>4</v>
      </c>
      <c r="H2474" s="5" t="s">
        <v>5</v>
      </c>
      <c r="I2474" s="6">
        <v>45649</v>
      </c>
    </row>
    <row r="2475" spans="1:9" ht="13.5">
      <c r="A2475" s="2" t="s">
        <v>2836</v>
      </c>
      <c r="B2475" s="3"/>
      <c r="C2475" s="4" t="s">
        <v>4293</v>
      </c>
      <c r="D2475" s="4" t="s">
        <v>3656</v>
      </c>
      <c r="E2475" s="5" t="s">
        <v>4496</v>
      </c>
      <c r="F2475" s="5" t="str">
        <f t="shared" si="38"/>
        <v>cherry.com</v>
      </c>
      <c r="G2475" s="5" t="s">
        <v>4</v>
      </c>
      <c r="H2475" s="5" t="s">
        <v>5</v>
      </c>
      <c r="I2475" s="6">
        <v>45649</v>
      </c>
    </row>
    <row r="2476" spans="1:9" ht="13.5">
      <c r="A2476" s="7" t="s">
        <v>4164</v>
      </c>
      <c r="B2476" s="3"/>
      <c r="C2476" s="5" t="s">
        <v>4497</v>
      </c>
      <c r="D2476" s="5" t="s">
        <v>4178</v>
      </c>
      <c r="E2476" s="5" t="s">
        <v>4498</v>
      </c>
      <c r="F2476" s="5" t="str">
        <f t="shared" si="38"/>
        <v>casinogringos.se</v>
      </c>
      <c r="G2476" s="5" t="s">
        <v>4</v>
      </c>
      <c r="H2476" s="5" t="s">
        <v>5</v>
      </c>
      <c r="I2476" s="6">
        <v>45649</v>
      </c>
    </row>
    <row r="2477" spans="1:9" ht="13.5">
      <c r="A2477" s="7" t="s">
        <v>4164</v>
      </c>
      <c r="B2477" s="3"/>
      <c r="C2477" s="5" t="s">
        <v>4499</v>
      </c>
      <c r="D2477" s="5" t="s">
        <v>4166</v>
      </c>
      <c r="E2477" s="5" t="s">
        <v>4500</v>
      </c>
      <c r="F2477" s="5" t="str">
        <f t="shared" si="38"/>
        <v>casinogringos.se</v>
      </c>
      <c r="G2477" s="5" t="s">
        <v>4</v>
      </c>
      <c r="H2477" s="5" t="s">
        <v>5</v>
      </c>
      <c r="I2477" s="6">
        <v>45649</v>
      </c>
    </row>
    <row r="2478" spans="1:9" ht="13.5">
      <c r="A2478" s="2" t="s">
        <v>2836</v>
      </c>
      <c r="B2478" s="3"/>
      <c r="C2478" s="4" t="s">
        <v>4501</v>
      </c>
      <c r="D2478" s="4" t="s">
        <v>3006</v>
      </c>
      <c r="E2478" s="5" t="s">
        <v>3604</v>
      </c>
      <c r="F2478" s="5" t="str">
        <f t="shared" si="38"/>
        <v>cherry.com</v>
      </c>
      <c r="G2478" s="5" t="s">
        <v>4</v>
      </c>
      <c r="H2478" s="5" t="s">
        <v>5</v>
      </c>
      <c r="I2478" s="6">
        <v>45650</v>
      </c>
    </row>
    <row r="2479" spans="1:9" ht="13.5">
      <c r="A2479" s="7" t="s">
        <v>3419</v>
      </c>
      <c r="B2479" s="3"/>
      <c r="C2479" s="5" t="s">
        <v>4502</v>
      </c>
      <c r="D2479" s="5" t="s">
        <v>4503</v>
      </c>
      <c r="E2479" s="5" t="s">
        <v>4504</v>
      </c>
      <c r="F2479" s="5" t="str">
        <f t="shared" si="38"/>
        <v>zmarta</v>
      </c>
      <c r="G2479" s="5" t="s">
        <v>4</v>
      </c>
      <c r="H2479" s="5" t="s">
        <v>5</v>
      </c>
      <c r="I2479" s="6">
        <v>45651</v>
      </c>
    </row>
    <row r="2480" spans="1:9" ht="14.25">
      <c r="A2480" s="2" t="s">
        <v>1138</v>
      </c>
      <c r="B2480" s="3"/>
      <c r="C2480" s="71" t="s">
        <v>4505</v>
      </c>
      <c r="D2480" s="4" t="s">
        <v>1236</v>
      </c>
      <c r="E2480" s="94" t="s">
        <v>1237</v>
      </c>
      <c r="F2480" s="5" t="str">
        <f t="shared" si="38"/>
        <v>hemplybalance.com</v>
      </c>
      <c r="G2480" s="5" t="s">
        <v>4</v>
      </c>
      <c r="H2480" s="5" t="s">
        <v>5</v>
      </c>
      <c r="I2480" s="6">
        <v>45652</v>
      </c>
    </row>
    <row r="2481" spans="1:9" ht="13.5">
      <c r="A2481" s="2" t="s">
        <v>3128</v>
      </c>
      <c r="B2481" s="3"/>
      <c r="C2481" s="4" t="s">
        <v>4506</v>
      </c>
      <c r="D2481" s="4" t="s">
        <v>3130</v>
      </c>
      <c r="E2481" s="5" t="s">
        <v>4507</v>
      </c>
      <c r="F2481" s="5" t="str">
        <f t="shared" si="38"/>
        <v>bethard.com</v>
      </c>
      <c r="G2481" s="5" t="s">
        <v>4</v>
      </c>
      <c r="H2481" s="5" t="s">
        <v>5</v>
      </c>
      <c r="I2481" s="6">
        <v>45652</v>
      </c>
    </row>
    <row r="2482" spans="1:9" ht="13.5">
      <c r="A2482" s="2" t="s">
        <v>3682</v>
      </c>
      <c r="B2482" s="3"/>
      <c r="C2482" s="5" t="s">
        <v>4508</v>
      </c>
      <c r="D2482" s="5" t="s">
        <v>4509</v>
      </c>
      <c r="E2482" s="5" t="s">
        <v>4510</v>
      </c>
      <c r="F2482" s="5" t="str">
        <f t="shared" si="38"/>
        <v>upplevelse.com</v>
      </c>
      <c r="G2482" s="5" t="s">
        <v>4</v>
      </c>
      <c r="H2482" s="5" t="s">
        <v>5</v>
      </c>
      <c r="I2482" s="6">
        <v>45652</v>
      </c>
    </row>
    <row r="2483" spans="1:9" ht="13.5">
      <c r="A2483" s="2" t="s">
        <v>3743</v>
      </c>
      <c r="B2483" s="3"/>
      <c r="C2483" s="278" t="s">
        <v>4511</v>
      </c>
      <c r="D2483" s="4" t="s">
        <v>4383</v>
      </c>
      <c r="E2483" s="5" t="s">
        <v>4384</v>
      </c>
      <c r="F2483" s="5" t="str">
        <f t="shared" si="38"/>
        <v>acnespecialisten.se</v>
      </c>
      <c r="G2483" s="5" t="s">
        <v>4</v>
      </c>
      <c r="H2483" s="5" t="s">
        <v>5</v>
      </c>
      <c r="I2483" s="6">
        <v>45653</v>
      </c>
    </row>
    <row r="2484" spans="1:9" ht="13.5">
      <c r="A2484" s="2" t="s">
        <v>3986</v>
      </c>
      <c r="B2484" s="3"/>
      <c r="C2484" s="138" t="s">
        <v>4512</v>
      </c>
      <c r="D2484" s="4" t="s">
        <v>4000</v>
      </c>
      <c r="E2484" s="5" t="s">
        <v>4513</v>
      </c>
      <c r="F2484" s="5" t="str">
        <f t="shared" si="38"/>
        <v>dinkorskola.se</v>
      </c>
      <c r="G2484" s="5" t="s">
        <v>4</v>
      </c>
      <c r="H2484" s="5" t="s">
        <v>5</v>
      </c>
      <c r="I2484" s="6">
        <v>45653</v>
      </c>
    </row>
    <row r="2485" spans="1:9" ht="13.5">
      <c r="A2485" s="2" t="s">
        <v>4041</v>
      </c>
      <c r="B2485" s="3"/>
      <c r="C2485" s="138" t="s">
        <v>4514</v>
      </c>
      <c r="D2485" s="4" t="s">
        <v>4043</v>
      </c>
      <c r="E2485" s="5" t="s">
        <v>4515</v>
      </c>
      <c r="F2485" s="5" t="str">
        <f t="shared" si="38"/>
        <v>cateringfabriken.se</v>
      </c>
      <c r="G2485" s="5" t="s">
        <v>4</v>
      </c>
      <c r="H2485" s="5" t="s">
        <v>5</v>
      </c>
      <c r="I2485" s="6">
        <v>45653</v>
      </c>
    </row>
    <row r="2486" spans="1:9" ht="13.5">
      <c r="A2486" s="2" t="s">
        <v>2592</v>
      </c>
      <c r="B2486" s="3"/>
      <c r="C2486" s="138" t="s">
        <v>4516</v>
      </c>
      <c r="D2486" s="4" t="s">
        <v>2594</v>
      </c>
      <c r="E2486" s="5" t="s">
        <v>4517</v>
      </c>
      <c r="F2486" s="5" t="str">
        <f t="shared" si="38"/>
        <v>everynightstudios.com</v>
      </c>
      <c r="G2486" s="5" t="s">
        <v>4</v>
      </c>
      <c r="H2486" s="5" t="s">
        <v>5</v>
      </c>
      <c r="I2486" s="6">
        <v>45653</v>
      </c>
    </row>
    <row r="2487" spans="1:9" ht="13.5">
      <c r="A2487" s="2" t="s">
        <v>2592</v>
      </c>
      <c r="B2487" s="3"/>
      <c r="C2487" s="138" t="s">
        <v>4518</v>
      </c>
      <c r="D2487" s="4" t="s">
        <v>3635</v>
      </c>
      <c r="E2487" s="5" t="s">
        <v>3212</v>
      </c>
      <c r="F2487" s="5" t="str">
        <f t="shared" si="38"/>
        <v>everynightstudios.com</v>
      </c>
      <c r="G2487" s="5" t="s">
        <v>4</v>
      </c>
      <c r="H2487" s="5" t="s">
        <v>5</v>
      </c>
      <c r="I2487" s="6">
        <v>45653</v>
      </c>
    </row>
    <row r="2488" spans="1:9" ht="13.5">
      <c r="A2488" s="2" t="s">
        <v>3832</v>
      </c>
      <c r="B2488" s="3"/>
      <c r="C2488" s="138" t="s">
        <v>4519</v>
      </c>
      <c r="D2488" s="4" t="s">
        <v>3834</v>
      </c>
      <c r="E2488" s="5" t="s">
        <v>4176</v>
      </c>
      <c r="F2488" s="5" t="str">
        <f t="shared" si="38"/>
        <v>michaelofrisorerna.se</v>
      </c>
      <c r="G2488" s="5" t="s">
        <v>4</v>
      </c>
      <c r="H2488" s="5" t="s">
        <v>5</v>
      </c>
      <c r="I2488" s="6">
        <v>45653</v>
      </c>
    </row>
    <row r="2489" spans="1:9" ht="13.5">
      <c r="A2489" s="2" t="s">
        <v>4051</v>
      </c>
      <c r="B2489" s="3"/>
      <c r="C2489" s="138" t="s">
        <v>4520</v>
      </c>
      <c r="D2489" s="4" t="s">
        <v>4128</v>
      </c>
      <c r="E2489" s="5" t="s">
        <v>4521</v>
      </c>
      <c r="F2489" s="5" t="str">
        <f t="shared" si="38"/>
        <v>hund.se</v>
      </c>
      <c r="G2489" s="5" t="s">
        <v>4</v>
      </c>
      <c r="H2489" s="5" t="s">
        <v>5</v>
      </c>
      <c r="I2489" s="6">
        <v>45653</v>
      </c>
    </row>
    <row r="2490" spans="1:9" ht="13.5">
      <c r="A2490" s="2" t="s">
        <v>2549</v>
      </c>
      <c r="B2490" s="3"/>
      <c r="C2490" s="138" t="s">
        <v>4522</v>
      </c>
      <c r="D2490" s="4" t="s">
        <v>3998</v>
      </c>
      <c r="E2490" s="5" t="s">
        <v>4523</v>
      </c>
      <c r="F2490" s="5" t="str">
        <f t="shared" si="38"/>
        <v>purakliniken.se</v>
      </c>
      <c r="G2490" s="5" t="s">
        <v>4</v>
      </c>
      <c r="H2490" s="5" t="s">
        <v>5</v>
      </c>
      <c r="I2490" s="6">
        <v>45653</v>
      </c>
    </row>
    <row r="2491" spans="1:9" ht="13.5">
      <c r="A2491" s="2" t="s">
        <v>846</v>
      </c>
      <c r="B2491" s="3"/>
      <c r="C2491" s="138" t="s">
        <v>4524</v>
      </c>
      <c r="D2491" s="4" t="s">
        <v>4525</v>
      </c>
      <c r="E2491" s="5" t="s">
        <v>4526</v>
      </c>
      <c r="F2491" s="5" t="str">
        <f t="shared" si="38"/>
        <v>tandea.se</v>
      </c>
      <c r="G2491" s="5" t="s">
        <v>4</v>
      </c>
      <c r="H2491" s="5" t="s">
        <v>5</v>
      </c>
      <c r="I2491" s="6">
        <v>45653</v>
      </c>
    </row>
    <row r="2492" spans="1:9" ht="13.5">
      <c r="A2492" s="2" t="s">
        <v>846</v>
      </c>
      <c r="B2492" s="3"/>
      <c r="C2492" s="138" t="s">
        <v>4527</v>
      </c>
      <c r="D2492" s="4" t="s">
        <v>1207</v>
      </c>
      <c r="E2492" s="5" t="s">
        <v>4528</v>
      </c>
      <c r="F2492" s="5" t="str">
        <f t="shared" si="38"/>
        <v>tandea.se</v>
      </c>
      <c r="G2492" s="5" t="s">
        <v>4</v>
      </c>
      <c r="H2492" s="5" t="s">
        <v>5</v>
      </c>
      <c r="I2492" s="6">
        <v>45653</v>
      </c>
    </row>
    <row r="2493" spans="1:9" ht="13.5">
      <c r="A2493" s="2" t="s">
        <v>4197</v>
      </c>
      <c r="B2493" s="3"/>
      <c r="C2493" s="138" t="s">
        <v>4529</v>
      </c>
      <c r="D2493" s="4" t="s">
        <v>4199</v>
      </c>
      <c r="E2493" s="5" t="s">
        <v>4530</v>
      </c>
      <c r="F2493" s="5" t="str">
        <f t="shared" si="38"/>
        <v>tigerofsweden.com</v>
      </c>
      <c r="G2493" s="5" t="s">
        <v>4</v>
      </c>
      <c r="H2493" s="5" t="s">
        <v>5</v>
      </c>
      <c r="I2493" s="6">
        <v>45653</v>
      </c>
    </row>
    <row r="2494" spans="1:9" ht="13.5">
      <c r="A2494" s="2" t="s">
        <v>4409</v>
      </c>
      <c r="B2494" s="3"/>
      <c r="C2494" s="138" t="s">
        <v>4531</v>
      </c>
      <c r="D2494" s="4" t="s">
        <v>4532</v>
      </c>
      <c r="E2494" s="5" t="s">
        <v>4533</v>
      </c>
      <c r="F2494" s="5" t="str">
        <f t="shared" si="38"/>
        <v>svenskafonster.se</v>
      </c>
      <c r="G2494" s="5" t="s">
        <v>4</v>
      </c>
      <c r="H2494" s="5" t="s">
        <v>5</v>
      </c>
      <c r="I2494" s="6">
        <v>45653</v>
      </c>
    </row>
    <row r="2495" spans="1:9" ht="13.5">
      <c r="A2495" s="2" t="s">
        <v>3817</v>
      </c>
      <c r="B2495" s="3"/>
      <c r="C2495" s="138" t="s">
        <v>4534</v>
      </c>
      <c r="D2495" s="4" t="s">
        <v>3877</v>
      </c>
      <c r="E2495" s="5" t="s">
        <v>4535</v>
      </c>
      <c r="F2495" s="5" t="str">
        <f t="shared" si="38"/>
        <v>kanalgratis.se</v>
      </c>
      <c r="G2495" s="5" t="s">
        <v>4</v>
      </c>
      <c r="H2495" s="5" t="s">
        <v>5</v>
      </c>
      <c r="I2495" s="6">
        <v>45653</v>
      </c>
    </row>
    <row r="2496" spans="1:9" ht="13.5">
      <c r="A2496" s="2" t="s">
        <v>3058</v>
      </c>
      <c r="B2496" s="3"/>
      <c r="C2496" s="138" t="s">
        <v>4536</v>
      </c>
      <c r="D2496" s="4" t="s">
        <v>4537</v>
      </c>
      <c r="E2496" s="5" t="s">
        <v>3209</v>
      </c>
      <c r="F2496" s="5" t="str">
        <f t="shared" si="38"/>
        <v>rusta.se</v>
      </c>
      <c r="G2496" s="5" t="s">
        <v>4</v>
      </c>
      <c r="H2496" s="5" t="s">
        <v>5</v>
      </c>
      <c r="I2496" s="6">
        <v>45653</v>
      </c>
    </row>
    <row r="2497" spans="1:9" ht="13.5">
      <c r="A2497" s="2" t="s">
        <v>3058</v>
      </c>
      <c r="B2497" s="3"/>
      <c r="C2497" s="138" t="s">
        <v>4538</v>
      </c>
      <c r="D2497" s="138" t="s">
        <v>4537</v>
      </c>
      <c r="E2497" s="5" t="s">
        <v>3209</v>
      </c>
      <c r="F2497" s="5" t="str">
        <f t="shared" si="38"/>
        <v>rusta.se</v>
      </c>
      <c r="G2497" s="5" t="s">
        <v>4</v>
      </c>
      <c r="H2497" s="5" t="s">
        <v>5</v>
      </c>
      <c r="I2497" s="6">
        <v>45653</v>
      </c>
    </row>
    <row r="2498" spans="1:9" ht="13.5">
      <c r="A2498" s="7" t="s">
        <v>3341</v>
      </c>
      <c r="B2498" s="3"/>
      <c r="C2498" s="138" t="s">
        <v>4539</v>
      </c>
      <c r="D2498" s="4" t="s">
        <v>3995</v>
      </c>
      <c r="E2498" s="5" t="s">
        <v>4540</v>
      </c>
      <c r="F2498" s="5" t="str">
        <f t="shared" si="38"/>
        <v>navx.store</v>
      </c>
      <c r="G2498" s="5" t="s">
        <v>4</v>
      </c>
      <c r="H2498" s="5" t="s">
        <v>5</v>
      </c>
      <c r="I2498" s="6">
        <v>45653</v>
      </c>
    </row>
    <row r="2499" spans="1:9" ht="13.5">
      <c r="A2499" s="7" t="s">
        <v>386</v>
      </c>
      <c r="B2499" s="3"/>
      <c r="C2499" s="138" t="s">
        <v>4541</v>
      </c>
      <c r="D2499" s="4" t="s">
        <v>452</v>
      </c>
      <c r="E2499" s="5" t="s">
        <v>4542</v>
      </c>
      <c r="F2499" s="5" t="str">
        <f t="shared" ref="F2499:F2562" si="39">A2499</f>
        <v>pontech</v>
      </c>
      <c r="G2499" s="5" t="s">
        <v>4</v>
      </c>
      <c r="H2499" s="5" t="s">
        <v>5</v>
      </c>
      <c r="I2499" s="6">
        <v>45653</v>
      </c>
    </row>
    <row r="2500" spans="1:9" ht="13.5">
      <c r="A2500" s="7" t="s">
        <v>386</v>
      </c>
      <c r="B2500" s="3"/>
      <c r="C2500" s="138" t="s">
        <v>4543</v>
      </c>
      <c r="D2500" s="4" t="s">
        <v>452</v>
      </c>
      <c r="E2500" s="5" t="s">
        <v>4542</v>
      </c>
      <c r="F2500" s="5" t="str">
        <f t="shared" si="39"/>
        <v>pontech</v>
      </c>
      <c r="G2500" s="5" t="s">
        <v>4</v>
      </c>
      <c r="H2500" s="5" t="s">
        <v>5</v>
      </c>
      <c r="I2500" s="6">
        <v>45653</v>
      </c>
    </row>
    <row r="2501" spans="1:9" ht="13.5">
      <c r="A2501" s="2" t="s">
        <v>2428</v>
      </c>
      <c r="B2501" s="3"/>
      <c r="C2501" s="138" t="s">
        <v>4544</v>
      </c>
      <c r="D2501" s="4" t="s">
        <v>3323</v>
      </c>
      <c r="E2501" s="5" t="s">
        <v>4545</v>
      </c>
      <c r="F2501" s="5" t="str">
        <f t="shared" si="39"/>
        <v>sakraror.se</v>
      </c>
      <c r="G2501" s="5" t="s">
        <v>4</v>
      </c>
      <c r="H2501" s="5" t="s">
        <v>5</v>
      </c>
      <c r="I2501" s="6">
        <v>45653</v>
      </c>
    </row>
    <row r="2502" spans="1:9" ht="13.5">
      <c r="A2502" s="7" t="s">
        <v>224</v>
      </c>
      <c r="B2502" s="3"/>
      <c r="C2502" s="138" t="s">
        <v>4546</v>
      </c>
      <c r="D2502" s="4" t="s">
        <v>4547</v>
      </c>
      <c r="E2502" s="5" t="s">
        <v>368</v>
      </c>
      <c r="F2502" s="5" t="str">
        <f t="shared" si="39"/>
        <v>swedoffice</v>
      </c>
      <c r="G2502" s="5" t="s">
        <v>4</v>
      </c>
      <c r="H2502" s="5" t="s">
        <v>5</v>
      </c>
      <c r="I2502" s="6">
        <v>45653</v>
      </c>
    </row>
    <row r="2503" spans="1:9" ht="13.5">
      <c r="A2503" s="2" t="s">
        <v>3824</v>
      </c>
      <c r="B2503" s="3"/>
      <c r="C2503" s="138" t="s">
        <v>4548</v>
      </c>
      <c r="D2503" s="4" t="s">
        <v>4549</v>
      </c>
      <c r="E2503" s="5" t="s">
        <v>4037</v>
      </c>
      <c r="F2503" s="5" t="str">
        <f t="shared" si="39"/>
        <v>swedenlongstay.se</v>
      </c>
      <c r="G2503" s="5" t="s">
        <v>4</v>
      </c>
      <c r="H2503" s="5" t="s">
        <v>5</v>
      </c>
      <c r="I2503" s="6">
        <v>45653</v>
      </c>
    </row>
    <row r="2504" spans="1:9" ht="13.5">
      <c r="A2504" s="2" t="s">
        <v>171</v>
      </c>
      <c r="B2504" s="3"/>
      <c r="C2504" s="138" t="s">
        <v>4550</v>
      </c>
      <c r="D2504" s="4" t="s">
        <v>4551</v>
      </c>
      <c r="E2504" s="5" t="s">
        <v>4552</v>
      </c>
      <c r="F2504" s="5" t="str">
        <f t="shared" si="39"/>
        <v>arctic.se</v>
      </c>
      <c r="G2504" s="5" t="s">
        <v>4</v>
      </c>
      <c r="H2504" s="5" t="s">
        <v>5</v>
      </c>
      <c r="I2504" s="6">
        <v>45653</v>
      </c>
    </row>
    <row r="2505" spans="1:9" ht="13.5">
      <c r="A2505" s="2" t="s">
        <v>4553</v>
      </c>
      <c r="B2505" s="3"/>
      <c r="C2505" s="4" t="s">
        <v>4554</v>
      </c>
      <c r="D2505" s="4" t="s">
        <v>4553</v>
      </c>
      <c r="E2505" s="5" t="s">
        <v>4555</v>
      </c>
      <c r="F2505" s="5" t="str">
        <f t="shared" si="39"/>
        <v>tkw.se</v>
      </c>
      <c r="G2505" s="5" t="s">
        <v>4</v>
      </c>
      <c r="H2505" s="5" t="s">
        <v>5</v>
      </c>
      <c r="I2505" s="6">
        <v>45653</v>
      </c>
    </row>
    <row r="2506" spans="1:9" ht="13.5">
      <c r="A2506" s="2" t="s">
        <v>4409</v>
      </c>
      <c r="B2506" s="3"/>
      <c r="C2506" s="4" t="s">
        <v>4556</v>
      </c>
      <c r="D2506" s="4" t="s">
        <v>4557</v>
      </c>
      <c r="E2506" s="5" t="s">
        <v>4412</v>
      </c>
      <c r="F2506" s="5" t="str">
        <f t="shared" si="39"/>
        <v>svenskafonster.se</v>
      </c>
      <c r="G2506" s="5" t="s">
        <v>4</v>
      </c>
      <c r="H2506" s="5" t="s">
        <v>5</v>
      </c>
      <c r="I2506" s="6">
        <v>45653</v>
      </c>
    </row>
    <row r="2507" spans="1:9" ht="13.5">
      <c r="A2507" s="2" t="s">
        <v>4558</v>
      </c>
      <c r="B2507" s="3"/>
      <c r="C2507" s="4" t="s">
        <v>4559</v>
      </c>
      <c r="D2507" s="4" t="s">
        <v>4560</v>
      </c>
      <c r="E2507" s="5" t="s">
        <v>4561</v>
      </c>
      <c r="F2507" s="5" t="str">
        <f t="shared" si="39"/>
        <v>mockfjards.se</v>
      </c>
      <c r="G2507" s="5" t="s">
        <v>4</v>
      </c>
      <c r="H2507" s="5" t="s">
        <v>5</v>
      </c>
      <c r="I2507" s="6">
        <v>45653</v>
      </c>
    </row>
    <row r="2508" spans="1:9" ht="13.5">
      <c r="A2508" s="2" t="s">
        <v>4558</v>
      </c>
      <c r="B2508" s="3"/>
      <c r="C2508" s="4" t="s">
        <v>4562</v>
      </c>
      <c r="D2508" s="4" t="s">
        <v>4558</v>
      </c>
      <c r="E2508" s="5" t="s">
        <v>4563</v>
      </c>
      <c r="F2508" s="5" t="str">
        <f t="shared" si="39"/>
        <v>mockfjards.se</v>
      </c>
      <c r="G2508" s="5" t="s">
        <v>4</v>
      </c>
      <c r="H2508" s="5" t="s">
        <v>5</v>
      </c>
      <c r="I2508" s="6">
        <v>45653</v>
      </c>
    </row>
    <row r="2509" spans="1:9" ht="13.5">
      <c r="A2509" s="2" t="s">
        <v>4558</v>
      </c>
      <c r="B2509" s="3"/>
      <c r="C2509" s="4" t="s">
        <v>4564</v>
      </c>
      <c r="D2509" s="4" t="s">
        <v>4560</v>
      </c>
      <c r="E2509" s="5" t="s">
        <v>4561</v>
      </c>
      <c r="F2509" s="5" t="str">
        <f t="shared" si="39"/>
        <v>mockfjards.se</v>
      </c>
      <c r="G2509" s="5" t="s">
        <v>4</v>
      </c>
      <c r="H2509" s="5" t="s">
        <v>5</v>
      </c>
      <c r="I2509" s="6">
        <v>45653</v>
      </c>
    </row>
    <row r="2510" spans="1:9" ht="13.5">
      <c r="A2510" s="2" t="s">
        <v>4558</v>
      </c>
      <c r="B2510" s="3"/>
      <c r="C2510" s="4" t="s">
        <v>4565</v>
      </c>
      <c r="D2510" s="4" t="s">
        <v>4558</v>
      </c>
      <c r="E2510" s="5" t="s">
        <v>4566</v>
      </c>
      <c r="F2510" s="5" t="str">
        <f t="shared" si="39"/>
        <v>mockfjards.se</v>
      </c>
      <c r="G2510" s="5" t="s">
        <v>4</v>
      </c>
      <c r="H2510" s="5" t="s">
        <v>5</v>
      </c>
      <c r="I2510" s="6">
        <v>45653</v>
      </c>
    </row>
    <row r="2511" spans="1:9" ht="13.5">
      <c r="A2511" s="7" t="s">
        <v>3791</v>
      </c>
      <c r="B2511" s="3"/>
      <c r="C2511" s="4" t="s">
        <v>4567</v>
      </c>
      <c r="D2511" s="4" t="s">
        <v>3822</v>
      </c>
      <c r="E2511" s="5" t="s">
        <v>4568</v>
      </c>
      <c r="F2511" s="5" t="str">
        <f t="shared" si="39"/>
        <v>coface</v>
      </c>
      <c r="G2511" s="5" t="s">
        <v>4</v>
      </c>
      <c r="H2511" s="5" t="s">
        <v>5</v>
      </c>
      <c r="I2511" s="6">
        <v>45653</v>
      </c>
    </row>
    <row r="2512" spans="1:9" ht="13.5">
      <c r="A2512" s="2" t="s">
        <v>3580</v>
      </c>
      <c r="B2512" s="3"/>
      <c r="C2512" s="4" t="s">
        <v>4569</v>
      </c>
      <c r="D2512" s="4" t="s">
        <v>3580</v>
      </c>
      <c r="E2512" s="5" t="s">
        <v>4570</v>
      </c>
      <c r="F2512" s="5" t="str">
        <f t="shared" si="39"/>
        <v>kleer.se</v>
      </c>
      <c r="G2512" s="5" t="s">
        <v>4</v>
      </c>
      <c r="H2512" s="5" t="s">
        <v>5</v>
      </c>
      <c r="I2512" s="6">
        <v>45653</v>
      </c>
    </row>
    <row r="2513" spans="1:9" ht="13.5">
      <c r="A2513" s="2" t="s">
        <v>3058</v>
      </c>
      <c r="B2513" s="3"/>
      <c r="C2513" s="4" t="s">
        <v>4571</v>
      </c>
      <c r="D2513" s="4" t="s">
        <v>4133</v>
      </c>
      <c r="E2513" s="5" t="s">
        <v>4572</v>
      </c>
      <c r="F2513" s="5" t="str">
        <f t="shared" si="39"/>
        <v>rusta.se</v>
      </c>
      <c r="G2513" s="5" t="s">
        <v>4</v>
      </c>
      <c r="H2513" s="5" t="s">
        <v>5</v>
      </c>
      <c r="I2513" s="6">
        <v>45653</v>
      </c>
    </row>
    <row r="2514" spans="1:9" ht="13.5">
      <c r="A2514" s="7" t="s">
        <v>3747</v>
      </c>
      <c r="B2514" s="3"/>
      <c r="C2514" s="4" t="s">
        <v>4573</v>
      </c>
      <c r="D2514" s="4" t="s">
        <v>3783</v>
      </c>
      <c r="E2514" s="5" t="s">
        <v>4574</v>
      </c>
      <c r="F2514" s="5" t="str">
        <f t="shared" si="39"/>
        <v>supernormal.health</v>
      </c>
      <c r="G2514" s="5" t="s">
        <v>4</v>
      </c>
      <c r="H2514" s="5" t="s">
        <v>5</v>
      </c>
      <c r="I2514" s="6">
        <v>45653</v>
      </c>
    </row>
    <row r="2515" spans="1:9" ht="13.5">
      <c r="A2515" s="2" t="s">
        <v>2640</v>
      </c>
      <c r="B2515" s="3"/>
      <c r="C2515" s="5" t="s">
        <v>4575</v>
      </c>
      <c r="D2515" s="5" t="s">
        <v>4576</v>
      </c>
      <c r="E2515" s="5" t="s">
        <v>4577</v>
      </c>
      <c r="F2515" s="5" t="str">
        <f t="shared" si="39"/>
        <v>snusnetto.se</v>
      </c>
      <c r="G2515" s="5" t="s">
        <v>4</v>
      </c>
      <c r="H2515" s="5" t="s">
        <v>5</v>
      </c>
      <c r="I2515" s="6">
        <v>45653</v>
      </c>
    </row>
    <row r="2516" spans="1:9" ht="13.5">
      <c r="A2516" s="2" t="s">
        <v>2640</v>
      </c>
      <c r="B2516" s="3"/>
      <c r="C2516" s="5" t="s">
        <v>4578</v>
      </c>
      <c r="D2516" s="5" t="s">
        <v>3232</v>
      </c>
      <c r="E2516" s="5" t="s">
        <v>3233</v>
      </c>
      <c r="F2516" s="5" t="str">
        <f t="shared" si="39"/>
        <v>snusnetto.se</v>
      </c>
      <c r="G2516" s="5" t="s">
        <v>4</v>
      </c>
      <c r="H2516" s="5" t="s">
        <v>5</v>
      </c>
      <c r="I2516" s="6">
        <v>45653</v>
      </c>
    </row>
    <row r="2517" spans="1:9" ht="13.5">
      <c r="A2517" s="7" t="s">
        <v>1559</v>
      </c>
      <c r="B2517" s="3"/>
      <c r="C2517" s="5" t="s">
        <v>4579</v>
      </c>
      <c r="D2517" s="5" t="s">
        <v>3153</v>
      </c>
      <c r="E2517" s="5" t="s">
        <v>4580</v>
      </c>
      <c r="F2517" s="5" t="str">
        <f t="shared" si="39"/>
        <v>rorjour247.se</v>
      </c>
      <c r="G2517" s="5" t="s">
        <v>4</v>
      </c>
      <c r="H2517" s="5" t="s">
        <v>5</v>
      </c>
      <c r="I2517" s="6">
        <v>45653</v>
      </c>
    </row>
    <row r="2518" spans="1:9" ht="13.5">
      <c r="A2518" s="7" t="s">
        <v>1559</v>
      </c>
      <c r="B2518" s="3"/>
      <c r="C2518" s="5" t="s">
        <v>4581</v>
      </c>
      <c r="D2518" s="5" t="s">
        <v>4079</v>
      </c>
      <c r="E2518" s="5" t="s">
        <v>4582</v>
      </c>
      <c r="F2518" s="5" t="str">
        <f t="shared" si="39"/>
        <v>rorjour247.se</v>
      </c>
      <c r="G2518" s="5" t="s">
        <v>4</v>
      </c>
      <c r="H2518" s="5" t="s">
        <v>5</v>
      </c>
      <c r="I2518" s="6">
        <v>45653</v>
      </c>
    </row>
    <row r="2519" spans="1:9" ht="13.5">
      <c r="A2519" s="2" t="s">
        <v>325</v>
      </c>
      <c r="B2519" s="3"/>
      <c r="C2519" s="4" t="s">
        <v>4583</v>
      </c>
      <c r="D2519" s="4" t="s">
        <v>327</v>
      </c>
      <c r="E2519" s="5" t="s">
        <v>463</v>
      </c>
      <c r="F2519" s="5" t="str">
        <f t="shared" si="39"/>
        <v>tiotak.se</v>
      </c>
      <c r="G2519" s="5" t="s">
        <v>4</v>
      </c>
      <c r="H2519" s="5" t="s">
        <v>5</v>
      </c>
      <c r="I2519" s="6">
        <v>45654</v>
      </c>
    </row>
    <row r="2520" spans="1:9" ht="13.5">
      <c r="A2520" s="2" t="s">
        <v>4433</v>
      </c>
      <c r="B2520" s="3"/>
      <c r="C2520" s="4" t="s">
        <v>3962</v>
      </c>
      <c r="D2520" s="4" t="s">
        <v>4435</v>
      </c>
      <c r="E2520" s="5" t="s">
        <v>4470</v>
      </c>
      <c r="F2520" s="5" t="str">
        <f t="shared" si="39"/>
        <v>svenskiptv.com</v>
      </c>
      <c r="G2520" s="5" t="s">
        <v>4</v>
      </c>
      <c r="H2520" s="5" t="s">
        <v>5</v>
      </c>
      <c r="I2520" s="6">
        <v>45654</v>
      </c>
    </row>
    <row r="2521" spans="1:9" ht="13.5">
      <c r="A2521" s="2" t="s">
        <v>4409</v>
      </c>
      <c r="B2521" s="3"/>
      <c r="C2521" s="4" t="s">
        <v>4584</v>
      </c>
      <c r="D2521" s="4" t="s">
        <v>4585</v>
      </c>
      <c r="E2521" s="5" t="s">
        <v>4586</v>
      </c>
      <c r="F2521" s="5" t="str">
        <f t="shared" si="39"/>
        <v>svenskafonster.se</v>
      </c>
      <c r="G2521" s="5" t="s">
        <v>4</v>
      </c>
      <c r="H2521" s="5" t="s">
        <v>5</v>
      </c>
      <c r="I2521" s="6">
        <v>45655</v>
      </c>
    </row>
    <row r="2522" spans="1:9" ht="13.5">
      <c r="A2522" s="2" t="s">
        <v>3885</v>
      </c>
      <c r="B2522" s="3"/>
      <c r="C2522" s="4" t="s">
        <v>4587</v>
      </c>
      <c r="D2522" s="4" t="s">
        <v>3931</v>
      </c>
      <c r="E2522" s="5" t="s">
        <v>4588</v>
      </c>
      <c r="F2522" s="5" t="str">
        <f t="shared" si="39"/>
        <v>chattanoogarehab.com</v>
      </c>
      <c r="G2522" s="5" t="s">
        <v>4</v>
      </c>
      <c r="H2522" s="5" t="s">
        <v>345</v>
      </c>
      <c r="I2522" s="6">
        <v>45656</v>
      </c>
    </row>
    <row r="2523" spans="1:9" ht="13.5">
      <c r="A2523" s="2" t="s">
        <v>3885</v>
      </c>
      <c r="B2523" s="3"/>
      <c r="C2523" s="4" t="s">
        <v>4589</v>
      </c>
      <c r="D2523" s="4" t="s">
        <v>3931</v>
      </c>
      <c r="E2523" s="5" t="s">
        <v>3932</v>
      </c>
      <c r="F2523" s="5" t="str">
        <f t="shared" si="39"/>
        <v>chattanoogarehab.com</v>
      </c>
      <c r="G2523" s="5" t="s">
        <v>4</v>
      </c>
      <c r="H2523" s="5" t="s">
        <v>345</v>
      </c>
      <c r="I2523" s="6">
        <v>45656</v>
      </c>
    </row>
    <row r="2524" spans="1:9" ht="13.5">
      <c r="A2524" s="2" t="s">
        <v>3885</v>
      </c>
      <c r="B2524" s="3"/>
      <c r="C2524" s="4" t="s">
        <v>4590</v>
      </c>
      <c r="D2524" s="4" t="s">
        <v>4591</v>
      </c>
      <c r="E2524" s="9" t="s">
        <v>3885</v>
      </c>
      <c r="F2524" s="5" t="str">
        <f t="shared" si="39"/>
        <v>chattanoogarehab.com</v>
      </c>
      <c r="G2524" s="5" t="s">
        <v>4</v>
      </c>
      <c r="H2524" s="5" t="s">
        <v>345</v>
      </c>
      <c r="I2524" s="6">
        <v>45656</v>
      </c>
    </row>
    <row r="2525" spans="1:9" ht="13.5">
      <c r="A2525" s="2" t="s">
        <v>3885</v>
      </c>
      <c r="B2525" s="3"/>
      <c r="C2525" s="4" t="s">
        <v>4592</v>
      </c>
      <c r="D2525" s="4" t="s">
        <v>3887</v>
      </c>
      <c r="E2525" s="5" t="s">
        <v>3888</v>
      </c>
      <c r="F2525" s="5" t="str">
        <f t="shared" si="39"/>
        <v>chattanoogarehab.com</v>
      </c>
      <c r="G2525" s="5" t="s">
        <v>4</v>
      </c>
      <c r="H2525" s="5" t="s">
        <v>345</v>
      </c>
      <c r="I2525" s="6">
        <v>45656</v>
      </c>
    </row>
    <row r="2526" spans="1:9" ht="13.5">
      <c r="A2526" s="2" t="s">
        <v>3186</v>
      </c>
      <c r="B2526" s="3"/>
      <c r="C2526" s="4" t="s">
        <v>4593</v>
      </c>
      <c r="D2526" s="4" t="s">
        <v>3188</v>
      </c>
      <c r="E2526" s="5" t="s">
        <v>3468</v>
      </c>
      <c r="F2526" s="5" t="str">
        <f t="shared" si="39"/>
        <v>myownwater.com</v>
      </c>
      <c r="G2526" s="5" t="s">
        <v>4</v>
      </c>
      <c r="H2526" s="5" t="s">
        <v>345</v>
      </c>
      <c r="I2526" s="6">
        <v>45656</v>
      </c>
    </row>
    <row r="2527" spans="1:9" ht="13.5">
      <c r="A2527" s="7" t="s">
        <v>3791</v>
      </c>
      <c r="B2527" s="3"/>
      <c r="C2527" s="4" t="s">
        <v>4594</v>
      </c>
      <c r="D2527" s="4" t="s">
        <v>3982</v>
      </c>
      <c r="E2527" s="5" t="s">
        <v>3983</v>
      </c>
      <c r="F2527" s="5" t="str">
        <f t="shared" si="39"/>
        <v>coface</v>
      </c>
      <c r="G2527" s="5" t="s">
        <v>4</v>
      </c>
      <c r="H2527" s="5" t="s">
        <v>382</v>
      </c>
      <c r="I2527" s="6">
        <v>45656</v>
      </c>
    </row>
    <row r="2528" spans="1:9" ht="13.5">
      <c r="A2528" s="7" t="s">
        <v>3791</v>
      </c>
      <c r="B2528" s="3"/>
      <c r="C2528" s="4" t="s">
        <v>4595</v>
      </c>
      <c r="D2528" s="4" t="s">
        <v>3985</v>
      </c>
      <c r="E2528" s="5" t="s">
        <v>268</v>
      </c>
      <c r="F2528" s="5" t="str">
        <f t="shared" si="39"/>
        <v>coface</v>
      </c>
      <c r="G2528" s="5" t="s">
        <v>4</v>
      </c>
      <c r="H2528" s="5" t="s">
        <v>382</v>
      </c>
      <c r="I2528" s="6">
        <v>45656</v>
      </c>
    </row>
    <row r="2529" spans="1:9" ht="13.5">
      <c r="A2529" s="7" t="s">
        <v>3791</v>
      </c>
      <c r="B2529" s="3"/>
      <c r="C2529" s="4" t="s">
        <v>4596</v>
      </c>
      <c r="D2529" s="4" t="s">
        <v>4103</v>
      </c>
      <c r="E2529" s="5" t="s">
        <v>4104</v>
      </c>
      <c r="F2529" s="5" t="str">
        <f t="shared" si="39"/>
        <v>coface</v>
      </c>
      <c r="G2529" s="5" t="s">
        <v>4</v>
      </c>
      <c r="H2529" s="5" t="s">
        <v>1618</v>
      </c>
      <c r="I2529" s="6">
        <v>45656</v>
      </c>
    </row>
    <row r="2530" spans="1:9" ht="13.5">
      <c r="A2530" s="7" t="s">
        <v>3791</v>
      </c>
      <c r="B2530" s="3"/>
      <c r="C2530" s="4" t="s">
        <v>4597</v>
      </c>
      <c r="D2530" s="4" t="s">
        <v>4218</v>
      </c>
      <c r="E2530" s="5" t="s">
        <v>3983</v>
      </c>
      <c r="F2530" s="5" t="str">
        <f t="shared" si="39"/>
        <v>coface</v>
      </c>
      <c r="G2530" s="5" t="s">
        <v>4</v>
      </c>
      <c r="H2530" s="5" t="s">
        <v>267</v>
      </c>
      <c r="I2530" s="6">
        <v>45656</v>
      </c>
    </row>
    <row r="2531" spans="1:9" ht="13.5">
      <c r="A2531" s="7" t="s">
        <v>3791</v>
      </c>
      <c r="B2531" s="3"/>
      <c r="C2531" s="4" t="s">
        <v>4598</v>
      </c>
      <c r="D2531" s="4" t="s">
        <v>4101</v>
      </c>
      <c r="E2531" s="5" t="s">
        <v>268</v>
      </c>
      <c r="F2531" s="5" t="str">
        <f t="shared" si="39"/>
        <v>coface</v>
      </c>
      <c r="G2531" s="5" t="s">
        <v>4</v>
      </c>
      <c r="H2531" s="5" t="s">
        <v>267</v>
      </c>
      <c r="I2531" s="6">
        <v>45656</v>
      </c>
    </row>
    <row r="2532" spans="1:9" ht="13.5">
      <c r="A2532" s="2" t="s">
        <v>3885</v>
      </c>
      <c r="B2532" s="3"/>
      <c r="C2532" s="4" t="s">
        <v>4599</v>
      </c>
      <c r="D2532" s="4" t="s">
        <v>3887</v>
      </c>
      <c r="E2532" s="5" t="s">
        <v>3890</v>
      </c>
      <c r="F2532" s="5" t="str">
        <f t="shared" si="39"/>
        <v>chattanoogarehab.com</v>
      </c>
      <c r="G2532" s="5" t="s">
        <v>4</v>
      </c>
      <c r="H2532" s="5" t="s">
        <v>345</v>
      </c>
      <c r="I2532" s="6">
        <v>45656</v>
      </c>
    </row>
    <row r="2533" spans="1:9" ht="13.5">
      <c r="A2533" s="2" t="s">
        <v>171</v>
      </c>
      <c r="B2533" s="3"/>
      <c r="C2533" s="4" t="s">
        <v>4600</v>
      </c>
      <c r="D2533" s="4" t="s">
        <v>2959</v>
      </c>
      <c r="E2533" s="5" t="s">
        <v>4601</v>
      </c>
      <c r="F2533" s="5" t="str">
        <f t="shared" si="39"/>
        <v>arctic.se</v>
      </c>
      <c r="G2533" s="5" t="s">
        <v>4</v>
      </c>
      <c r="H2533" s="5" t="s">
        <v>262</v>
      </c>
      <c r="I2533" s="6">
        <v>45656</v>
      </c>
    </row>
    <row r="2534" spans="1:9" ht="13.5">
      <c r="A2534" s="2" t="s">
        <v>4219</v>
      </c>
      <c r="B2534" s="3"/>
      <c r="C2534" s="4" t="s">
        <v>4602</v>
      </c>
      <c r="D2534" s="4" t="s">
        <v>4221</v>
      </c>
      <c r="E2534" s="5" t="s">
        <v>4222</v>
      </c>
      <c r="F2534" s="5" t="str">
        <f t="shared" si="39"/>
        <v>clearfuze.com</v>
      </c>
      <c r="G2534" s="5" t="s">
        <v>4</v>
      </c>
      <c r="H2534" s="5" t="s">
        <v>345</v>
      </c>
      <c r="I2534" s="6">
        <v>45656</v>
      </c>
    </row>
    <row r="2535" spans="1:9" ht="13.5">
      <c r="A2535" s="2" t="s">
        <v>4219</v>
      </c>
      <c r="B2535" s="3"/>
      <c r="C2535" s="4" t="s">
        <v>4603</v>
      </c>
      <c r="D2535" s="4" t="s">
        <v>4224</v>
      </c>
      <c r="E2535" s="5" t="s">
        <v>4225</v>
      </c>
      <c r="F2535" s="5" t="str">
        <f t="shared" si="39"/>
        <v>clearfuze.com</v>
      </c>
      <c r="G2535" s="5" t="s">
        <v>4</v>
      </c>
      <c r="H2535" s="5" t="s">
        <v>345</v>
      </c>
      <c r="I2535" s="6">
        <v>45656</v>
      </c>
    </row>
    <row r="2536" spans="1:9" ht="13.5">
      <c r="A2536" s="7" t="s">
        <v>4108</v>
      </c>
      <c r="B2536" s="3"/>
      <c r="C2536" s="4" t="s">
        <v>4604</v>
      </c>
      <c r="D2536" s="4" t="s">
        <v>4110</v>
      </c>
      <c r="E2536" s="5" t="s">
        <v>4111</v>
      </c>
      <c r="F2536" s="5" t="str">
        <f t="shared" si="39"/>
        <v>racha-organics</v>
      </c>
      <c r="G2536" s="5" t="s">
        <v>4</v>
      </c>
      <c r="H2536" s="5" t="s">
        <v>345</v>
      </c>
      <c r="I2536" s="6">
        <v>45656</v>
      </c>
    </row>
    <row r="2537" spans="1:9" ht="13.5">
      <c r="A2537" s="7" t="s">
        <v>4108</v>
      </c>
      <c r="B2537" s="3"/>
      <c r="C2537" s="4" t="s">
        <v>4605</v>
      </c>
      <c r="D2537" s="4" t="s">
        <v>4113</v>
      </c>
      <c r="E2537" s="5" t="s">
        <v>4111</v>
      </c>
      <c r="F2537" s="5" t="str">
        <f t="shared" si="39"/>
        <v>racha-organics</v>
      </c>
      <c r="G2537" s="5" t="s">
        <v>4</v>
      </c>
      <c r="H2537" s="5" t="s">
        <v>345</v>
      </c>
      <c r="I2537" s="6">
        <v>45656</v>
      </c>
    </row>
    <row r="2538" spans="1:9" ht="13.5">
      <c r="A2538" s="2" t="s">
        <v>1492</v>
      </c>
      <c r="B2538" s="3"/>
      <c r="C2538" s="4" t="s">
        <v>4606</v>
      </c>
      <c r="D2538" s="4" t="s">
        <v>1494</v>
      </c>
      <c r="E2538" s="5" t="s">
        <v>1495</v>
      </c>
      <c r="F2538" s="5" t="str">
        <f t="shared" si="39"/>
        <v>cdg.io</v>
      </c>
      <c r="G2538" s="5" t="s">
        <v>4</v>
      </c>
      <c r="H2538" s="5" t="s">
        <v>345</v>
      </c>
      <c r="I2538" s="6">
        <v>45656</v>
      </c>
    </row>
    <row r="2539" spans="1:9" ht="13.5">
      <c r="A2539" s="2" t="s">
        <v>1492</v>
      </c>
      <c r="B2539" s="3"/>
      <c r="C2539" s="4" t="s">
        <v>4607</v>
      </c>
      <c r="D2539" s="4" t="s">
        <v>3465</v>
      </c>
      <c r="E2539" s="5" t="s">
        <v>4088</v>
      </c>
      <c r="F2539" s="5" t="str">
        <f t="shared" si="39"/>
        <v>cdg.io</v>
      </c>
      <c r="G2539" s="5" t="s">
        <v>4</v>
      </c>
      <c r="H2539" s="5" t="s">
        <v>345</v>
      </c>
      <c r="I2539" s="6">
        <v>45656</v>
      </c>
    </row>
    <row r="2540" spans="1:9" ht="13.5">
      <c r="A2540" s="2" t="s">
        <v>3491</v>
      </c>
      <c r="B2540" s="3"/>
      <c r="C2540" s="4" t="s">
        <v>4608</v>
      </c>
      <c r="D2540" s="4" t="s">
        <v>3493</v>
      </c>
      <c r="E2540" s="5" t="s">
        <v>3494</v>
      </c>
      <c r="F2540" s="5" t="str">
        <f t="shared" si="39"/>
        <v>mynicco.com</v>
      </c>
      <c r="G2540" s="5" t="s">
        <v>4</v>
      </c>
      <c r="H2540" s="5" t="s">
        <v>345</v>
      </c>
      <c r="I2540" s="6">
        <v>45656</v>
      </c>
    </row>
    <row r="2541" spans="1:9" ht="13.5">
      <c r="A2541" s="2" t="s">
        <v>3491</v>
      </c>
      <c r="B2541" s="3"/>
      <c r="C2541" s="4" t="s">
        <v>4609</v>
      </c>
      <c r="D2541" s="4" t="s">
        <v>3493</v>
      </c>
      <c r="E2541" s="5" t="s">
        <v>3494</v>
      </c>
      <c r="F2541" s="5" t="str">
        <f t="shared" si="39"/>
        <v>mynicco.com</v>
      </c>
      <c r="G2541" s="5" t="s">
        <v>4</v>
      </c>
      <c r="H2541" s="5" t="s">
        <v>345</v>
      </c>
      <c r="I2541" s="6">
        <v>45656</v>
      </c>
    </row>
    <row r="2542" spans="1:9" ht="13.5">
      <c r="A2542" s="2" t="s">
        <v>3491</v>
      </c>
      <c r="B2542" s="3"/>
      <c r="C2542" s="4" t="s">
        <v>4610</v>
      </c>
      <c r="D2542" s="4" t="s">
        <v>3493</v>
      </c>
      <c r="E2542" s="5" t="s">
        <v>3494</v>
      </c>
      <c r="F2542" s="5" t="str">
        <f t="shared" si="39"/>
        <v>mynicco.com</v>
      </c>
      <c r="G2542" s="5" t="s">
        <v>4</v>
      </c>
      <c r="H2542" s="5" t="s">
        <v>3496</v>
      </c>
      <c r="I2542" s="6">
        <v>45656</v>
      </c>
    </row>
    <row r="2543" spans="1:9" ht="13.5">
      <c r="A2543" s="2" t="s">
        <v>3299</v>
      </c>
      <c r="B2543" s="3"/>
      <c r="C2543" s="4" t="s">
        <v>4611</v>
      </c>
      <c r="D2543" s="4" t="s">
        <v>3301</v>
      </c>
      <c r="E2543" s="9" t="s">
        <v>3809</v>
      </c>
      <c r="F2543" s="5" t="str">
        <f t="shared" si="39"/>
        <v>nodepositbonus.cc</v>
      </c>
      <c r="G2543" s="5" t="s">
        <v>4</v>
      </c>
      <c r="H2543" s="5" t="s">
        <v>345</v>
      </c>
      <c r="I2543" s="6">
        <v>45656</v>
      </c>
    </row>
    <row r="2544" spans="1:9" ht="13.5">
      <c r="A2544" s="7" t="s">
        <v>1910</v>
      </c>
      <c r="B2544" s="3"/>
      <c r="C2544" s="4" t="s">
        <v>4612</v>
      </c>
      <c r="D2544" s="4" t="s">
        <v>3470</v>
      </c>
      <c r="E2544" s="5" t="s">
        <v>4094</v>
      </c>
      <c r="F2544" s="5" t="str">
        <f t="shared" si="39"/>
        <v>kelleher-international</v>
      </c>
      <c r="G2544" s="5" t="s">
        <v>4</v>
      </c>
      <c r="H2544" s="5" t="s">
        <v>345</v>
      </c>
      <c r="I2544" s="6">
        <v>45656</v>
      </c>
    </row>
    <row r="2545" spans="1:9" ht="13.5">
      <c r="A2545" s="7" t="s">
        <v>1910</v>
      </c>
      <c r="B2545" s="3"/>
      <c r="C2545" s="4" t="s">
        <v>4613</v>
      </c>
      <c r="D2545" s="4" t="s">
        <v>3472</v>
      </c>
      <c r="E2545" s="5" t="s">
        <v>2862</v>
      </c>
      <c r="F2545" s="5" t="str">
        <f t="shared" si="39"/>
        <v>kelleher-international</v>
      </c>
      <c r="G2545" s="5" t="s">
        <v>4</v>
      </c>
      <c r="H2545" s="5" t="s">
        <v>345</v>
      </c>
      <c r="I2545" s="6">
        <v>45656</v>
      </c>
    </row>
    <row r="2546" spans="1:9" ht="13.5">
      <c r="A2546" s="2" t="s">
        <v>723</v>
      </c>
      <c r="B2546" s="3"/>
      <c r="C2546" s="4" t="s">
        <v>4614</v>
      </c>
      <c r="D2546" s="4" t="s">
        <v>725</v>
      </c>
      <c r="E2546" s="5" t="s">
        <v>3941</v>
      </c>
      <c r="F2546" s="5" t="str">
        <f t="shared" si="39"/>
        <v>aretrotale.com</v>
      </c>
      <c r="G2546" s="5" t="s">
        <v>4</v>
      </c>
      <c r="H2546" s="5" t="s">
        <v>3496</v>
      </c>
      <c r="I2546" s="6">
        <v>45656</v>
      </c>
    </row>
    <row r="2547" spans="1:9" ht="13.5">
      <c r="A2547" s="2" t="s">
        <v>3086</v>
      </c>
      <c r="B2547" s="3"/>
      <c r="C2547" s="4" t="s">
        <v>4615</v>
      </c>
      <c r="D2547" s="8" t="s">
        <v>3088</v>
      </c>
      <c r="E2547" s="5" t="s">
        <v>4616</v>
      </c>
      <c r="F2547" s="5" t="str">
        <f t="shared" si="39"/>
        <v>himala.ai</v>
      </c>
      <c r="G2547" s="5" t="s">
        <v>4</v>
      </c>
      <c r="H2547" s="5" t="s">
        <v>345</v>
      </c>
      <c r="I2547" s="6">
        <v>45656</v>
      </c>
    </row>
    <row r="2548" spans="1:9" ht="13.5">
      <c r="A2548" s="2" t="s">
        <v>3086</v>
      </c>
      <c r="B2548" s="3"/>
      <c r="C2548" s="4" t="s">
        <v>4617</v>
      </c>
      <c r="D2548" s="8" t="s">
        <v>3088</v>
      </c>
      <c r="E2548" s="5" t="s">
        <v>4618</v>
      </c>
      <c r="F2548" s="5" t="str">
        <f t="shared" si="39"/>
        <v>himala.ai</v>
      </c>
      <c r="G2548" s="5" t="s">
        <v>4</v>
      </c>
      <c r="H2548" s="5" t="s">
        <v>345</v>
      </c>
      <c r="I2548" s="6">
        <v>45656</v>
      </c>
    </row>
    <row r="2549" spans="1:9" ht="13.5">
      <c r="A2549" s="2" t="s">
        <v>1318</v>
      </c>
      <c r="B2549" s="3"/>
      <c r="C2549" s="4" t="s">
        <v>4619</v>
      </c>
      <c r="D2549" s="4" t="s">
        <v>4620</v>
      </c>
      <c r="E2549" s="330" t="s">
        <v>4621</v>
      </c>
      <c r="F2549" s="5" t="str">
        <f t="shared" si="39"/>
        <v>spelklubben.se</v>
      </c>
      <c r="G2549" s="5" t="s">
        <v>34</v>
      </c>
      <c r="H2549" s="5" t="s">
        <v>5</v>
      </c>
      <c r="I2549" s="6">
        <v>45656</v>
      </c>
    </row>
    <row r="2550" spans="1:9" ht="13.5">
      <c r="A2550" s="2" t="s">
        <v>3885</v>
      </c>
      <c r="B2550" s="3"/>
      <c r="C2550" s="4" t="s">
        <v>4622</v>
      </c>
      <c r="D2550" s="4" t="s">
        <v>3893</v>
      </c>
      <c r="E2550" s="5" t="s">
        <v>3896</v>
      </c>
      <c r="F2550" s="5" t="str">
        <f t="shared" si="39"/>
        <v>chattanoogarehab.com</v>
      </c>
      <c r="G2550" s="5" t="s">
        <v>4</v>
      </c>
      <c r="H2550" s="5" t="s">
        <v>345</v>
      </c>
      <c r="I2550" s="6">
        <v>45656</v>
      </c>
    </row>
    <row r="2551" spans="1:9" ht="13.5">
      <c r="A2551" s="2" t="s">
        <v>3885</v>
      </c>
      <c r="B2551" s="3"/>
      <c r="C2551" s="4" t="s">
        <v>4623</v>
      </c>
      <c r="D2551" s="4" t="s">
        <v>3967</v>
      </c>
      <c r="E2551" s="5" t="s">
        <v>3968</v>
      </c>
      <c r="F2551" s="5" t="str">
        <f t="shared" si="39"/>
        <v>chattanoogarehab.com</v>
      </c>
      <c r="G2551" s="5" t="s">
        <v>4</v>
      </c>
      <c r="H2551" s="5" t="s">
        <v>345</v>
      </c>
      <c r="I2551" s="6">
        <v>45656</v>
      </c>
    </row>
    <row r="2552" spans="1:9" ht="13.5">
      <c r="A2552" s="2" t="s">
        <v>4433</v>
      </c>
      <c r="B2552" s="3"/>
      <c r="C2552" s="4" t="s">
        <v>4624</v>
      </c>
      <c r="D2552" s="4" t="s">
        <v>4435</v>
      </c>
      <c r="E2552" s="5" t="s">
        <v>4625</v>
      </c>
      <c r="F2552" s="5" t="str">
        <f t="shared" si="39"/>
        <v>svenskiptv.com</v>
      </c>
      <c r="G2552" s="5" t="s">
        <v>4</v>
      </c>
      <c r="H2552" s="5" t="s">
        <v>5</v>
      </c>
      <c r="I2552" s="6">
        <v>45657</v>
      </c>
    </row>
    <row r="2553" spans="1:9" ht="13.5">
      <c r="A2553" s="2" t="s">
        <v>3761</v>
      </c>
      <c r="B2553" s="3"/>
      <c r="C2553" s="5" t="s">
        <v>4284</v>
      </c>
      <c r="D2553" s="5" t="s">
        <v>4626</v>
      </c>
      <c r="E2553" s="5" t="s">
        <v>4286</v>
      </c>
      <c r="F2553" s="5" t="str">
        <f t="shared" si="39"/>
        <v>hajper.com</v>
      </c>
      <c r="G2553" s="5" t="s">
        <v>4</v>
      </c>
      <c r="H2553" s="5" t="s">
        <v>5</v>
      </c>
      <c r="I2553" s="6">
        <v>45658</v>
      </c>
    </row>
    <row r="2554" spans="1:9" ht="13.5">
      <c r="A2554" s="2" t="s">
        <v>4147</v>
      </c>
      <c r="B2554" s="3"/>
      <c r="C2554" s="4" t="s">
        <v>4627</v>
      </c>
      <c r="D2554" s="4" t="s">
        <v>4628</v>
      </c>
      <c r="E2554" s="5" t="s">
        <v>4629</v>
      </c>
      <c r="F2554" s="5" t="str">
        <f t="shared" si="39"/>
        <v>petster.se</v>
      </c>
      <c r="G2554" s="5" t="s">
        <v>4</v>
      </c>
      <c r="H2554" s="5" t="s">
        <v>5</v>
      </c>
      <c r="I2554" s="6">
        <v>45660</v>
      </c>
    </row>
    <row r="2555" spans="1:9" ht="13.5">
      <c r="A2555" s="2" t="s">
        <v>4147</v>
      </c>
      <c r="B2555" s="3"/>
      <c r="C2555" s="4" t="s">
        <v>4630</v>
      </c>
      <c r="D2555" s="4" t="s">
        <v>4628</v>
      </c>
      <c r="E2555" s="5" t="s">
        <v>4631</v>
      </c>
      <c r="F2555" s="5" t="str">
        <f t="shared" si="39"/>
        <v>petster.se</v>
      </c>
      <c r="G2555" s="5" t="s">
        <v>4</v>
      </c>
      <c r="H2555" s="5" t="s">
        <v>5</v>
      </c>
      <c r="I2555" s="6">
        <v>45660</v>
      </c>
    </row>
    <row r="2556" spans="1:9" ht="13.5">
      <c r="A2556" s="2" t="s">
        <v>3128</v>
      </c>
      <c r="B2556" s="3"/>
      <c r="C2556" s="4" t="s">
        <v>4632</v>
      </c>
      <c r="D2556" s="4" t="s">
        <v>3130</v>
      </c>
      <c r="E2556" s="5" t="s">
        <v>3250</v>
      </c>
      <c r="F2556" s="5" t="str">
        <f t="shared" si="39"/>
        <v>bethard.com</v>
      </c>
      <c r="G2556" s="5" t="s">
        <v>4</v>
      </c>
      <c r="H2556" s="5" t="s">
        <v>5</v>
      </c>
      <c r="I2556" s="6">
        <v>45660</v>
      </c>
    </row>
    <row r="2557" spans="1:9" ht="13.5">
      <c r="A2557" s="2" t="s">
        <v>2636</v>
      </c>
      <c r="B2557" s="3"/>
      <c r="C2557" s="5" t="s">
        <v>4633</v>
      </c>
      <c r="D2557" s="5" t="s">
        <v>2702</v>
      </c>
      <c r="E2557" s="5" t="s">
        <v>4442</v>
      </c>
      <c r="F2557" s="5" t="str">
        <f t="shared" si="39"/>
        <v>kvarnx.com</v>
      </c>
      <c r="G2557" s="5" t="s">
        <v>4</v>
      </c>
      <c r="H2557" s="5" t="s">
        <v>5</v>
      </c>
      <c r="I2557" s="6">
        <v>45661</v>
      </c>
    </row>
    <row r="2558" spans="1:9" ht="13.5">
      <c r="A2558" s="2" t="s">
        <v>2636</v>
      </c>
      <c r="B2558" s="3"/>
      <c r="C2558" s="5" t="s">
        <v>4634</v>
      </c>
      <c r="D2558" s="5" t="s">
        <v>2638</v>
      </c>
      <c r="E2558" s="5" t="s">
        <v>4635</v>
      </c>
      <c r="F2558" s="5" t="str">
        <f t="shared" si="39"/>
        <v>kvarnx.com</v>
      </c>
      <c r="G2558" s="5" t="s">
        <v>4</v>
      </c>
      <c r="H2558" s="5" t="s">
        <v>5</v>
      </c>
      <c r="I2558" s="6">
        <v>45662</v>
      </c>
    </row>
    <row r="2559" spans="1:9" ht="13.5">
      <c r="A2559" s="2" t="s">
        <v>3682</v>
      </c>
      <c r="B2559" s="3"/>
      <c r="C2559" s="5" t="s">
        <v>4636</v>
      </c>
      <c r="D2559" s="5" t="s">
        <v>3684</v>
      </c>
      <c r="E2559" s="5" t="s">
        <v>3685</v>
      </c>
      <c r="F2559" s="5" t="str">
        <f t="shared" si="39"/>
        <v>upplevelse.com</v>
      </c>
      <c r="G2559" s="5" t="s">
        <v>4</v>
      </c>
      <c r="H2559" s="5" t="s">
        <v>5</v>
      </c>
      <c r="I2559" s="6">
        <v>45662</v>
      </c>
    </row>
    <row r="2560" spans="1:9" ht="13.5">
      <c r="A2560" s="7" t="s">
        <v>3921</v>
      </c>
      <c r="B2560" s="3"/>
      <c r="C2560" s="5" t="s">
        <v>4637</v>
      </c>
      <c r="D2560" s="5" t="s">
        <v>4190</v>
      </c>
      <c r="E2560" s="5" t="s">
        <v>4638</v>
      </c>
      <c r="F2560" s="5" t="str">
        <f t="shared" si="39"/>
        <v>svenskalasjouren.se</v>
      </c>
      <c r="G2560" s="5" t="s">
        <v>4</v>
      </c>
      <c r="H2560" s="5" t="s">
        <v>5</v>
      </c>
      <c r="I2560" s="6">
        <v>45662</v>
      </c>
    </row>
    <row r="2561" spans="1:9" ht="13.5">
      <c r="A2561" s="7" t="s">
        <v>3921</v>
      </c>
      <c r="B2561" s="3"/>
      <c r="C2561" s="5" t="s">
        <v>4639</v>
      </c>
      <c r="D2561" s="5" t="s">
        <v>3923</v>
      </c>
      <c r="E2561" s="5" t="s">
        <v>4640</v>
      </c>
      <c r="F2561" s="5" t="str">
        <f t="shared" si="39"/>
        <v>svenskalasjouren.se</v>
      </c>
      <c r="G2561" s="5" t="s">
        <v>4</v>
      </c>
      <c r="H2561" s="5" t="s">
        <v>5</v>
      </c>
      <c r="I2561" s="6">
        <v>45662</v>
      </c>
    </row>
    <row r="2562" spans="1:9" ht="13.5">
      <c r="A2562" s="2" t="s">
        <v>4051</v>
      </c>
      <c r="B2562" s="3"/>
      <c r="C2562" s="4" t="s">
        <v>4641</v>
      </c>
      <c r="D2562" s="4" t="s">
        <v>4051</v>
      </c>
      <c r="E2562" s="9" t="s">
        <v>4051</v>
      </c>
      <c r="F2562" s="5" t="str">
        <f t="shared" si="39"/>
        <v>hund.se</v>
      </c>
      <c r="G2562" s="5" t="s">
        <v>4</v>
      </c>
      <c r="H2562" s="5" t="s">
        <v>5</v>
      </c>
      <c r="I2562" s="6">
        <v>45664</v>
      </c>
    </row>
    <row r="2563" spans="1:9" ht="13.5">
      <c r="A2563" s="2" t="s">
        <v>846</v>
      </c>
      <c r="B2563" s="3"/>
      <c r="C2563" s="4" t="s">
        <v>4642</v>
      </c>
      <c r="D2563" s="4" t="s">
        <v>4525</v>
      </c>
      <c r="E2563" s="5" t="s">
        <v>4643</v>
      </c>
      <c r="F2563" s="5" t="str">
        <f t="shared" ref="F2563:F2626" si="40">A2563</f>
        <v>tandea.se</v>
      </c>
      <c r="G2563" s="5" t="s">
        <v>4</v>
      </c>
      <c r="H2563" s="5" t="s">
        <v>5</v>
      </c>
      <c r="I2563" s="6">
        <v>45664</v>
      </c>
    </row>
    <row r="2564" spans="1:9" ht="13.5">
      <c r="A2564" s="2" t="s">
        <v>4409</v>
      </c>
      <c r="B2564" s="3"/>
      <c r="C2564" s="4" t="s">
        <v>4644</v>
      </c>
      <c r="D2564" s="4" t="s">
        <v>4557</v>
      </c>
      <c r="E2564" s="5" t="s">
        <v>4645</v>
      </c>
      <c r="F2564" s="5" t="str">
        <f t="shared" si="40"/>
        <v>svenskafonster.se</v>
      </c>
      <c r="G2564" s="5" t="s">
        <v>4</v>
      </c>
      <c r="H2564" s="5" t="s">
        <v>5</v>
      </c>
      <c r="I2564" s="6">
        <v>45664</v>
      </c>
    </row>
    <row r="2565" spans="1:9" ht="13.5">
      <c r="A2565" s="7" t="s">
        <v>3921</v>
      </c>
      <c r="B2565" s="3"/>
      <c r="C2565" s="5" t="s">
        <v>4646</v>
      </c>
      <c r="D2565" s="5" t="s">
        <v>4190</v>
      </c>
      <c r="E2565" s="5" t="s">
        <v>4647</v>
      </c>
      <c r="F2565" s="5" t="str">
        <f t="shared" si="40"/>
        <v>svenskalasjouren.se</v>
      </c>
      <c r="G2565" s="5" t="s">
        <v>4</v>
      </c>
      <c r="H2565" s="5" t="s">
        <v>5</v>
      </c>
      <c r="I2565" s="6">
        <v>45664</v>
      </c>
    </row>
    <row r="2566" spans="1:9" ht="13.5">
      <c r="A2566" s="7" t="s">
        <v>3791</v>
      </c>
      <c r="B2566" s="3"/>
      <c r="C2566" s="4" t="s">
        <v>4648</v>
      </c>
      <c r="D2566" s="4" t="s">
        <v>4098</v>
      </c>
      <c r="E2566" s="138" t="s">
        <v>4649</v>
      </c>
      <c r="F2566" s="5" t="str">
        <f t="shared" si="40"/>
        <v>coface</v>
      </c>
      <c r="G2566" s="5" t="s">
        <v>4</v>
      </c>
      <c r="H2566" s="5" t="s">
        <v>1618</v>
      </c>
      <c r="I2566" s="6">
        <v>45665</v>
      </c>
    </row>
    <row r="2567" spans="1:9" ht="13.5">
      <c r="A2567" s="7" t="s">
        <v>1559</v>
      </c>
      <c r="B2567" s="3"/>
      <c r="C2567" s="5" t="s">
        <v>4650</v>
      </c>
      <c r="D2567" s="5" t="s">
        <v>4079</v>
      </c>
      <c r="E2567" s="5" t="s">
        <v>4651</v>
      </c>
      <c r="F2567" s="5" t="str">
        <f t="shared" si="40"/>
        <v>rorjour247.se</v>
      </c>
      <c r="G2567" s="5" t="s">
        <v>4</v>
      </c>
      <c r="H2567" s="5" t="s">
        <v>5</v>
      </c>
      <c r="I2567" s="6">
        <v>45665</v>
      </c>
    </row>
    <row r="2568" spans="1:9" ht="13.5">
      <c r="A2568" s="2" t="s">
        <v>2127</v>
      </c>
      <c r="B2568" s="3"/>
      <c r="C2568" s="4" t="s">
        <v>4652</v>
      </c>
      <c r="D2568" s="4" t="s">
        <v>3526</v>
      </c>
      <c r="E2568" s="5" t="s">
        <v>4653</v>
      </c>
      <c r="F2568" s="5" t="str">
        <f t="shared" si="40"/>
        <v>startmotor.se</v>
      </c>
      <c r="G2568" s="5" t="s">
        <v>4</v>
      </c>
      <c r="H2568" s="5" t="s">
        <v>5</v>
      </c>
      <c r="I2568" s="6">
        <v>45666</v>
      </c>
    </row>
    <row r="2569" spans="1:9" ht="13.5">
      <c r="A2569" s="7" t="s">
        <v>4164</v>
      </c>
      <c r="B2569" s="3"/>
      <c r="C2569" s="5" t="s">
        <v>4654</v>
      </c>
      <c r="D2569" s="5" t="s">
        <v>4178</v>
      </c>
      <c r="E2569" s="5" t="s">
        <v>4655</v>
      </c>
      <c r="F2569" s="5" t="str">
        <f t="shared" si="40"/>
        <v>casinogringos.se</v>
      </c>
      <c r="G2569" s="5" t="s">
        <v>4</v>
      </c>
      <c r="H2569" s="5" t="s">
        <v>5</v>
      </c>
      <c r="I2569" s="6">
        <v>45666</v>
      </c>
    </row>
    <row r="2570" spans="1:9" ht="13.5">
      <c r="A2570" s="7" t="s">
        <v>4164</v>
      </c>
      <c r="B2570" s="3"/>
      <c r="C2570" s="5" t="s">
        <v>4656</v>
      </c>
      <c r="D2570" s="5" t="s">
        <v>4657</v>
      </c>
      <c r="E2570" s="5" t="s">
        <v>4658</v>
      </c>
      <c r="F2570" s="5" t="str">
        <f t="shared" si="40"/>
        <v>casinogringos.se</v>
      </c>
      <c r="G2570" s="5" t="s">
        <v>4</v>
      </c>
      <c r="H2570" s="5" t="s">
        <v>5</v>
      </c>
      <c r="I2570" s="6">
        <v>45667</v>
      </c>
    </row>
    <row r="2571" spans="1:9" ht="13.5">
      <c r="A2571" s="2" t="s">
        <v>535</v>
      </c>
      <c r="B2571" s="3"/>
      <c r="C2571" s="4" t="s">
        <v>4659</v>
      </c>
      <c r="D2571" s="4" t="s">
        <v>3327</v>
      </c>
      <c r="E2571" s="5" t="s">
        <v>4660</v>
      </c>
      <c r="F2571" s="5" t="str">
        <f t="shared" si="40"/>
        <v>tryggbil.se</v>
      </c>
      <c r="G2571" s="5" t="s">
        <v>4</v>
      </c>
      <c r="H2571" s="5" t="s">
        <v>5</v>
      </c>
      <c r="I2571" s="6">
        <v>45668</v>
      </c>
    </row>
    <row r="2572" spans="1:9" ht="13.5">
      <c r="A2572" s="2" t="s">
        <v>100</v>
      </c>
      <c r="B2572" s="3"/>
      <c r="C2572" s="4" t="s">
        <v>4661</v>
      </c>
      <c r="D2572" s="4" t="s">
        <v>3555</v>
      </c>
      <c r="E2572" s="79" t="s">
        <v>3692</v>
      </c>
      <c r="F2572" s="5" t="str">
        <f t="shared" si="40"/>
        <v>bigbenstandup.com</v>
      </c>
      <c r="G2572" s="5" t="s">
        <v>4</v>
      </c>
      <c r="H2572" s="5" t="s">
        <v>5</v>
      </c>
      <c r="I2572" s="6">
        <v>45669</v>
      </c>
    </row>
    <row r="2573" spans="1:9" ht="13.5">
      <c r="A2573" s="2" t="s">
        <v>308</v>
      </c>
      <c r="B2573" s="3"/>
      <c r="C2573" s="4" t="s">
        <v>4662</v>
      </c>
      <c r="D2573" s="4" t="s">
        <v>1395</v>
      </c>
      <c r="E2573" s="79" t="s">
        <v>2489</v>
      </c>
      <c r="F2573" s="5" t="str">
        <f t="shared" si="40"/>
        <v>lansfast.se</v>
      </c>
      <c r="G2573" s="5" t="s">
        <v>4</v>
      </c>
      <c r="H2573" s="5" t="s">
        <v>5</v>
      </c>
      <c r="I2573" s="6">
        <v>45669</v>
      </c>
    </row>
    <row r="2574" spans="1:9" ht="13.5">
      <c r="A2574" s="2" t="s">
        <v>1213</v>
      </c>
      <c r="B2574" s="3"/>
      <c r="C2574" s="4" t="s">
        <v>4663</v>
      </c>
      <c r="D2574" s="4" t="s">
        <v>1215</v>
      </c>
      <c r="E2574" s="79" t="s">
        <v>2491</v>
      </c>
      <c r="F2574" s="5" t="str">
        <f t="shared" si="40"/>
        <v>mariatand.se</v>
      </c>
      <c r="G2574" s="5" t="s">
        <v>4</v>
      </c>
      <c r="H2574" s="5" t="s">
        <v>5</v>
      </c>
      <c r="I2574" s="6">
        <v>45669</v>
      </c>
    </row>
    <row r="2575" spans="1:9" ht="13.5">
      <c r="A2575" s="2" t="s">
        <v>1213</v>
      </c>
      <c r="B2575" s="3"/>
      <c r="C2575" s="4" t="s">
        <v>4664</v>
      </c>
      <c r="D2575" s="4" t="s">
        <v>1215</v>
      </c>
      <c r="E2575" s="79" t="s">
        <v>2491</v>
      </c>
      <c r="F2575" s="5" t="str">
        <f t="shared" si="40"/>
        <v>mariatand.se</v>
      </c>
      <c r="G2575" s="5" t="s">
        <v>4</v>
      </c>
      <c r="H2575" s="5" t="s">
        <v>5</v>
      </c>
      <c r="I2575" s="6">
        <v>45669</v>
      </c>
    </row>
    <row r="2576" spans="1:9" ht="13.5">
      <c r="A2576" s="7" t="s">
        <v>224</v>
      </c>
      <c r="B2576" s="3"/>
      <c r="C2576" s="4" t="s">
        <v>4665</v>
      </c>
      <c r="D2576" s="4" t="s">
        <v>461</v>
      </c>
      <c r="E2576" s="79" t="s">
        <v>1117</v>
      </c>
      <c r="F2576" s="5" t="str">
        <f t="shared" si="40"/>
        <v>swedoffice</v>
      </c>
      <c r="G2576" s="5" t="s">
        <v>4</v>
      </c>
      <c r="H2576" s="5" t="s">
        <v>5</v>
      </c>
      <c r="I2576" s="6">
        <v>45669</v>
      </c>
    </row>
    <row r="2577" spans="1:9" ht="13.5">
      <c r="A2577" s="2" t="s">
        <v>325</v>
      </c>
      <c r="B2577" s="3"/>
      <c r="C2577" s="4" t="s">
        <v>4666</v>
      </c>
      <c r="D2577" s="4" t="s">
        <v>1244</v>
      </c>
      <c r="E2577" s="79" t="s">
        <v>463</v>
      </c>
      <c r="F2577" s="5" t="str">
        <f t="shared" si="40"/>
        <v>tiotak.se</v>
      </c>
      <c r="G2577" s="5" t="s">
        <v>4</v>
      </c>
      <c r="H2577" s="5" t="s">
        <v>5</v>
      </c>
      <c r="I2577" s="6">
        <v>45669</v>
      </c>
    </row>
    <row r="2578" spans="1:9" ht="13.5">
      <c r="A2578" s="2" t="s">
        <v>325</v>
      </c>
      <c r="B2578" s="3"/>
      <c r="C2578" s="4" t="s">
        <v>4667</v>
      </c>
      <c r="D2578" s="4" t="s">
        <v>873</v>
      </c>
      <c r="E2578" s="79" t="s">
        <v>2922</v>
      </c>
      <c r="F2578" s="5" t="str">
        <f t="shared" si="40"/>
        <v>tiotak.se</v>
      </c>
      <c r="G2578" s="5" t="s">
        <v>4</v>
      </c>
      <c r="H2578" s="5" t="s">
        <v>5</v>
      </c>
      <c r="I2578" s="6">
        <v>45669</v>
      </c>
    </row>
    <row r="2579" spans="1:9" ht="13.5">
      <c r="A2579" s="2" t="s">
        <v>3058</v>
      </c>
      <c r="B2579" s="3"/>
      <c r="C2579" s="4" t="s">
        <v>4668</v>
      </c>
      <c r="D2579" s="4" t="s">
        <v>3063</v>
      </c>
      <c r="E2579" s="79" t="s">
        <v>3064</v>
      </c>
      <c r="F2579" s="5" t="str">
        <f t="shared" si="40"/>
        <v>rusta.se</v>
      </c>
      <c r="G2579" s="5" t="s">
        <v>4</v>
      </c>
      <c r="H2579" s="5" t="s">
        <v>5</v>
      </c>
      <c r="I2579" s="6">
        <v>45669</v>
      </c>
    </row>
    <row r="2580" spans="1:9" ht="13.5">
      <c r="A2580" s="2" t="s">
        <v>3058</v>
      </c>
      <c r="B2580" s="3"/>
      <c r="C2580" s="4" t="s">
        <v>4669</v>
      </c>
      <c r="D2580" s="4" t="s">
        <v>3060</v>
      </c>
      <c r="E2580" s="79" t="s">
        <v>3061</v>
      </c>
      <c r="F2580" s="5" t="str">
        <f t="shared" si="40"/>
        <v>rusta.se</v>
      </c>
      <c r="G2580" s="5" t="s">
        <v>4</v>
      </c>
      <c r="H2580" s="5" t="s">
        <v>5</v>
      </c>
      <c r="I2580" s="6">
        <v>45669</v>
      </c>
    </row>
    <row r="2581" spans="1:9" ht="13.5">
      <c r="A2581" s="2" t="s">
        <v>2428</v>
      </c>
      <c r="B2581" s="3"/>
      <c r="C2581" s="4" t="s">
        <v>4670</v>
      </c>
      <c r="D2581" s="4" t="s">
        <v>2430</v>
      </c>
      <c r="E2581" s="79" t="s">
        <v>3098</v>
      </c>
      <c r="F2581" s="5" t="str">
        <f t="shared" si="40"/>
        <v>sakraror.se</v>
      </c>
      <c r="G2581" s="5" t="s">
        <v>4</v>
      </c>
      <c r="H2581" s="5" t="s">
        <v>5</v>
      </c>
      <c r="I2581" s="6">
        <v>45669</v>
      </c>
    </row>
    <row r="2582" spans="1:9" ht="13.5">
      <c r="A2582" s="2" t="s">
        <v>3580</v>
      </c>
      <c r="B2582" s="3"/>
      <c r="C2582" s="4" t="s">
        <v>4671</v>
      </c>
      <c r="D2582" s="8" t="s">
        <v>3580</v>
      </c>
      <c r="E2582" s="79" t="s">
        <v>3583</v>
      </c>
      <c r="F2582" s="5" t="str">
        <f t="shared" si="40"/>
        <v>kleer.se</v>
      </c>
      <c r="G2582" s="5" t="s">
        <v>4</v>
      </c>
      <c r="H2582" s="5" t="s">
        <v>5</v>
      </c>
      <c r="I2582" s="6">
        <v>45669</v>
      </c>
    </row>
    <row r="2583" spans="1:9" ht="13.5">
      <c r="A2583" s="2" t="s">
        <v>2948</v>
      </c>
      <c r="B2583" s="3"/>
      <c r="C2583" s="4" t="s">
        <v>4672</v>
      </c>
      <c r="D2583" s="4" t="s">
        <v>3428</v>
      </c>
      <c r="E2583" s="79" t="s">
        <v>3429</v>
      </c>
      <c r="F2583" s="5" t="str">
        <f t="shared" si="40"/>
        <v>joureliten.se</v>
      </c>
      <c r="G2583" s="5" t="s">
        <v>4</v>
      </c>
      <c r="H2583" s="5" t="s">
        <v>5</v>
      </c>
      <c r="I2583" s="6">
        <v>45669</v>
      </c>
    </row>
    <row r="2584" spans="1:9" ht="13.5">
      <c r="A2584" s="2" t="s">
        <v>803</v>
      </c>
      <c r="B2584" s="3"/>
      <c r="C2584" s="4" t="s">
        <v>4673</v>
      </c>
      <c r="D2584" s="4" t="s">
        <v>2599</v>
      </c>
      <c r="E2584" s="79" t="s">
        <v>3708</v>
      </c>
      <c r="F2584" s="5" t="str">
        <f t="shared" si="40"/>
        <v>foyen.se</v>
      </c>
      <c r="G2584" s="5" t="s">
        <v>4</v>
      </c>
      <c r="H2584" s="5" t="s">
        <v>5</v>
      </c>
      <c r="I2584" s="6">
        <v>45669</v>
      </c>
    </row>
    <row r="2585" spans="1:9" ht="13.5">
      <c r="A2585" s="2" t="s">
        <v>308</v>
      </c>
      <c r="B2585" s="3"/>
      <c r="C2585" s="4" t="s">
        <v>4674</v>
      </c>
      <c r="D2585" s="4" t="s">
        <v>1395</v>
      </c>
      <c r="E2585" s="79" t="s">
        <v>2489</v>
      </c>
      <c r="F2585" s="5" t="str">
        <f t="shared" si="40"/>
        <v>lansfast.se</v>
      </c>
      <c r="G2585" s="5" t="s">
        <v>4</v>
      </c>
      <c r="H2585" s="5" t="s">
        <v>5</v>
      </c>
      <c r="I2585" s="6">
        <v>45669</v>
      </c>
    </row>
    <row r="2586" spans="1:9" ht="13.5">
      <c r="A2586" s="7" t="s">
        <v>67</v>
      </c>
      <c r="B2586" s="3"/>
      <c r="C2586" s="4" t="s">
        <v>4675</v>
      </c>
      <c r="D2586" s="4" t="s">
        <v>2622</v>
      </c>
      <c r="E2586" s="331" t="s">
        <v>2623</v>
      </c>
      <c r="F2586" s="5" t="str">
        <f t="shared" si="40"/>
        <v>nem.health</v>
      </c>
      <c r="G2586" s="5" t="s">
        <v>4</v>
      </c>
      <c r="H2586" s="5" t="s">
        <v>5</v>
      </c>
      <c r="I2586" s="6">
        <v>45669</v>
      </c>
    </row>
    <row r="2587" spans="1:9" ht="13.5">
      <c r="A2587" s="7" t="s">
        <v>67</v>
      </c>
      <c r="B2587" s="3"/>
      <c r="C2587" s="4" t="s">
        <v>4676</v>
      </c>
      <c r="D2587" s="5" t="s">
        <v>67</v>
      </c>
      <c r="E2587" s="331" t="s">
        <v>4022</v>
      </c>
      <c r="F2587" s="5" t="str">
        <f t="shared" si="40"/>
        <v>nem.health</v>
      </c>
      <c r="G2587" s="5" t="s">
        <v>4</v>
      </c>
      <c r="H2587" s="5" t="s">
        <v>5</v>
      </c>
      <c r="I2587" s="6">
        <v>45669</v>
      </c>
    </row>
    <row r="2588" spans="1:9" ht="13.5">
      <c r="A2588" s="2" t="s">
        <v>2352</v>
      </c>
      <c r="B2588" s="3"/>
      <c r="C2588" s="4" t="s">
        <v>4677</v>
      </c>
      <c r="D2588" s="4" t="s">
        <v>2352</v>
      </c>
      <c r="E2588" s="79" t="s">
        <v>2635</v>
      </c>
      <c r="F2588" s="5" t="str">
        <f t="shared" si="40"/>
        <v>seniorrabatt.se</v>
      </c>
      <c r="G2588" s="5" t="s">
        <v>4</v>
      </c>
      <c r="H2588" s="5" t="s">
        <v>5</v>
      </c>
      <c r="I2588" s="6">
        <v>45669</v>
      </c>
    </row>
    <row r="2589" spans="1:9" ht="13.5">
      <c r="A2589" s="2" t="s">
        <v>2127</v>
      </c>
      <c r="B2589" s="3"/>
      <c r="C2589" s="4" t="s">
        <v>4678</v>
      </c>
      <c r="D2589" s="4" t="s">
        <v>2415</v>
      </c>
      <c r="E2589" s="79" t="s">
        <v>2664</v>
      </c>
      <c r="F2589" s="5" t="str">
        <f t="shared" si="40"/>
        <v>startmotor.se</v>
      </c>
      <c r="G2589" s="5" t="s">
        <v>4</v>
      </c>
      <c r="H2589" s="5" t="s">
        <v>5</v>
      </c>
      <c r="I2589" s="6">
        <v>45669</v>
      </c>
    </row>
    <row r="2590" spans="1:9" ht="13.5">
      <c r="A2590" s="2" t="s">
        <v>2127</v>
      </c>
      <c r="B2590" s="3"/>
      <c r="C2590" s="4" t="s">
        <v>4679</v>
      </c>
      <c r="D2590" s="4" t="s">
        <v>4680</v>
      </c>
      <c r="E2590" s="79" t="s">
        <v>4681</v>
      </c>
      <c r="F2590" s="5" t="str">
        <f t="shared" si="40"/>
        <v>startmotor.se</v>
      </c>
      <c r="G2590" s="5" t="s">
        <v>4</v>
      </c>
      <c r="H2590" s="5" t="s">
        <v>5</v>
      </c>
      <c r="I2590" s="6">
        <v>45669</v>
      </c>
    </row>
    <row r="2591" spans="1:9" ht="13.5">
      <c r="A2591" s="7" t="s">
        <v>224</v>
      </c>
      <c r="B2591" s="3"/>
      <c r="C2591" s="4" t="s">
        <v>4682</v>
      </c>
      <c r="D2591" s="4" t="s">
        <v>226</v>
      </c>
      <c r="E2591" s="332" t="s">
        <v>368</v>
      </c>
      <c r="F2591" s="5" t="str">
        <f t="shared" si="40"/>
        <v>swedoffice</v>
      </c>
      <c r="G2591" s="5" t="s">
        <v>4</v>
      </c>
      <c r="H2591" s="5" t="s">
        <v>5</v>
      </c>
      <c r="I2591" s="6">
        <v>45669</v>
      </c>
    </row>
    <row r="2592" spans="1:9" ht="13.5">
      <c r="A2592" s="2" t="s">
        <v>3173</v>
      </c>
      <c r="B2592" s="3"/>
      <c r="C2592" s="4" t="s">
        <v>4683</v>
      </c>
      <c r="D2592" s="4" t="s">
        <v>3175</v>
      </c>
      <c r="E2592" s="79" t="s">
        <v>3217</v>
      </c>
      <c r="F2592" s="5" t="str">
        <f t="shared" si="40"/>
        <v>ekstromgaray.se</v>
      </c>
      <c r="G2592" s="5" t="s">
        <v>4</v>
      </c>
      <c r="H2592" s="5" t="s">
        <v>5</v>
      </c>
      <c r="I2592" s="6">
        <v>45669</v>
      </c>
    </row>
    <row r="2593" spans="1:9" ht="13.5">
      <c r="A2593" s="2" t="s">
        <v>2549</v>
      </c>
      <c r="B2593" s="3"/>
      <c r="C2593" s="4" t="s">
        <v>4684</v>
      </c>
      <c r="D2593" s="4" t="s">
        <v>3204</v>
      </c>
      <c r="E2593" s="79" t="s">
        <v>3205</v>
      </c>
      <c r="F2593" s="5" t="str">
        <f t="shared" si="40"/>
        <v>purakliniken.se</v>
      </c>
      <c r="G2593" s="5" t="s">
        <v>4</v>
      </c>
      <c r="H2593" s="5" t="s">
        <v>5</v>
      </c>
      <c r="I2593" s="6">
        <v>45669</v>
      </c>
    </row>
    <row r="2594" spans="1:9" ht="13.5">
      <c r="A2594" s="7" t="s">
        <v>3747</v>
      </c>
      <c r="B2594" s="3"/>
      <c r="C2594" s="4" t="s">
        <v>4685</v>
      </c>
      <c r="D2594" s="4" t="s">
        <v>3749</v>
      </c>
      <c r="E2594" s="79" t="s">
        <v>3750</v>
      </c>
      <c r="F2594" s="5" t="str">
        <f t="shared" si="40"/>
        <v>supernormal.health</v>
      </c>
      <c r="G2594" s="5" t="s">
        <v>4</v>
      </c>
      <c r="H2594" s="5" t="s">
        <v>5</v>
      </c>
      <c r="I2594" s="6">
        <v>45669</v>
      </c>
    </row>
    <row r="2595" spans="1:9" ht="13.5">
      <c r="A2595" s="2" t="s">
        <v>3824</v>
      </c>
      <c r="B2595" s="3"/>
      <c r="C2595" s="4" t="s">
        <v>4686</v>
      </c>
      <c r="D2595" s="4" t="s">
        <v>4358</v>
      </c>
      <c r="E2595" s="79" t="s">
        <v>4040</v>
      </c>
      <c r="F2595" s="5" t="str">
        <f t="shared" si="40"/>
        <v>swedenlongstay.se</v>
      </c>
      <c r="G2595" s="5" t="s">
        <v>4</v>
      </c>
      <c r="H2595" s="5" t="s">
        <v>5</v>
      </c>
      <c r="I2595" s="6">
        <v>45669</v>
      </c>
    </row>
    <row r="2596" spans="1:9" ht="13.5">
      <c r="A2596" s="2" t="s">
        <v>4055</v>
      </c>
      <c r="B2596" s="3"/>
      <c r="C2596" s="4" t="s">
        <v>4687</v>
      </c>
      <c r="D2596" s="4" t="s">
        <v>4057</v>
      </c>
      <c r="E2596" s="79" t="s">
        <v>4363</v>
      </c>
      <c r="F2596" s="5" t="str">
        <f t="shared" si="40"/>
        <v>skidvalla.se</v>
      </c>
      <c r="G2596" s="5" t="s">
        <v>4</v>
      </c>
      <c r="H2596" s="5" t="s">
        <v>5</v>
      </c>
      <c r="I2596" s="6">
        <v>45669</v>
      </c>
    </row>
    <row r="2597" spans="1:9" ht="13.5">
      <c r="A2597" s="2" t="s">
        <v>4051</v>
      </c>
      <c r="B2597" s="3"/>
      <c r="C2597" s="4" t="s">
        <v>4688</v>
      </c>
      <c r="D2597" s="4" t="s">
        <v>4051</v>
      </c>
      <c r="E2597" s="87" t="s">
        <v>4051</v>
      </c>
      <c r="F2597" s="5" t="str">
        <f t="shared" si="40"/>
        <v>hund.se</v>
      </c>
      <c r="G2597" s="5" t="s">
        <v>4</v>
      </c>
      <c r="H2597" s="5" t="s">
        <v>5</v>
      </c>
      <c r="I2597" s="6">
        <v>45669</v>
      </c>
    </row>
    <row r="2598" spans="1:9" ht="13.5">
      <c r="A2598" s="2" t="s">
        <v>4051</v>
      </c>
      <c r="B2598" s="3"/>
      <c r="C2598" s="4" t="s">
        <v>4689</v>
      </c>
      <c r="D2598" s="4" t="s">
        <v>4128</v>
      </c>
      <c r="E2598" s="79" t="s">
        <v>4129</v>
      </c>
      <c r="F2598" s="5" t="str">
        <f t="shared" si="40"/>
        <v>hund.se</v>
      </c>
      <c r="G2598" s="5" t="s">
        <v>4</v>
      </c>
      <c r="H2598" s="5" t="s">
        <v>5</v>
      </c>
      <c r="I2598" s="6">
        <v>45669</v>
      </c>
    </row>
    <row r="2599" spans="1:9" ht="13.5">
      <c r="A2599" s="2" t="s">
        <v>4135</v>
      </c>
      <c r="B2599" s="3"/>
      <c r="C2599" s="4" t="s">
        <v>4690</v>
      </c>
      <c r="D2599" s="4" t="s">
        <v>4368</v>
      </c>
      <c r="E2599" s="79" t="s">
        <v>4369</v>
      </c>
      <c r="F2599" s="5" t="str">
        <f t="shared" si="40"/>
        <v>aerius.se</v>
      </c>
      <c r="G2599" s="5" t="s">
        <v>4</v>
      </c>
      <c r="H2599" s="5" t="s">
        <v>5</v>
      </c>
      <c r="I2599" s="6">
        <v>45669</v>
      </c>
    </row>
    <row r="2600" spans="1:9" ht="13.5">
      <c r="A2600" s="2" t="s">
        <v>171</v>
      </c>
      <c r="B2600" s="3"/>
      <c r="C2600" s="4" t="s">
        <v>4691</v>
      </c>
      <c r="D2600" s="4" t="s">
        <v>1095</v>
      </c>
      <c r="E2600" s="79" t="s">
        <v>1533</v>
      </c>
      <c r="F2600" s="5" t="str">
        <f t="shared" si="40"/>
        <v>arctic.se</v>
      </c>
      <c r="G2600" s="5" t="s">
        <v>4</v>
      </c>
      <c r="H2600" s="5" t="s">
        <v>5</v>
      </c>
      <c r="I2600" s="6">
        <v>45669</v>
      </c>
    </row>
    <row r="2601" spans="1:9" ht="13.5">
      <c r="A2601" s="2" t="s">
        <v>171</v>
      </c>
      <c r="B2601" s="3"/>
      <c r="C2601" s="4" t="s">
        <v>4692</v>
      </c>
      <c r="D2601" s="4" t="s">
        <v>1095</v>
      </c>
      <c r="E2601" s="79" t="s">
        <v>2856</v>
      </c>
      <c r="F2601" s="5" t="str">
        <f t="shared" si="40"/>
        <v>arctic.se</v>
      </c>
      <c r="G2601" s="5" t="s">
        <v>4</v>
      </c>
      <c r="H2601" s="5" t="s">
        <v>5</v>
      </c>
      <c r="I2601" s="6">
        <v>45669</v>
      </c>
    </row>
    <row r="2602" spans="1:9" ht="13.5">
      <c r="A2602" s="2" t="s">
        <v>535</v>
      </c>
      <c r="B2602" s="3"/>
      <c r="C2602" s="4" t="s">
        <v>4693</v>
      </c>
      <c r="D2602" s="4" t="s">
        <v>2806</v>
      </c>
      <c r="E2602" s="79" t="s">
        <v>2807</v>
      </c>
      <c r="F2602" s="5" t="str">
        <f t="shared" si="40"/>
        <v>tryggbil.se</v>
      </c>
      <c r="G2602" s="5" t="s">
        <v>4</v>
      </c>
      <c r="H2602" s="5" t="s">
        <v>5</v>
      </c>
      <c r="I2602" s="6">
        <v>45669</v>
      </c>
    </row>
    <row r="2603" spans="1:9" ht="13.5">
      <c r="A2603" s="2" t="s">
        <v>4373</v>
      </c>
      <c r="B2603" s="3"/>
      <c r="C2603" s="4" t="s">
        <v>4694</v>
      </c>
      <c r="D2603" s="4" t="s">
        <v>4375</v>
      </c>
      <c r="E2603" s="79" t="s">
        <v>4376</v>
      </c>
      <c r="F2603" s="5" t="str">
        <f t="shared" si="40"/>
        <v>vardagsfrid.se</v>
      </c>
      <c r="G2603" s="5" t="s">
        <v>4</v>
      </c>
      <c r="H2603" s="5" t="s">
        <v>5</v>
      </c>
      <c r="I2603" s="6">
        <v>45669</v>
      </c>
    </row>
    <row r="2604" spans="1:9" ht="13.5">
      <c r="A2604" s="2" t="s">
        <v>2948</v>
      </c>
      <c r="B2604" s="3"/>
      <c r="C2604" s="4" t="s">
        <v>4695</v>
      </c>
      <c r="D2604" s="4" t="s">
        <v>2950</v>
      </c>
      <c r="E2604" s="79" t="s">
        <v>3357</v>
      </c>
      <c r="F2604" s="5" t="str">
        <f t="shared" si="40"/>
        <v>joureliten.se</v>
      </c>
      <c r="G2604" s="5" t="s">
        <v>4</v>
      </c>
      <c r="H2604" s="5" t="s">
        <v>5</v>
      </c>
      <c r="I2604" s="6">
        <v>45669</v>
      </c>
    </row>
    <row r="2605" spans="1:9" ht="13.5">
      <c r="A2605" s="2" t="s">
        <v>2948</v>
      </c>
      <c r="B2605" s="3"/>
      <c r="C2605" s="4" t="s">
        <v>4696</v>
      </c>
      <c r="D2605" s="4" t="s">
        <v>2950</v>
      </c>
      <c r="E2605" s="79" t="s">
        <v>3357</v>
      </c>
      <c r="F2605" s="5" t="str">
        <f t="shared" si="40"/>
        <v>joureliten.se</v>
      </c>
      <c r="G2605" s="5" t="s">
        <v>4</v>
      </c>
      <c r="H2605" s="5" t="s">
        <v>5</v>
      </c>
      <c r="I2605" s="6">
        <v>45669</v>
      </c>
    </row>
    <row r="2606" spans="1:9" ht="13.5">
      <c r="A2606" s="2" t="s">
        <v>2549</v>
      </c>
      <c r="B2606" s="3"/>
      <c r="C2606" s="4" t="s">
        <v>4697</v>
      </c>
      <c r="D2606" s="4" t="s">
        <v>4380</v>
      </c>
      <c r="E2606" s="79" t="s">
        <v>4698</v>
      </c>
      <c r="F2606" s="5" t="str">
        <f t="shared" si="40"/>
        <v>purakliniken.se</v>
      </c>
      <c r="G2606" s="5" t="s">
        <v>4</v>
      </c>
      <c r="H2606" s="5" t="s">
        <v>5</v>
      </c>
      <c r="I2606" s="6">
        <v>45669</v>
      </c>
    </row>
    <row r="2607" spans="1:9" ht="13.5">
      <c r="A2607" s="2" t="s">
        <v>3743</v>
      </c>
      <c r="B2607" s="3"/>
      <c r="C2607" s="4" t="s">
        <v>4699</v>
      </c>
      <c r="D2607" s="4" t="s">
        <v>4383</v>
      </c>
      <c r="E2607" s="79" t="s">
        <v>4384</v>
      </c>
      <c r="F2607" s="5" t="str">
        <f t="shared" si="40"/>
        <v>acnespecialisten.se</v>
      </c>
      <c r="G2607" s="5" t="s">
        <v>4</v>
      </c>
      <c r="H2607" s="5" t="s">
        <v>5</v>
      </c>
      <c r="I2607" s="6">
        <v>45669</v>
      </c>
    </row>
    <row r="2608" spans="1:9" ht="13.5">
      <c r="A2608" s="2" t="s">
        <v>4458</v>
      </c>
      <c r="B2608" s="3"/>
      <c r="C2608" s="4" t="s">
        <v>4700</v>
      </c>
      <c r="D2608" s="4" t="s">
        <v>4460</v>
      </c>
      <c r="E2608" s="79" t="s">
        <v>2234</v>
      </c>
      <c r="F2608" s="5" t="str">
        <f t="shared" si="40"/>
        <v>cdbilvardsprodukter.se</v>
      </c>
      <c r="G2608" s="5" t="s">
        <v>4</v>
      </c>
      <c r="H2608" s="5" t="s">
        <v>5</v>
      </c>
      <c r="I2608" s="6">
        <v>45669</v>
      </c>
    </row>
    <row r="2609" spans="1:9" ht="13.5">
      <c r="A2609" s="2" t="s">
        <v>2240</v>
      </c>
      <c r="B2609" s="3"/>
      <c r="C2609" s="4" t="s">
        <v>4701</v>
      </c>
      <c r="D2609" s="8" t="s">
        <v>2240</v>
      </c>
      <c r="E2609" s="5" t="s">
        <v>3494</v>
      </c>
      <c r="F2609" s="5" t="str">
        <f t="shared" si="40"/>
        <v>mrnicco.com</v>
      </c>
      <c r="G2609" s="5" t="s">
        <v>4</v>
      </c>
      <c r="H2609" s="5" t="s">
        <v>4121</v>
      </c>
      <c r="I2609" s="6">
        <v>45670</v>
      </c>
    </row>
    <row r="2610" spans="1:9" ht="13.5">
      <c r="A2610" s="2" t="s">
        <v>4433</v>
      </c>
      <c r="B2610" s="3"/>
      <c r="C2610" s="4" t="s">
        <v>4702</v>
      </c>
      <c r="D2610" s="4" t="s">
        <v>4435</v>
      </c>
      <c r="E2610" s="5" t="s">
        <v>4703</v>
      </c>
      <c r="F2610" s="5" t="str">
        <f t="shared" si="40"/>
        <v>svenskiptv.com</v>
      </c>
      <c r="G2610" s="5" t="s">
        <v>4</v>
      </c>
      <c r="H2610" s="5" t="s">
        <v>5</v>
      </c>
      <c r="I2610" s="6">
        <v>45671</v>
      </c>
    </row>
    <row r="2611" spans="1:9" ht="13.5">
      <c r="A2611" s="2" t="s">
        <v>4558</v>
      </c>
      <c r="B2611" s="3"/>
      <c r="C2611" s="4" t="s">
        <v>4704</v>
      </c>
      <c r="D2611" s="4" t="s">
        <v>4705</v>
      </c>
      <c r="E2611" s="5" t="s">
        <v>4706</v>
      </c>
      <c r="F2611" s="5" t="str">
        <f t="shared" si="40"/>
        <v>mockfjards.se</v>
      </c>
      <c r="G2611" s="5" t="s">
        <v>4</v>
      </c>
      <c r="H2611" s="5" t="s">
        <v>5</v>
      </c>
      <c r="I2611" s="6">
        <v>45672</v>
      </c>
    </row>
    <row r="2612" spans="1:9" ht="13.5">
      <c r="A2612" s="2" t="s">
        <v>4433</v>
      </c>
      <c r="B2612" s="3"/>
      <c r="C2612" s="4" t="s">
        <v>4707</v>
      </c>
      <c r="D2612" s="4" t="s">
        <v>4435</v>
      </c>
      <c r="E2612" s="5" t="s">
        <v>4708</v>
      </c>
      <c r="F2612" s="5" t="str">
        <f t="shared" si="40"/>
        <v>svenskiptv.com</v>
      </c>
      <c r="G2612" s="5" t="s">
        <v>4</v>
      </c>
      <c r="H2612" s="5" t="s">
        <v>5</v>
      </c>
      <c r="I2612" s="6">
        <v>45673</v>
      </c>
    </row>
    <row r="2613" spans="1:9" ht="13.5">
      <c r="A2613" s="2" t="s">
        <v>3761</v>
      </c>
      <c r="B2613" s="3"/>
      <c r="C2613" s="5" t="s">
        <v>4709</v>
      </c>
      <c r="D2613" s="5" t="s">
        <v>3908</v>
      </c>
      <c r="E2613" s="5" t="s">
        <v>3033</v>
      </c>
      <c r="F2613" s="5" t="str">
        <f t="shared" si="40"/>
        <v>hajper.com</v>
      </c>
      <c r="G2613" s="5" t="s">
        <v>4</v>
      </c>
      <c r="H2613" s="5" t="s">
        <v>5</v>
      </c>
      <c r="I2613" s="6">
        <v>45674</v>
      </c>
    </row>
    <row r="2614" spans="1:9" ht="13.5">
      <c r="A2614" s="2" t="s">
        <v>4197</v>
      </c>
      <c r="B2614" s="3"/>
      <c r="C2614" s="4" t="s">
        <v>4710</v>
      </c>
      <c r="D2614" s="4" t="s">
        <v>4199</v>
      </c>
      <c r="E2614" s="5" t="s">
        <v>4711</v>
      </c>
      <c r="F2614" s="5" t="str">
        <f t="shared" si="40"/>
        <v>tigerofsweden.com</v>
      </c>
      <c r="G2614" s="5" t="s">
        <v>4</v>
      </c>
      <c r="H2614" s="5" t="s">
        <v>5</v>
      </c>
      <c r="I2614" s="6">
        <v>45677</v>
      </c>
    </row>
    <row r="2615" spans="1:9" ht="13.5">
      <c r="A2615" s="2" t="s">
        <v>4197</v>
      </c>
      <c r="B2615" s="3"/>
      <c r="C2615" s="4" t="s">
        <v>4712</v>
      </c>
      <c r="D2615" s="4" t="s">
        <v>4199</v>
      </c>
      <c r="E2615" s="5" t="s">
        <v>4711</v>
      </c>
      <c r="F2615" s="5" t="str">
        <f t="shared" si="40"/>
        <v>tigerofsweden.com</v>
      </c>
      <c r="G2615" s="5" t="s">
        <v>4</v>
      </c>
      <c r="H2615" s="5" t="s">
        <v>5</v>
      </c>
      <c r="I2615" s="6">
        <v>45677</v>
      </c>
    </row>
    <row r="2616" spans="1:9" ht="13.5">
      <c r="A2616" s="2" t="s">
        <v>4197</v>
      </c>
      <c r="B2616" s="3"/>
      <c r="C2616" s="8" t="s">
        <v>4713</v>
      </c>
      <c r="D2616" s="4" t="s">
        <v>4199</v>
      </c>
      <c r="E2616" s="5" t="s">
        <v>4711</v>
      </c>
      <c r="F2616" s="5" t="str">
        <f t="shared" si="40"/>
        <v>tigerofsweden.com</v>
      </c>
      <c r="G2616" s="5" t="s">
        <v>4</v>
      </c>
      <c r="H2616" s="5" t="s">
        <v>5</v>
      </c>
      <c r="I2616" s="6">
        <v>45677</v>
      </c>
    </row>
    <row r="2617" spans="1:9" ht="13.5">
      <c r="A2617" s="2" t="s">
        <v>846</v>
      </c>
      <c r="B2617" s="3"/>
      <c r="C2617" s="138" t="s">
        <v>4714</v>
      </c>
      <c r="D2617" s="138" t="s">
        <v>1043</v>
      </c>
      <c r="E2617" s="5" t="s">
        <v>4715</v>
      </c>
      <c r="F2617" s="5" t="str">
        <f t="shared" si="40"/>
        <v>tandea.se</v>
      </c>
      <c r="G2617" s="5" t="s">
        <v>4</v>
      </c>
      <c r="H2617" s="5" t="s">
        <v>5</v>
      </c>
      <c r="I2617" s="6">
        <v>45677</v>
      </c>
    </row>
    <row r="2618" spans="1:9" ht="13.5">
      <c r="A2618" s="2" t="s">
        <v>4433</v>
      </c>
      <c r="B2618" s="3"/>
      <c r="C2618" s="4" t="s">
        <v>4716</v>
      </c>
      <c r="D2618" s="4" t="s">
        <v>4435</v>
      </c>
      <c r="E2618" s="5" t="s">
        <v>4436</v>
      </c>
      <c r="F2618" s="5" t="str">
        <f t="shared" si="40"/>
        <v>svenskiptv.com</v>
      </c>
      <c r="G2618" s="5" t="s">
        <v>4</v>
      </c>
      <c r="H2618" s="5" t="s">
        <v>5</v>
      </c>
      <c r="I2618" s="6">
        <v>45677</v>
      </c>
    </row>
    <row r="2619" spans="1:9" ht="13.5">
      <c r="A2619" s="2" t="s">
        <v>4219</v>
      </c>
      <c r="B2619" s="3"/>
      <c r="C2619" s="4" t="s">
        <v>4717</v>
      </c>
      <c r="D2619" s="4" t="s">
        <v>4224</v>
      </c>
      <c r="E2619" s="5" t="s">
        <v>4225</v>
      </c>
      <c r="F2619" s="5" t="str">
        <f t="shared" si="40"/>
        <v>clearfuze.com</v>
      </c>
      <c r="G2619" s="5" t="s">
        <v>4</v>
      </c>
      <c r="H2619" s="5" t="s">
        <v>345</v>
      </c>
      <c r="I2619" s="6">
        <v>45677</v>
      </c>
    </row>
    <row r="2620" spans="1:9" ht="13.5">
      <c r="A2620" s="2" t="s">
        <v>2348</v>
      </c>
      <c r="B2620" s="3"/>
      <c r="C2620" s="4" t="s">
        <v>4718</v>
      </c>
      <c r="D2620" s="4" t="s">
        <v>2350</v>
      </c>
      <c r="E2620" s="5" t="s">
        <v>4719</v>
      </c>
      <c r="F2620" s="5" t="str">
        <f t="shared" si="40"/>
        <v>mobot.com</v>
      </c>
      <c r="G2620" s="5" t="s">
        <v>4</v>
      </c>
      <c r="H2620" s="5" t="s">
        <v>345</v>
      </c>
      <c r="I2620" s="6">
        <v>45678</v>
      </c>
    </row>
    <row r="2621" spans="1:9" ht="13.5">
      <c r="A2621" s="2" t="s">
        <v>2348</v>
      </c>
      <c r="B2621" s="3"/>
      <c r="C2621" s="4" t="s">
        <v>4720</v>
      </c>
      <c r="D2621" s="4" t="s">
        <v>2350</v>
      </c>
      <c r="E2621" s="5" t="s">
        <v>2351</v>
      </c>
      <c r="F2621" s="5" t="str">
        <f t="shared" si="40"/>
        <v>mobot.com</v>
      </c>
      <c r="G2621" s="5" t="s">
        <v>4</v>
      </c>
      <c r="H2621" s="5" t="s">
        <v>345</v>
      </c>
      <c r="I2621" s="6">
        <v>45678</v>
      </c>
    </row>
    <row r="2622" spans="1:9" ht="13.5">
      <c r="A2622" s="2" t="s">
        <v>2348</v>
      </c>
      <c r="B2622" s="3"/>
      <c r="C2622" s="4" t="s">
        <v>4721</v>
      </c>
      <c r="D2622" s="4" t="s">
        <v>2350</v>
      </c>
      <c r="E2622" s="5" t="s">
        <v>4719</v>
      </c>
      <c r="F2622" s="5" t="str">
        <f t="shared" si="40"/>
        <v>mobot.com</v>
      </c>
      <c r="G2622" s="5" t="s">
        <v>4</v>
      </c>
      <c r="H2622" s="5" t="s">
        <v>345</v>
      </c>
      <c r="I2622" s="6">
        <v>45678</v>
      </c>
    </row>
    <row r="2623" spans="1:9" ht="13.5">
      <c r="A2623" s="2" t="s">
        <v>2348</v>
      </c>
      <c r="B2623" s="3"/>
      <c r="C2623" s="4" t="s">
        <v>4722</v>
      </c>
      <c r="D2623" s="4" t="s">
        <v>2350</v>
      </c>
      <c r="E2623" s="5" t="s">
        <v>2351</v>
      </c>
      <c r="F2623" s="5" t="str">
        <f t="shared" si="40"/>
        <v>mobot.com</v>
      </c>
      <c r="G2623" s="5" t="s">
        <v>4</v>
      </c>
      <c r="H2623" s="5" t="s">
        <v>345</v>
      </c>
      <c r="I2623" s="6">
        <v>45678</v>
      </c>
    </row>
    <row r="2624" spans="1:9" ht="13.5">
      <c r="A2624" s="2" t="s">
        <v>4489</v>
      </c>
      <c r="B2624" s="3"/>
      <c r="C2624" s="4" t="s">
        <v>4723</v>
      </c>
      <c r="D2624" s="4" t="s">
        <v>4491</v>
      </c>
      <c r="E2624" s="5" t="s">
        <v>4724</v>
      </c>
      <c r="F2624" s="5" t="str">
        <f t="shared" si="40"/>
        <v>nordicknots.com</v>
      </c>
      <c r="G2624" s="5" t="s">
        <v>4</v>
      </c>
      <c r="H2624" s="5" t="s">
        <v>345</v>
      </c>
      <c r="I2624" s="6">
        <v>45678</v>
      </c>
    </row>
    <row r="2625" spans="1:9" ht="13.5">
      <c r="A2625" s="2" t="s">
        <v>3128</v>
      </c>
      <c r="B2625" s="3"/>
      <c r="C2625" s="4" t="s">
        <v>4725</v>
      </c>
      <c r="D2625" s="4" t="s">
        <v>3130</v>
      </c>
      <c r="E2625" s="5" t="s">
        <v>3115</v>
      </c>
      <c r="F2625" s="5" t="str">
        <f t="shared" si="40"/>
        <v>bethard.com</v>
      </c>
      <c r="G2625" s="5" t="s">
        <v>4</v>
      </c>
      <c r="H2625" s="5" t="s">
        <v>5</v>
      </c>
      <c r="I2625" s="6">
        <v>45678</v>
      </c>
    </row>
    <row r="2626" spans="1:9" ht="13.5">
      <c r="A2626" s="7" t="s">
        <v>3419</v>
      </c>
      <c r="B2626" s="3"/>
      <c r="C2626" s="5" t="s">
        <v>4726</v>
      </c>
      <c r="D2626" s="5" t="s">
        <v>4727</v>
      </c>
      <c r="E2626" s="5" t="s">
        <v>4728</v>
      </c>
      <c r="F2626" s="5" t="str">
        <f t="shared" si="40"/>
        <v>zmarta</v>
      </c>
      <c r="G2626" s="5" t="s">
        <v>4</v>
      </c>
      <c r="H2626" s="5" t="s">
        <v>5</v>
      </c>
      <c r="I2626" s="6">
        <v>45678</v>
      </c>
    </row>
    <row r="2627" spans="1:9" ht="13.5">
      <c r="A2627" s="2" t="s">
        <v>3682</v>
      </c>
      <c r="B2627" s="3"/>
      <c r="C2627" s="5" t="s">
        <v>4729</v>
      </c>
      <c r="D2627" s="5" t="s">
        <v>4072</v>
      </c>
      <c r="E2627" s="5" t="s">
        <v>4510</v>
      </c>
      <c r="F2627" s="5" t="str">
        <f t="shared" ref="F2627:F2690" si="41">A2627</f>
        <v>upplevelse.com</v>
      </c>
      <c r="G2627" s="5" t="s">
        <v>4</v>
      </c>
      <c r="H2627" s="5" t="s">
        <v>5</v>
      </c>
      <c r="I2627" s="6">
        <v>45678</v>
      </c>
    </row>
    <row r="2628" spans="1:9" ht="13.5">
      <c r="A2628" s="7" t="s">
        <v>4164</v>
      </c>
      <c r="B2628" s="3"/>
      <c r="C2628" s="5" t="s">
        <v>4730</v>
      </c>
      <c r="D2628" s="5" t="s">
        <v>4657</v>
      </c>
      <c r="E2628" s="5" t="s">
        <v>3681</v>
      </c>
      <c r="F2628" s="5" t="str">
        <f t="shared" si="41"/>
        <v>casinogringos.se</v>
      </c>
      <c r="G2628" s="5" t="s">
        <v>4</v>
      </c>
      <c r="H2628" s="5" t="s">
        <v>5</v>
      </c>
      <c r="I2628" s="6">
        <v>45678</v>
      </c>
    </row>
    <row r="2629" spans="1:9" ht="13.5">
      <c r="A2629" s="7" t="s">
        <v>3791</v>
      </c>
      <c r="B2629" s="3"/>
      <c r="C2629" s="4" t="s">
        <v>4731</v>
      </c>
      <c r="D2629" s="4" t="s">
        <v>4187</v>
      </c>
      <c r="E2629" s="5" t="s">
        <v>4732</v>
      </c>
      <c r="F2629" s="5" t="str">
        <f t="shared" si="41"/>
        <v>coface</v>
      </c>
      <c r="G2629" s="5" t="s">
        <v>4</v>
      </c>
      <c r="H2629" s="5" t="s">
        <v>5</v>
      </c>
      <c r="I2629" s="6">
        <v>45679</v>
      </c>
    </row>
    <row r="2630" spans="1:9" ht="13.5">
      <c r="A2630" s="2" t="s">
        <v>4051</v>
      </c>
      <c r="B2630" s="3"/>
      <c r="C2630" s="4" t="s">
        <v>4733</v>
      </c>
      <c r="D2630" s="4" t="s">
        <v>4314</v>
      </c>
      <c r="E2630" s="5" t="s">
        <v>4315</v>
      </c>
      <c r="F2630" s="5" t="str">
        <f t="shared" si="41"/>
        <v>hund.se</v>
      </c>
      <c r="G2630" s="5" t="s">
        <v>4</v>
      </c>
      <c r="H2630" s="5" t="s">
        <v>5</v>
      </c>
      <c r="I2630" s="6">
        <v>45679</v>
      </c>
    </row>
    <row r="2631" spans="1:9" ht="13.5">
      <c r="A2631" s="2" t="s">
        <v>3580</v>
      </c>
      <c r="B2631" s="3"/>
      <c r="C2631" s="4" t="s">
        <v>4734</v>
      </c>
      <c r="D2631" s="4" t="s">
        <v>3580</v>
      </c>
      <c r="E2631" s="5" t="s">
        <v>4735</v>
      </c>
      <c r="F2631" s="5" t="str">
        <f t="shared" si="41"/>
        <v>kleer.se</v>
      </c>
      <c r="G2631" s="5" t="s">
        <v>4</v>
      </c>
      <c r="H2631" s="5" t="s">
        <v>5</v>
      </c>
      <c r="I2631" s="6">
        <v>45679</v>
      </c>
    </row>
    <row r="2632" spans="1:9" ht="13.5">
      <c r="A2632" s="2" t="s">
        <v>4409</v>
      </c>
      <c r="B2632" s="3"/>
      <c r="C2632" s="4" t="s">
        <v>4736</v>
      </c>
      <c r="D2632" s="4" t="s">
        <v>4532</v>
      </c>
      <c r="E2632" s="5" t="s">
        <v>4737</v>
      </c>
      <c r="F2632" s="5" t="str">
        <f t="shared" si="41"/>
        <v>svenskafonster.se</v>
      </c>
      <c r="G2632" s="5" t="s">
        <v>4</v>
      </c>
      <c r="H2632" s="5" t="s">
        <v>5</v>
      </c>
      <c r="I2632" s="6">
        <v>45679</v>
      </c>
    </row>
    <row r="2633" spans="1:9" ht="13.5">
      <c r="A2633" s="2" t="s">
        <v>4553</v>
      </c>
      <c r="B2633" s="3"/>
      <c r="C2633" s="4" t="s">
        <v>4738</v>
      </c>
      <c r="D2633" s="4" t="s">
        <v>4553</v>
      </c>
      <c r="E2633" s="5" t="s">
        <v>4555</v>
      </c>
      <c r="F2633" s="5" t="str">
        <f t="shared" si="41"/>
        <v>tkw.se</v>
      </c>
      <c r="G2633" s="5" t="s">
        <v>4</v>
      </c>
      <c r="H2633" s="5" t="s">
        <v>5</v>
      </c>
      <c r="I2633" s="6">
        <v>45679</v>
      </c>
    </row>
    <row r="2634" spans="1:9" ht="13.5">
      <c r="A2634" s="2" t="s">
        <v>4135</v>
      </c>
      <c r="B2634" s="3"/>
      <c r="C2634" s="4" t="s">
        <v>4739</v>
      </c>
      <c r="D2634" s="4" t="s">
        <v>4740</v>
      </c>
      <c r="E2634" s="5" t="s">
        <v>4414</v>
      </c>
      <c r="F2634" s="5" t="str">
        <f t="shared" si="41"/>
        <v>aerius.se</v>
      </c>
      <c r="G2634" s="5" t="s">
        <v>4</v>
      </c>
      <c r="H2634" s="5" t="s">
        <v>5</v>
      </c>
      <c r="I2634" s="6">
        <v>45679</v>
      </c>
    </row>
    <row r="2635" spans="1:9" ht="13.5">
      <c r="A2635" s="2" t="s">
        <v>435</v>
      </c>
      <c r="B2635" s="3"/>
      <c r="C2635" s="4" t="s">
        <v>4741</v>
      </c>
      <c r="D2635" s="4" t="s">
        <v>4742</v>
      </c>
      <c r="E2635" s="5" t="s">
        <v>839</v>
      </c>
      <c r="F2635" s="5" t="str">
        <f t="shared" si="41"/>
        <v>fairinvestments.se</v>
      </c>
      <c r="G2635" s="5" t="s">
        <v>4</v>
      </c>
      <c r="H2635" s="5" t="s">
        <v>5</v>
      </c>
      <c r="I2635" s="6">
        <v>45679</v>
      </c>
    </row>
    <row r="2636" spans="1:9" ht="13.5">
      <c r="A2636" s="2" t="s">
        <v>435</v>
      </c>
      <c r="B2636" s="3"/>
      <c r="C2636" s="4" t="s">
        <v>4743</v>
      </c>
      <c r="D2636" s="4" t="s">
        <v>1734</v>
      </c>
      <c r="E2636" s="5" t="s">
        <v>839</v>
      </c>
      <c r="F2636" s="5" t="str">
        <f t="shared" si="41"/>
        <v>fairinvestments.se</v>
      </c>
      <c r="G2636" s="5" t="s">
        <v>4</v>
      </c>
      <c r="H2636" s="5" t="s">
        <v>5</v>
      </c>
      <c r="I2636" s="6">
        <v>45679</v>
      </c>
    </row>
    <row r="2637" spans="1:9" ht="13.5">
      <c r="A2637" s="2" t="s">
        <v>435</v>
      </c>
      <c r="B2637" s="3"/>
      <c r="C2637" s="4" t="s">
        <v>4744</v>
      </c>
      <c r="D2637" s="4" t="s">
        <v>4745</v>
      </c>
      <c r="E2637" s="5" t="s">
        <v>839</v>
      </c>
      <c r="F2637" s="5" t="str">
        <f t="shared" si="41"/>
        <v>fairinvestments.se</v>
      </c>
      <c r="G2637" s="5" t="s">
        <v>4</v>
      </c>
      <c r="H2637" s="5" t="s">
        <v>5</v>
      </c>
      <c r="I2637" s="6">
        <v>45679</v>
      </c>
    </row>
    <row r="2638" spans="1:9" ht="13.5">
      <c r="A2638" s="2" t="s">
        <v>3058</v>
      </c>
      <c r="B2638" s="3"/>
      <c r="C2638" s="4" t="s">
        <v>4746</v>
      </c>
      <c r="D2638" s="4" t="s">
        <v>4747</v>
      </c>
      <c r="E2638" s="5" t="s">
        <v>3064</v>
      </c>
      <c r="F2638" s="5" t="str">
        <f t="shared" si="41"/>
        <v>rusta.se</v>
      </c>
      <c r="G2638" s="5" t="s">
        <v>4</v>
      </c>
      <c r="H2638" s="5" t="s">
        <v>5</v>
      </c>
      <c r="I2638" s="6">
        <v>45679</v>
      </c>
    </row>
    <row r="2639" spans="1:9" ht="13.5">
      <c r="A2639" s="7" t="s">
        <v>224</v>
      </c>
      <c r="B2639" s="3"/>
      <c r="C2639" s="4" t="s">
        <v>4748</v>
      </c>
      <c r="D2639" s="4" t="s">
        <v>226</v>
      </c>
      <c r="E2639" s="5" t="s">
        <v>368</v>
      </c>
      <c r="F2639" s="5" t="str">
        <f t="shared" si="41"/>
        <v>swedoffice</v>
      </c>
      <c r="G2639" s="5" t="s">
        <v>4</v>
      </c>
      <c r="H2639" s="5" t="s">
        <v>5</v>
      </c>
      <c r="I2639" s="6">
        <v>45679</v>
      </c>
    </row>
    <row r="2640" spans="1:9" ht="13.5">
      <c r="A2640" s="7" t="s">
        <v>3791</v>
      </c>
      <c r="B2640" s="3"/>
      <c r="C2640" s="138" t="s">
        <v>4749</v>
      </c>
      <c r="D2640" s="4" t="s">
        <v>3822</v>
      </c>
      <c r="E2640" s="5" t="s">
        <v>4750</v>
      </c>
      <c r="F2640" s="5" t="str">
        <f t="shared" si="41"/>
        <v>coface</v>
      </c>
      <c r="G2640" s="5" t="s">
        <v>4</v>
      </c>
      <c r="H2640" s="5" t="s">
        <v>5</v>
      </c>
      <c r="I2640" s="6">
        <v>45679</v>
      </c>
    </row>
    <row r="2641" spans="1:9" ht="13.5">
      <c r="A2641" s="2" t="s">
        <v>435</v>
      </c>
      <c r="B2641" s="3"/>
      <c r="C2641" s="138" t="s">
        <v>4751</v>
      </c>
      <c r="D2641" s="4" t="s">
        <v>973</v>
      </c>
      <c r="E2641" s="5" t="s">
        <v>2692</v>
      </c>
      <c r="F2641" s="5" t="str">
        <f t="shared" si="41"/>
        <v>fairinvestments.se</v>
      </c>
      <c r="G2641" s="5" t="s">
        <v>4</v>
      </c>
      <c r="H2641" s="5" t="s">
        <v>5</v>
      </c>
      <c r="I2641" s="6">
        <v>45679</v>
      </c>
    </row>
    <row r="2642" spans="1:9" ht="13.5">
      <c r="A2642" s="2" t="s">
        <v>435</v>
      </c>
      <c r="B2642" s="3"/>
      <c r="C2642" s="138" t="s">
        <v>4752</v>
      </c>
      <c r="D2642" s="4" t="s">
        <v>973</v>
      </c>
      <c r="E2642" s="5" t="s">
        <v>2692</v>
      </c>
      <c r="F2642" s="5" t="str">
        <f t="shared" si="41"/>
        <v>fairinvestments.se</v>
      </c>
      <c r="G2642" s="5" t="s">
        <v>4</v>
      </c>
      <c r="H2642" s="5" t="s">
        <v>5</v>
      </c>
      <c r="I2642" s="6">
        <v>45679</v>
      </c>
    </row>
    <row r="2643" spans="1:9" ht="13.5">
      <c r="A2643" s="7" t="s">
        <v>3341</v>
      </c>
      <c r="B2643" s="3"/>
      <c r="C2643" s="138" t="s">
        <v>4753</v>
      </c>
      <c r="D2643" s="4" t="s">
        <v>4754</v>
      </c>
      <c r="E2643" s="5" t="s">
        <v>3996</v>
      </c>
      <c r="F2643" s="5" t="str">
        <f t="shared" si="41"/>
        <v>navx.store</v>
      </c>
      <c r="G2643" s="5" t="s">
        <v>4</v>
      </c>
      <c r="H2643" s="5" t="s">
        <v>5</v>
      </c>
      <c r="I2643" s="6">
        <v>45679</v>
      </c>
    </row>
    <row r="2644" spans="1:9" ht="13.5">
      <c r="A2644" s="2" t="s">
        <v>3580</v>
      </c>
      <c r="B2644" s="3"/>
      <c r="C2644" s="138" t="s">
        <v>4755</v>
      </c>
      <c r="D2644" s="4" t="s">
        <v>4756</v>
      </c>
      <c r="E2644" s="5" t="s">
        <v>4757</v>
      </c>
      <c r="F2644" s="5" t="str">
        <f t="shared" si="41"/>
        <v>kleer.se</v>
      </c>
      <c r="G2644" s="5" t="s">
        <v>4</v>
      </c>
      <c r="H2644" s="5" t="s">
        <v>5</v>
      </c>
      <c r="I2644" s="6">
        <v>45679</v>
      </c>
    </row>
    <row r="2645" spans="1:9" ht="13.5">
      <c r="A2645" s="7" t="s">
        <v>386</v>
      </c>
      <c r="B2645" s="3"/>
      <c r="C2645" s="138" t="s">
        <v>4758</v>
      </c>
      <c r="D2645" s="4" t="s">
        <v>599</v>
      </c>
      <c r="E2645" s="5" t="s">
        <v>4759</v>
      </c>
      <c r="F2645" s="5" t="str">
        <f t="shared" si="41"/>
        <v>pontech</v>
      </c>
      <c r="G2645" s="5" t="s">
        <v>4</v>
      </c>
      <c r="H2645" s="5" t="s">
        <v>5</v>
      </c>
      <c r="I2645" s="6">
        <v>45679</v>
      </c>
    </row>
    <row r="2646" spans="1:9" ht="13.5">
      <c r="A2646" s="2" t="s">
        <v>2127</v>
      </c>
      <c r="B2646" s="3"/>
      <c r="C2646" s="138" t="s">
        <v>4760</v>
      </c>
      <c r="D2646" s="4" t="s">
        <v>3526</v>
      </c>
      <c r="E2646" s="5" t="s">
        <v>4653</v>
      </c>
      <c r="F2646" s="5" t="str">
        <f t="shared" si="41"/>
        <v>startmotor.se</v>
      </c>
      <c r="G2646" s="5" t="s">
        <v>4</v>
      </c>
      <c r="H2646" s="5" t="s">
        <v>5</v>
      </c>
      <c r="I2646" s="6">
        <v>45679</v>
      </c>
    </row>
    <row r="2647" spans="1:9" ht="13.5">
      <c r="A2647" s="2" t="s">
        <v>2428</v>
      </c>
      <c r="B2647" s="3"/>
      <c r="C2647" s="138" t="s">
        <v>4761</v>
      </c>
      <c r="D2647" s="4" t="s">
        <v>4762</v>
      </c>
      <c r="E2647" s="5" t="s">
        <v>4763</v>
      </c>
      <c r="F2647" s="5" t="str">
        <f t="shared" si="41"/>
        <v>sakraror.se</v>
      </c>
      <c r="G2647" s="5" t="s">
        <v>4</v>
      </c>
      <c r="H2647" s="5" t="s">
        <v>5</v>
      </c>
      <c r="I2647" s="6">
        <v>45679</v>
      </c>
    </row>
    <row r="2648" spans="1:9" ht="13.5">
      <c r="A2648" s="2" t="s">
        <v>4409</v>
      </c>
      <c r="B2648" s="3"/>
      <c r="C2648" s="138" t="s">
        <v>4764</v>
      </c>
      <c r="D2648" s="4" t="s">
        <v>4427</v>
      </c>
      <c r="E2648" s="5" t="s">
        <v>4765</v>
      </c>
      <c r="F2648" s="5" t="str">
        <f t="shared" si="41"/>
        <v>svenskafonster.se</v>
      </c>
      <c r="G2648" s="5" t="s">
        <v>4</v>
      </c>
      <c r="H2648" s="5" t="s">
        <v>5</v>
      </c>
      <c r="I2648" s="6">
        <v>45679</v>
      </c>
    </row>
    <row r="2649" spans="1:9" ht="13.5">
      <c r="A2649" s="2" t="s">
        <v>4766</v>
      </c>
      <c r="B2649" s="3"/>
      <c r="C2649" s="138" t="s">
        <v>4767</v>
      </c>
      <c r="D2649" s="4" t="s">
        <v>4768</v>
      </c>
      <c r="E2649" s="5" t="s">
        <v>4769</v>
      </c>
      <c r="F2649" s="5" t="str">
        <f t="shared" si="41"/>
        <v>ataraxiavardcentral.se</v>
      </c>
      <c r="G2649" s="5" t="s">
        <v>4</v>
      </c>
      <c r="H2649" s="5" t="s">
        <v>5</v>
      </c>
      <c r="I2649" s="6">
        <v>45679</v>
      </c>
    </row>
    <row r="2650" spans="1:9" ht="13.5">
      <c r="A2650" s="2" t="s">
        <v>4558</v>
      </c>
      <c r="B2650" s="3"/>
      <c r="C2650" s="138" t="s">
        <v>4770</v>
      </c>
      <c r="D2650" s="138" t="s">
        <v>4705</v>
      </c>
      <c r="E2650" s="5" t="s">
        <v>4566</v>
      </c>
      <c r="F2650" s="5" t="str">
        <f t="shared" si="41"/>
        <v>mockfjards.se</v>
      </c>
      <c r="G2650" s="5" t="s">
        <v>4</v>
      </c>
      <c r="H2650" s="5" t="s">
        <v>5</v>
      </c>
      <c r="I2650" s="6">
        <v>45679</v>
      </c>
    </row>
    <row r="2651" spans="1:9" ht="13.5">
      <c r="A2651" s="2" t="s">
        <v>4771</v>
      </c>
      <c r="B2651" s="3"/>
      <c r="C2651" s="4" t="s">
        <v>4772</v>
      </c>
      <c r="D2651" s="4" t="s">
        <v>4771</v>
      </c>
      <c r="E2651" s="5" t="s">
        <v>4773</v>
      </c>
      <c r="F2651" s="5" t="str">
        <f t="shared" si="41"/>
        <v>dryft.se</v>
      </c>
      <c r="G2651" s="5" t="s">
        <v>4</v>
      </c>
      <c r="H2651" s="5" t="s">
        <v>5</v>
      </c>
      <c r="I2651" s="6">
        <v>45679</v>
      </c>
    </row>
    <row r="2652" spans="1:9" ht="13.5">
      <c r="A2652" s="7" t="s">
        <v>3419</v>
      </c>
      <c r="B2652" s="3"/>
      <c r="C2652" s="5" t="s">
        <v>4774</v>
      </c>
      <c r="D2652" s="5" t="s">
        <v>4397</v>
      </c>
      <c r="E2652" s="5" t="s">
        <v>4398</v>
      </c>
      <c r="F2652" s="5" t="str">
        <f t="shared" si="41"/>
        <v>zmarta</v>
      </c>
      <c r="G2652" s="5" t="s">
        <v>4</v>
      </c>
      <c r="H2652" s="5" t="s">
        <v>5</v>
      </c>
      <c r="I2652" s="6">
        <v>45679</v>
      </c>
    </row>
    <row r="2653" spans="1:9" ht="13.5">
      <c r="A2653" s="7" t="s">
        <v>1559</v>
      </c>
      <c r="B2653" s="3"/>
      <c r="C2653" s="5" t="s">
        <v>4775</v>
      </c>
      <c r="D2653" s="5" t="s">
        <v>1561</v>
      </c>
      <c r="E2653" s="5" t="s">
        <v>4776</v>
      </c>
      <c r="F2653" s="5" t="str">
        <f t="shared" si="41"/>
        <v>rorjour247.se</v>
      </c>
      <c r="G2653" s="5" t="s">
        <v>4</v>
      </c>
      <c r="H2653" s="5" t="s">
        <v>5</v>
      </c>
      <c r="I2653" s="6">
        <v>45679</v>
      </c>
    </row>
    <row r="2654" spans="1:9" ht="13.5">
      <c r="A2654" s="7" t="s">
        <v>1559</v>
      </c>
      <c r="B2654" s="3"/>
      <c r="C2654" s="5" t="s">
        <v>4777</v>
      </c>
      <c r="D2654" s="5" t="s">
        <v>1561</v>
      </c>
      <c r="E2654" s="5" t="s">
        <v>4778</v>
      </c>
      <c r="F2654" s="5" t="str">
        <f t="shared" si="41"/>
        <v>rorjour247.se</v>
      </c>
      <c r="G2654" s="5" t="s">
        <v>4</v>
      </c>
      <c r="H2654" s="5" t="s">
        <v>5</v>
      </c>
      <c r="I2654" s="6">
        <v>45679</v>
      </c>
    </row>
    <row r="2655" spans="1:9" ht="13.5">
      <c r="A2655" s="7" t="s">
        <v>4164</v>
      </c>
      <c r="B2655" s="3"/>
      <c r="C2655" s="5" t="s">
        <v>4779</v>
      </c>
      <c r="D2655" s="5" t="s">
        <v>4657</v>
      </c>
      <c r="E2655" s="5" t="s">
        <v>4500</v>
      </c>
      <c r="F2655" s="5" t="str">
        <f t="shared" si="41"/>
        <v>casinogringos.se</v>
      </c>
      <c r="G2655" s="5" t="s">
        <v>4</v>
      </c>
      <c r="H2655" s="5" t="s">
        <v>5</v>
      </c>
      <c r="I2655" s="6">
        <v>45679</v>
      </c>
    </row>
    <row r="2656" spans="1:9" ht="13.5">
      <c r="A2656" s="2" t="s">
        <v>2836</v>
      </c>
      <c r="B2656" s="3"/>
      <c r="C2656" s="4" t="s">
        <v>4780</v>
      </c>
      <c r="D2656" s="4" t="s">
        <v>4781</v>
      </c>
      <c r="E2656" s="5" t="s">
        <v>3618</v>
      </c>
      <c r="F2656" s="5" t="str">
        <f t="shared" si="41"/>
        <v>cherry.com</v>
      </c>
      <c r="G2656" s="5" t="s">
        <v>4</v>
      </c>
      <c r="H2656" s="5" t="s">
        <v>5</v>
      </c>
      <c r="I2656" s="6">
        <v>45680</v>
      </c>
    </row>
    <row r="2657" spans="1:9" ht="13.5">
      <c r="A2657" s="2" t="s">
        <v>3761</v>
      </c>
      <c r="B2657" s="3"/>
      <c r="C2657" s="5" t="s">
        <v>4782</v>
      </c>
      <c r="D2657" s="5" t="s">
        <v>3908</v>
      </c>
      <c r="E2657" s="5" t="s">
        <v>4783</v>
      </c>
      <c r="F2657" s="5" t="str">
        <f t="shared" si="41"/>
        <v>hajper.com</v>
      </c>
      <c r="G2657" s="5" t="s">
        <v>4</v>
      </c>
      <c r="H2657" s="5" t="s">
        <v>5</v>
      </c>
      <c r="I2657" s="6">
        <v>45680</v>
      </c>
    </row>
    <row r="2658" spans="1:9" ht="13.5">
      <c r="A2658" s="2" t="s">
        <v>3761</v>
      </c>
      <c r="B2658" s="3"/>
      <c r="C2658" s="5" t="s">
        <v>4784</v>
      </c>
      <c r="D2658" s="5" t="s">
        <v>3908</v>
      </c>
      <c r="E2658" s="5" t="s">
        <v>4785</v>
      </c>
      <c r="F2658" s="5" t="str">
        <f t="shared" si="41"/>
        <v>hajper.com</v>
      </c>
      <c r="G2658" s="5" t="s">
        <v>4</v>
      </c>
      <c r="H2658" s="5" t="s">
        <v>5</v>
      </c>
      <c r="I2658" s="6">
        <v>45680</v>
      </c>
    </row>
    <row r="2659" spans="1:9" ht="13.5">
      <c r="A2659" s="7" t="s">
        <v>4164</v>
      </c>
      <c r="B2659" s="3"/>
      <c r="C2659" s="5" t="s">
        <v>4786</v>
      </c>
      <c r="D2659" s="5" t="s">
        <v>4787</v>
      </c>
      <c r="E2659" s="5" t="s">
        <v>4788</v>
      </c>
      <c r="F2659" s="5" t="str">
        <f t="shared" si="41"/>
        <v>casinogringos.se</v>
      </c>
      <c r="G2659" s="5" t="s">
        <v>4</v>
      </c>
      <c r="H2659" s="5" t="s">
        <v>5</v>
      </c>
      <c r="I2659" s="6">
        <v>45680</v>
      </c>
    </row>
    <row r="2660" spans="1:9" ht="13.5">
      <c r="A2660" s="2" t="s">
        <v>435</v>
      </c>
      <c r="B2660" s="3"/>
      <c r="C2660" s="4" t="s">
        <v>4789</v>
      </c>
      <c r="D2660" s="8" t="s">
        <v>1734</v>
      </c>
      <c r="E2660" s="5" t="s">
        <v>839</v>
      </c>
      <c r="F2660" s="5" t="str">
        <f t="shared" si="41"/>
        <v>fairinvestments.se</v>
      </c>
      <c r="G2660" s="5" t="s">
        <v>4</v>
      </c>
      <c r="H2660" s="5" t="s">
        <v>5</v>
      </c>
      <c r="I2660" s="6">
        <v>45681</v>
      </c>
    </row>
    <row r="2661" spans="1:9" ht="13.5">
      <c r="A2661" s="2" t="s">
        <v>4433</v>
      </c>
      <c r="B2661" s="3"/>
      <c r="C2661" s="4" t="s">
        <v>4790</v>
      </c>
      <c r="D2661" s="4" t="s">
        <v>4435</v>
      </c>
      <c r="E2661" s="5" t="s">
        <v>4470</v>
      </c>
      <c r="F2661" s="5" t="str">
        <f t="shared" si="41"/>
        <v>svenskiptv.com</v>
      </c>
      <c r="G2661" s="5" t="s">
        <v>4</v>
      </c>
      <c r="H2661" s="5" t="s">
        <v>5</v>
      </c>
      <c r="I2661" s="6">
        <v>45681</v>
      </c>
    </row>
    <row r="2662" spans="1:9" ht="13.5">
      <c r="A2662" s="7" t="s">
        <v>4164</v>
      </c>
      <c r="B2662" s="3"/>
      <c r="C2662" s="5" t="s">
        <v>4791</v>
      </c>
      <c r="D2662" s="5" t="s">
        <v>4657</v>
      </c>
      <c r="E2662" s="5" t="s">
        <v>4792</v>
      </c>
      <c r="F2662" s="5" t="str">
        <f t="shared" si="41"/>
        <v>casinogringos.se</v>
      </c>
      <c r="G2662" s="5" t="s">
        <v>4</v>
      </c>
      <c r="H2662" s="5" t="s">
        <v>5</v>
      </c>
      <c r="I2662" s="6">
        <v>45681</v>
      </c>
    </row>
    <row r="2663" spans="1:9" ht="13.5">
      <c r="A2663" s="2" t="s">
        <v>3885</v>
      </c>
      <c r="B2663" s="3"/>
      <c r="C2663" s="4" t="s">
        <v>4793</v>
      </c>
      <c r="D2663" s="4" t="s">
        <v>3887</v>
      </c>
      <c r="E2663" s="5" t="s">
        <v>4794</v>
      </c>
      <c r="F2663" s="5" t="str">
        <f t="shared" si="41"/>
        <v>chattanoogarehab.com</v>
      </c>
      <c r="G2663" s="5" t="s">
        <v>4</v>
      </c>
      <c r="H2663" s="5" t="s">
        <v>345</v>
      </c>
      <c r="I2663" s="6">
        <v>45682</v>
      </c>
    </row>
    <row r="2664" spans="1:9" ht="13.5">
      <c r="A2664" s="2" t="s">
        <v>3491</v>
      </c>
      <c r="B2664" s="3"/>
      <c r="C2664" s="4" t="s">
        <v>4795</v>
      </c>
      <c r="D2664" s="9" t="s">
        <v>3493</v>
      </c>
      <c r="E2664" s="5" t="s">
        <v>3494</v>
      </c>
      <c r="F2664" s="5" t="str">
        <f t="shared" si="41"/>
        <v>mynicco.com</v>
      </c>
      <c r="G2664" s="5" t="s">
        <v>4</v>
      </c>
      <c r="H2664" s="5" t="s">
        <v>345</v>
      </c>
      <c r="I2664" s="6">
        <v>45682</v>
      </c>
    </row>
    <row r="2665" spans="1:9" ht="13.5">
      <c r="A2665" s="2" t="s">
        <v>3491</v>
      </c>
      <c r="B2665" s="3"/>
      <c r="C2665" s="4" t="s">
        <v>4796</v>
      </c>
      <c r="D2665" s="9" t="s">
        <v>3493</v>
      </c>
      <c r="E2665" s="72" t="s">
        <v>3494</v>
      </c>
      <c r="F2665" s="5" t="str">
        <f t="shared" si="41"/>
        <v>mynicco.com</v>
      </c>
      <c r="G2665" s="5" t="s">
        <v>4</v>
      </c>
      <c r="H2665" s="5" t="s">
        <v>345</v>
      </c>
      <c r="I2665" s="6">
        <v>45682</v>
      </c>
    </row>
    <row r="2666" spans="1:9" ht="13.5">
      <c r="A2666" s="2" t="s">
        <v>3491</v>
      </c>
      <c r="B2666" s="3"/>
      <c r="C2666" s="4" t="s">
        <v>4797</v>
      </c>
      <c r="D2666" s="9" t="s">
        <v>3493</v>
      </c>
      <c r="E2666" s="5" t="s">
        <v>3494</v>
      </c>
      <c r="F2666" s="5" t="str">
        <f t="shared" si="41"/>
        <v>mynicco.com</v>
      </c>
      <c r="G2666" s="5" t="s">
        <v>4</v>
      </c>
      <c r="H2666" s="5" t="s">
        <v>345</v>
      </c>
      <c r="I2666" s="6">
        <v>45682</v>
      </c>
    </row>
    <row r="2667" spans="1:9" ht="13.5">
      <c r="A2667" s="2" t="s">
        <v>2240</v>
      </c>
      <c r="B2667" s="3"/>
      <c r="C2667" s="4" t="s">
        <v>4798</v>
      </c>
      <c r="D2667" s="9" t="s">
        <v>2242</v>
      </c>
      <c r="E2667" s="5" t="s">
        <v>3494</v>
      </c>
      <c r="F2667" s="5" t="str">
        <f t="shared" si="41"/>
        <v>mrnicco.com</v>
      </c>
      <c r="G2667" s="5" t="s">
        <v>4</v>
      </c>
      <c r="H2667" s="5" t="s">
        <v>4121</v>
      </c>
      <c r="I2667" s="6">
        <v>45682</v>
      </c>
    </row>
    <row r="2668" spans="1:9" ht="13.5">
      <c r="A2668" s="7" t="s">
        <v>1910</v>
      </c>
      <c r="B2668" s="3"/>
      <c r="C2668" s="4" t="s">
        <v>4799</v>
      </c>
      <c r="D2668" s="4" t="s">
        <v>3470</v>
      </c>
      <c r="E2668" s="5" t="s">
        <v>4094</v>
      </c>
      <c r="F2668" s="5" t="str">
        <f t="shared" si="41"/>
        <v>kelleher-international</v>
      </c>
      <c r="G2668" s="5" t="s">
        <v>4</v>
      </c>
      <c r="H2668" s="5" t="s">
        <v>345</v>
      </c>
      <c r="I2668" s="6">
        <v>45682</v>
      </c>
    </row>
    <row r="2669" spans="1:9" ht="13.5">
      <c r="A2669" s="7" t="s">
        <v>1910</v>
      </c>
      <c r="B2669" s="3"/>
      <c r="C2669" s="4" t="s">
        <v>4800</v>
      </c>
      <c r="D2669" s="4" t="s">
        <v>3472</v>
      </c>
      <c r="E2669" s="5" t="s">
        <v>2862</v>
      </c>
      <c r="F2669" s="5" t="str">
        <f t="shared" si="41"/>
        <v>kelleher-international</v>
      </c>
      <c r="G2669" s="5" t="s">
        <v>4</v>
      </c>
      <c r="H2669" s="5" t="s">
        <v>345</v>
      </c>
      <c r="I2669" s="6">
        <v>45682</v>
      </c>
    </row>
    <row r="2670" spans="1:9" ht="13.5">
      <c r="A2670" s="2" t="s">
        <v>723</v>
      </c>
      <c r="B2670" s="3"/>
      <c r="C2670" s="4" t="s">
        <v>4801</v>
      </c>
      <c r="D2670" s="138" t="s">
        <v>725</v>
      </c>
      <c r="E2670" s="5" t="s">
        <v>3941</v>
      </c>
      <c r="F2670" s="5" t="str">
        <f t="shared" si="41"/>
        <v>aretrotale.com</v>
      </c>
      <c r="G2670" s="5" t="s">
        <v>4</v>
      </c>
      <c r="H2670" s="5" t="s">
        <v>3496</v>
      </c>
      <c r="I2670" s="6">
        <v>45682</v>
      </c>
    </row>
    <row r="2671" spans="1:9" ht="13.5">
      <c r="A2671" s="2" t="s">
        <v>3885</v>
      </c>
      <c r="B2671" s="3"/>
      <c r="C2671" s="4" t="s">
        <v>4802</v>
      </c>
      <c r="D2671" s="4" t="s">
        <v>3893</v>
      </c>
      <c r="E2671" s="5" t="s">
        <v>3965</v>
      </c>
      <c r="F2671" s="5" t="str">
        <f t="shared" si="41"/>
        <v>chattanoogarehab.com</v>
      </c>
      <c r="G2671" s="5" t="s">
        <v>4</v>
      </c>
      <c r="H2671" s="5" t="s">
        <v>345</v>
      </c>
      <c r="I2671" s="6">
        <v>45682</v>
      </c>
    </row>
    <row r="2672" spans="1:9" ht="13.5">
      <c r="A2672" s="7" t="s">
        <v>3791</v>
      </c>
      <c r="B2672" s="3"/>
      <c r="C2672" s="4" t="s">
        <v>4803</v>
      </c>
      <c r="D2672" s="4" t="s">
        <v>3982</v>
      </c>
      <c r="E2672" s="5" t="s">
        <v>3983</v>
      </c>
      <c r="F2672" s="5" t="str">
        <f t="shared" si="41"/>
        <v>coface</v>
      </c>
      <c r="G2672" s="5" t="s">
        <v>4</v>
      </c>
      <c r="H2672" s="5" t="s">
        <v>382</v>
      </c>
      <c r="I2672" s="6">
        <v>45682</v>
      </c>
    </row>
    <row r="2673" spans="1:9" ht="13.5">
      <c r="A2673" s="7" t="s">
        <v>3791</v>
      </c>
      <c r="B2673" s="3"/>
      <c r="C2673" s="4" t="s">
        <v>4804</v>
      </c>
      <c r="D2673" s="4" t="s">
        <v>4103</v>
      </c>
      <c r="E2673" s="5" t="s">
        <v>4104</v>
      </c>
      <c r="F2673" s="5" t="str">
        <f t="shared" si="41"/>
        <v>coface</v>
      </c>
      <c r="G2673" s="5" t="s">
        <v>4</v>
      </c>
      <c r="H2673" s="5" t="s">
        <v>1618</v>
      </c>
      <c r="I2673" s="6">
        <v>45682</v>
      </c>
    </row>
    <row r="2674" spans="1:9" ht="13.5">
      <c r="A2674" s="7" t="s">
        <v>3791</v>
      </c>
      <c r="B2674" s="3"/>
      <c r="C2674" s="4" t="s">
        <v>4805</v>
      </c>
      <c r="D2674" s="4" t="s">
        <v>4098</v>
      </c>
      <c r="E2674" s="5" t="s">
        <v>4099</v>
      </c>
      <c r="F2674" s="5" t="str">
        <f t="shared" si="41"/>
        <v>coface</v>
      </c>
      <c r="G2674" s="5" t="s">
        <v>4</v>
      </c>
      <c r="H2674" s="5" t="s">
        <v>1618</v>
      </c>
      <c r="I2674" s="6">
        <v>45682</v>
      </c>
    </row>
    <row r="2675" spans="1:9" ht="13.5">
      <c r="A2675" s="7" t="s">
        <v>4108</v>
      </c>
      <c r="B2675" s="3"/>
      <c r="C2675" s="4" t="s">
        <v>4806</v>
      </c>
      <c r="D2675" s="4" t="s">
        <v>4110</v>
      </c>
      <c r="E2675" s="5" t="s">
        <v>4111</v>
      </c>
      <c r="F2675" s="5" t="str">
        <f t="shared" si="41"/>
        <v>racha-organics</v>
      </c>
      <c r="G2675" s="5" t="s">
        <v>4</v>
      </c>
      <c r="H2675" s="5" t="s">
        <v>345</v>
      </c>
      <c r="I2675" s="6">
        <v>45682</v>
      </c>
    </row>
    <row r="2676" spans="1:9" ht="13.5">
      <c r="A2676" s="7" t="s">
        <v>4108</v>
      </c>
      <c r="B2676" s="3"/>
      <c r="C2676" s="4" t="s">
        <v>4807</v>
      </c>
      <c r="D2676" s="4" t="s">
        <v>4113</v>
      </c>
      <c r="E2676" s="5" t="s">
        <v>4111</v>
      </c>
      <c r="F2676" s="5" t="str">
        <f t="shared" si="41"/>
        <v>racha-organics</v>
      </c>
      <c r="G2676" s="5" t="s">
        <v>4</v>
      </c>
      <c r="H2676" s="5" t="s">
        <v>345</v>
      </c>
      <c r="I2676" s="6">
        <v>45682</v>
      </c>
    </row>
    <row r="2677" spans="1:9" ht="13.5">
      <c r="A2677" s="2" t="s">
        <v>3086</v>
      </c>
      <c r="B2677" s="3"/>
      <c r="C2677" s="4" t="s">
        <v>4808</v>
      </c>
      <c r="D2677" s="8" t="s">
        <v>3088</v>
      </c>
      <c r="E2677" s="5" t="s">
        <v>4616</v>
      </c>
      <c r="F2677" s="5" t="str">
        <f t="shared" si="41"/>
        <v>himala.ai</v>
      </c>
      <c r="G2677" s="5" t="s">
        <v>4</v>
      </c>
      <c r="H2677" s="5" t="s">
        <v>345</v>
      </c>
      <c r="I2677" s="6">
        <v>45682</v>
      </c>
    </row>
    <row r="2678" spans="1:9" ht="13.5">
      <c r="A2678" s="2" t="s">
        <v>3086</v>
      </c>
      <c r="B2678" s="3"/>
      <c r="C2678" s="4" t="s">
        <v>4809</v>
      </c>
      <c r="D2678" s="8" t="s">
        <v>3088</v>
      </c>
      <c r="E2678" s="5" t="s">
        <v>4618</v>
      </c>
      <c r="F2678" s="5" t="str">
        <f t="shared" si="41"/>
        <v>himala.ai</v>
      </c>
      <c r="G2678" s="5" t="s">
        <v>4</v>
      </c>
      <c r="H2678" s="5" t="s">
        <v>345</v>
      </c>
      <c r="I2678" s="6">
        <v>45682</v>
      </c>
    </row>
    <row r="2679" spans="1:9" ht="13.5">
      <c r="A2679" s="2" t="s">
        <v>3186</v>
      </c>
      <c r="B2679" s="3"/>
      <c r="C2679" s="4" t="s">
        <v>4810</v>
      </c>
      <c r="D2679" s="4" t="s">
        <v>4207</v>
      </c>
      <c r="E2679" s="5" t="s">
        <v>4811</v>
      </c>
      <c r="F2679" s="5" t="str">
        <f t="shared" si="41"/>
        <v>myownwater.com</v>
      </c>
      <c r="G2679" s="5" t="s">
        <v>4</v>
      </c>
      <c r="H2679" s="5" t="s">
        <v>345</v>
      </c>
      <c r="I2679" s="6">
        <v>45682</v>
      </c>
    </row>
    <row r="2680" spans="1:9" ht="13.5">
      <c r="A2680" s="2" t="s">
        <v>4558</v>
      </c>
      <c r="B2680" s="3"/>
      <c r="C2680" s="4" t="s">
        <v>4812</v>
      </c>
      <c r="D2680" s="4" t="s">
        <v>4813</v>
      </c>
      <c r="E2680" s="5" t="s">
        <v>4561</v>
      </c>
      <c r="F2680" s="5" t="str">
        <f t="shared" si="41"/>
        <v>mockfjards.se</v>
      </c>
      <c r="G2680" s="5" t="s">
        <v>4</v>
      </c>
      <c r="H2680" s="5" t="s">
        <v>5</v>
      </c>
      <c r="I2680" s="6">
        <v>45682</v>
      </c>
    </row>
    <row r="2681" spans="1:9" ht="13.5">
      <c r="A2681" s="2" t="s">
        <v>4373</v>
      </c>
      <c r="B2681" s="3"/>
      <c r="C2681" s="4" t="s">
        <v>4814</v>
      </c>
      <c r="D2681" s="4" t="s">
        <v>4373</v>
      </c>
      <c r="E2681" s="5" t="s">
        <v>4815</v>
      </c>
      <c r="F2681" s="5" t="str">
        <f t="shared" si="41"/>
        <v>vardagsfrid.se</v>
      </c>
      <c r="G2681" s="5" t="s">
        <v>4</v>
      </c>
      <c r="H2681" s="5" t="s">
        <v>5</v>
      </c>
      <c r="I2681" s="6">
        <v>45682</v>
      </c>
    </row>
    <row r="2682" spans="1:9" ht="13.5">
      <c r="A2682" s="2" t="s">
        <v>846</v>
      </c>
      <c r="B2682" s="3"/>
      <c r="C2682" s="4" t="s">
        <v>4816</v>
      </c>
      <c r="D2682" s="4" t="s">
        <v>4817</v>
      </c>
      <c r="E2682" s="5" t="s">
        <v>4818</v>
      </c>
      <c r="F2682" s="5" t="str">
        <f t="shared" si="41"/>
        <v>tandea.se</v>
      </c>
      <c r="G2682" s="5" t="s">
        <v>4</v>
      </c>
      <c r="H2682" s="5" t="s">
        <v>5</v>
      </c>
      <c r="I2682" s="6">
        <v>45682</v>
      </c>
    </row>
    <row r="2683" spans="1:9" ht="13.5">
      <c r="A2683" s="2" t="s">
        <v>4409</v>
      </c>
      <c r="B2683" s="3"/>
      <c r="C2683" s="4" t="s">
        <v>4819</v>
      </c>
      <c r="D2683" s="4" t="s">
        <v>4820</v>
      </c>
      <c r="E2683" s="5" t="s">
        <v>4821</v>
      </c>
      <c r="F2683" s="5" t="str">
        <f t="shared" si="41"/>
        <v>svenskafonster.se</v>
      </c>
      <c r="G2683" s="5" t="s">
        <v>4</v>
      </c>
      <c r="H2683" s="5" t="s">
        <v>5</v>
      </c>
      <c r="I2683" s="6">
        <v>45682</v>
      </c>
    </row>
    <row r="2684" spans="1:9" ht="13.5">
      <c r="A2684" s="2" t="s">
        <v>2836</v>
      </c>
      <c r="B2684" s="3"/>
      <c r="C2684" s="4" t="s">
        <v>4822</v>
      </c>
      <c r="D2684" s="4" t="s">
        <v>3006</v>
      </c>
      <c r="E2684" s="5" t="s">
        <v>3618</v>
      </c>
      <c r="F2684" s="5" t="str">
        <f t="shared" si="41"/>
        <v>cherry.com</v>
      </c>
      <c r="G2684" s="5" t="s">
        <v>4</v>
      </c>
      <c r="H2684" s="5" t="s">
        <v>5</v>
      </c>
      <c r="I2684" s="6">
        <v>45682</v>
      </c>
    </row>
    <row r="2685" spans="1:9" ht="13.5">
      <c r="A2685" s="2" t="s">
        <v>2948</v>
      </c>
      <c r="B2685" s="3"/>
      <c r="C2685" s="4" t="s">
        <v>4823</v>
      </c>
      <c r="D2685" s="4" t="s">
        <v>4824</v>
      </c>
      <c r="E2685" s="5" t="s">
        <v>2951</v>
      </c>
      <c r="F2685" s="5" t="str">
        <f t="shared" si="41"/>
        <v>joureliten.se</v>
      </c>
      <c r="G2685" s="5" t="s">
        <v>4</v>
      </c>
      <c r="H2685" s="5" t="s">
        <v>5</v>
      </c>
      <c r="I2685" s="6">
        <v>45682</v>
      </c>
    </row>
    <row r="2686" spans="1:9" ht="13.5">
      <c r="A2686" s="2" t="s">
        <v>2549</v>
      </c>
      <c r="B2686" s="3"/>
      <c r="C2686" s="4" t="s">
        <v>4825</v>
      </c>
      <c r="D2686" s="4" t="s">
        <v>4380</v>
      </c>
      <c r="E2686" s="5" t="s">
        <v>4826</v>
      </c>
      <c r="F2686" s="5" t="str">
        <f t="shared" si="41"/>
        <v>purakliniken.se</v>
      </c>
      <c r="G2686" s="5" t="s">
        <v>4</v>
      </c>
      <c r="H2686" s="5" t="s">
        <v>5</v>
      </c>
      <c r="I2686" s="6">
        <v>45682</v>
      </c>
    </row>
    <row r="2687" spans="1:9" ht="13.5">
      <c r="A2687" s="2" t="s">
        <v>4558</v>
      </c>
      <c r="B2687" s="3"/>
      <c r="C2687" s="4" t="s">
        <v>4827</v>
      </c>
      <c r="D2687" s="4" t="s">
        <v>4705</v>
      </c>
      <c r="E2687" s="5" t="s">
        <v>4828</v>
      </c>
      <c r="F2687" s="5" t="str">
        <f t="shared" si="41"/>
        <v>mockfjards.se</v>
      </c>
      <c r="G2687" s="5" t="s">
        <v>4</v>
      </c>
      <c r="H2687" s="5" t="s">
        <v>5</v>
      </c>
      <c r="I2687" s="6">
        <v>45682</v>
      </c>
    </row>
    <row r="2688" spans="1:9" ht="13.5">
      <c r="A2688" s="2" t="s">
        <v>4829</v>
      </c>
      <c r="B2688" s="3"/>
      <c r="C2688" s="4" t="s">
        <v>4830</v>
      </c>
      <c r="D2688" s="4" t="s">
        <v>4831</v>
      </c>
      <c r="E2688" s="5" t="s">
        <v>4832</v>
      </c>
      <c r="F2688" s="5" t="str">
        <f t="shared" si="41"/>
        <v>technobark.com</v>
      </c>
      <c r="G2688" s="5" t="s">
        <v>4</v>
      </c>
      <c r="H2688" s="5" t="s">
        <v>345</v>
      </c>
      <c r="I2688" s="6">
        <v>45682</v>
      </c>
    </row>
    <row r="2689" spans="1:9" ht="13.5">
      <c r="A2689" s="2" t="s">
        <v>4829</v>
      </c>
      <c r="B2689" s="3"/>
      <c r="C2689" s="4" t="s">
        <v>4833</v>
      </c>
      <c r="D2689" s="4" t="s">
        <v>4829</v>
      </c>
      <c r="E2689" s="5" t="s">
        <v>4834</v>
      </c>
      <c r="F2689" s="5" t="str">
        <f t="shared" si="41"/>
        <v>technobark.com</v>
      </c>
      <c r="G2689" s="5" t="s">
        <v>4</v>
      </c>
      <c r="H2689" s="5" t="s">
        <v>345</v>
      </c>
      <c r="I2689" s="6">
        <v>45682</v>
      </c>
    </row>
    <row r="2690" spans="1:9" ht="13.5">
      <c r="A2690" s="2" t="s">
        <v>3885</v>
      </c>
      <c r="B2690" s="3"/>
      <c r="C2690" s="4" t="s">
        <v>4835</v>
      </c>
      <c r="D2690" s="4" t="s">
        <v>3967</v>
      </c>
      <c r="E2690" s="5" t="s">
        <v>4836</v>
      </c>
      <c r="F2690" s="5" t="str">
        <f t="shared" si="41"/>
        <v>chattanoogarehab.com</v>
      </c>
      <c r="G2690" s="5" t="s">
        <v>4</v>
      </c>
      <c r="H2690" s="5" t="s">
        <v>345</v>
      </c>
      <c r="I2690" s="6">
        <v>45682</v>
      </c>
    </row>
    <row r="2691" spans="1:9" ht="13.5">
      <c r="A2691" s="7" t="s">
        <v>3419</v>
      </c>
      <c r="B2691" s="3"/>
      <c r="C2691" s="5" t="s">
        <v>4837</v>
      </c>
      <c r="D2691" s="5" t="s">
        <v>3407</v>
      </c>
      <c r="E2691" s="5" t="s">
        <v>3901</v>
      </c>
      <c r="F2691" s="5" t="str">
        <f t="shared" ref="F2691:F2754" si="42">A2691</f>
        <v>zmarta</v>
      </c>
      <c r="G2691" s="5" t="s">
        <v>4</v>
      </c>
      <c r="H2691" s="5" t="s">
        <v>5</v>
      </c>
      <c r="I2691" s="6">
        <v>45682</v>
      </c>
    </row>
    <row r="2692" spans="1:9" ht="13.5">
      <c r="A2692" s="2" t="s">
        <v>1318</v>
      </c>
      <c r="B2692" s="3"/>
      <c r="C2692" s="4" t="s">
        <v>4838</v>
      </c>
      <c r="D2692" s="4" t="s">
        <v>4839</v>
      </c>
      <c r="E2692" s="5" t="s">
        <v>4841</v>
      </c>
      <c r="F2692" s="5" t="str">
        <f t="shared" si="42"/>
        <v>spelklubben.se</v>
      </c>
      <c r="G2692" s="5" t="s">
        <v>4840</v>
      </c>
      <c r="H2692" s="5" t="s">
        <v>5</v>
      </c>
      <c r="I2692" s="6">
        <v>45684</v>
      </c>
    </row>
    <row r="2693" spans="1:9" ht="13.5">
      <c r="A2693" s="2" t="s">
        <v>2836</v>
      </c>
      <c r="B2693" s="3"/>
      <c r="C2693" s="4" t="s">
        <v>4842</v>
      </c>
      <c r="D2693" s="4" t="s">
        <v>4843</v>
      </c>
      <c r="E2693" s="5" t="s">
        <v>2970</v>
      </c>
      <c r="F2693" s="5" t="str">
        <f t="shared" si="42"/>
        <v>cherry.com</v>
      </c>
      <c r="G2693" s="5" t="s">
        <v>4</v>
      </c>
      <c r="H2693" s="5" t="s">
        <v>5</v>
      </c>
      <c r="I2693" s="6">
        <v>45684</v>
      </c>
    </row>
    <row r="2694" spans="1:9" ht="13.5">
      <c r="A2694" s="2" t="s">
        <v>3173</v>
      </c>
      <c r="B2694" s="3"/>
      <c r="C2694" s="4" t="s">
        <v>4844</v>
      </c>
      <c r="D2694" s="4" t="s">
        <v>3458</v>
      </c>
      <c r="E2694" s="5" t="s">
        <v>4845</v>
      </c>
      <c r="F2694" s="5" t="str">
        <f t="shared" si="42"/>
        <v>ekstromgaray.se</v>
      </c>
      <c r="G2694" s="5" t="s">
        <v>4</v>
      </c>
      <c r="H2694" s="5" t="s">
        <v>5</v>
      </c>
      <c r="I2694" s="6">
        <v>45684</v>
      </c>
    </row>
    <row r="2695" spans="1:9" ht="13.5">
      <c r="A2695" s="2" t="s">
        <v>4041</v>
      </c>
      <c r="B2695" s="3"/>
      <c r="C2695" s="4" t="s">
        <v>4846</v>
      </c>
      <c r="D2695" s="4" t="s">
        <v>4847</v>
      </c>
      <c r="E2695" s="5" t="s">
        <v>4848</v>
      </c>
      <c r="F2695" s="5" t="str">
        <f t="shared" si="42"/>
        <v>cateringfabriken.se</v>
      </c>
      <c r="G2695" s="5" t="s">
        <v>4</v>
      </c>
      <c r="H2695" s="5" t="s">
        <v>5</v>
      </c>
      <c r="I2695" s="6">
        <v>45684</v>
      </c>
    </row>
    <row r="2696" spans="1:9" ht="13.5">
      <c r="A2696" s="2" t="s">
        <v>435</v>
      </c>
      <c r="B2696" s="3"/>
      <c r="C2696" s="4" t="s">
        <v>4849</v>
      </c>
      <c r="D2696" s="4" t="s">
        <v>1446</v>
      </c>
      <c r="E2696" s="5" t="s">
        <v>839</v>
      </c>
      <c r="F2696" s="5" t="str">
        <f t="shared" si="42"/>
        <v>fairinvestments.se</v>
      </c>
      <c r="G2696" s="5" t="s">
        <v>4</v>
      </c>
      <c r="H2696" s="5" t="s">
        <v>5</v>
      </c>
      <c r="I2696" s="6">
        <v>45684</v>
      </c>
    </row>
    <row r="2697" spans="1:9" ht="13.5">
      <c r="A2697" s="2" t="s">
        <v>3832</v>
      </c>
      <c r="B2697" s="3"/>
      <c r="C2697" s="4" t="s">
        <v>4850</v>
      </c>
      <c r="D2697" s="4" t="s">
        <v>4851</v>
      </c>
      <c r="E2697" s="5" t="s">
        <v>4852</v>
      </c>
      <c r="F2697" s="5" t="str">
        <f t="shared" si="42"/>
        <v>michaelofrisorerna.se</v>
      </c>
      <c r="G2697" s="5" t="s">
        <v>4</v>
      </c>
      <c r="H2697" s="5" t="s">
        <v>5</v>
      </c>
      <c r="I2697" s="6">
        <v>45684</v>
      </c>
    </row>
    <row r="2698" spans="1:9" ht="13.5">
      <c r="A2698" s="7" t="s">
        <v>386</v>
      </c>
      <c r="B2698" s="3"/>
      <c r="C2698" s="4" t="s">
        <v>4853</v>
      </c>
      <c r="D2698" s="4" t="s">
        <v>599</v>
      </c>
      <c r="E2698" s="5" t="s">
        <v>4854</v>
      </c>
      <c r="F2698" s="5" t="str">
        <f t="shared" si="42"/>
        <v>pontech</v>
      </c>
      <c r="G2698" s="5" t="s">
        <v>4</v>
      </c>
      <c r="H2698" s="5" t="s">
        <v>5</v>
      </c>
      <c r="I2698" s="6">
        <v>45684</v>
      </c>
    </row>
    <row r="2699" spans="1:9" ht="13.5">
      <c r="A2699" s="2" t="s">
        <v>2549</v>
      </c>
      <c r="B2699" s="3"/>
      <c r="C2699" s="4" t="s">
        <v>4855</v>
      </c>
      <c r="D2699" s="4" t="s">
        <v>2549</v>
      </c>
      <c r="E2699" s="5" t="s">
        <v>4856</v>
      </c>
      <c r="F2699" s="5" t="str">
        <f t="shared" si="42"/>
        <v>purakliniken.se</v>
      </c>
      <c r="G2699" s="5" t="s">
        <v>4</v>
      </c>
      <c r="H2699" s="5" t="s">
        <v>5</v>
      </c>
      <c r="I2699" s="6">
        <v>45684</v>
      </c>
    </row>
    <row r="2700" spans="1:9" ht="13.5">
      <c r="A2700" s="2" t="s">
        <v>3058</v>
      </c>
      <c r="B2700" s="3"/>
      <c r="C2700" s="4" t="s">
        <v>4857</v>
      </c>
      <c r="D2700" s="4" t="s">
        <v>4537</v>
      </c>
      <c r="E2700" s="5" t="s">
        <v>4858</v>
      </c>
      <c r="F2700" s="5" t="str">
        <f t="shared" si="42"/>
        <v>rusta.se</v>
      </c>
      <c r="G2700" s="5" t="s">
        <v>4</v>
      </c>
      <c r="H2700" s="5" t="s">
        <v>5</v>
      </c>
      <c r="I2700" s="6">
        <v>45684</v>
      </c>
    </row>
    <row r="2701" spans="1:9" ht="13.5">
      <c r="A2701" s="2" t="s">
        <v>4409</v>
      </c>
      <c r="B2701" s="3"/>
      <c r="C2701" s="4" t="s">
        <v>4859</v>
      </c>
      <c r="D2701" s="4" t="s">
        <v>4557</v>
      </c>
      <c r="E2701" s="5" t="s">
        <v>4860</v>
      </c>
      <c r="F2701" s="5" t="str">
        <f t="shared" si="42"/>
        <v>svenskafonster.se</v>
      </c>
      <c r="G2701" s="5" t="s">
        <v>4</v>
      </c>
      <c r="H2701" s="5" t="s">
        <v>5</v>
      </c>
      <c r="I2701" s="6">
        <v>45684</v>
      </c>
    </row>
    <row r="2702" spans="1:9" ht="13.5">
      <c r="A2702" s="2" t="s">
        <v>4558</v>
      </c>
      <c r="B2702" s="3"/>
      <c r="C2702" s="4" t="s">
        <v>4861</v>
      </c>
      <c r="D2702" s="4" t="s">
        <v>4813</v>
      </c>
      <c r="E2702" s="5" t="s">
        <v>4862</v>
      </c>
      <c r="F2702" s="5" t="str">
        <f t="shared" si="42"/>
        <v>mockfjards.se</v>
      </c>
      <c r="G2702" s="5" t="s">
        <v>4</v>
      </c>
      <c r="H2702" s="5" t="s">
        <v>5</v>
      </c>
      <c r="I2702" s="6">
        <v>45684</v>
      </c>
    </row>
    <row r="2703" spans="1:9" ht="13.5">
      <c r="A2703" s="2" t="s">
        <v>4147</v>
      </c>
      <c r="B2703" s="3"/>
      <c r="C2703" s="4" t="s">
        <v>4863</v>
      </c>
      <c r="D2703" s="4" t="s">
        <v>4864</v>
      </c>
      <c r="E2703" s="5" t="s">
        <v>4865</v>
      </c>
      <c r="F2703" s="5" t="str">
        <f t="shared" si="42"/>
        <v>petster.se</v>
      </c>
      <c r="G2703" s="5" t="s">
        <v>4</v>
      </c>
      <c r="H2703" s="5" t="s">
        <v>5</v>
      </c>
      <c r="I2703" s="6">
        <v>45684</v>
      </c>
    </row>
    <row r="2704" spans="1:9" ht="13.5">
      <c r="A2704" s="2" t="s">
        <v>3743</v>
      </c>
      <c r="B2704" s="3"/>
      <c r="C2704" s="4" t="s">
        <v>4866</v>
      </c>
      <c r="D2704" s="4" t="s">
        <v>3743</v>
      </c>
      <c r="E2704" s="5" t="s">
        <v>4867</v>
      </c>
      <c r="F2704" s="5" t="str">
        <f t="shared" si="42"/>
        <v>acnespecialisten.se</v>
      </c>
      <c r="G2704" s="5" t="s">
        <v>4</v>
      </c>
      <c r="H2704" s="5" t="s">
        <v>5</v>
      </c>
      <c r="I2704" s="6">
        <v>45684</v>
      </c>
    </row>
    <row r="2705" spans="1:9" ht="13.5">
      <c r="A2705" s="2" t="s">
        <v>4433</v>
      </c>
      <c r="B2705" s="3"/>
      <c r="C2705" s="4" t="s">
        <v>4868</v>
      </c>
      <c r="D2705" s="4" t="s">
        <v>4435</v>
      </c>
      <c r="E2705" s="5" t="s">
        <v>4869</v>
      </c>
      <c r="F2705" s="5" t="str">
        <f t="shared" si="42"/>
        <v>svenskiptv.com</v>
      </c>
      <c r="G2705" s="5" t="s">
        <v>4</v>
      </c>
      <c r="H2705" s="5" t="s">
        <v>5</v>
      </c>
      <c r="I2705" s="6">
        <v>45684</v>
      </c>
    </row>
    <row r="2706" spans="1:9" ht="13.5">
      <c r="A2706" s="2" t="s">
        <v>1318</v>
      </c>
      <c r="B2706" s="3"/>
      <c r="C2706" s="4" t="s">
        <v>4870</v>
      </c>
      <c r="D2706" s="4" t="s">
        <v>4871</v>
      </c>
      <c r="E2706" s="5" t="s">
        <v>2016</v>
      </c>
      <c r="F2706" s="5" t="str">
        <f t="shared" si="42"/>
        <v>spelklubben.se</v>
      </c>
      <c r="G2706" s="5" t="s">
        <v>4</v>
      </c>
      <c r="H2706" s="5" t="s">
        <v>5</v>
      </c>
      <c r="I2706" s="6">
        <v>45684</v>
      </c>
    </row>
    <row r="2707" spans="1:9" ht="13.5">
      <c r="A2707" s="2" t="s">
        <v>4409</v>
      </c>
      <c r="B2707" s="3"/>
      <c r="C2707" s="4" t="s">
        <v>4872</v>
      </c>
      <c r="D2707" s="4" t="s">
        <v>4411</v>
      </c>
      <c r="E2707" s="5" t="s">
        <v>4873</v>
      </c>
      <c r="F2707" s="5" t="str">
        <f t="shared" si="42"/>
        <v>svenskafonster.se</v>
      </c>
      <c r="G2707" s="5" t="s">
        <v>4</v>
      </c>
      <c r="H2707" s="5" t="s">
        <v>5</v>
      </c>
      <c r="I2707" s="6">
        <v>45684</v>
      </c>
    </row>
    <row r="2708" spans="1:9" ht="13.5">
      <c r="A2708" s="2" t="s">
        <v>3128</v>
      </c>
      <c r="C2708" s="138" t="s">
        <v>4874</v>
      </c>
      <c r="D2708" s="4" t="s">
        <v>3130</v>
      </c>
      <c r="E2708" s="72" t="s">
        <v>4875</v>
      </c>
      <c r="F2708" s="5" t="str">
        <f t="shared" si="42"/>
        <v>bethard.com</v>
      </c>
      <c r="G2708" s="5" t="s">
        <v>4</v>
      </c>
      <c r="H2708" s="5" t="s">
        <v>5</v>
      </c>
      <c r="I2708" s="6">
        <v>45684</v>
      </c>
    </row>
    <row r="2709" spans="1:9" ht="13.5">
      <c r="A2709" s="2" t="s">
        <v>2636</v>
      </c>
      <c r="B2709" s="3"/>
      <c r="C2709" s="5" t="s">
        <v>4876</v>
      </c>
      <c r="D2709" s="5" t="s">
        <v>3591</v>
      </c>
      <c r="E2709" s="5" t="s">
        <v>4877</v>
      </c>
      <c r="F2709" s="5" t="str">
        <f t="shared" si="42"/>
        <v>kvarnx.com</v>
      </c>
      <c r="G2709" s="5" t="s">
        <v>4</v>
      </c>
      <c r="H2709" s="5" t="s">
        <v>5</v>
      </c>
      <c r="I2709" s="6">
        <v>45684</v>
      </c>
    </row>
    <row r="2710" spans="1:9" ht="13.5">
      <c r="A2710" s="7" t="s">
        <v>3419</v>
      </c>
      <c r="B2710" s="3"/>
      <c r="C2710" s="5" t="s">
        <v>4878</v>
      </c>
      <c r="D2710" s="5" t="s">
        <v>3407</v>
      </c>
      <c r="E2710" s="5" t="s">
        <v>4879</v>
      </c>
      <c r="F2710" s="5" t="str">
        <f t="shared" si="42"/>
        <v>zmarta</v>
      </c>
      <c r="G2710" s="5" t="s">
        <v>4</v>
      </c>
      <c r="H2710" s="5" t="s">
        <v>5</v>
      </c>
      <c r="I2710" s="6">
        <v>45684</v>
      </c>
    </row>
    <row r="2711" spans="1:9" ht="13.5">
      <c r="A2711" s="2" t="s">
        <v>3761</v>
      </c>
      <c r="B2711" s="3"/>
      <c r="C2711" s="5" t="s">
        <v>4880</v>
      </c>
      <c r="D2711" s="5" t="s">
        <v>3908</v>
      </c>
      <c r="E2711" s="5" t="s">
        <v>4881</v>
      </c>
      <c r="F2711" s="5" t="str">
        <f t="shared" si="42"/>
        <v>hajper.com</v>
      </c>
      <c r="G2711" s="5" t="s">
        <v>4</v>
      </c>
      <c r="H2711" s="5" t="s">
        <v>5</v>
      </c>
      <c r="I2711" s="6">
        <v>45684</v>
      </c>
    </row>
    <row r="2712" spans="1:9" ht="13.5">
      <c r="A2712" s="2" t="s">
        <v>3761</v>
      </c>
      <c r="B2712" s="3"/>
      <c r="C2712" s="5" t="s">
        <v>4882</v>
      </c>
      <c r="D2712" s="5" t="s">
        <v>3908</v>
      </c>
      <c r="E2712" s="5" t="s">
        <v>3920</v>
      </c>
      <c r="F2712" s="5" t="str">
        <f t="shared" si="42"/>
        <v>hajper.com</v>
      </c>
      <c r="G2712" s="5" t="s">
        <v>4</v>
      </c>
      <c r="H2712" s="5" t="s">
        <v>5</v>
      </c>
      <c r="I2712" s="6">
        <v>45684</v>
      </c>
    </row>
    <row r="2713" spans="1:9" ht="13.5">
      <c r="A2713" s="7" t="s">
        <v>1559</v>
      </c>
      <c r="B2713" s="3"/>
      <c r="C2713" s="5" t="s">
        <v>4883</v>
      </c>
      <c r="D2713" s="5" t="s">
        <v>4884</v>
      </c>
      <c r="E2713" s="5" t="s">
        <v>4582</v>
      </c>
      <c r="F2713" s="5" t="str">
        <f t="shared" si="42"/>
        <v>rorjour247.se</v>
      </c>
      <c r="G2713" s="5" t="s">
        <v>4</v>
      </c>
      <c r="H2713" s="5" t="s">
        <v>5</v>
      </c>
      <c r="I2713" s="6">
        <v>45684</v>
      </c>
    </row>
    <row r="2714" spans="1:9" ht="13.5">
      <c r="A2714" s="2" t="s">
        <v>3885</v>
      </c>
      <c r="B2714" s="3"/>
      <c r="C2714" s="4" t="s">
        <v>4885</v>
      </c>
      <c r="D2714" s="4" t="s">
        <v>3931</v>
      </c>
      <c r="E2714" s="5" t="s">
        <v>4886</v>
      </c>
      <c r="F2714" s="5" t="str">
        <f t="shared" si="42"/>
        <v>chattanoogarehab.com</v>
      </c>
      <c r="G2714" s="5" t="s">
        <v>4</v>
      </c>
      <c r="H2714" s="5" t="s">
        <v>345</v>
      </c>
      <c r="I2714" s="6">
        <v>45685</v>
      </c>
    </row>
    <row r="2715" spans="1:9" ht="13.5">
      <c r="A2715" s="2" t="s">
        <v>3885</v>
      </c>
      <c r="B2715" s="3"/>
      <c r="C2715" s="4" t="s">
        <v>4887</v>
      </c>
      <c r="D2715" s="4" t="s">
        <v>3887</v>
      </c>
      <c r="E2715" s="5" t="s">
        <v>4794</v>
      </c>
      <c r="F2715" s="5" t="str">
        <f t="shared" si="42"/>
        <v>chattanoogarehab.com</v>
      </c>
      <c r="G2715" s="5" t="s">
        <v>4</v>
      </c>
      <c r="H2715" s="5" t="s">
        <v>345</v>
      </c>
      <c r="I2715" s="6">
        <v>45685</v>
      </c>
    </row>
    <row r="2716" spans="1:9" ht="13.5">
      <c r="A2716" s="2" t="s">
        <v>435</v>
      </c>
      <c r="B2716" s="3"/>
      <c r="C2716" s="4" t="s">
        <v>4888</v>
      </c>
      <c r="D2716" s="4" t="s">
        <v>4889</v>
      </c>
      <c r="E2716" s="5" t="s">
        <v>839</v>
      </c>
      <c r="F2716" s="5" t="str">
        <f t="shared" si="42"/>
        <v>fairinvestments.se</v>
      </c>
      <c r="G2716" s="5" t="s">
        <v>4</v>
      </c>
      <c r="H2716" s="5" t="s">
        <v>5</v>
      </c>
      <c r="I2716" s="6">
        <v>45685</v>
      </c>
    </row>
    <row r="2717" spans="1:9" ht="13.5">
      <c r="A2717" s="2" t="s">
        <v>1492</v>
      </c>
      <c r="B2717" s="3"/>
      <c r="C2717" s="4" t="s">
        <v>4890</v>
      </c>
      <c r="D2717" s="4" t="s">
        <v>3465</v>
      </c>
      <c r="E2717" s="5" t="s">
        <v>4088</v>
      </c>
      <c r="F2717" s="5" t="str">
        <f t="shared" si="42"/>
        <v>cdg.io</v>
      </c>
      <c r="G2717" s="5" t="s">
        <v>4</v>
      </c>
      <c r="H2717" s="5" t="s">
        <v>345</v>
      </c>
      <c r="I2717" s="6">
        <v>45685</v>
      </c>
    </row>
    <row r="2718" spans="1:9" ht="13.5">
      <c r="A2718" s="2" t="s">
        <v>4219</v>
      </c>
      <c r="B2718" s="3"/>
      <c r="C2718" s="4" t="s">
        <v>4891</v>
      </c>
      <c r="D2718" s="4" t="s">
        <v>4221</v>
      </c>
      <c r="E2718" s="5" t="s">
        <v>4222</v>
      </c>
      <c r="F2718" s="5" t="str">
        <f t="shared" si="42"/>
        <v>clearfuze.com</v>
      </c>
      <c r="G2718" s="5" t="s">
        <v>4</v>
      </c>
      <c r="H2718" s="5" t="s">
        <v>345</v>
      </c>
      <c r="I2718" s="6">
        <v>45685</v>
      </c>
    </row>
    <row r="2719" spans="1:9" ht="13.5">
      <c r="A2719" s="2" t="s">
        <v>3128</v>
      </c>
      <c r="C2719" s="138" t="s">
        <v>4892</v>
      </c>
      <c r="D2719" s="4" t="s">
        <v>3130</v>
      </c>
      <c r="E2719" s="72" t="s">
        <v>3250</v>
      </c>
      <c r="F2719" s="5" t="str">
        <f t="shared" si="42"/>
        <v>bethard.com</v>
      </c>
      <c r="G2719" s="5" t="s">
        <v>4</v>
      </c>
      <c r="H2719" s="5" t="s">
        <v>5</v>
      </c>
      <c r="I2719" s="6">
        <v>45685</v>
      </c>
    </row>
    <row r="2720" spans="1:9" ht="13.5">
      <c r="A2720" s="2" t="s">
        <v>2999</v>
      </c>
      <c r="B2720" s="3"/>
      <c r="C2720" s="8" t="s">
        <v>4893</v>
      </c>
      <c r="D2720" s="8" t="s">
        <v>4894</v>
      </c>
      <c r="E2720" s="5" t="s">
        <v>3233</v>
      </c>
      <c r="F2720" s="5" t="str">
        <f t="shared" si="42"/>
        <v>nettotobak.com</v>
      </c>
      <c r="G2720" s="5" t="s">
        <v>4</v>
      </c>
      <c r="H2720" s="5" t="s">
        <v>5</v>
      </c>
      <c r="I2720" s="6">
        <v>45685</v>
      </c>
    </row>
    <row r="2721" spans="1:9" ht="13.5">
      <c r="A2721" s="2" t="s">
        <v>4482</v>
      </c>
      <c r="B2721" s="3"/>
      <c r="C2721" s="4" t="s">
        <v>4895</v>
      </c>
      <c r="D2721" s="4" t="s">
        <v>4896</v>
      </c>
      <c r="E2721" s="5" t="s">
        <v>4485</v>
      </c>
      <c r="F2721" s="5" t="str">
        <f t="shared" si="42"/>
        <v>godies.fi</v>
      </c>
      <c r="G2721" s="5" t="s">
        <v>4</v>
      </c>
      <c r="H2721" s="5" t="s">
        <v>1618</v>
      </c>
      <c r="I2721" s="6">
        <v>45685</v>
      </c>
    </row>
    <row r="2722" spans="1:9" ht="13.5">
      <c r="A2722" s="2" t="s">
        <v>1615</v>
      </c>
      <c r="B2722" s="3"/>
      <c r="C2722" s="4" t="s">
        <v>4897</v>
      </c>
      <c r="D2722" s="4" t="s">
        <v>1617</v>
      </c>
      <c r="E2722" s="5" t="s">
        <v>1619</v>
      </c>
      <c r="F2722" s="5" t="str">
        <f t="shared" si="42"/>
        <v>kamux.fi</v>
      </c>
      <c r="G2722" s="5" t="s">
        <v>4</v>
      </c>
      <c r="H2722" s="5" t="s">
        <v>1618</v>
      </c>
      <c r="I2722" s="6">
        <v>45687</v>
      </c>
    </row>
    <row r="2723" spans="1:9" ht="13.5">
      <c r="A2723" s="2" t="s">
        <v>1615</v>
      </c>
      <c r="B2723" s="3"/>
      <c r="C2723" s="4" t="s">
        <v>4898</v>
      </c>
      <c r="D2723" s="4" t="s">
        <v>1617</v>
      </c>
      <c r="E2723" s="5" t="s">
        <v>1619</v>
      </c>
      <c r="F2723" s="5" t="str">
        <f t="shared" si="42"/>
        <v>kamux.fi</v>
      </c>
      <c r="G2723" s="5" t="s">
        <v>4</v>
      </c>
      <c r="H2723" s="5" t="s">
        <v>1618</v>
      </c>
      <c r="I2723" s="6">
        <v>45687</v>
      </c>
    </row>
    <row r="2724" spans="1:9" ht="13.5">
      <c r="A2724" s="2" t="s">
        <v>4489</v>
      </c>
      <c r="B2724" s="3"/>
      <c r="C2724" s="4" t="s">
        <v>4899</v>
      </c>
      <c r="D2724" s="4" t="s">
        <v>4494</v>
      </c>
      <c r="E2724" s="5" t="s">
        <v>4495</v>
      </c>
      <c r="F2724" s="5" t="str">
        <f t="shared" si="42"/>
        <v>nordicknots.com</v>
      </c>
      <c r="G2724" s="5" t="s">
        <v>4</v>
      </c>
      <c r="H2724" s="5" t="s">
        <v>345</v>
      </c>
      <c r="I2724" s="6">
        <v>45686</v>
      </c>
    </row>
    <row r="2725" spans="1:9" ht="13.5">
      <c r="A2725" s="2" t="s">
        <v>4433</v>
      </c>
      <c r="B2725" s="3"/>
      <c r="C2725" s="4" t="s">
        <v>4900</v>
      </c>
      <c r="D2725" s="4" t="s">
        <v>4435</v>
      </c>
      <c r="E2725" s="5" t="s">
        <v>4436</v>
      </c>
      <c r="F2725" s="5" t="str">
        <f t="shared" si="42"/>
        <v>svenskiptv.com</v>
      </c>
      <c r="G2725" s="5" t="s">
        <v>4</v>
      </c>
      <c r="H2725" s="5" t="s">
        <v>5</v>
      </c>
      <c r="I2725" s="6">
        <v>45686</v>
      </c>
    </row>
    <row r="2726" spans="1:9" ht="13.5">
      <c r="A2726" s="2" t="s">
        <v>4373</v>
      </c>
      <c r="B2726" s="3"/>
      <c r="C2726" s="4" t="s">
        <v>4901</v>
      </c>
      <c r="D2726" s="4" t="s">
        <v>4466</v>
      </c>
      <c r="E2726" s="5" t="s">
        <v>4902</v>
      </c>
      <c r="F2726" s="5" t="str">
        <f t="shared" si="42"/>
        <v>vardagsfrid.se</v>
      </c>
      <c r="G2726" s="5" t="s">
        <v>4</v>
      </c>
      <c r="H2726" s="5" t="s">
        <v>5</v>
      </c>
      <c r="I2726" s="6">
        <v>45686</v>
      </c>
    </row>
    <row r="2727" spans="1:9" ht="13.5">
      <c r="A2727" s="2" t="s">
        <v>3186</v>
      </c>
      <c r="B2727" s="3"/>
      <c r="C2727" s="8" t="s">
        <v>4903</v>
      </c>
      <c r="D2727" s="4" t="s">
        <v>4904</v>
      </c>
      <c r="E2727" s="5" t="s">
        <v>3468</v>
      </c>
      <c r="F2727" s="5" t="str">
        <f t="shared" si="42"/>
        <v>myownwater.com</v>
      </c>
      <c r="G2727" s="5" t="s">
        <v>4</v>
      </c>
      <c r="H2727" s="5" t="s">
        <v>345</v>
      </c>
      <c r="I2727" s="6">
        <v>45686</v>
      </c>
    </row>
    <row r="2728" spans="1:9" ht="13.5">
      <c r="A2728" s="7" t="s">
        <v>3747</v>
      </c>
      <c r="B2728" s="3"/>
      <c r="C2728" s="4" t="s">
        <v>4905</v>
      </c>
      <c r="D2728" s="4" t="s">
        <v>4906</v>
      </c>
      <c r="E2728" s="5" t="s">
        <v>4907</v>
      </c>
      <c r="F2728" s="5" t="str">
        <f t="shared" si="42"/>
        <v>supernormal.health</v>
      </c>
      <c r="G2728" s="5" t="s">
        <v>4</v>
      </c>
      <c r="H2728" s="5" t="s">
        <v>5</v>
      </c>
      <c r="I2728" s="6">
        <v>45687</v>
      </c>
    </row>
    <row r="2729" spans="1:9" ht="13.5">
      <c r="A2729" s="2" t="s">
        <v>846</v>
      </c>
      <c r="B2729" s="3"/>
      <c r="C2729" s="4" t="s">
        <v>4908</v>
      </c>
      <c r="D2729" s="4" t="s">
        <v>4525</v>
      </c>
      <c r="E2729" s="5" t="s">
        <v>4909</v>
      </c>
      <c r="F2729" s="5" t="str">
        <f t="shared" si="42"/>
        <v>tandea.se</v>
      </c>
      <c r="G2729" s="5" t="s">
        <v>4</v>
      </c>
      <c r="H2729" s="5" t="s">
        <v>5</v>
      </c>
      <c r="I2729" s="6">
        <v>45687</v>
      </c>
    </row>
    <row r="2730" spans="1:9" ht="13.5">
      <c r="A2730" s="2" t="s">
        <v>435</v>
      </c>
      <c r="B2730" s="3"/>
      <c r="C2730" s="4" t="s">
        <v>4910</v>
      </c>
      <c r="D2730" s="4" t="s">
        <v>1384</v>
      </c>
      <c r="E2730" s="5" t="s">
        <v>2692</v>
      </c>
      <c r="F2730" s="5" t="str">
        <f t="shared" si="42"/>
        <v>fairinvestments.se</v>
      </c>
      <c r="G2730" s="5" t="s">
        <v>4</v>
      </c>
      <c r="H2730" s="5" t="s">
        <v>5</v>
      </c>
      <c r="I2730" s="6">
        <v>45687</v>
      </c>
    </row>
    <row r="2731" spans="1:9" ht="13.5">
      <c r="A2731" s="2" t="s">
        <v>435</v>
      </c>
      <c r="B2731" s="3"/>
      <c r="C2731" s="4" t="s">
        <v>4911</v>
      </c>
      <c r="D2731" s="4" t="s">
        <v>3777</v>
      </c>
      <c r="E2731" s="5" t="s">
        <v>2692</v>
      </c>
      <c r="F2731" s="5" t="str">
        <f t="shared" si="42"/>
        <v>fairinvestments.se</v>
      </c>
      <c r="G2731" s="5" t="s">
        <v>4</v>
      </c>
      <c r="H2731" s="5" t="s">
        <v>5</v>
      </c>
      <c r="I2731" s="6">
        <v>45687</v>
      </c>
    </row>
    <row r="2732" spans="1:9" ht="13.5">
      <c r="A2732" s="2" t="s">
        <v>2127</v>
      </c>
      <c r="B2732" s="3"/>
      <c r="C2732" s="4" t="s">
        <v>4912</v>
      </c>
      <c r="D2732" s="4" t="s">
        <v>4913</v>
      </c>
      <c r="E2732" s="5" t="s">
        <v>4153</v>
      </c>
      <c r="F2732" s="5" t="str">
        <f t="shared" si="42"/>
        <v>startmotor.se</v>
      </c>
      <c r="G2732" s="5" t="s">
        <v>4</v>
      </c>
      <c r="H2732" s="5" t="s">
        <v>5</v>
      </c>
      <c r="I2732" s="6">
        <v>45687</v>
      </c>
    </row>
    <row r="2733" spans="1:9" ht="13.5">
      <c r="A2733" s="2" t="s">
        <v>4558</v>
      </c>
      <c r="B2733" s="3"/>
      <c r="C2733" s="4" t="s">
        <v>4914</v>
      </c>
      <c r="D2733" s="4" t="s">
        <v>4705</v>
      </c>
      <c r="E2733" s="5" t="s">
        <v>4566</v>
      </c>
      <c r="F2733" s="5" t="str">
        <f t="shared" si="42"/>
        <v>mockfjards.se</v>
      </c>
      <c r="G2733" s="5" t="s">
        <v>4</v>
      </c>
      <c r="H2733" s="5" t="s">
        <v>5</v>
      </c>
      <c r="I2733" s="6">
        <v>45687</v>
      </c>
    </row>
    <row r="2734" spans="1:9" ht="13.5">
      <c r="A2734" s="2" t="s">
        <v>2999</v>
      </c>
      <c r="B2734" s="3"/>
      <c r="C2734" s="8" t="s">
        <v>4915</v>
      </c>
      <c r="D2734" s="8" t="s">
        <v>4916</v>
      </c>
      <c r="E2734" s="5" t="s">
        <v>4917</v>
      </c>
      <c r="F2734" s="5" t="str">
        <f t="shared" si="42"/>
        <v>nettotobak.com</v>
      </c>
      <c r="G2734" s="5" t="s">
        <v>4</v>
      </c>
      <c r="H2734" s="5" t="s">
        <v>5</v>
      </c>
      <c r="I2734" s="6">
        <v>45687</v>
      </c>
    </row>
    <row r="2735" spans="1:9" ht="13.5">
      <c r="A2735" s="2" t="s">
        <v>2636</v>
      </c>
      <c r="B2735" s="3"/>
      <c r="C2735" s="5" t="s">
        <v>4918</v>
      </c>
      <c r="D2735" s="5" t="s">
        <v>2702</v>
      </c>
      <c r="E2735" s="5" t="s">
        <v>2703</v>
      </c>
      <c r="F2735" s="5" t="str">
        <f t="shared" si="42"/>
        <v>kvarnx.com</v>
      </c>
      <c r="G2735" s="5" t="s">
        <v>4</v>
      </c>
      <c r="H2735" s="5" t="s">
        <v>5</v>
      </c>
      <c r="I2735" s="6">
        <v>45687</v>
      </c>
    </row>
    <row r="2736" spans="1:9" ht="13.5">
      <c r="A2736" s="2" t="s">
        <v>2636</v>
      </c>
      <c r="B2736" s="3"/>
      <c r="C2736" s="5" t="s">
        <v>4919</v>
      </c>
      <c r="D2736" s="5" t="s">
        <v>2720</v>
      </c>
      <c r="E2736" s="5" t="s">
        <v>4920</v>
      </c>
      <c r="F2736" s="5" t="str">
        <f t="shared" si="42"/>
        <v>kvarnx.com</v>
      </c>
      <c r="G2736" s="5" t="s">
        <v>4</v>
      </c>
      <c r="H2736" s="5" t="s">
        <v>5</v>
      </c>
      <c r="I2736" s="6">
        <v>45687</v>
      </c>
    </row>
    <row r="2737" spans="1:9" ht="13.5">
      <c r="A2737" s="7"/>
      <c r="B2737" s="3"/>
      <c r="C2737" s="5" t="s">
        <v>4921</v>
      </c>
      <c r="D2737" s="5" t="s">
        <v>3908</v>
      </c>
      <c r="E2737" s="5" t="s">
        <v>3920</v>
      </c>
      <c r="F2737" s="5">
        <f t="shared" si="42"/>
        <v>0</v>
      </c>
      <c r="G2737" s="5" t="s">
        <v>4</v>
      </c>
      <c r="H2737" s="5" t="s">
        <v>5</v>
      </c>
      <c r="I2737" s="6">
        <v>45687</v>
      </c>
    </row>
    <row r="2738" spans="1:9" ht="13.5">
      <c r="A2738" s="7" t="s">
        <v>3921</v>
      </c>
      <c r="B2738" s="3"/>
      <c r="C2738" s="5" t="s">
        <v>4922</v>
      </c>
      <c r="D2738" s="5" t="s">
        <v>4190</v>
      </c>
      <c r="E2738" s="5" t="s">
        <v>4923</v>
      </c>
      <c r="F2738" s="5" t="str">
        <f t="shared" si="42"/>
        <v>svenskalasjouren.se</v>
      </c>
      <c r="G2738" s="5" t="s">
        <v>4</v>
      </c>
      <c r="H2738" s="5" t="s">
        <v>5</v>
      </c>
      <c r="I2738" s="6">
        <v>45687</v>
      </c>
    </row>
    <row r="2739" spans="1:9" ht="13.5">
      <c r="A2739" s="7" t="s">
        <v>4164</v>
      </c>
      <c r="B2739" s="3"/>
      <c r="C2739" s="5" t="s">
        <v>4924</v>
      </c>
      <c r="D2739" s="5" t="s">
        <v>4925</v>
      </c>
      <c r="E2739" s="5" t="s">
        <v>4926</v>
      </c>
      <c r="F2739" s="5" t="str">
        <f t="shared" si="42"/>
        <v>casinogringos.se</v>
      </c>
      <c r="G2739" s="5" t="s">
        <v>4</v>
      </c>
      <c r="H2739" s="5" t="s">
        <v>5</v>
      </c>
      <c r="I2739" s="6">
        <v>45687</v>
      </c>
    </row>
    <row r="2740" spans="1:9" ht="13.5">
      <c r="A2740" s="2" t="s">
        <v>3128</v>
      </c>
      <c r="C2740" s="138" t="s">
        <v>4927</v>
      </c>
      <c r="D2740" s="4" t="s">
        <v>3130</v>
      </c>
      <c r="E2740" s="72" t="s">
        <v>4928</v>
      </c>
      <c r="F2740" s="5" t="str">
        <f t="shared" si="42"/>
        <v>bethard.com</v>
      </c>
      <c r="G2740" s="5" t="s">
        <v>4</v>
      </c>
      <c r="H2740" s="5" t="s">
        <v>5</v>
      </c>
      <c r="I2740" s="6">
        <v>45688</v>
      </c>
    </row>
    <row r="2741" spans="1:9" ht="13.5">
      <c r="A2741" s="2" t="s">
        <v>3761</v>
      </c>
      <c r="B2741" s="3"/>
      <c r="C2741" s="5" t="s">
        <v>4929</v>
      </c>
      <c r="D2741" s="5" t="s">
        <v>3908</v>
      </c>
      <c r="E2741" s="5" t="s">
        <v>3920</v>
      </c>
      <c r="F2741" s="5" t="str">
        <f t="shared" si="42"/>
        <v>hajper.com</v>
      </c>
      <c r="G2741" s="5" t="s">
        <v>4</v>
      </c>
      <c r="H2741" s="5" t="s">
        <v>5</v>
      </c>
      <c r="I2741" s="6">
        <v>45688</v>
      </c>
    </row>
    <row r="2742" spans="1:9" ht="13.5">
      <c r="A2742" s="2" t="s">
        <v>171</v>
      </c>
      <c r="B2742" s="3"/>
      <c r="C2742" s="4" t="s">
        <v>4930</v>
      </c>
      <c r="D2742" s="4" t="s">
        <v>2959</v>
      </c>
      <c r="E2742" s="5" t="s">
        <v>4601</v>
      </c>
      <c r="F2742" s="5" t="str">
        <f t="shared" si="42"/>
        <v>arctic.se</v>
      </c>
      <c r="G2742" s="5" t="s">
        <v>4</v>
      </c>
      <c r="H2742" s="5" t="s">
        <v>262</v>
      </c>
      <c r="I2742" s="6">
        <v>45689</v>
      </c>
    </row>
    <row r="2743" spans="1:9" ht="13.5">
      <c r="A2743" s="2" t="s">
        <v>3885</v>
      </c>
      <c r="B2743" s="3"/>
      <c r="C2743" s="4" t="s">
        <v>4931</v>
      </c>
      <c r="D2743" s="4" t="s">
        <v>3931</v>
      </c>
      <c r="E2743" s="5" t="s">
        <v>3932</v>
      </c>
      <c r="F2743" s="5" t="str">
        <f t="shared" si="42"/>
        <v>chattanoogarehab.com</v>
      </c>
      <c r="G2743" s="5" t="s">
        <v>4</v>
      </c>
      <c r="H2743" s="5" t="s">
        <v>345</v>
      </c>
      <c r="I2743" s="6">
        <v>45691</v>
      </c>
    </row>
    <row r="2744" spans="1:9" ht="13.5">
      <c r="A2744" s="7" t="s">
        <v>3791</v>
      </c>
      <c r="B2744" s="3"/>
      <c r="C2744" s="4" t="s">
        <v>4932</v>
      </c>
      <c r="D2744" s="4" t="s">
        <v>4101</v>
      </c>
      <c r="E2744" s="5" t="s">
        <v>268</v>
      </c>
      <c r="F2744" s="5" t="str">
        <f t="shared" si="42"/>
        <v>coface</v>
      </c>
      <c r="G2744" s="5" t="s">
        <v>4</v>
      </c>
      <c r="H2744" s="5" t="s">
        <v>267</v>
      </c>
      <c r="I2744" s="6">
        <v>45691</v>
      </c>
    </row>
    <row r="2745" spans="1:9" ht="13.5">
      <c r="A2745" s="2" t="s">
        <v>4829</v>
      </c>
      <c r="B2745" s="3"/>
      <c r="C2745" s="4" t="s">
        <v>4933</v>
      </c>
      <c r="D2745" s="8" t="s">
        <v>4934</v>
      </c>
      <c r="E2745" s="5" t="s">
        <v>4935</v>
      </c>
      <c r="F2745" s="5" t="str">
        <f t="shared" si="42"/>
        <v>technobark.com</v>
      </c>
      <c r="G2745" s="5" t="s">
        <v>4</v>
      </c>
      <c r="H2745" s="5" t="s">
        <v>345</v>
      </c>
      <c r="I2745" s="6">
        <v>45691</v>
      </c>
    </row>
    <row r="2746" spans="1:9" ht="13.5">
      <c r="A2746" s="2" t="s">
        <v>3128</v>
      </c>
      <c r="C2746" s="138" t="s">
        <v>4936</v>
      </c>
      <c r="D2746" s="4" t="s">
        <v>3130</v>
      </c>
      <c r="E2746" s="72" t="s">
        <v>4937</v>
      </c>
      <c r="F2746" s="5" t="str">
        <f t="shared" si="42"/>
        <v>bethard.com</v>
      </c>
      <c r="G2746" s="5" t="s">
        <v>4</v>
      </c>
      <c r="H2746" s="5" t="s">
        <v>5</v>
      </c>
      <c r="I2746" s="6">
        <v>45691</v>
      </c>
    </row>
    <row r="2747" spans="1:9" ht="13.5">
      <c r="A2747" s="2" t="s">
        <v>3885</v>
      </c>
      <c r="B2747" s="3"/>
      <c r="C2747" s="4" t="s">
        <v>4938</v>
      </c>
      <c r="D2747" s="4" t="s">
        <v>4591</v>
      </c>
      <c r="E2747" s="5" t="s">
        <v>3932</v>
      </c>
      <c r="F2747" s="5" t="str">
        <f t="shared" si="42"/>
        <v>chattanoogarehab.com</v>
      </c>
      <c r="G2747" s="5" t="s">
        <v>4</v>
      </c>
      <c r="H2747" s="5" t="s">
        <v>345</v>
      </c>
      <c r="I2747" s="6">
        <v>45692</v>
      </c>
    </row>
    <row r="2748" spans="1:9" ht="13.5">
      <c r="A2748" s="2" t="s">
        <v>4051</v>
      </c>
      <c r="B2748" s="3"/>
      <c r="C2748" s="4" t="s">
        <v>4939</v>
      </c>
      <c r="D2748" s="4" t="s">
        <v>4314</v>
      </c>
      <c r="E2748" s="5" t="s">
        <v>4315</v>
      </c>
      <c r="F2748" s="5" t="str">
        <f t="shared" si="42"/>
        <v>hund.se</v>
      </c>
      <c r="G2748" s="5" t="s">
        <v>4</v>
      </c>
      <c r="H2748" s="5" t="s">
        <v>5</v>
      </c>
      <c r="I2748" s="6">
        <v>45692</v>
      </c>
    </row>
    <row r="2749" spans="1:9" ht="13.5">
      <c r="A2749" s="2" t="s">
        <v>2836</v>
      </c>
      <c r="B2749" s="3"/>
      <c r="C2749" s="4" t="s">
        <v>4940</v>
      </c>
      <c r="D2749" s="4" t="s">
        <v>3100</v>
      </c>
      <c r="E2749" s="5" t="s">
        <v>4941</v>
      </c>
      <c r="F2749" s="5" t="str">
        <f t="shared" si="42"/>
        <v>cherry.com</v>
      </c>
      <c r="G2749" s="5" t="s">
        <v>94</v>
      </c>
      <c r="H2749" s="5" t="s">
        <v>5</v>
      </c>
      <c r="I2749" s="6">
        <v>45692</v>
      </c>
    </row>
    <row r="2750" spans="1:9" ht="13.5">
      <c r="A2750" s="2" t="s">
        <v>4147</v>
      </c>
      <c r="B2750" s="3"/>
      <c r="C2750" s="4" t="s">
        <v>4942</v>
      </c>
      <c r="D2750" s="4" t="s">
        <v>4147</v>
      </c>
      <c r="E2750" s="5" t="s">
        <v>4299</v>
      </c>
      <c r="F2750" s="5" t="str">
        <f t="shared" si="42"/>
        <v>petster.se</v>
      </c>
      <c r="G2750" s="5" t="s">
        <v>4</v>
      </c>
      <c r="H2750" s="5" t="s">
        <v>5</v>
      </c>
      <c r="I2750" s="6">
        <v>45692</v>
      </c>
    </row>
    <row r="2751" spans="1:9" ht="13.5">
      <c r="A2751" s="2" t="s">
        <v>4771</v>
      </c>
      <c r="B2751" s="3"/>
      <c r="C2751" s="4" t="s">
        <v>4943</v>
      </c>
      <c r="D2751" s="4" t="s">
        <v>4944</v>
      </c>
      <c r="E2751" s="5" t="s">
        <v>4773</v>
      </c>
      <c r="F2751" s="5" t="str">
        <f t="shared" si="42"/>
        <v>dryft.se</v>
      </c>
      <c r="G2751" s="5" t="s">
        <v>4</v>
      </c>
      <c r="H2751" s="5" t="s">
        <v>5</v>
      </c>
      <c r="I2751" s="6">
        <v>45692</v>
      </c>
    </row>
    <row r="2752" spans="1:9" ht="13.5">
      <c r="A2752" s="7" t="s">
        <v>2281</v>
      </c>
      <c r="B2752" s="3"/>
      <c r="C2752" s="4" t="s">
        <v>4945</v>
      </c>
      <c r="D2752" s="4" t="s">
        <v>4946</v>
      </c>
      <c r="E2752" s="5" t="s">
        <v>4947</v>
      </c>
      <c r="F2752" s="5" t="str">
        <f t="shared" si="42"/>
        <v>tandläkare.se</v>
      </c>
      <c r="G2752" s="5" t="s">
        <v>4</v>
      </c>
      <c r="H2752" s="5" t="s">
        <v>5</v>
      </c>
      <c r="I2752" s="6">
        <v>45692</v>
      </c>
    </row>
    <row r="2753" spans="1:9" ht="13.5">
      <c r="A2753" s="2" t="s">
        <v>4489</v>
      </c>
      <c r="B2753" s="3"/>
      <c r="C2753" s="4" t="s">
        <v>4948</v>
      </c>
      <c r="D2753" s="4" t="s">
        <v>4494</v>
      </c>
      <c r="E2753" s="5" t="s">
        <v>4495</v>
      </c>
      <c r="F2753" s="5" t="str">
        <f t="shared" si="42"/>
        <v>nordicknots.com</v>
      </c>
      <c r="G2753" s="5" t="s">
        <v>4</v>
      </c>
      <c r="H2753" s="5" t="s">
        <v>345</v>
      </c>
      <c r="I2753" s="6">
        <v>45692</v>
      </c>
    </row>
    <row r="2754" spans="1:9" ht="13.5">
      <c r="A2754" s="2" t="s">
        <v>2352</v>
      </c>
      <c r="B2754" s="3"/>
      <c r="C2754" s="4" t="s">
        <v>4949</v>
      </c>
      <c r="D2754" s="4" t="s">
        <v>2354</v>
      </c>
      <c r="E2754" s="5" t="s">
        <v>2356</v>
      </c>
      <c r="F2754" s="5" t="str">
        <f t="shared" si="42"/>
        <v>seniorrabatt.se</v>
      </c>
      <c r="G2754" s="5" t="s">
        <v>4</v>
      </c>
      <c r="H2754" s="5" t="s">
        <v>3496</v>
      </c>
      <c r="I2754" s="6">
        <v>45692</v>
      </c>
    </row>
    <row r="2755" spans="1:9" ht="13.5">
      <c r="A2755" s="2" t="s">
        <v>3299</v>
      </c>
      <c r="B2755" s="3"/>
      <c r="C2755" s="4" t="s">
        <v>4950</v>
      </c>
      <c r="D2755" s="4" t="s">
        <v>3301</v>
      </c>
      <c r="E2755" s="9" t="s">
        <v>3809</v>
      </c>
      <c r="F2755" s="5" t="str">
        <f t="shared" ref="F2755:F2818" si="43">A2755</f>
        <v>nodepositbonus.cc</v>
      </c>
      <c r="G2755" s="5" t="s">
        <v>4</v>
      </c>
      <c r="H2755" s="5" t="s">
        <v>345</v>
      </c>
      <c r="I2755" s="6">
        <v>45693</v>
      </c>
    </row>
    <row r="2756" spans="1:9" ht="13.5">
      <c r="A2756" s="2" t="s">
        <v>3299</v>
      </c>
      <c r="B2756" s="3"/>
      <c r="C2756" s="4" t="s">
        <v>4951</v>
      </c>
      <c r="D2756" s="4" t="s">
        <v>3938</v>
      </c>
      <c r="E2756" s="5" t="s">
        <v>4212</v>
      </c>
      <c r="F2756" s="5" t="str">
        <f t="shared" si="43"/>
        <v>nodepositbonus.cc</v>
      </c>
      <c r="G2756" s="5" t="s">
        <v>4</v>
      </c>
      <c r="H2756" s="5" t="s">
        <v>345</v>
      </c>
      <c r="I2756" s="6">
        <v>45693</v>
      </c>
    </row>
    <row r="2757" spans="1:9" ht="13.5">
      <c r="A2757" s="2" t="s">
        <v>3299</v>
      </c>
      <c r="B2757" s="3"/>
      <c r="C2757" s="4" t="s">
        <v>4952</v>
      </c>
      <c r="D2757" s="4" t="s">
        <v>3301</v>
      </c>
      <c r="E2757" s="9" t="s">
        <v>3809</v>
      </c>
      <c r="F2757" s="5" t="str">
        <f t="shared" si="43"/>
        <v>nodepositbonus.cc</v>
      </c>
      <c r="G2757" s="5" t="s">
        <v>4</v>
      </c>
      <c r="H2757" s="5" t="s">
        <v>345</v>
      </c>
      <c r="I2757" s="6">
        <v>45693</v>
      </c>
    </row>
    <row r="2758" spans="1:9" ht="13.5">
      <c r="A2758" s="7" t="s">
        <v>3791</v>
      </c>
      <c r="B2758" s="3"/>
      <c r="C2758" s="4" t="s">
        <v>4953</v>
      </c>
      <c r="D2758" s="4" t="s">
        <v>4218</v>
      </c>
      <c r="E2758" s="5" t="s">
        <v>3983</v>
      </c>
      <c r="F2758" s="5" t="str">
        <f t="shared" si="43"/>
        <v>coface</v>
      </c>
      <c r="G2758" s="5" t="s">
        <v>4</v>
      </c>
      <c r="H2758" s="5" t="s">
        <v>267</v>
      </c>
      <c r="I2758" s="6">
        <v>45693</v>
      </c>
    </row>
    <row r="2759" spans="1:9" ht="13.5">
      <c r="A2759" s="2" t="s">
        <v>4489</v>
      </c>
      <c r="B2759" s="3"/>
      <c r="C2759" s="4" t="s">
        <v>4954</v>
      </c>
      <c r="D2759" s="4" t="s">
        <v>4955</v>
      </c>
      <c r="E2759" s="5" t="s">
        <v>4956</v>
      </c>
      <c r="F2759" s="5" t="str">
        <f t="shared" si="43"/>
        <v>nordicknots.com</v>
      </c>
      <c r="G2759" s="5" t="s">
        <v>4</v>
      </c>
      <c r="H2759" s="5" t="s">
        <v>345</v>
      </c>
      <c r="I2759" s="6">
        <v>45693</v>
      </c>
    </row>
    <row r="2760" spans="1:9" ht="13.5">
      <c r="A2760" s="2" t="s">
        <v>2999</v>
      </c>
      <c r="B2760" s="3"/>
      <c r="C2760" s="8" t="s">
        <v>4957</v>
      </c>
      <c r="D2760" s="8" t="s">
        <v>4916</v>
      </c>
      <c r="E2760" s="5" t="s">
        <v>4958</v>
      </c>
      <c r="F2760" s="5" t="str">
        <f t="shared" si="43"/>
        <v>nettotobak.com</v>
      </c>
      <c r="G2760" s="5" t="s">
        <v>4</v>
      </c>
      <c r="H2760" s="5" t="s">
        <v>5</v>
      </c>
      <c r="I2760" s="6">
        <v>45693</v>
      </c>
    </row>
    <row r="2761" spans="1:9" ht="13.5">
      <c r="A2761" s="2" t="s">
        <v>2999</v>
      </c>
      <c r="B2761" s="3"/>
      <c r="C2761" s="8" t="s">
        <v>4959</v>
      </c>
      <c r="D2761" s="8" t="s">
        <v>4894</v>
      </c>
      <c r="E2761" s="5" t="s">
        <v>3233</v>
      </c>
      <c r="F2761" s="5" t="str">
        <f t="shared" si="43"/>
        <v>nettotobak.com</v>
      </c>
      <c r="G2761" s="5" t="s">
        <v>4</v>
      </c>
      <c r="H2761" s="5" t="s">
        <v>5</v>
      </c>
      <c r="I2761" s="6">
        <v>45693</v>
      </c>
    </row>
    <row r="2762" spans="1:9" ht="13.5">
      <c r="A2762" s="7" t="s">
        <v>3419</v>
      </c>
      <c r="B2762" s="3"/>
      <c r="C2762" s="5" t="s">
        <v>4960</v>
      </c>
      <c r="D2762" s="5" t="s">
        <v>4961</v>
      </c>
      <c r="E2762" s="5" t="s">
        <v>4962</v>
      </c>
      <c r="F2762" s="5" t="str">
        <f t="shared" si="43"/>
        <v>zmarta</v>
      </c>
      <c r="G2762" s="5" t="s">
        <v>4</v>
      </c>
      <c r="H2762" s="5" t="s">
        <v>5</v>
      </c>
      <c r="I2762" s="6">
        <v>45693</v>
      </c>
    </row>
    <row r="2763" spans="1:9" ht="13.5">
      <c r="A2763" s="2" t="s">
        <v>3682</v>
      </c>
      <c r="B2763" s="3"/>
      <c r="C2763" s="5" t="s">
        <v>4963</v>
      </c>
      <c r="D2763" s="5" t="s">
        <v>3926</v>
      </c>
      <c r="E2763" s="5" t="s">
        <v>3685</v>
      </c>
      <c r="F2763" s="5" t="str">
        <f t="shared" si="43"/>
        <v>upplevelse.com</v>
      </c>
      <c r="G2763" s="5" t="s">
        <v>4</v>
      </c>
      <c r="H2763" s="5" t="s">
        <v>5</v>
      </c>
      <c r="I2763" s="6">
        <v>45695</v>
      </c>
    </row>
    <row r="2764" spans="1:9" ht="13.5">
      <c r="A2764" s="7" t="s">
        <v>4164</v>
      </c>
      <c r="B2764" s="3"/>
      <c r="C2764" s="5" t="s">
        <v>4964</v>
      </c>
      <c r="D2764" s="5" t="s">
        <v>4965</v>
      </c>
      <c r="E2764" s="5" t="s">
        <v>4966</v>
      </c>
      <c r="F2764" s="5" t="str">
        <f t="shared" si="43"/>
        <v>casinogringos.se</v>
      </c>
      <c r="G2764" s="5" t="s">
        <v>4</v>
      </c>
      <c r="H2764" s="5" t="s">
        <v>5</v>
      </c>
      <c r="I2764" s="6">
        <v>45695</v>
      </c>
    </row>
    <row r="2765" spans="1:9" ht="13.5">
      <c r="A2765" s="7" t="s">
        <v>2281</v>
      </c>
      <c r="B2765" s="3"/>
      <c r="C2765" s="138" t="s">
        <v>4967</v>
      </c>
      <c r="D2765" s="278" t="s">
        <v>4946</v>
      </c>
      <c r="E2765" s="72" t="s">
        <v>4968</v>
      </c>
      <c r="F2765" s="5" t="str">
        <f t="shared" si="43"/>
        <v>tandläkare.se</v>
      </c>
      <c r="G2765" s="5" t="s">
        <v>4</v>
      </c>
      <c r="H2765" s="5" t="s">
        <v>5</v>
      </c>
      <c r="I2765" s="6">
        <v>45699</v>
      </c>
    </row>
    <row r="2766" spans="1:9" ht="13.5">
      <c r="A2766" s="2" t="s">
        <v>3682</v>
      </c>
      <c r="B2766" s="3"/>
      <c r="C2766" s="5" t="s">
        <v>4969</v>
      </c>
      <c r="D2766" s="5" t="s">
        <v>4970</v>
      </c>
      <c r="E2766" s="5" t="s">
        <v>4073</v>
      </c>
      <c r="F2766" s="5" t="str">
        <f t="shared" si="43"/>
        <v>upplevelse.com</v>
      </c>
      <c r="G2766" s="5" t="s">
        <v>4</v>
      </c>
      <c r="H2766" s="5" t="s">
        <v>5</v>
      </c>
      <c r="I2766" s="6">
        <v>45699</v>
      </c>
    </row>
    <row r="2767" spans="1:9" ht="13.5">
      <c r="A2767" s="2" t="s">
        <v>3058</v>
      </c>
      <c r="B2767" s="3"/>
      <c r="C2767" s="4" t="s">
        <v>4971</v>
      </c>
      <c r="D2767" s="4" t="s">
        <v>4972</v>
      </c>
      <c r="E2767" s="5" t="s">
        <v>3185</v>
      </c>
      <c r="F2767" s="5" t="str">
        <f t="shared" si="43"/>
        <v>rusta.se</v>
      </c>
      <c r="G2767" s="5" t="s">
        <v>4</v>
      </c>
      <c r="H2767" s="5" t="s">
        <v>5</v>
      </c>
      <c r="I2767" s="6">
        <v>45700</v>
      </c>
    </row>
    <row r="2768" spans="1:9" ht="13.5">
      <c r="A2768" s="2" t="s">
        <v>4433</v>
      </c>
      <c r="B2768" s="3"/>
      <c r="C2768" s="4" t="s">
        <v>4973</v>
      </c>
      <c r="D2768" s="4" t="s">
        <v>4974</v>
      </c>
      <c r="E2768" s="5" t="s">
        <v>4703</v>
      </c>
      <c r="F2768" s="5" t="str">
        <f t="shared" si="43"/>
        <v>svenskiptv.com</v>
      </c>
      <c r="G2768" s="5" t="s">
        <v>4</v>
      </c>
      <c r="H2768" s="5" t="s">
        <v>5</v>
      </c>
      <c r="I2768" s="6">
        <v>45700</v>
      </c>
    </row>
    <row r="2769" spans="1:9" ht="13.5">
      <c r="A2769" s="2" t="s">
        <v>3682</v>
      </c>
      <c r="B2769" s="3"/>
      <c r="C2769" s="5" t="s">
        <v>4975</v>
      </c>
      <c r="D2769" s="5" t="s">
        <v>4072</v>
      </c>
      <c r="E2769" s="5" t="s">
        <v>4073</v>
      </c>
      <c r="F2769" s="5" t="str">
        <f t="shared" si="43"/>
        <v>upplevelse.com</v>
      </c>
      <c r="G2769" s="5" t="s">
        <v>4</v>
      </c>
      <c r="H2769" s="5" t="s">
        <v>5</v>
      </c>
      <c r="I2769" s="6">
        <v>45701</v>
      </c>
    </row>
    <row r="2770" spans="1:9" ht="13.5">
      <c r="A2770" s="2" t="s">
        <v>3682</v>
      </c>
      <c r="B2770" s="3"/>
      <c r="C2770" s="5" t="s">
        <v>4976</v>
      </c>
      <c r="D2770" s="5" t="s">
        <v>4977</v>
      </c>
      <c r="E2770" s="5" t="s">
        <v>3685</v>
      </c>
      <c r="F2770" s="5" t="str">
        <f t="shared" si="43"/>
        <v>upplevelse.com</v>
      </c>
      <c r="G2770" s="5" t="s">
        <v>4</v>
      </c>
      <c r="H2770" s="5" t="s">
        <v>5</v>
      </c>
      <c r="I2770" s="6">
        <v>45701</v>
      </c>
    </row>
    <row r="2771" spans="1:9" ht="13.5">
      <c r="A2771" s="2" t="s">
        <v>3743</v>
      </c>
      <c r="B2771" s="3"/>
      <c r="C2771" s="4" t="s">
        <v>4978</v>
      </c>
      <c r="D2771" s="4" t="s">
        <v>4383</v>
      </c>
      <c r="E2771" s="5" t="s">
        <v>4384</v>
      </c>
      <c r="F2771" s="5" t="str">
        <f t="shared" si="43"/>
        <v>acnespecialisten.se</v>
      </c>
      <c r="G2771" s="5" t="s">
        <v>4</v>
      </c>
      <c r="H2771" s="5" t="s">
        <v>5</v>
      </c>
      <c r="I2771" s="6">
        <v>45702</v>
      </c>
    </row>
    <row r="2772" spans="1:9" ht="13.5">
      <c r="A2772" s="2" t="s">
        <v>4135</v>
      </c>
      <c r="B2772" s="3"/>
      <c r="C2772" s="4" t="s">
        <v>4979</v>
      </c>
      <c r="D2772" s="4" t="s">
        <v>4368</v>
      </c>
      <c r="E2772" s="5" t="s">
        <v>4369</v>
      </c>
      <c r="F2772" s="5" t="str">
        <f t="shared" si="43"/>
        <v>aerius.se</v>
      </c>
      <c r="G2772" s="5" t="s">
        <v>4</v>
      </c>
      <c r="H2772" s="5" t="s">
        <v>5</v>
      </c>
      <c r="I2772" s="6">
        <v>45702</v>
      </c>
    </row>
    <row r="2773" spans="1:9" ht="13.5">
      <c r="A2773" s="2" t="s">
        <v>171</v>
      </c>
      <c r="B2773" s="3"/>
      <c r="C2773" s="4" t="s">
        <v>4980</v>
      </c>
      <c r="D2773" s="4" t="s">
        <v>1095</v>
      </c>
      <c r="E2773" s="5" t="s">
        <v>1533</v>
      </c>
      <c r="F2773" s="5" t="str">
        <f t="shared" si="43"/>
        <v>arctic.se</v>
      </c>
      <c r="G2773" s="5" t="s">
        <v>4</v>
      </c>
      <c r="H2773" s="5" t="s">
        <v>5</v>
      </c>
      <c r="I2773" s="6">
        <v>45702</v>
      </c>
    </row>
    <row r="2774" spans="1:9" ht="13.5">
      <c r="A2774" s="2" t="s">
        <v>171</v>
      </c>
      <c r="B2774" s="3"/>
      <c r="C2774" s="4" t="s">
        <v>4981</v>
      </c>
      <c r="D2774" s="4" t="s">
        <v>1095</v>
      </c>
      <c r="E2774" s="5" t="s">
        <v>2856</v>
      </c>
      <c r="F2774" s="5" t="str">
        <f t="shared" si="43"/>
        <v>arctic.se</v>
      </c>
      <c r="G2774" s="5" t="s">
        <v>4</v>
      </c>
      <c r="H2774" s="5" t="s">
        <v>5</v>
      </c>
      <c r="I2774" s="6">
        <v>45702</v>
      </c>
    </row>
    <row r="2775" spans="1:9" ht="13.5">
      <c r="A2775" s="2" t="s">
        <v>4458</v>
      </c>
      <c r="B2775" s="3"/>
      <c r="C2775" s="4" t="s">
        <v>4982</v>
      </c>
      <c r="D2775" s="4" t="s">
        <v>4460</v>
      </c>
      <c r="E2775" s="5" t="s">
        <v>2234</v>
      </c>
      <c r="F2775" s="5" t="str">
        <f t="shared" si="43"/>
        <v>cdbilvardsprodukter.se</v>
      </c>
      <c r="G2775" s="5" t="s">
        <v>4</v>
      </c>
      <c r="H2775" s="5" t="s">
        <v>5</v>
      </c>
      <c r="I2775" s="6">
        <v>45702</v>
      </c>
    </row>
    <row r="2776" spans="1:9" ht="13.5">
      <c r="A2776" s="2" t="s">
        <v>4458</v>
      </c>
      <c r="B2776" s="3"/>
      <c r="C2776" s="4" t="s">
        <v>4983</v>
      </c>
      <c r="D2776" s="4" t="s">
        <v>4460</v>
      </c>
      <c r="E2776" s="5" t="s">
        <v>2234</v>
      </c>
      <c r="F2776" s="5" t="str">
        <f t="shared" si="43"/>
        <v>cdbilvardsprodukter.se</v>
      </c>
      <c r="G2776" s="5" t="s">
        <v>4</v>
      </c>
      <c r="H2776" s="5" t="s">
        <v>5</v>
      </c>
      <c r="I2776" s="6">
        <v>45702</v>
      </c>
    </row>
    <row r="2777" spans="1:9" ht="13.5">
      <c r="A2777" s="2" t="s">
        <v>4771</v>
      </c>
      <c r="B2777" s="3"/>
      <c r="C2777" s="4" t="s">
        <v>4984</v>
      </c>
      <c r="D2777" s="4" t="s">
        <v>4985</v>
      </c>
      <c r="E2777" s="5" t="s">
        <v>4986</v>
      </c>
      <c r="F2777" s="5" t="str">
        <f t="shared" si="43"/>
        <v>dryft.se</v>
      </c>
      <c r="G2777" s="5" t="s">
        <v>4</v>
      </c>
      <c r="H2777" s="5" t="s">
        <v>5</v>
      </c>
      <c r="I2777" s="6">
        <v>45702</v>
      </c>
    </row>
    <row r="2778" spans="1:9" ht="13.5">
      <c r="A2778" s="2" t="s">
        <v>3173</v>
      </c>
      <c r="B2778" s="3"/>
      <c r="C2778" s="8" t="s">
        <v>4987</v>
      </c>
      <c r="D2778" s="4" t="s">
        <v>3175</v>
      </c>
      <c r="E2778" s="5" t="s">
        <v>3217</v>
      </c>
      <c r="F2778" s="5" t="str">
        <f t="shared" si="43"/>
        <v>ekstromgaray.se</v>
      </c>
      <c r="G2778" s="5" t="s">
        <v>4</v>
      </c>
      <c r="H2778" s="5" t="s">
        <v>5</v>
      </c>
      <c r="I2778" s="6">
        <v>45702</v>
      </c>
    </row>
    <row r="2779" spans="1:9" ht="13.5">
      <c r="A2779" s="2" t="s">
        <v>308</v>
      </c>
      <c r="B2779" s="3"/>
      <c r="C2779" s="4" t="s">
        <v>4988</v>
      </c>
      <c r="D2779" s="4" t="s">
        <v>1395</v>
      </c>
      <c r="E2779" s="5" t="s">
        <v>2489</v>
      </c>
      <c r="F2779" s="5" t="str">
        <f t="shared" si="43"/>
        <v>lansfast.se</v>
      </c>
      <c r="G2779" s="5" t="s">
        <v>4</v>
      </c>
      <c r="H2779" s="5" t="s">
        <v>5</v>
      </c>
      <c r="I2779" s="6">
        <v>45702</v>
      </c>
    </row>
    <row r="2780" spans="1:9" ht="13.5">
      <c r="A2780" s="2" t="s">
        <v>308</v>
      </c>
      <c r="B2780" s="3"/>
      <c r="C2780" s="4" t="s">
        <v>4989</v>
      </c>
      <c r="D2780" s="4" t="s">
        <v>1395</v>
      </c>
      <c r="E2780" s="5" t="s">
        <v>2489</v>
      </c>
      <c r="F2780" s="5" t="str">
        <f t="shared" si="43"/>
        <v>lansfast.se</v>
      </c>
      <c r="G2780" s="5" t="s">
        <v>4</v>
      </c>
      <c r="H2780" s="5" t="s">
        <v>5</v>
      </c>
      <c r="I2780" s="6">
        <v>45702</v>
      </c>
    </row>
    <row r="2781" spans="1:9" ht="13.5">
      <c r="A2781" s="2" t="s">
        <v>4051</v>
      </c>
      <c r="B2781" s="3"/>
      <c r="C2781" s="4" t="s">
        <v>4990</v>
      </c>
      <c r="D2781" s="4" t="s">
        <v>4051</v>
      </c>
      <c r="E2781" s="9" t="s">
        <v>4051</v>
      </c>
      <c r="F2781" s="5" t="str">
        <f t="shared" si="43"/>
        <v>hund.se</v>
      </c>
      <c r="G2781" s="5" t="s">
        <v>4</v>
      </c>
      <c r="H2781" s="5" t="s">
        <v>5</v>
      </c>
      <c r="I2781" s="6">
        <v>45702</v>
      </c>
    </row>
    <row r="2782" spans="1:9" ht="13.5">
      <c r="A2782" s="2" t="s">
        <v>4051</v>
      </c>
      <c r="B2782" s="3"/>
      <c r="C2782" s="4" t="s">
        <v>4991</v>
      </c>
      <c r="D2782" s="4" t="s">
        <v>4128</v>
      </c>
      <c r="E2782" s="5" t="s">
        <v>4129</v>
      </c>
      <c r="F2782" s="5" t="str">
        <f t="shared" si="43"/>
        <v>hund.se</v>
      </c>
      <c r="G2782" s="5" t="s">
        <v>4</v>
      </c>
      <c r="H2782" s="5" t="s">
        <v>5</v>
      </c>
      <c r="I2782" s="6">
        <v>45702</v>
      </c>
    </row>
    <row r="2783" spans="1:9" ht="13.5">
      <c r="A2783" s="2" t="s">
        <v>2549</v>
      </c>
      <c r="B2783" s="3"/>
      <c r="C2783" s="4" t="s">
        <v>4992</v>
      </c>
      <c r="D2783" s="4" t="s">
        <v>3204</v>
      </c>
      <c r="E2783" s="5" t="s">
        <v>3205</v>
      </c>
      <c r="F2783" s="5" t="str">
        <f t="shared" si="43"/>
        <v>purakliniken.se</v>
      </c>
      <c r="G2783" s="5" t="s">
        <v>4</v>
      </c>
      <c r="H2783" s="5" t="s">
        <v>5</v>
      </c>
      <c r="I2783" s="6">
        <v>45702</v>
      </c>
    </row>
    <row r="2784" spans="1:9" ht="13.5">
      <c r="A2784" s="2" t="s">
        <v>3058</v>
      </c>
      <c r="B2784" s="3"/>
      <c r="C2784" s="4" t="s">
        <v>4993</v>
      </c>
      <c r="D2784" s="4" t="s">
        <v>3063</v>
      </c>
      <c r="E2784" s="5" t="s">
        <v>3064</v>
      </c>
      <c r="F2784" s="5" t="str">
        <f t="shared" si="43"/>
        <v>rusta.se</v>
      </c>
      <c r="G2784" s="5" t="s">
        <v>4</v>
      </c>
      <c r="H2784" s="5" t="s">
        <v>5</v>
      </c>
      <c r="I2784" s="6">
        <v>45702</v>
      </c>
    </row>
    <row r="2785" spans="1:9" ht="13.5">
      <c r="A2785" s="2" t="s">
        <v>3058</v>
      </c>
      <c r="B2785" s="3"/>
      <c r="C2785" s="4" t="s">
        <v>4994</v>
      </c>
      <c r="D2785" s="4" t="s">
        <v>3060</v>
      </c>
      <c r="E2785" s="5" t="s">
        <v>3061</v>
      </c>
      <c r="F2785" s="5" t="str">
        <f t="shared" si="43"/>
        <v>rusta.se</v>
      </c>
      <c r="G2785" s="5" t="s">
        <v>4</v>
      </c>
      <c r="H2785" s="5" t="s">
        <v>5</v>
      </c>
      <c r="I2785" s="6">
        <v>45702</v>
      </c>
    </row>
    <row r="2786" spans="1:9" ht="13.5">
      <c r="A2786" s="2" t="s">
        <v>100</v>
      </c>
      <c r="B2786" s="3"/>
      <c r="C2786" s="4" t="s">
        <v>4995</v>
      </c>
      <c r="D2786" s="4" t="s">
        <v>3555</v>
      </c>
      <c r="E2786" s="5" t="s">
        <v>3692</v>
      </c>
      <c r="F2786" s="5" t="str">
        <f t="shared" si="43"/>
        <v>bigbenstandup.com</v>
      </c>
      <c r="G2786" s="5" t="s">
        <v>4</v>
      </c>
      <c r="H2786" s="5" t="s">
        <v>5</v>
      </c>
      <c r="I2786" s="6">
        <v>45702</v>
      </c>
    </row>
    <row r="2787" spans="1:9" ht="13.5">
      <c r="A2787" s="2" t="s">
        <v>2127</v>
      </c>
      <c r="B2787" s="3"/>
      <c r="C2787" s="4" t="s">
        <v>4996</v>
      </c>
      <c r="D2787" s="4" t="s">
        <v>4913</v>
      </c>
      <c r="E2787" s="5" t="s">
        <v>4997</v>
      </c>
      <c r="F2787" s="5" t="str">
        <f t="shared" si="43"/>
        <v>startmotor.se</v>
      </c>
      <c r="G2787" s="5" t="s">
        <v>4</v>
      </c>
      <c r="H2787" s="5" t="s">
        <v>5</v>
      </c>
      <c r="I2787" s="6">
        <v>45702</v>
      </c>
    </row>
    <row r="2788" spans="1:9" ht="13.5">
      <c r="A2788" s="2" t="s">
        <v>2127</v>
      </c>
      <c r="B2788" s="3"/>
      <c r="C2788" s="4" t="s">
        <v>4998</v>
      </c>
      <c r="D2788" s="4" t="s">
        <v>4913</v>
      </c>
      <c r="E2788" s="5" t="s">
        <v>4999</v>
      </c>
      <c r="F2788" s="5" t="str">
        <f t="shared" si="43"/>
        <v>startmotor.se</v>
      </c>
      <c r="G2788" s="5" t="s">
        <v>4</v>
      </c>
      <c r="H2788" s="5" t="s">
        <v>5</v>
      </c>
      <c r="I2788" s="6">
        <v>45702</v>
      </c>
    </row>
    <row r="2789" spans="1:9" ht="13.5">
      <c r="A2789" s="7" t="s">
        <v>3747</v>
      </c>
      <c r="B2789" s="3"/>
      <c r="C2789" s="4" t="s">
        <v>5000</v>
      </c>
      <c r="D2789" s="4" t="s">
        <v>3749</v>
      </c>
      <c r="E2789" s="5" t="s">
        <v>3750</v>
      </c>
      <c r="F2789" s="5" t="str">
        <f t="shared" si="43"/>
        <v>supernormal.health</v>
      </c>
      <c r="G2789" s="5" t="s">
        <v>4</v>
      </c>
      <c r="H2789" s="5" t="s">
        <v>5</v>
      </c>
      <c r="I2789" s="6">
        <v>45702</v>
      </c>
    </row>
    <row r="2790" spans="1:9" ht="13.5">
      <c r="A2790" s="2" t="s">
        <v>3824</v>
      </c>
      <c r="B2790" s="3"/>
      <c r="C2790" s="4" t="s">
        <v>5001</v>
      </c>
      <c r="D2790" s="4" t="s">
        <v>4358</v>
      </c>
      <c r="E2790" s="5" t="s">
        <v>4040</v>
      </c>
      <c r="F2790" s="5" t="str">
        <f t="shared" si="43"/>
        <v>swedenlongstay.se</v>
      </c>
      <c r="G2790" s="5" t="s">
        <v>4</v>
      </c>
      <c r="H2790" s="5" t="s">
        <v>5</v>
      </c>
      <c r="I2790" s="6">
        <v>45702</v>
      </c>
    </row>
    <row r="2791" spans="1:9" ht="13.5">
      <c r="A2791" s="7" t="s">
        <v>224</v>
      </c>
      <c r="B2791" s="3"/>
      <c r="C2791" s="4" t="s">
        <v>5002</v>
      </c>
      <c r="D2791" s="4" t="s">
        <v>461</v>
      </c>
      <c r="E2791" s="5" t="s">
        <v>1117</v>
      </c>
      <c r="F2791" s="5" t="str">
        <f t="shared" si="43"/>
        <v>swedoffice</v>
      </c>
      <c r="G2791" s="5" t="s">
        <v>4</v>
      </c>
      <c r="H2791" s="5" t="s">
        <v>5</v>
      </c>
      <c r="I2791" s="6">
        <v>45702</v>
      </c>
    </row>
    <row r="2792" spans="1:9" ht="13.5">
      <c r="A2792" s="7" t="s">
        <v>224</v>
      </c>
      <c r="B2792" s="3"/>
      <c r="C2792" s="4" t="s">
        <v>5003</v>
      </c>
      <c r="D2792" s="4" t="s">
        <v>226</v>
      </c>
      <c r="E2792" s="5" t="s">
        <v>368</v>
      </c>
      <c r="F2792" s="5" t="str">
        <f t="shared" si="43"/>
        <v>swedoffice</v>
      </c>
      <c r="G2792" s="5" t="s">
        <v>4</v>
      </c>
      <c r="H2792" s="5" t="s">
        <v>5</v>
      </c>
      <c r="I2792" s="6">
        <v>45702</v>
      </c>
    </row>
    <row r="2793" spans="1:9" ht="13.5">
      <c r="A2793" s="2" t="s">
        <v>2428</v>
      </c>
      <c r="B2793" s="3"/>
      <c r="C2793" s="4" t="s">
        <v>5004</v>
      </c>
      <c r="D2793" s="4" t="s">
        <v>2430</v>
      </c>
      <c r="E2793" s="5" t="s">
        <v>3098</v>
      </c>
      <c r="F2793" s="5" t="str">
        <f t="shared" si="43"/>
        <v>sakraror.se</v>
      </c>
      <c r="G2793" s="5" t="s">
        <v>4</v>
      </c>
      <c r="H2793" s="5" t="s">
        <v>5</v>
      </c>
      <c r="I2793" s="6">
        <v>45702</v>
      </c>
    </row>
    <row r="2794" spans="1:9" ht="13.5">
      <c r="A2794" s="2" t="s">
        <v>325</v>
      </c>
      <c r="B2794" s="3"/>
      <c r="C2794" s="4" t="s">
        <v>5005</v>
      </c>
      <c r="D2794" s="4" t="s">
        <v>1244</v>
      </c>
      <c r="E2794" s="5" t="s">
        <v>463</v>
      </c>
      <c r="F2794" s="5" t="str">
        <f t="shared" si="43"/>
        <v>tiotak.se</v>
      </c>
      <c r="G2794" s="5" t="s">
        <v>4</v>
      </c>
      <c r="H2794" s="5" t="s">
        <v>5</v>
      </c>
      <c r="I2794" s="6">
        <v>45702</v>
      </c>
    </row>
    <row r="2795" spans="1:9" ht="13.5">
      <c r="A2795" s="2" t="s">
        <v>325</v>
      </c>
      <c r="B2795" s="3"/>
      <c r="C2795" s="4" t="s">
        <v>5006</v>
      </c>
      <c r="D2795" s="4" t="s">
        <v>873</v>
      </c>
      <c r="E2795" s="5" t="s">
        <v>2922</v>
      </c>
      <c r="F2795" s="5" t="str">
        <f t="shared" si="43"/>
        <v>tiotak.se</v>
      </c>
      <c r="G2795" s="5" t="s">
        <v>4</v>
      </c>
      <c r="H2795" s="5" t="s">
        <v>5</v>
      </c>
      <c r="I2795" s="6">
        <v>45702</v>
      </c>
    </row>
    <row r="2796" spans="1:9" ht="13.5">
      <c r="A2796" s="2" t="s">
        <v>4553</v>
      </c>
      <c r="B2796" s="3"/>
      <c r="C2796" s="4" t="s">
        <v>5007</v>
      </c>
      <c r="D2796" s="4" t="s">
        <v>4553</v>
      </c>
      <c r="E2796" s="5" t="s">
        <v>5008</v>
      </c>
      <c r="F2796" s="5" t="str">
        <f t="shared" si="43"/>
        <v>tkw.se</v>
      </c>
      <c r="G2796" s="5" t="s">
        <v>4</v>
      </c>
      <c r="H2796" s="5" t="s">
        <v>5</v>
      </c>
      <c r="I2796" s="6">
        <v>45702</v>
      </c>
    </row>
    <row r="2797" spans="1:9" ht="13.5">
      <c r="A2797" s="2" t="s">
        <v>4553</v>
      </c>
      <c r="B2797" s="3"/>
      <c r="C2797" s="4" t="s">
        <v>5009</v>
      </c>
      <c r="D2797" s="4" t="s">
        <v>4553</v>
      </c>
      <c r="E2797" s="5" t="s">
        <v>4555</v>
      </c>
      <c r="F2797" s="5" t="str">
        <f t="shared" si="43"/>
        <v>tkw.se</v>
      </c>
      <c r="G2797" s="5" t="s">
        <v>4</v>
      </c>
      <c r="H2797" s="5" t="s">
        <v>5</v>
      </c>
      <c r="I2797" s="6">
        <v>45702</v>
      </c>
    </row>
    <row r="2798" spans="1:9" ht="13.5">
      <c r="A2798" s="2" t="s">
        <v>535</v>
      </c>
      <c r="B2798" s="3"/>
      <c r="C2798" s="4" t="s">
        <v>5010</v>
      </c>
      <c r="D2798" s="4" t="s">
        <v>2806</v>
      </c>
      <c r="E2798" s="5" t="s">
        <v>2807</v>
      </c>
      <c r="F2798" s="5" t="str">
        <f t="shared" si="43"/>
        <v>tryggbil.se</v>
      </c>
      <c r="G2798" s="5" t="s">
        <v>4</v>
      </c>
      <c r="H2798" s="5" t="s">
        <v>5</v>
      </c>
      <c r="I2798" s="6">
        <v>45702</v>
      </c>
    </row>
    <row r="2799" spans="1:9" ht="13.5">
      <c r="A2799" s="2" t="s">
        <v>4373</v>
      </c>
      <c r="B2799" s="3"/>
      <c r="C2799" s="4" t="s">
        <v>5011</v>
      </c>
      <c r="D2799" s="4" t="s">
        <v>4375</v>
      </c>
      <c r="E2799" s="5" t="s">
        <v>4376</v>
      </c>
      <c r="F2799" s="5" t="str">
        <f t="shared" si="43"/>
        <v>vardagsfrid.se</v>
      </c>
      <c r="G2799" s="5" t="s">
        <v>4</v>
      </c>
      <c r="H2799" s="5" t="s">
        <v>5</v>
      </c>
      <c r="I2799" s="6">
        <v>45702</v>
      </c>
    </row>
    <row r="2800" spans="1:9" ht="13.5">
      <c r="A2800" s="2" t="s">
        <v>4055</v>
      </c>
      <c r="B2800" s="3"/>
      <c r="C2800" s="4" t="s">
        <v>5012</v>
      </c>
      <c r="D2800" s="4" t="s">
        <v>4057</v>
      </c>
      <c r="E2800" s="5" t="s">
        <v>4363</v>
      </c>
      <c r="F2800" s="5" t="str">
        <f t="shared" si="43"/>
        <v>skidvalla.se</v>
      </c>
      <c r="G2800" s="5" t="s">
        <v>4</v>
      </c>
      <c r="H2800" s="5" t="s">
        <v>5</v>
      </c>
      <c r="I2800" s="6">
        <v>45702</v>
      </c>
    </row>
    <row r="2801" spans="1:9" ht="13.5">
      <c r="A2801" s="7" t="s">
        <v>2281</v>
      </c>
      <c r="B2801" s="3"/>
      <c r="C2801" s="4" t="s">
        <v>5013</v>
      </c>
      <c r="D2801" s="4" t="s">
        <v>2283</v>
      </c>
      <c r="E2801" s="5" t="s">
        <v>963</v>
      </c>
      <c r="F2801" s="5" t="str">
        <f t="shared" si="43"/>
        <v>tandläkare.se</v>
      </c>
      <c r="G2801" s="5" t="s">
        <v>4</v>
      </c>
      <c r="H2801" s="5" t="s">
        <v>5</v>
      </c>
      <c r="I2801" s="6">
        <v>45702</v>
      </c>
    </row>
    <row r="2802" spans="1:9" ht="13.5">
      <c r="A2802" s="7" t="s">
        <v>2281</v>
      </c>
      <c r="B2802" s="3"/>
      <c r="C2802" s="4" t="s">
        <v>5014</v>
      </c>
      <c r="D2802" s="4" t="s">
        <v>5015</v>
      </c>
      <c r="E2802" s="5" t="s">
        <v>5016</v>
      </c>
      <c r="F2802" s="5" t="str">
        <f t="shared" si="43"/>
        <v>tandläkare.se</v>
      </c>
      <c r="G2802" s="5" t="s">
        <v>4</v>
      </c>
      <c r="H2802" s="5" t="s">
        <v>5</v>
      </c>
      <c r="I2802" s="6">
        <v>45702</v>
      </c>
    </row>
    <row r="2803" spans="1:9" ht="13.5">
      <c r="A2803" s="2" t="s">
        <v>4766</v>
      </c>
      <c r="B2803" s="3"/>
      <c r="C2803" s="4" t="s">
        <v>5017</v>
      </c>
      <c r="D2803" s="4" t="s">
        <v>4766</v>
      </c>
      <c r="E2803" s="5" t="s">
        <v>5018</v>
      </c>
      <c r="F2803" s="5" t="str">
        <f t="shared" si="43"/>
        <v>ataraxiavardcentral.se</v>
      </c>
      <c r="G2803" s="5" t="s">
        <v>4</v>
      </c>
      <c r="H2803" s="5" t="s">
        <v>5</v>
      </c>
      <c r="I2803" s="6">
        <v>45702</v>
      </c>
    </row>
    <row r="2804" spans="1:9" ht="13.5">
      <c r="A2804" s="2" t="s">
        <v>4766</v>
      </c>
      <c r="B2804" s="3"/>
      <c r="C2804" s="4" t="s">
        <v>5019</v>
      </c>
      <c r="D2804" s="4" t="s">
        <v>4766</v>
      </c>
      <c r="E2804" s="5" t="s">
        <v>5018</v>
      </c>
      <c r="F2804" s="5" t="str">
        <f t="shared" si="43"/>
        <v>ataraxiavardcentral.se</v>
      </c>
      <c r="G2804" s="5" t="s">
        <v>4</v>
      </c>
      <c r="H2804" s="5" t="s">
        <v>5</v>
      </c>
      <c r="I2804" s="6">
        <v>45702</v>
      </c>
    </row>
    <row r="2805" spans="1:9" ht="13.5">
      <c r="A2805" s="2" t="s">
        <v>5020</v>
      </c>
      <c r="B2805" s="3"/>
      <c r="C2805" s="4" t="s">
        <v>5021</v>
      </c>
      <c r="D2805" s="4" t="s">
        <v>5020</v>
      </c>
      <c r="E2805" s="5" t="s">
        <v>5022</v>
      </c>
      <c r="F2805" s="5" t="str">
        <f t="shared" si="43"/>
        <v>sesec.se</v>
      </c>
      <c r="G2805" s="5" t="s">
        <v>4</v>
      </c>
      <c r="H2805" s="5" t="s">
        <v>5</v>
      </c>
      <c r="I2805" s="6">
        <v>45702</v>
      </c>
    </row>
    <row r="2806" spans="1:9" ht="13.5">
      <c r="A2806" s="2" t="s">
        <v>3832</v>
      </c>
      <c r="B2806" s="3"/>
      <c r="C2806" s="4" t="s">
        <v>5023</v>
      </c>
      <c r="D2806" s="4" t="s">
        <v>3832</v>
      </c>
      <c r="E2806" s="5" t="s">
        <v>5024</v>
      </c>
      <c r="F2806" s="5" t="str">
        <f t="shared" si="43"/>
        <v>michaelofrisorerna.se</v>
      </c>
      <c r="G2806" s="5" t="s">
        <v>4</v>
      </c>
      <c r="H2806" s="5" t="s">
        <v>5</v>
      </c>
      <c r="I2806" s="6">
        <v>45702</v>
      </c>
    </row>
    <row r="2807" spans="1:9" ht="13.5">
      <c r="A2807" s="2" t="s">
        <v>4433</v>
      </c>
      <c r="B2807" s="3"/>
      <c r="C2807" s="4" t="s">
        <v>5025</v>
      </c>
      <c r="D2807" s="4" t="s">
        <v>4974</v>
      </c>
      <c r="E2807" s="5" t="s">
        <v>5026</v>
      </c>
      <c r="F2807" s="5" t="str">
        <f t="shared" si="43"/>
        <v>svenskiptv.com</v>
      </c>
      <c r="G2807" s="5" t="s">
        <v>4</v>
      </c>
      <c r="H2807" s="5" t="s">
        <v>5</v>
      </c>
      <c r="I2807" s="6">
        <v>45704</v>
      </c>
    </row>
    <row r="2808" spans="1:9" ht="13.5">
      <c r="A2808" s="2" t="s">
        <v>3491</v>
      </c>
      <c r="B2808" s="3"/>
      <c r="C2808" s="4" t="s">
        <v>5027</v>
      </c>
      <c r="D2808" s="4" t="s">
        <v>3493</v>
      </c>
      <c r="E2808" s="5" t="s">
        <v>3494</v>
      </c>
      <c r="F2808" s="5" t="str">
        <f t="shared" si="43"/>
        <v>mynicco.com</v>
      </c>
      <c r="G2808" s="5" t="s">
        <v>4</v>
      </c>
      <c r="H2808" s="5" t="s">
        <v>345</v>
      </c>
      <c r="I2808" s="6">
        <v>45704</v>
      </c>
    </row>
    <row r="2809" spans="1:9" ht="13.5">
      <c r="A2809" s="2" t="s">
        <v>4433</v>
      </c>
      <c r="B2809" s="3"/>
      <c r="C2809" s="4" t="s">
        <v>5028</v>
      </c>
      <c r="D2809" s="4" t="s">
        <v>4435</v>
      </c>
      <c r="E2809" s="5" t="s">
        <v>4481</v>
      </c>
      <c r="F2809" s="5" t="str">
        <f t="shared" si="43"/>
        <v>svenskiptv.com</v>
      </c>
      <c r="G2809" s="5" t="s">
        <v>4</v>
      </c>
      <c r="H2809" s="5" t="s">
        <v>5</v>
      </c>
      <c r="I2809" s="6">
        <v>45706</v>
      </c>
    </row>
    <row r="2810" spans="1:9" ht="13.5">
      <c r="A2810" s="2" t="s">
        <v>3885</v>
      </c>
      <c r="B2810" s="3"/>
      <c r="C2810" s="4" t="s">
        <v>5029</v>
      </c>
      <c r="D2810" s="4" t="s">
        <v>3887</v>
      </c>
      <c r="E2810" s="5" t="s">
        <v>3888</v>
      </c>
      <c r="F2810" s="5" t="str">
        <f t="shared" si="43"/>
        <v>chattanoogarehab.com</v>
      </c>
      <c r="G2810" s="5" t="s">
        <v>4</v>
      </c>
      <c r="H2810" s="5" t="s">
        <v>345</v>
      </c>
      <c r="I2810" s="6">
        <v>45706</v>
      </c>
    </row>
    <row r="2811" spans="1:9" ht="13.5">
      <c r="A2811" s="7" t="s">
        <v>4108</v>
      </c>
      <c r="B2811" s="3"/>
      <c r="C2811" s="4" t="s">
        <v>5030</v>
      </c>
      <c r="D2811" s="4" t="s">
        <v>4113</v>
      </c>
      <c r="E2811" s="5" t="s">
        <v>4111</v>
      </c>
      <c r="F2811" s="5" t="str">
        <f t="shared" si="43"/>
        <v>racha-organics</v>
      </c>
      <c r="G2811" s="5" t="s">
        <v>4</v>
      </c>
      <c r="H2811" s="5" t="s">
        <v>345</v>
      </c>
      <c r="I2811" s="6">
        <v>45706</v>
      </c>
    </row>
    <row r="2812" spans="1:9" ht="13.5">
      <c r="A2812" s="2" t="s">
        <v>171</v>
      </c>
      <c r="B2812" s="3"/>
      <c r="C2812" s="4" t="s">
        <v>5031</v>
      </c>
      <c r="D2812" s="4" t="s">
        <v>2959</v>
      </c>
      <c r="E2812" s="5" t="s">
        <v>4601</v>
      </c>
      <c r="F2812" s="5" t="str">
        <f t="shared" si="43"/>
        <v>arctic.se</v>
      </c>
      <c r="G2812" s="5" t="s">
        <v>4</v>
      </c>
      <c r="H2812" s="5" t="s">
        <v>262</v>
      </c>
      <c r="I2812" s="6">
        <v>45706</v>
      </c>
    </row>
    <row r="2813" spans="1:9" ht="13.5">
      <c r="A2813" s="2" t="s">
        <v>2348</v>
      </c>
      <c r="B2813" s="3"/>
      <c r="C2813" s="4" t="s">
        <v>5032</v>
      </c>
      <c r="D2813" s="4" t="s">
        <v>2350</v>
      </c>
      <c r="E2813" s="5" t="s">
        <v>4719</v>
      </c>
      <c r="F2813" s="5" t="str">
        <f t="shared" si="43"/>
        <v>mobot.com</v>
      </c>
      <c r="G2813" s="5" t="s">
        <v>4</v>
      </c>
      <c r="H2813" s="5" t="s">
        <v>345</v>
      </c>
      <c r="I2813" s="6">
        <v>45706</v>
      </c>
    </row>
    <row r="2814" spans="1:9" ht="13.5">
      <c r="A2814" s="2" t="s">
        <v>3058</v>
      </c>
      <c r="B2814" s="3"/>
      <c r="C2814" s="4" t="s">
        <v>5033</v>
      </c>
      <c r="D2814" s="4" t="s">
        <v>5034</v>
      </c>
      <c r="E2814" s="5" t="s">
        <v>5035</v>
      </c>
      <c r="F2814" s="5" t="str">
        <f t="shared" si="43"/>
        <v>rusta.se</v>
      </c>
      <c r="G2814" s="5" t="s">
        <v>4</v>
      </c>
      <c r="H2814" s="5" t="s">
        <v>5</v>
      </c>
      <c r="I2814" s="6">
        <v>45707</v>
      </c>
    </row>
    <row r="2815" spans="1:9" ht="13.5">
      <c r="A2815" s="7" t="s">
        <v>3747</v>
      </c>
      <c r="B2815" s="3"/>
      <c r="C2815" s="4" t="s">
        <v>5036</v>
      </c>
      <c r="D2815" s="4" t="s">
        <v>4906</v>
      </c>
      <c r="E2815" s="5" t="s">
        <v>5037</v>
      </c>
      <c r="F2815" s="5" t="str">
        <f t="shared" si="43"/>
        <v>supernormal.health</v>
      </c>
      <c r="G2815" s="5" t="s">
        <v>4</v>
      </c>
      <c r="H2815" s="5" t="s">
        <v>5</v>
      </c>
      <c r="I2815" s="6">
        <v>45707</v>
      </c>
    </row>
    <row r="2816" spans="1:9" ht="13.5">
      <c r="A2816" s="2" t="s">
        <v>5038</v>
      </c>
      <c r="B2816" s="3"/>
      <c r="C2816" s="4" t="s">
        <v>5039</v>
      </c>
      <c r="D2816" s="4" t="s">
        <v>5038</v>
      </c>
      <c r="E2816" s="5" t="s">
        <v>5040</v>
      </c>
      <c r="F2816" s="5" t="str">
        <f t="shared" si="43"/>
        <v>flygbussarna.se</v>
      </c>
      <c r="G2816" s="5" t="s">
        <v>4</v>
      </c>
      <c r="H2816" s="5" t="s">
        <v>5</v>
      </c>
      <c r="I2816" s="6">
        <v>45707</v>
      </c>
    </row>
    <row r="2817" spans="1:9" ht="13.5">
      <c r="A2817" s="2" t="s">
        <v>2636</v>
      </c>
      <c r="B2817" s="3"/>
      <c r="C2817" s="5" t="s">
        <v>5041</v>
      </c>
      <c r="D2817" s="5" t="s">
        <v>5042</v>
      </c>
      <c r="E2817" s="5" t="s">
        <v>3149</v>
      </c>
      <c r="F2817" s="5" t="str">
        <f t="shared" si="43"/>
        <v>kvarnx.com</v>
      </c>
      <c r="G2817" s="5" t="s">
        <v>4</v>
      </c>
      <c r="H2817" s="5" t="s">
        <v>5</v>
      </c>
      <c r="I2817" s="6">
        <v>45707</v>
      </c>
    </row>
    <row r="2818" spans="1:9" ht="13.5">
      <c r="A2818" s="2" t="s">
        <v>2636</v>
      </c>
      <c r="B2818" s="3"/>
      <c r="C2818" s="5" t="s">
        <v>5043</v>
      </c>
      <c r="D2818" s="5" t="s">
        <v>5044</v>
      </c>
      <c r="E2818" s="5" t="s">
        <v>5045</v>
      </c>
      <c r="F2818" s="5" t="str">
        <f t="shared" si="43"/>
        <v>kvarnx.com</v>
      </c>
      <c r="G2818" s="5" t="s">
        <v>4</v>
      </c>
      <c r="H2818" s="5" t="s">
        <v>5</v>
      </c>
      <c r="I2818" s="6">
        <v>45707</v>
      </c>
    </row>
    <row r="2819" spans="1:9" ht="13.5">
      <c r="A2819" s="2" t="s">
        <v>3682</v>
      </c>
      <c r="B2819" s="3"/>
      <c r="C2819" s="5" t="s">
        <v>5046</v>
      </c>
      <c r="D2819" s="5" t="s">
        <v>3926</v>
      </c>
      <c r="E2819" s="5" t="s">
        <v>5047</v>
      </c>
      <c r="F2819" s="5" t="str">
        <f t="shared" ref="F2819:F2882" si="44">A2819</f>
        <v>upplevelse.com</v>
      </c>
      <c r="G2819" s="5" t="s">
        <v>4</v>
      </c>
      <c r="H2819" s="5" t="s">
        <v>5</v>
      </c>
      <c r="I2819" s="6">
        <v>45707</v>
      </c>
    </row>
    <row r="2820" spans="1:9" ht="13.5">
      <c r="A2820" s="2" t="s">
        <v>3761</v>
      </c>
      <c r="B2820" s="3"/>
      <c r="C2820" s="5" t="s">
        <v>5048</v>
      </c>
      <c r="D2820" s="5" t="s">
        <v>5049</v>
      </c>
      <c r="E2820" s="5" t="s">
        <v>5050</v>
      </c>
      <c r="F2820" s="5" t="str">
        <f t="shared" si="44"/>
        <v>hajper.com</v>
      </c>
      <c r="G2820" s="5" t="s">
        <v>4</v>
      </c>
      <c r="H2820" s="5" t="s">
        <v>5</v>
      </c>
      <c r="I2820" s="6">
        <v>45707</v>
      </c>
    </row>
    <row r="2821" spans="1:9" ht="13.5">
      <c r="A2821" s="7" t="s">
        <v>3921</v>
      </c>
      <c r="B2821" s="3"/>
      <c r="C2821" s="5" t="s">
        <v>5051</v>
      </c>
      <c r="D2821" s="5" t="s">
        <v>5052</v>
      </c>
      <c r="E2821" s="5" t="s">
        <v>5053</v>
      </c>
      <c r="F2821" s="5" t="str">
        <f t="shared" si="44"/>
        <v>svenskalasjouren.se</v>
      </c>
      <c r="G2821" s="5" t="s">
        <v>4</v>
      </c>
      <c r="H2821" s="5" t="s">
        <v>5</v>
      </c>
      <c r="I2821" s="6">
        <v>45707</v>
      </c>
    </row>
    <row r="2822" spans="1:9" ht="13.5">
      <c r="A2822" s="7" t="s">
        <v>1559</v>
      </c>
      <c r="B2822" s="3"/>
      <c r="C2822" s="5" t="s">
        <v>5054</v>
      </c>
      <c r="D2822" s="5" t="s">
        <v>5055</v>
      </c>
      <c r="E2822" s="5" t="s">
        <v>5056</v>
      </c>
      <c r="F2822" s="5" t="str">
        <f t="shared" si="44"/>
        <v>rorjour247.se</v>
      </c>
      <c r="G2822" s="5" t="s">
        <v>4</v>
      </c>
      <c r="H2822" s="5" t="s">
        <v>5</v>
      </c>
      <c r="I2822" s="6">
        <v>45707</v>
      </c>
    </row>
    <row r="2823" spans="1:9" ht="13.5">
      <c r="A2823" s="7" t="s">
        <v>4164</v>
      </c>
      <c r="B2823" s="3"/>
      <c r="C2823" s="5" t="s">
        <v>5057</v>
      </c>
      <c r="D2823" s="5" t="s">
        <v>4166</v>
      </c>
      <c r="E2823" s="5" t="s">
        <v>5058</v>
      </c>
      <c r="F2823" s="5" t="str">
        <f t="shared" si="44"/>
        <v>casinogringos.se</v>
      </c>
      <c r="G2823" s="5" t="s">
        <v>4</v>
      </c>
      <c r="H2823" s="5" t="s">
        <v>5</v>
      </c>
      <c r="I2823" s="6">
        <v>45707</v>
      </c>
    </row>
    <row r="2824" spans="1:9" ht="13.5">
      <c r="A2824" s="7" t="s">
        <v>4164</v>
      </c>
      <c r="B2824" s="3"/>
      <c r="C2824" s="5" t="s">
        <v>5059</v>
      </c>
      <c r="D2824" s="5" t="s">
        <v>5060</v>
      </c>
      <c r="E2824" s="5" t="s">
        <v>5061</v>
      </c>
      <c r="F2824" s="5" t="str">
        <f t="shared" si="44"/>
        <v>casinogringos.se</v>
      </c>
      <c r="G2824" s="5" t="s">
        <v>4</v>
      </c>
      <c r="H2824" s="5" t="s">
        <v>5</v>
      </c>
      <c r="I2824" s="6">
        <v>45707</v>
      </c>
    </row>
    <row r="2825" spans="1:9" ht="13.5">
      <c r="A2825" s="7" t="s">
        <v>4164</v>
      </c>
      <c r="B2825" s="3"/>
      <c r="C2825" s="5" t="s">
        <v>5062</v>
      </c>
      <c r="D2825" s="5" t="s">
        <v>5063</v>
      </c>
      <c r="E2825" s="5" t="s">
        <v>5064</v>
      </c>
      <c r="F2825" s="5" t="str">
        <f t="shared" si="44"/>
        <v>casinogringos.se</v>
      </c>
      <c r="G2825" s="5" t="s">
        <v>4</v>
      </c>
      <c r="H2825" s="5" t="s">
        <v>5</v>
      </c>
      <c r="I2825" s="6">
        <v>45707</v>
      </c>
    </row>
    <row r="2826" spans="1:9" ht="13.5">
      <c r="A2826" s="7" t="s">
        <v>4164</v>
      </c>
      <c r="B2826" s="3"/>
      <c r="C2826" s="5" t="s">
        <v>5065</v>
      </c>
      <c r="D2826" s="5" t="s">
        <v>5066</v>
      </c>
      <c r="E2826" s="5" t="s">
        <v>5067</v>
      </c>
      <c r="F2826" s="5" t="str">
        <f t="shared" si="44"/>
        <v>casinogringos.se</v>
      </c>
      <c r="G2826" s="5" t="s">
        <v>4</v>
      </c>
      <c r="H2826" s="5" t="s">
        <v>5</v>
      </c>
      <c r="I2826" s="6">
        <v>45707</v>
      </c>
    </row>
    <row r="2827" spans="1:9" ht="13.5">
      <c r="A2827" s="7" t="s">
        <v>4164</v>
      </c>
      <c r="B2827" s="3"/>
      <c r="C2827" s="5" t="s">
        <v>5068</v>
      </c>
      <c r="D2827" s="5" t="s">
        <v>4925</v>
      </c>
      <c r="E2827" s="5" t="s">
        <v>5069</v>
      </c>
      <c r="F2827" s="5" t="str">
        <f t="shared" si="44"/>
        <v>casinogringos.se</v>
      </c>
      <c r="G2827" s="5" t="s">
        <v>4</v>
      </c>
      <c r="H2827" s="5" t="s">
        <v>5</v>
      </c>
      <c r="I2827" s="6">
        <v>45707</v>
      </c>
    </row>
    <row r="2828" spans="1:9" ht="13.5">
      <c r="A2828" s="7"/>
      <c r="B2828" s="3"/>
      <c r="C2828" s="4" t="s">
        <v>4895</v>
      </c>
      <c r="D2828" s="4" t="s">
        <v>4484</v>
      </c>
      <c r="E2828" s="5" t="s">
        <v>4485</v>
      </c>
      <c r="F2828" s="5">
        <f t="shared" si="44"/>
        <v>0</v>
      </c>
      <c r="G2828" s="5" t="s">
        <v>4</v>
      </c>
      <c r="H2828" s="5" t="s">
        <v>1618</v>
      </c>
      <c r="I2828" s="6">
        <v>45708</v>
      </c>
    </row>
    <row r="2829" spans="1:9" ht="13.5">
      <c r="A2829" s="7" t="s">
        <v>3791</v>
      </c>
      <c r="B2829" s="3"/>
      <c r="C2829" s="4" t="s">
        <v>5070</v>
      </c>
      <c r="D2829" s="4" t="s">
        <v>5071</v>
      </c>
      <c r="E2829" s="5" t="s">
        <v>4750</v>
      </c>
      <c r="F2829" s="5" t="str">
        <f t="shared" si="44"/>
        <v>coface</v>
      </c>
      <c r="G2829" s="5" t="s">
        <v>4</v>
      </c>
      <c r="H2829" s="5" t="s">
        <v>5</v>
      </c>
      <c r="I2829" s="6">
        <v>45708</v>
      </c>
    </row>
    <row r="2830" spans="1:9" ht="13.5">
      <c r="A2830" s="2" t="s">
        <v>435</v>
      </c>
      <c r="B2830" s="3"/>
      <c r="C2830" s="4" t="s">
        <v>5072</v>
      </c>
      <c r="D2830" s="4" t="s">
        <v>3779</v>
      </c>
      <c r="E2830" s="5" t="s">
        <v>839</v>
      </c>
      <c r="F2830" s="5" t="str">
        <f t="shared" si="44"/>
        <v>fairinvestments.se</v>
      </c>
      <c r="G2830" s="5" t="s">
        <v>4</v>
      </c>
      <c r="H2830" s="5" t="s">
        <v>5</v>
      </c>
      <c r="I2830" s="6">
        <v>45708</v>
      </c>
    </row>
    <row r="2831" spans="1:9" ht="13.5">
      <c r="A2831" s="2" t="s">
        <v>4135</v>
      </c>
      <c r="B2831" s="3"/>
      <c r="C2831" s="4" t="s">
        <v>5073</v>
      </c>
      <c r="D2831" s="4" t="s">
        <v>5074</v>
      </c>
      <c r="E2831" s="5" t="s">
        <v>5075</v>
      </c>
      <c r="F2831" s="5" t="str">
        <f t="shared" si="44"/>
        <v>aerius.se</v>
      </c>
      <c r="G2831" s="5" t="s">
        <v>4</v>
      </c>
      <c r="H2831" s="5" t="s">
        <v>5</v>
      </c>
      <c r="I2831" s="6">
        <v>45708</v>
      </c>
    </row>
    <row r="2832" spans="1:9" ht="13.5">
      <c r="A2832" s="7" t="s">
        <v>386</v>
      </c>
      <c r="B2832" s="3"/>
      <c r="C2832" s="4" t="s">
        <v>5076</v>
      </c>
      <c r="D2832" s="4" t="s">
        <v>5077</v>
      </c>
      <c r="E2832" s="5" t="s">
        <v>4854</v>
      </c>
      <c r="F2832" s="5" t="str">
        <f t="shared" si="44"/>
        <v>pontech</v>
      </c>
      <c r="G2832" s="5" t="s">
        <v>4</v>
      </c>
      <c r="H2832" s="5" t="s">
        <v>5</v>
      </c>
      <c r="I2832" s="6">
        <v>45708</v>
      </c>
    </row>
    <row r="2833" spans="1:9" ht="13.5">
      <c r="A2833" s="2" t="s">
        <v>2127</v>
      </c>
      <c r="B2833" s="3"/>
      <c r="C2833" s="4" t="s">
        <v>5078</v>
      </c>
      <c r="D2833" s="4" t="s">
        <v>5079</v>
      </c>
      <c r="E2833" s="5" t="s">
        <v>4997</v>
      </c>
      <c r="F2833" s="5" t="str">
        <f t="shared" si="44"/>
        <v>startmotor.se</v>
      </c>
      <c r="G2833" s="5" t="s">
        <v>4</v>
      </c>
      <c r="H2833" s="5" t="s">
        <v>5</v>
      </c>
      <c r="I2833" s="6">
        <v>45708</v>
      </c>
    </row>
    <row r="2834" spans="1:9" ht="13.5">
      <c r="A2834" s="2" t="s">
        <v>2428</v>
      </c>
      <c r="B2834" s="3"/>
      <c r="C2834" s="4" t="s">
        <v>5080</v>
      </c>
      <c r="D2834" s="4" t="s">
        <v>5081</v>
      </c>
      <c r="E2834" s="5" t="s">
        <v>5082</v>
      </c>
      <c r="F2834" s="5" t="str">
        <f t="shared" si="44"/>
        <v>sakraror.se</v>
      </c>
      <c r="G2834" s="5" t="s">
        <v>4</v>
      </c>
      <c r="H2834" s="5" t="s">
        <v>5</v>
      </c>
      <c r="I2834" s="6">
        <v>45708</v>
      </c>
    </row>
    <row r="2835" spans="1:9" ht="13.5">
      <c r="A2835" s="2" t="s">
        <v>4409</v>
      </c>
      <c r="B2835" s="3"/>
      <c r="C2835" s="4" t="s">
        <v>5083</v>
      </c>
      <c r="D2835" s="4" t="s">
        <v>4427</v>
      </c>
      <c r="E2835" s="5" t="s">
        <v>4765</v>
      </c>
      <c r="F2835" s="5" t="str">
        <f t="shared" si="44"/>
        <v>svenskafonster.se</v>
      </c>
      <c r="G2835" s="5" t="s">
        <v>4</v>
      </c>
      <c r="H2835" s="5" t="s">
        <v>5</v>
      </c>
      <c r="I2835" s="6">
        <v>45708</v>
      </c>
    </row>
    <row r="2836" spans="1:9" ht="13.5">
      <c r="A2836" s="2" t="s">
        <v>5084</v>
      </c>
      <c r="B2836" s="3"/>
      <c r="C2836" s="4" t="s">
        <v>5085</v>
      </c>
      <c r="D2836" s="4" t="s">
        <v>5086</v>
      </c>
      <c r="E2836" s="5" t="s">
        <v>5087</v>
      </c>
      <c r="F2836" s="5" t="str">
        <f t="shared" si="44"/>
        <v>glassfactory.fi</v>
      </c>
      <c r="G2836" s="5" t="s">
        <v>4</v>
      </c>
      <c r="H2836" s="5" t="s">
        <v>5</v>
      </c>
      <c r="I2836" s="6">
        <v>45708</v>
      </c>
    </row>
    <row r="2837" spans="1:9" ht="13.5">
      <c r="A2837" s="2" t="s">
        <v>1318</v>
      </c>
      <c r="B2837" s="3"/>
      <c r="C2837" s="4" t="s">
        <v>5088</v>
      </c>
      <c r="D2837" s="4" t="s">
        <v>1870</v>
      </c>
      <c r="E2837" s="5" t="s">
        <v>5089</v>
      </c>
      <c r="F2837" s="5" t="str">
        <f t="shared" si="44"/>
        <v>spelklubben.se</v>
      </c>
      <c r="G2837" s="5" t="s">
        <v>4</v>
      </c>
      <c r="H2837" s="5" t="s">
        <v>5</v>
      </c>
      <c r="I2837" s="6">
        <v>45708</v>
      </c>
    </row>
    <row r="2838" spans="1:9" ht="13.5">
      <c r="A2838" s="2" t="s">
        <v>2999</v>
      </c>
      <c r="B2838" s="3"/>
      <c r="C2838" s="8" t="s">
        <v>5090</v>
      </c>
      <c r="D2838" s="8" t="s">
        <v>2990</v>
      </c>
      <c r="E2838" s="5" t="s">
        <v>1477</v>
      </c>
      <c r="F2838" s="5" t="str">
        <f t="shared" si="44"/>
        <v>nettotobak.com</v>
      </c>
      <c r="G2838" s="5" t="s">
        <v>4</v>
      </c>
      <c r="H2838" s="5" t="s">
        <v>5</v>
      </c>
      <c r="I2838" s="6">
        <v>45708</v>
      </c>
    </row>
    <row r="2839" spans="1:9" ht="13.5">
      <c r="A2839" s="2" t="s">
        <v>3761</v>
      </c>
      <c r="B2839" s="3"/>
      <c r="C2839" s="5" t="s">
        <v>5091</v>
      </c>
      <c r="D2839" s="5" t="s">
        <v>5049</v>
      </c>
      <c r="E2839" s="5" t="s">
        <v>5092</v>
      </c>
      <c r="F2839" s="5" t="str">
        <f t="shared" si="44"/>
        <v>hajper.com</v>
      </c>
      <c r="G2839" s="5" t="s">
        <v>4</v>
      </c>
      <c r="H2839" s="5" t="s">
        <v>5</v>
      </c>
      <c r="I2839" s="6">
        <v>45708</v>
      </c>
    </row>
    <row r="2840" spans="1:9" ht="13.5">
      <c r="A2840" s="7" t="s">
        <v>386</v>
      </c>
      <c r="B2840" s="3"/>
      <c r="C2840" s="4" t="s">
        <v>5093</v>
      </c>
      <c r="D2840" s="4" t="s">
        <v>5077</v>
      </c>
      <c r="E2840" s="5" t="s">
        <v>389</v>
      </c>
      <c r="F2840" s="5" t="str">
        <f t="shared" si="44"/>
        <v>pontech</v>
      </c>
      <c r="G2840" s="5" t="s">
        <v>4</v>
      </c>
      <c r="H2840" s="5" t="s">
        <v>5</v>
      </c>
      <c r="I2840" s="6">
        <v>45709</v>
      </c>
    </row>
    <row r="2841" spans="1:9" ht="13.5">
      <c r="A2841" s="2" t="s">
        <v>535</v>
      </c>
      <c r="B2841" s="3"/>
      <c r="C2841" s="4" t="s">
        <v>5094</v>
      </c>
      <c r="D2841" s="4" t="s">
        <v>3327</v>
      </c>
      <c r="E2841" s="5" t="s">
        <v>5095</v>
      </c>
      <c r="F2841" s="5" t="str">
        <f t="shared" si="44"/>
        <v>tryggbil.se</v>
      </c>
      <c r="G2841" s="5" t="s">
        <v>4</v>
      </c>
      <c r="H2841" s="5" t="s">
        <v>5</v>
      </c>
      <c r="I2841" s="6">
        <v>45709</v>
      </c>
    </row>
    <row r="2842" spans="1:9" ht="13.5">
      <c r="A2842" s="2" t="s">
        <v>4433</v>
      </c>
      <c r="B2842" s="3"/>
      <c r="C2842" s="4" t="s">
        <v>5096</v>
      </c>
      <c r="D2842" s="4" t="s">
        <v>4974</v>
      </c>
      <c r="E2842" s="5" t="s">
        <v>5097</v>
      </c>
      <c r="F2842" s="5" t="str">
        <f t="shared" si="44"/>
        <v>svenskiptv.com</v>
      </c>
      <c r="G2842" s="5" t="s">
        <v>4</v>
      </c>
      <c r="H2842" s="5" t="s">
        <v>5</v>
      </c>
      <c r="I2842" s="6">
        <v>45710</v>
      </c>
    </row>
    <row r="2843" spans="1:9" ht="13.5">
      <c r="A2843" s="2" t="s">
        <v>4433</v>
      </c>
      <c r="B2843" s="3"/>
      <c r="C2843" s="4" t="s">
        <v>5098</v>
      </c>
      <c r="D2843" s="4" t="s">
        <v>5099</v>
      </c>
      <c r="E2843" s="5" t="s">
        <v>4470</v>
      </c>
      <c r="F2843" s="5" t="str">
        <f t="shared" si="44"/>
        <v>svenskiptv.com</v>
      </c>
      <c r="G2843" s="5" t="s">
        <v>4</v>
      </c>
      <c r="H2843" s="5" t="s">
        <v>5</v>
      </c>
      <c r="I2843" s="6">
        <v>45710</v>
      </c>
    </row>
    <row r="2844" spans="1:9" ht="13.5">
      <c r="A2844" s="2" t="s">
        <v>4829</v>
      </c>
      <c r="B2844" s="3"/>
      <c r="C2844" s="4" t="s">
        <v>5100</v>
      </c>
      <c r="D2844" s="4" t="s">
        <v>5101</v>
      </c>
      <c r="E2844" s="5" t="s">
        <v>5102</v>
      </c>
      <c r="F2844" s="5" t="str">
        <f t="shared" si="44"/>
        <v>technobark.com</v>
      </c>
      <c r="G2844" s="5" t="s">
        <v>4</v>
      </c>
      <c r="H2844" s="5" t="s">
        <v>345</v>
      </c>
      <c r="I2844" s="6">
        <v>45710</v>
      </c>
    </row>
    <row r="2845" spans="1:9" ht="13.5">
      <c r="A2845" s="2" t="s">
        <v>4829</v>
      </c>
      <c r="B2845" s="3"/>
      <c r="C2845" s="4" t="s">
        <v>5103</v>
      </c>
      <c r="D2845" s="4" t="s">
        <v>4934</v>
      </c>
      <c r="E2845" s="5" t="s">
        <v>5104</v>
      </c>
      <c r="F2845" s="5" t="str">
        <f t="shared" si="44"/>
        <v>technobark.com</v>
      </c>
      <c r="G2845" s="5" t="s">
        <v>4</v>
      </c>
      <c r="H2845" s="5" t="s">
        <v>345</v>
      </c>
      <c r="I2845" s="6">
        <v>45710</v>
      </c>
    </row>
    <row r="2846" spans="1:9" ht="13.5">
      <c r="A2846" s="2" t="s">
        <v>3682</v>
      </c>
      <c r="B2846" s="3"/>
      <c r="C2846" s="5" t="s">
        <v>5105</v>
      </c>
      <c r="D2846" s="5" t="s">
        <v>3926</v>
      </c>
      <c r="E2846" s="5" t="s">
        <v>5106</v>
      </c>
      <c r="F2846" s="5" t="str">
        <f t="shared" si="44"/>
        <v>upplevelse.com</v>
      </c>
      <c r="G2846" s="5" t="s">
        <v>4</v>
      </c>
      <c r="H2846" s="5" t="s">
        <v>5</v>
      </c>
      <c r="I2846" s="6">
        <v>45710</v>
      </c>
    </row>
    <row r="2847" spans="1:9" ht="13.5">
      <c r="A2847" s="2" t="s">
        <v>4051</v>
      </c>
      <c r="B2847" s="3"/>
      <c r="C2847" s="4" t="s">
        <v>5107</v>
      </c>
      <c r="D2847" s="4" t="s">
        <v>5108</v>
      </c>
      <c r="E2847" s="5" t="s">
        <v>5109</v>
      </c>
      <c r="F2847" s="5" t="str">
        <f t="shared" si="44"/>
        <v>hund.se</v>
      </c>
      <c r="G2847" s="5" t="s">
        <v>4</v>
      </c>
      <c r="H2847" s="5" t="s">
        <v>5</v>
      </c>
      <c r="I2847" s="6">
        <v>45711</v>
      </c>
    </row>
    <row r="2848" spans="1:9" ht="13.5">
      <c r="A2848" s="2" t="s">
        <v>846</v>
      </c>
      <c r="B2848" s="3"/>
      <c r="C2848" s="4" t="s">
        <v>5110</v>
      </c>
      <c r="D2848" s="4" t="s">
        <v>5111</v>
      </c>
      <c r="E2848" s="5" t="s">
        <v>4818</v>
      </c>
      <c r="F2848" s="5" t="str">
        <f t="shared" si="44"/>
        <v>tandea.se</v>
      </c>
      <c r="G2848" s="5" t="s">
        <v>4</v>
      </c>
      <c r="H2848" s="5" t="s">
        <v>5</v>
      </c>
      <c r="I2848" s="6">
        <v>45711</v>
      </c>
    </row>
    <row r="2849" spans="1:9" ht="13.5">
      <c r="A2849" s="2" t="s">
        <v>3186</v>
      </c>
      <c r="B2849" s="3"/>
      <c r="C2849" s="4" t="s">
        <v>5112</v>
      </c>
      <c r="D2849" s="4" t="s">
        <v>4904</v>
      </c>
      <c r="E2849" s="5" t="s">
        <v>3468</v>
      </c>
      <c r="F2849" s="5" t="str">
        <f t="shared" si="44"/>
        <v>myownwater.com</v>
      </c>
      <c r="G2849" s="5" t="s">
        <v>4</v>
      </c>
      <c r="H2849" s="5" t="s">
        <v>345</v>
      </c>
      <c r="I2849" s="6">
        <v>45711</v>
      </c>
    </row>
    <row r="2850" spans="1:9" ht="13.5">
      <c r="A2850" s="2" t="s">
        <v>435</v>
      </c>
      <c r="B2850" s="3"/>
      <c r="C2850" s="4" t="s">
        <v>5113</v>
      </c>
      <c r="D2850" s="4" t="s">
        <v>1012</v>
      </c>
      <c r="E2850" s="5" t="s">
        <v>839</v>
      </c>
      <c r="F2850" s="5" t="str">
        <f t="shared" si="44"/>
        <v>fairinvestments.se</v>
      </c>
      <c r="G2850" s="5" t="s">
        <v>4</v>
      </c>
      <c r="H2850" s="5" t="s">
        <v>5</v>
      </c>
      <c r="I2850" s="6">
        <v>45712</v>
      </c>
    </row>
    <row r="2851" spans="1:9" ht="13.5">
      <c r="A2851" s="2" t="s">
        <v>435</v>
      </c>
      <c r="B2851" s="3"/>
      <c r="C2851" s="4" t="s">
        <v>5114</v>
      </c>
      <c r="D2851" s="4" t="s">
        <v>973</v>
      </c>
      <c r="E2851" s="5" t="s">
        <v>839</v>
      </c>
      <c r="F2851" s="5" t="str">
        <f t="shared" si="44"/>
        <v>fairinvestments.se</v>
      </c>
      <c r="G2851" s="5" t="s">
        <v>4</v>
      </c>
      <c r="H2851" s="5" t="s">
        <v>5</v>
      </c>
      <c r="I2851" s="6">
        <v>45712</v>
      </c>
    </row>
    <row r="2852" spans="1:9" ht="13.5">
      <c r="A2852" s="2" t="s">
        <v>2127</v>
      </c>
      <c r="B2852" s="3"/>
      <c r="C2852" s="4" t="s">
        <v>5115</v>
      </c>
      <c r="D2852" s="4" t="s">
        <v>2127</v>
      </c>
      <c r="E2852" s="5" t="s">
        <v>5116</v>
      </c>
      <c r="F2852" s="5" t="str">
        <f t="shared" si="44"/>
        <v>startmotor.se</v>
      </c>
      <c r="G2852" s="5" t="s">
        <v>4</v>
      </c>
      <c r="H2852" s="5" t="s">
        <v>5</v>
      </c>
      <c r="I2852" s="6">
        <v>45712</v>
      </c>
    </row>
    <row r="2853" spans="1:9" ht="13.5">
      <c r="A2853" s="2" t="s">
        <v>5084</v>
      </c>
      <c r="B2853" s="3"/>
      <c r="C2853" s="4" t="s">
        <v>5117</v>
      </c>
      <c r="D2853" s="4" t="s">
        <v>5086</v>
      </c>
      <c r="E2853" s="5" t="s">
        <v>5087</v>
      </c>
      <c r="F2853" s="5" t="str">
        <f t="shared" si="44"/>
        <v>glassfactory.fi</v>
      </c>
      <c r="G2853" s="5" t="s">
        <v>4</v>
      </c>
      <c r="H2853" s="5" t="s">
        <v>5</v>
      </c>
      <c r="I2853" s="6">
        <v>45712</v>
      </c>
    </row>
    <row r="2854" spans="1:9" ht="13.5">
      <c r="A2854" s="2" t="s">
        <v>4409</v>
      </c>
      <c r="B2854" s="3"/>
      <c r="C2854" s="4" t="s">
        <v>5118</v>
      </c>
      <c r="D2854" s="4" t="s">
        <v>5119</v>
      </c>
      <c r="E2854" s="5" t="s">
        <v>4561</v>
      </c>
      <c r="F2854" s="5" t="str">
        <f t="shared" si="44"/>
        <v>svenskafonster.se</v>
      </c>
      <c r="G2854" s="5" t="s">
        <v>4</v>
      </c>
      <c r="H2854" s="5" t="s">
        <v>5</v>
      </c>
      <c r="I2854" s="6">
        <v>45712</v>
      </c>
    </row>
    <row r="2855" spans="1:9" ht="13.5">
      <c r="A2855" s="2" t="s">
        <v>4558</v>
      </c>
      <c r="B2855" s="3"/>
      <c r="C2855" s="4" t="s">
        <v>5120</v>
      </c>
      <c r="D2855" s="4" t="s">
        <v>4560</v>
      </c>
      <c r="E2855" s="5" t="s">
        <v>4862</v>
      </c>
      <c r="F2855" s="5" t="str">
        <f t="shared" si="44"/>
        <v>mockfjards.se</v>
      </c>
      <c r="G2855" s="5" t="s">
        <v>4</v>
      </c>
      <c r="H2855" s="5" t="s">
        <v>5</v>
      </c>
      <c r="I2855" s="6">
        <v>45712</v>
      </c>
    </row>
    <row r="2856" spans="1:9" ht="13.5">
      <c r="A2856" s="7" t="s">
        <v>3419</v>
      </c>
      <c r="B2856" s="3"/>
      <c r="C2856" s="4" t="s">
        <v>5121</v>
      </c>
      <c r="D2856" s="4" t="s">
        <v>4961</v>
      </c>
      <c r="E2856" s="5" t="s">
        <v>5122</v>
      </c>
      <c r="F2856" s="5" t="str">
        <f t="shared" si="44"/>
        <v>zmarta</v>
      </c>
      <c r="G2856" s="5" t="s">
        <v>2360</v>
      </c>
      <c r="H2856" s="5" t="s">
        <v>5</v>
      </c>
      <c r="I2856" s="6">
        <v>45712</v>
      </c>
    </row>
    <row r="2857" spans="1:9" ht="13.5">
      <c r="A2857" s="2" t="s">
        <v>4409</v>
      </c>
      <c r="B2857" s="3"/>
      <c r="C2857" s="4" t="s">
        <v>5123</v>
      </c>
      <c r="D2857" s="4" t="s">
        <v>5119</v>
      </c>
      <c r="E2857" s="5" t="s">
        <v>5124</v>
      </c>
      <c r="F2857" s="5" t="str">
        <f t="shared" si="44"/>
        <v>svenskafonster.se</v>
      </c>
      <c r="G2857" s="5" t="s">
        <v>4</v>
      </c>
      <c r="H2857" s="5" t="s">
        <v>5</v>
      </c>
      <c r="I2857" s="6">
        <v>45712</v>
      </c>
    </row>
    <row r="2858" spans="1:9" ht="13.5">
      <c r="A2858" s="2" t="s">
        <v>4409</v>
      </c>
      <c r="B2858" s="3"/>
      <c r="C2858" s="4" t="s">
        <v>5125</v>
      </c>
      <c r="D2858" s="4" t="s">
        <v>4820</v>
      </c>
      <c r="E2858" s="5" t="s">
        <v>4821</v>
      </c>
      <c r="F2858" s="5" t="str">
        <f t="shared" si="44"/>
        <v>svenskafonster.se</v>
      </c>
      <c r="G2858" s="5" t="s">
        <v>4</v>
      </c>
      <c r="H2858" s="5" t="s">
        <v>5</v>
      </c>
      <c r="I2858" s="6">
        <v>45712</v>
      </c>
    </row>
    <row r="2859" spans="1:9" ht="13.5">
      <c r="A2859" s="2" t="s">
        <v>4409</v>
      </c>
      <c r="B2859" s="3"/>
      <c r="C2859" s="4" t="s">
        <v>5126</v>
      </c>
      <c r="D2859" s="4" t="s">
        <v>4532</v>
      </c>
      <c r="E2859" s="5" t="s">
        <v>4737</v>
      </c>
      <c r="F2859" s="5" t="str">
        <f t="shared" si="44"/>
        <v>svenskafonster.se</v>
      </c>
      <c r="G2859" s="5" t="s">
        <v>4</v>
      </c>
      <c r="H2859" s="5" t="s">
        <v>5</v>
      </c>
      <c r="I2859" s="6">
        <v>45712</v>
      </c>
    </row>
    <row r="2860" spans="1:9" ht="13.5">
      <c r="A2860" s="2" t="s">
        <v>3058</v>
      </c>
      <c r="B2860" s="3"/>
      <c r="C2860" s="4" t="s">
        <v>5127</v>
      </c>
      <c r="D2860" s="4" t="s">
        <v>5128</v>
      </c>
      <c r="E2860" s="5" t="s">
        <v>5129</v>
      </c>
      <c r="F2860" s="5" t="str">
        <f t="shared" si="44"/>
        <v>rusta.se</v>
      </c>
      <c r="G2860" s="5" t="s">
        <v>4</v>
      </c>
      <c r="H2860" s="5" t="s">
        <v>5</v>
      </c>
      <c r="I2860" s="6">
        <v>45712</v>
      </c>
    </row>
    <row r="2861" spans="1:9" ht="13.5">
      <c r="A2861" s="2" t="s">
        <v>2549</v>
      </c>
      <c r="B2861" s="3"/>
      <c r="C2861" s="4" t="s">
        <v>5130</v>
      </c>
      <c r="D2861" s="4" t="s">
        <v>5131</v>
      </c>
      <c r="E2861" s="5" t="s">
        <v>5132</v>
      </c>
      <c r="F2861" s="5" t="str">
        <f t="shared" si="44"/>
        <v>purakliniken.se</v>
      </c>
      <c r="G2861" s="5" t="s">
        <v>4</v>
      </c>
      <c r="H2861" s="5" t="s">
        <v>5</v>
      </c>
      <c r="I2861" s="6">
        <v>45712</v>
      </c>
    </row>
    <row r="2862" spans="1:9" ht="13.5">
      <c r="A2862" s="2" t="s">
        <v>2636</v>
      </c>
      <c r="B2862" s="3"/>
      <c r="C2862" s="5" t="s">
        <v>5133</v>
      </c>
      <c r="D2862" s="5" t="s">
        <v>2720</v>
      </c>
      <c r="E2862" s="5" t="s">
        <v>5134</v>
      </c>
      <c r="F2862" s="5" t="str">
        <f t="shared" si="44"/>
        <v>kvarnx.com</v>
      </c>
      <c r="G2862" s="5" t="s">
        <v>4</v>
      </c>
      <c r="H2862" s="5" t="s">
        <v>5</v>
      </c>
      <c r="I2862" s="6">
        <v>45712</v>
      </c>
    </row>
    <row r="2863" spans="1:9" ht="13.5">
      <c r="A2863" s="7" t="s">
        <v>3419</v>
      </c>
      <c r="B2863" s="3"/>
      <c r="C2863" s="5" t="s">
        <v>5121</v>
      </c>
      <c r="D2863" s="5" t="s">
        <v>4961</v>
      </c>
      <c r="E2863" s="5" t="s">
        <v>5122</v>
      </c>
      <c r="F2863" s="5" t="str">
        <f t="shared" si="44"/>
        <v>zmarta</v>
      </c>
      <c r="G2863" s="5" t="s">
        <v>2360</v>
      </c>
      <c r="H2863" s="5" t="s">
        <v>5</v>
      </c>
      <c r="I2863" s="6">
        <v>45712</v>
      </c>
    </row>
    <row r="2864" spans="1:9" ht="13.5">
      <c r="A2864" s="2" t="s">
        <v>1318</v>
      </c>
      <c r="B2864" s="3"/>
      <c r="C2864" s="138" t="s">
        <v>5135</v>
      </c>
      <c r="D2864" s="4" t="s">
        <v>2644</v>
      </c>
      <c r="E2864" s="5" t="s">
        <v>2016</v>
      </c>
      <c r="F2864" s="5" t="str">
        <f t="shared" si="44"/>
        <v>spelklubben.se</v>
      </c>
      <c r="G2864" s="5" t="s">
        <v>4</v>
      </c>
      <c r="H2864" s="5" t="s">
        <v>5</v>
      </c>
      <c r="I2864" s="6">
        <v>45713</v>
      </c>
    </row>
    <row r="2865" spans="1:9" ht="13.5">
      <c r="A2865" s="2" t="s">
        <v>2549</v>
      </c>
      <c r="B2865" s="3"/>
      <c r="C2865" s="4" t="s">
        <v>5136</v>
      </c>
      <c r="D2865" s="4" t="s">
        <v>2549</v>
      </c>
      <c r="E2865" s="5" t="s">
        <v>5137</v>
      </c>
      <c r="F2865" s="5" t="str">
        <f t="shared" si="44"/>
        <v>purakliniken.se</v>
      </c>
      <c r="G2865" s="5" t="s">
        <v>4</v>
      </c>
      <c r="H2865" s="5" t="s">
        <v>5</v>
      </c>
      <c r="I2865" s="6">
        <v>45713</v>
      </c>
    </row>
    <row r="2866" spans="1:9" ht="13.5">
      <c r="A2866" s="2" t="s">
        <v>4051</v>
      </c>
      <c r="B2866" s="3"/>
      <c r="C2866" s="4" t="s">
        <v>5138</v>
      </c>
      <c r="D2866" s="4" t="s">
        <v>5108</v>
      </c>
      <c r="E2866" s="5" t="s">
        <v>5109</v>
      </c>
      <c r="F2866" s="5" t="str">
        <f t="shared" si="44"/>
        <v>hund.se</v>
      </c>
      <c r="G2866" s="5" t="s">
        <v>4</v>
      </c>
      <c r="H2866" s="5" t="s">
        <v>5</v>
      </c>
      <c r="I2866" s="6">
        <v>45713</v>
      </c>
    </row>
    <row r="2867" spans="1:9" ht="13.5">
      <c r="A2867" s="2" t="s">
        <v>3058</v>
      </c>
      <c r="B2867" s="3"/>
      <c r="C2867" s="4" t="s">
        <v>5139</v>
      </c>
      <c r="D2867" s="4" t="s">
        <v>5140</v>
      </c>
      <c r="E2867" s="5" t="s">
        <v>5141</v>
      </c>
      <c r="F2867" s="5" t="str">
        <f t="shared" si="44"/>
        <v>rusta.se</v>
      </c>
      <c r="G2867" s="5" t="s">
        <v>4</v>
      </c>
      <c r="H2867" s="5" t="s">
        <v>5</v>
      </c>
      <c r="I2867" s="6">
        <v>45713</v>
      </c>
    </row>
    <row r="2868" spans="1:9" ht="13.5">
      <c r="A2868" s="2" t="s">
        <v>4558</v>
      </c>
      <c r="B2868" s="3"/>
      <c r="C2868" s="8" t="s">
        <v>5142</v>
      </c>
      <c r="D2868" s="8" t="s">
        <v>4558</v>
      </c>
      <c r="E2868" s="5" t="s">
        <v>4566</v>
      </c>
      <c r="F2868" s="5" t="str">
        <f t="shared" si="44"/>
        <v>mockfjards.se</v>
      </c>
      <c r="G2868" s="5" t="s">
        <v>4</v>
      </c>
      <c r="H2868" s="5" t="s">
        <v>5</v>
      </c>
      <c r="I2868" s="6">
        <v>45713</v>
      </c>
    </row>
    <row r="2869" spans="1:9" ht="13.5">
      <c r="A2869" s="2" t="s">
        <v>1318</v>
      </c>
      <c r="B2869" s="3"/>
      <c r="C2869" s="4" t="s">
        <v>5143</v>
      </c>
      <c r="D2869" s="4" t="s">
        <v>1318</v>
      </c>
      <c r="E2869" s="10" t="s">
        <v>2016</v>
      </c>
      <c r="F2869" s="5" t="str">
        <f t="shared" si="44"/>
        <v>spelklubben.se</v>
      </c>
      <c r="G2869" s="5" t="s">
        <v>4</v>
      </c>
      <c r="H2869" s="5" t="s">
        <v>5</v>
      </c>
      <c r="I2869" s="6">
        <v>45713</v>
      </c>
    </row>
    <row r="2870" spans="1:9" ht="13.5">
      <c r="A2870" s="2" t="s">
        <v>4433</v>
      </c>
      <c r="B2870" s="3"/>
      <c r="C2870" s="4" t="s">
        <v>5144</v>
      </c>
      <c r="D2870" s="4" t="s">
        <v>4435</v>
      </c>
      <c r="E2870" s="5" t="s">
        <v>5145</v>
      </c>
      <c r="F2870" s="5" t="str">
        <f t="shared" si="44"/>
        <v>svenskiptv.com</v>
      </c>
      <c r="G2870" s="5" t="s">
        <v>4</v>
      </c>
      <c r="H2870" s="5" t="s">
        <v>5</v>
      </c>
      <c r="I2870" s="6">
        <v>45713</v>
      </c>
    </row>
    <row r="2871" spans="1:9" ht="13.5">
      <c r="A2871" s="2" t="s">
        <v>4433</v>
      </c>
      <c r="B2871" s="3"/>
      <c r="C2871" s="4" t="s">
        <v>5146</v>
      </c>
      <c r="D2871" s="4" t="s">
        <v>5099</v>
      </c>
      <c r="E2871" s="5" t="s">
        <v>4703</v>
      </c>
      <c r="F2871" s="5" t="str">
        <f t="shared" si="44"/>
        <v>svenskiptv.com</v>
      </c>
      <c r="G2871" s="5" t="s">
        <v>4</v>
      </c>
      <c r="H2871" s="5" t="s">
        <v>5</v>
      </c>
      <c r="I2871" s="6">
        <v>45713</v>
      </c>
    </row>
    <row r="2872" spans="1:9" ht="13.5">
      <c r="A2872" s="2" t="s">
        <v>3491</v>
      </c>
      <c r="B2872" s="3"/>
      <c r="C2872" s="4" t="s">
        <v>5147</v>
      </c>
      <c r="D2872" s="4" t="s">
        <v>3493</v>
      </c>
      <c r="E2872" s="5" t="s">
        <v>3494</v>
      </c>
      <c r="F2872" s="5" t="str">
        <f t="shared" si="44"/>
        <v>mynicco.com</v>
      </c>
      <c r="G2872" s="5" t="s">
        <v>4</v>
      </c>
      <c r="H2872" s="5" t="s">
        <v>345</v>
      </c>
      <c r="I2872" s="6">
        <v>45713</v>
      </c>
    </row>
    <row r="2873" spans="1:9" ht="13.5">
      <c r="A2873" s="7" t="s">
        <v>1910</v>
      </c>
      <c r="B2873" s="3"/>
      <c r="C2873" s="4" t="s">
        <v>5148</v>
      </c>
      <c r="D2873" s="4" t="s">
        <v>3472</v>
      </c>
      <c r="E2873" s="5" t="s">
        <v>2862</v>
      </c>
      <c r="F2873" s="5" t="str">
        <f t="shared" si="44"/>
        <v>kelleher-international</v>
      </c>
      <c r="G2873" s="5" t="s">
        <v>4</v>
      </c>
      <c r="H2873" s="5" t="s">
        <v>345</v>
      </c>
      <c r="I2873" s="6">
        <v>45713</v>
      </c>
    </row>
    <row r="2874" spans="1:9" ht="13.5">
      <c r="A2874" s="2" t="s">
        <v>3885</v>
      </c>
      <c r="B2874" s="3"/>
      <c r="C2874" s="4" t="s">
        <v>5149</v>
      </c>
      <c r="D2874" s="4" t="s">
        <v>3887</v>
      </c>
      <c r="E2874" s="5" t="s">
        <v>3890</v>
      </c>
      <c r="F2874" s="5" t="str">
        <f t="shared" si="44"/>
        <v>chattanoogarehab.com</v>
      </c>
      <c r="G2874" s="5" t="s">
        <v>4</v>
      </c>
      <c r="H2874" s="5" t="s">
        <v>345</v>
      </c>
      <c r="I2874" s="6">
        <v>45713</v>
      </c>
    </row>
    <row r="2875" spans="1:9" ht="13.5">
      <c r="A2875" s="7" t="s">
        <v>4108</v>
      </c>
      <c r="B2875" s="3"/>
      <c r="C2875" s="4" t="s">
        <v>5150</v>
      </c>
      <c r="D2875" s="4" t="s">
        <v>4110</v>
      </c>
      <c r="E2875" s="5" t="s">
        <v>4111</v>
      </c>
      <c r="F2875" s="5" t="str">
        <f t="shared" si="44"/>
        <v>racha-organics</v>
      </c>
      <c r="G2875" s="5" t="s">
        <v>4</v>
      </c>
      <c r="H2875" s="5" t="s">
        <v>345</v>
      </c>
      <c r="I2875" s="6">
        <v>45713</v>
      </c>
    </row>
    <row r="2876" spans="1:9" ht="13.5">
      <c r="A2876" s="2" t="s">
        <v>2348</v>
      </c>
      <c r="B2876" s="3"/>
      <c r="C2876" s="4" t="s">
        <v>5151</v>
      </c>
      <c r="D2876" s="4" t="s">
        <v>2350</v>
      </c>
      <c r="E2876" s="5" t="s">
        <v>2351</v>
      </c>
      <c r="F2876" s="5" t="str">
        <f t="shared" si="44"/>
        <v>mobot.com</v>
      </c>
      <c r="G2876" s="5" t="s">
        <v>4</v>
      </c>
      <c r="H2876" s="5" t="s">
        <v>345</v>
      </c>
      <c r="I2876" s="6">
        <v>45713</v>
      </c>
    </row>
    <row r="2877" spans="1:9" ht="13.5">
      <c r="A2877" s="2" t="s">
        <v>2352</v>
      </c>
      <c r="B2877" s="3"/>
      <c r="C2877" s="4" t="s">
        <v>5152</v>
      </c>
      <c r="D2877" s="4" t="s">
        <v>2354</v>
      </c>
      <c r="E2877" s="5" t="s">
        <v>2356</v>
      </c>
      <c r="F2877" s="5" t="str">
        <f t="shared" si="44"/>
        <v>seniorrabatt.se</v>
      </c>
      <c r="G2877" s="5" t="s">
        <v>4</v>
      </c>
      <c r="H2877" s="5" t="s">
        <v>3496</v>
      </c>
      <c r="I2877" s="6">
        <v>45713</v>
      </c>
    </row>
    <row r="2878" spans="1:9" ht="13.5">
      <c r="A2878" s="2" t="s">
        <v>3128</v>
      </c>
      <c r="B2878" s="3"/>
      <c r="C2878" s="8" t="s">
        <v>5153</v>
      </c>
      <c r="D2878" s="4" t="s">
        <v>5154</v>
      </c>
      <c r="E2878" s="5" t="s">
        <v>3162</v>
      </c>
      <c r="F2878" s="5" t="str">
        <f t="shared" si="44"/>
        <v>bethard.com</v>
      </c>
      <c r="G2878" s="5" t="s">
        <v>4</v>
      </c>
      <c r="H2878" s="5" t="s">
        <v>5</v>
      </c>
      <c r="I2878" s="6">
        <v>45713</v>
      </c>
    </row>
    <row r="2879" spans="1:9" ht="13.5">
      <c r="A2879" s="2" t="s">
        <v>3128</v>
      </c>
      <c r="B2879" s="5"/>
      <c r="C2879" s="9" t="s">
        <v>5155</v>
      </c>
      <c r="D2879" s="9" t="s">
        <v>5154</v>
      </c>
      <c r="E2879" s="5" t="s">
        <v>4279</v>
      </c>
      <c r="F2879" s="5" t="str">
        <f t="shared" si="44"/>
        <v>bethard.com</v>
      </c>
      <c r="G2879" s="5" t="s">
        <v>4</v>
      </c>
      <c r="H2879" s="5" t="s">
        <v>5</v>
      </c>
      <c r="I2879" s="6">
        <v>45713</v>
      </c>
    </row>
    <row r="2880" spans="1:9" ht="13.5">
      <c r="A2880" s="7" t="s">
        <v>3419</v>
      </c>
      <c r="B2880" s="3"/>
      <c r="C2880" s="5" t="s">
        <v>5156</v>
      </c>
      <c r="D2880" s="5" t="s">
        <v>4961</v>
      </c>
      <c r="E2880" s="5" t="s">
        <v>5157</v>
      </c>
      <c r="F2880" s="5" t="str">
        <f t="shared" si="44"/>
        <v>zmarta</v>
      </c>
      <c r="G2880" s="5" t="s">
        <v>2360</v>
      </c>
      <c r="H2880" s="5" t="s">
        <v>5</v>
      </c>
      <c r="I2880" s="6">
        <v>45713</v>
      </c>
    </row>
    <row r="2881" spans="1:9" ht="13.5">
      <c r="A2881" s="7" t="s">
        <v>3921</v>
      </c>
      <c r="B2881" s="3"/>
      <c r="C2881" s="5" t="s">
        <v>5158</v>
      </c>
      <c r="D2881" s="5" t="s">
        <v>3923</v>
      </c>
      <c r="E2881" s="5" t="s">
        <v>5159</v>
      </c>
      <c r="F2881" s="5" t="str">
        <f t="shared" si="44"/>
        <v>svenskalasjouren.se</v>
      </c>
      <c r="G2881" s="5" t="s">
        <v>4</v>
      </c>
      <c r="H2881" s="5" t="s">
        <v>5</v>
      </c>
      <c r="I2881" s="6">
        <v>45713</v>
      </c>
    </row>
    <row r="2882" spans="1:9" ht="13.5">
      <c r="A2882" s="2" t="s">
        <v>5084</v>
      </c>
      <c r="B2882" s="3"/>
      <c r="C2882" s="4" t="s">
        <v>5160</v>
      </c>
      <c r="D2882" s="4" t="s">
        <v>5161</v>
      </c>
      <c r="E2882" s="5" t="s">
        <v>5162</v>
      </c>
      <c r="F2882" s="5" t="str">
        <f t="shared" si="44"/>
        <v>glassfactory.fi</v>
      </c>
      <c r="G2882" s="5" t="s">
        <v>4</v>
      </c>
      <c r="H2882" s="5" t="s">
        <v>5</v>
      </c>
      <c r="I2882" s="6">
        <v>45714</v>
      </c>
    </row>
    <row r="2883" spans="1:9" ht="13.5">
      <c r="A2883" s="2" t="s">
        <v>3885</v>
      </c>
      <c r="B2883" s="3"/>
      <c r="C2883" s="4" t="s">
        <v>5163</v>
      </c>
      <c r="D2883" s="4" t="s">
        <v>3967</v>
      </c>
      <c r="E2883" s="5" t="s">
        <v>3968</v>
      </c>
      <c r="F2883" s="5" t="str">
        <f t="shared" ref="F2883:F2946" si="45">A2883</f>
        <v>chattanoogarehab.com</v>
      </c>
      <c r="G2883" s="5" t="s">
        <v>4</v>
      </c>
      <c r="H2883" s="5" t="s">
        <v>345</v>
      </c>
      <c r="I2883" s="6">
        <v>45714</v>
      </c>
    </row>
    <row r="2884" spans="1:9" ht="13.5">
      <c r="A2884" s="2" t="s">
        <v>3885</v>
      </c>
      <c r="B2884" s="3"/>
      <c r="C2884" s="4" t="s">
        <v>5164</v>
      </c>
      <c r="D2884" s="4" t="s">
        <v>3931</v>
      </c>
      <c r="E2884" s="5" t="s">
        <v>4886</v>
      </c>
      <c r="F2884" s="5" t="str">
        <f t="shared" si="45"/>
        <v>chattanoogarehab.com</v>
      </c>
      <c r="G2884" s="5" t="s">
        <v>4</v>
      </c>
      <c r="H2884" s="5" t="s">
        <v>345</v>
      </c>
      <c r="I2884" s="6">
        <v>45714</v>
      </c>
    </row>
    <row r="2885" spans="1:9" ht="13.5">
      <c r="A2885" s="2" t="s">
        <v>3086</v>
      </c>
      <c r="B2885" s="3"/>
      <c r="C2885" s="4" t="s">
        <v>5165</v>
      </c>
      <c r="D2885" s="4" t="s">
        <v>3088</v>
      </c>
      <c r="E2885" s="5" t="s">
        <v>4618</v>
      </c>
      <c r="F2885" s="5" t="str">
        <f t="shared" si="45"/>
        <v>himala.ai</v>
      </c>
      <c r="G2885" s="5" t="s">
        <v>4</v>
      </c>
      <c r="H2885" s="5" t="s">
        <v>345</v>
      </c>
      <c r="I2885" s="6">
        <v>45714</v>
      </c>
    </row>
    <row r="2886" spans="1:9" ht="13.5">
      <c r="A2886" s="2" t="s">
        <v>4829</v>
      </c>
      <c r="B2886" s="3"/>
      <c r="C2886" s="4" t="s">
        <v>5166</v>
      </c>
      <c r="D2886" s="4" t="s">
        <v>4831</v>
      </c>
      <c r="E2886" s="5" t="s">
        <v>4832</v>
      </c>
      <c r="F2886" s="5" t="str">
        <f t="shared" si="45"/>
        <v>technobark.com</v>
      </c>
      <c r="G2886" s="5" t="s">
        <v>4</v>
      </c>
      <c r="H2886" s="5" t="s">
        <v>345</v>
      </c>
      <c r="I2886" s="6">
        <v>45714</v>
      </c>
    </row>
    <row r="2887" spans="1:9" ht="13.5">
      <c r="A2887" s="2" t="s">
        <v>2999</v>
      </c>
      <c r="B2887" s="3"/>
      <c r="C2887" s="8" t="s">
        <v>5167</v>
      </c>
      <c r="D2887" s="8" t="s">
        <v>5168</v>
      </c>
      <c r="E2887" s="5" t="s">
        <v>5169</v>
      </c>
      <c r="F2887" s="5" t="str">
        <f t="shared" si="45"/>
        <v>nettotobak.com</v>
      </c>
      <c r="G2887" s="5" t="s">
        <v>4</v>
      </c>
      <c r="H2887" s="5" t="s">
        <v>5</v>
      </c>
      <c r="I2887" s="6">
        <v>45714</v>
      </c>
    </row>
    <row r="2888" spans="1:9" ht="13.5">
      <c r="A2888" s="2" t="s">
        <v>2999</v>
      </c>
      <c r="B2888" s="3"/>
      <c r="C2888" s="8" t="s">
        <v>5170</v>
      </c>
      <c r="D2888" s="8" t="s">
        <v>2999</v>
      </c>
      <c r="E2888" s="5" t="s">
        <v>4917</v>
      </c>
      <c r="F2888" s="5" t="str">
        <f t="shared" si="45"/>
        <v>nettotobak.com</v>
      </c>
      <c r="G2888" s="5" t="s">
        <v>4</v>
      </c>
      <c r="H2888" s="5" t="s">
        <v>5</v>
      </c>
      <c r="I2888" s="6">
        <v>45715</v>
      </c>
    </row>
    <row r="2889" spans="1:9" ht="13.5">
      <c r="A2889" s="2" t="s">
        <v>3761</v>
      </c>
      <c r="B2889" s="3"/>
      <c r="C2889" s="5" t="s">
        <v>5171</v>
      </c>
      <c r="D2889" s="5" t="s">
        <v>3908</v>
      </c>
      <c r="E2889" s="5" t="s">
        <v>5172</v>
      </c>
      <c r="F2889" s="5" t="str">
        <f t="shared" si="45"/>
        <v>hajper.com</v>
      </c>
      <c r="G2889" s="5" t="s">
        <v>4</v>
      </c>
      <c r="H2889" s="5" t="s">
        <v>5</v>
      </c>
      <c r="I2889" s="6">
        <v>45715</v>
      </c>
    </row>
    <row r="2890" spans="1:9" ht="13.5">
      <c r="A2890" s="2" t="s">
        <v>4558</v>
      </c>
      <c r="B2890" s="3"/>
      <c r="C2890" s="4" t="s">
        <v>5173</v>
      </c>
      <c r="D2890" s="4" t="s">
        <v>5174</v>
      </c>
      <c r="E2890" s="5" t="s">
        <v>4566</v>
      </c>
      <c r="F2890" s="5" t="str">
        <f t="shared" si="45"/>
        <v>mockfjards.se</v>
      </c>
      <c r="G2890" s="5" t="s">
        <v>4</v>
      </c>
      <c r="H2890" s="5" t="s">
        <v>5</v>
      </c>
      <c r="I2890" s="6">
        <v>45716</v>
      </c>
    </row>
    <row r="2891" spans="1:9" ht="13.5">
      <c r="A2891" s="2" t="s">
        <v>3743</v>
      </c>
      <c r="B2891" s="3"/>
      <c r="C2891" s="4" t="s">
        <v>5175</v>
      </c>
      <c r="D2891" s="4" t="s">
        <v>3743</v>
      </c>
      <c r="E2891" s="5" t="s">
        <v>3746</v>
      </c>
      <c r="F2891" s="5" t="str">
        <f t="shared" si="45"/>
        <v>acnespecialisten.se</v>
      </c>
      <c r="G2891" s="5" t="s">
        <v>4</v>
      </c>
      <c r="H2891" s="5" t="s">
        <v>5</v>
      </c>
      <c r="I2891" s="6">
        <v>45716</v>
      </c>
    </row>
    <row r="2892" spans="1:9" ht="13.5">
      <c r="A2892" s="2" t="s">
        <v>2836</v>
      </c>
      <c r="B2892" s="3"/>
      <c r="C2892" s="4" t="s">
        <v>5176</v>
      </c>
      <c r="D2892" s="4" t="s">
        <v>5177</v>
      </c>
      <c r="E2892" s="5" t="s">
        <v>5178</v>
      </c>
      <c r="F2892" s="5" t="str">
        <f t="shared" si="45"/>
        <v>cherry.com</v>
      </c>
      <c r="G2892" s="5" t="s">
        <v>4</v>
      </c>
      <c r="H2892" s="5" t="s">
        <v>5</v>
      </c>
      <c r="I2892" s="6">
        <v>45716</v>
      </c>
    </row>
    <row r="2893" spans="1:9" ht="13.5">
      <c r="A2893" s="2" t="s">
        <v>1318</v>
      </c>
      <c r="B2893" s="3"/>
      <c r="C2893" s="4" t="s">
        <v>5179</v>
      </c>
      <c r="D2893" s="4" t="s">
        <v>1942</v>
      </c>
      <c r="E2893" s="5" t="s">
        <v>5180</v>
      </c>
      <c r="F2893" s="5" t="str">
        <f t="shared" si="45"/>
        <v>spelklubben.se</v>
      </c>
      <c r="G2893" s="5" t="s">
        <v>4</v>
      </c>
      <c r="H2893" s="5" t="s">
        <v>5</v>
      </c>
      <c r="I2893" s="6">
        <v>45716</v>
      </c>
    </row>
    <row r="2894" spans="1:9" ht="13.5">
      <c r="A2894" s="2" t="s">
        <v>3058</v>
      </c>
      <c r="B2894" s="3"/>
      <c r="C2894" s="4" t="s">
        <v>5181</v>
      </c>
      <c r="D2894" s="4" t="s">
        <v>5034</v>
      </c>
      <c r="E2894" s="5" t="s">
        <v>5035</v>
      </c>
      <c r="F2894" s="5" t="str">
        <f t="shared" si="45"/>
        <v>rusta.se</v>
      </c>
      <c r="G2894" s="5" t="s">
        <v>4</v>
      </c>
      <c r="H2894" s="5" t="s">
        <v>5</v>
      </c>
      <c r="I2894" s="6">
        <v>45716</v>
      </c>
    </row>
    <row r="2895" spans="1:9" ht="13.5">
      <c r="A2895" s="2" t="s">
        <v>4558</v>
      </c>
      <c r="B2895" s="3"/>
      <c r="C2895" s="4" t="s">
        <v>5182</v>
      </c>
      <c r="D2895" s="4" t="s">
        <v>5183</v>
      </c>
      <c r="E2895" s="5" t="s">
        <v>4828</v>
      </c>
      <c r="F2895" s="5" t="str">
        <f t="shared" si="45"/>
        <v>mockfjards.se</v>
      </c>
      <c r="G2895" s="5" t="s">
        <v>4</v>
      </c>
      <c r="H2895" s="5" t="s">
        <v>5</v>
      </c>
      <c r="I2895" s="6">
        <v>45716</v>
      </c>
    </row>
    <row r="2896" spans="1:9" ht="13.5">
      <c r="A2896" s="2" t="s">
        <v>3580</v>
      </c>
      <c r="B2896" s="3"/>
      <c r="C2896" s="4" t="s">
        <v>5184</v>
      </c>
      <c r="D2896" s="4" t="s">
        <v>4756</v>
      </c>
      <c r="E2896" s="5" t="s">
        <v>4757</v>
      </c>
      <c r="F2896" s="5" t="str">
        <f t="shared" si="45"/>
        <v>kleer.se</v>
      </c>
      <c r="G2896" s="5" t="s">
        <v>4</v>
      </c>
      <c r="H2896" s="5" t="s">
        <v>5</v>
      </c>
      <c r="I2896" s="6">
        <v>45716</v>
      </c>
    </row>
    <row r="2897" spans="1:9" ht="13.5">
      <c r="A2897" s="2" t="s">
        <v>5020</v>
      </c>
      <c r="B2897" s="3"/>
      <c r="C2897" s="4" t="s">
        <v>5185</v>
      </c>
      <c r="D2897" s="4" t="s">
        <v>5186</v>
      </c>
      <c r="E2897" s="5" t="s">
        <v>5022</v>
      </c>
      <c r="F2897" s="5" t="str">
        <f t="shared" si="45"/>
        <v>sesec.se</v>
      </c>
      <c r="G2897" s="5" t="s">
        <v>4</v>
      </c>
      <c r="H2897" s="5" t="s">
        <v>5</v>
      </c>
      <c r="I2897" s="6">
        <v>45716</v>
      </c>
    </row>
    <row r="2898" spans="1:9" ht="13.5">
      <c r="A2898" s="2" t="s">
        <v>5084</v>
      </c>
      <c r="B2898" s="3"/>
      <c r="C2898" s="4" t="s">
        <v>5187</v>
      </c>
      <c r="D2898" s="4" t="s">
        <v>5161</v>
      </c>
      <c r="E2898" s="5" t="s">
        <v>5162</v>
      </c>
      <c r="F2898" s="5" t="str">
        <f t="shared" si="45"/>
        <v>glassfactory.fi</v>
      </c>
      <c r="G2898" s="5" t="s">
        <v>4</v>
      </c>
      <c r="H2898" s="5" t="s">
        <v>5</v>
      </c>
      <c r="I2898" s="6">
        <v>45716</v>
      </c>
    </row>
    <row r="2899" spans="1:9" ht="13.5">
      <c r="A2899" s="2" t="s">
        <v>2836</v>
      </c>
      <c r="B2899" s="3"/>
      <c r="C2899" s="4" t="s">
        <v>5188</v>
      </c>
      <c r="D2899" s="4" t="s">
        <v>5189</v>
      </c>
      <c r="E2899" s="5" t="s">
        <v>5190</v>
      </c>
      <c r="F2899" s="5" t="str">
        <f t="shared" si="45"/>
        <v>cherry.com</v>
      </c>
      <c r="G2899" s="5" t="s">
        <v>4</v>
      </c>
      <c r="H2899" s="5" t="s">
        <v>5</v>
      </c>
      <c r="I2899" s="6">
        <v>45716</v>
      </c>
    </row>
    <row r="2900" spans="1:9" ht="13.5">
      <c r="A2900" s="2" t="s">
        <v>5191</v>
      </c>
      <c r="B2900" s="3"/>
      <c r="C2900" s="4" t="s">
        <v>5192</v>
      </c>
      <c r="D2900" s="4" t="s">
        <v>5193</v>
      </c>
      <c r="E2900" s="5" t="s">
        <v>5194</v>
      </c>
      <c r="F2900" s="5" t="str">
        <f t="shared" si="45"/>
        <v>bergetsro.se</v>
      </c>
      <c r="G2900" s="5" t="s">
        <v>4</v>
      </c>
      <c r="H2900" s="5" t="s">
        <v>5</v>
      </c>
      <c r="I2900" s="6">
        <v>45716</v>
      </c>
    </row>
    <row r="2901" spans="1:9" ht="13.5">
      <c r="A2901" s="2" t="s">
        <v>3058</v>
      </c>
      <c r="B2901" s="3"/>
      <c r="C2901" s="4" t="s">
        <v>5195</v>
      </c>
      <c r="D2901" s="4" t="s">
        <v>5140</v>
      </c>
      <c r="E2901" s="5" t="s">
        <v>5141</v>
      </c>
      <c r="F2901" s="5" t="str">
        <f t="shared" si="45"/>
        <v>rusta.se</v>
      </c>
      <c r="G2901" s="5" t="s">
        <v>4</v>
      </c>
      <c r="H2901" s="5" t="s">
        <v>5</v>
      </c>
      <c r="I2901" s="6">
        <v>45716</v>
      </c>
    </row>
    <row r="2902" spans="1:9" ht="13.5">
      <c r="A2902" s="2" t="s">
        <v>4373</v>
      </c>
      <c r="B2902" s="3"/>
      <c r="C2902" s="4" t="s">
        <v>5196</v>
      </c>
      <c r="D2902" s="4" t="s">
        <v>4373</v>
      </c>
      <c r="E2902" s="5" t="s">
        <v>4815</v>
      </c>
      <c r="F2902" s="5" t="str">
        <f t="shared" si="45"/>
        <v>vardagsfrid.se</v>
      </c>
      <c r="G2902" s="5" t="s">
        <v>4</v>
      </c>
      <c r="H2902" s="5" t="s">
        <v>5</v>
      </c>
      <c r="I2902" s="6">
        <v>45716</v>
      </c>
    </row>
    <row r="2903" spans="1:9" ht="13.5">
      <c r="A2903" s="2" t="s">
        <v>4041</v>
      </c>
      <c r="B2903" s="3"/>
      <c r="C2903" s="4" t="s">
        <v>5197</v>
      </c>
      <c r="D2903" s="4" t="s">
        <v>4847</v>
      </c>
      <c r="E2903" s="5" t="s">
        <v>5198</v>
      </c>
      <c r="F2903" s="5" t="str">
        <f t="shared" si="45"/>
        <v>cateringfabriken.se</v>
      </c>
      <c r="G2903" s="5" t="s">
        <v>4</v>
      </c>
      <c r="H2903" s="5" t="s">
        <v>5</v>
      </c>
      <c r="I2903" s="6">
        <v>45716</v>
      </c>
    </row>
    <row r="2904" spans="1:9" ht="13.5">
      <c r="A2904" s="2" t="s">
        <v>1318</v>
      </c>
      <c r="B2904" s="3"/>
      <c r="C2904" s="138" t="s">
        <v>5199</v>
      </c>
      <c r="D2904" s="4" t="s">
        <v>5200</v>
      </c>
      <c r="E2904" s="5" t="s">
        <v>5201</v>
      </c>
      <c r="F2904" s="5" t="str">
        <f t="shared" si="45"/>
        <v>spelklubben.se</v>
      </c>
      <c r="G2904" s="5" t="s">
        <v>4</v>
      </c>
      <c r="H2904" s="5" t="s">
        <v>5</v>
      </c>
      <c r="I2904" s="6">
        <v>45716</v>
      </c>
    </row>
    <row r="2905" spans="1:9" ht="13.5">
      <c r="A2905" s="2" t="s">
        <v>5202</v>
      </c>
      <c r="B2905" s="3"/>
      <c r="C2905" s="4" t="s">
        <v>5203</v>
      </c>
      <c r="D2905" s="4" t="s">
        <v>5202</v>
      </c>
      <c r="E2905" s="5" t="s">
        <v>5204</v>
      </c>
      <c r="F2905" s="5" t="str">
        <f t="shared" si="45"/>
        <v>bus4you.se</v>
      </c>
      <c r="G2905" s="5" t="s">
        <v>4</v>
      </c>
      <c r="H2905" s="5" t="s">
        <v>5</v>
      </c>
      <c r="I2905" s="6">
        <v>45716</v>
      </c>
    </row>
    <row r="2906" spans="1:9" ht="13.5">
      <c r="A2906" s="2" t="s">
        <v>435</v>
      </c>
      <c r="B2906" s="3"/>
      <c r="C2906" s="4" t="s">
        <v>5205</v>
      </c>
      <c r="D2906" s="4" t="s">
        <v>4309</v>
      </c>
      <c r="E2906" s="5" t="s">
        <v>5206</v>
      </c>
      <c r="F2906" s="5" t="str">
        <f t="shared" si="45"/>
        <v>fairinvestments.se</v>
      </c>
      <c r="G2906" s="5" t="s">
        <v>4</v>
      </c>
      <c r="H2906" s="5" t="s">
        <v>5</v>
      </c>
      <c r="I2906" s="6">
        <v>45716</v>
      </c>
    </row>
    <row r="2907" spans="1:9" ht="13.5">
      <c r="A2907" s="2" t="s">
        <v>4771</v>
      </c>
      <c r="B2907" s="3"/>
      <c r="C2907" s="4" t="s">
        <v>5207</v>
      </c>
      <c r="D2907" s="4" t="s">
        <v>4944</v>
      </c>
      <c r="E2907" s="9" t="s">
        <v>4771</v>
      </c>
      <c r="F2907" s="5" t="str">
        <f t="shared" si="45"/>
        <v>dryft.se</v>
      </c>
      <c r="G2907" s="5" t="s">
        <v>4</v>
      </c>
      <c r="H2907" s="5" t="s">
        <v>5</v>
      </c>
      <c r="I2907" s="6">
        <v>45716</v>
      </c>
    </row>
    <row r="2908" spans="1:9" ht="13.5">
      <c r="A2908" s="2" t="s">
        <v>1318</v>
      </c>
      <c r="B2908" s="3"/>
      <c r="C2908" s="4" t="s">
        <v>5208</v>
      </c>
      <c r="D2908" s="4" t="s">
        <v>2644</v>
      </c>
      <c r="E2908" s="5" t="s">
        <v>5209</v>
      </c>
      <c r="F2908" s="5" t="str">
        <f t="shared" si="45"/>
        <v>spelklubben.se</v>
      </c>
      <c r="G2908" s="5" t="s">
        <v>4</v>
      </c>
      <c r="H2908" s="5" t="s">
        <v>5</v>
      </c>
      <c r="I2908" s="6">
        <v>45716</v>
      </c>
    </row>
    <row r="2909" spans="1:9" ht="13.5">
      <c r="A2909" s="2" t="s">
        <v>846</v>
      </c>
      <c r="B2909" s="3"/>
      <c r="C2909" s="4" t="s">
        <v>5210</v>
      </c>
      <c r="D2909" s="4" t="s">
        <v>5211</v>
      </c>
      <c r="E2909" s="5" t="s">
        <v>4715</v>
      </c>
      <c r="F2909" s="5" t="str">
        <f t="shared" si="45"/>
        <v>tandea.se</v>
      </c>
      <c r="G2909" s="5" t="s">
        <v>4</v>
      </c>
      <c r="H2909" s="5" t="s">
        <v>5</v>
      </c>
      <c r="I2909" s="6">
        <v>45716</v>
      </c>
    </row>
    <row r="2910" spans="1:9" ht="13.5">
      <c r="A2910" s="2" t="s">
        <v>4147</v>
      </c>
      <c r="B2910" s="3"/>
      <c r="C2910" s="4" t="s">
        <v>5212</v>
      </c>
      <c r="D2910" s="4" t="s">
        <v>4628</v>
      </c>
      <c r="E2910" s="5" t="s">
        <v>5213</v>
      </c>
      <c r="F2910" s="5" t="str">
        <f t="shared" si="45"/>
        <v>petster.se</v>
      </c>
      <c r="G2910" s="5" t="s">
        <v>4</v>
      </c>
      <c r="H2910" s="5" t="s">
        <v>5</v>
      </c>
      <c r="I2910" s="6">
        <v>45716</v>
      </c>
    </row>
    <row r="2911" spans="1:9" ht="13.5">
      <c r="A2911" s="2" t="s">
        <v>4147</v>
      </c>
      <c r="B2911" s="3"/>
      <c r="C2911" s="4" t="s">
        <v>5214</v>
      </c>
      <c r="D2911" s="4" t="s">
        <v>4628</v>
      </c>
      <c r="E2911" s="5" t="s">
        <v>5213</v>
      </c>
      <c r="F2911" s="5" t="str">
        <f t="shared" si="45"/>
        <v>petster.se</v>
      </c>
      <c r="G2911" s="5" t="s">
        <v>4</v>
      </c>
      <c r="H2911" s="5" t="s">
        <v>5</v>
      </c>
      <c r="I2911" s="6">
        <v>45716</v>
      </c>
    </row>
    <row r="2912" spans="1:9" ht="13.5">
      <c r="A2912" s="2" t="s">
        <v>4433</v>
      </c>
      <c r="B2912" s="3"/>
      <c r="C2912" s="4" t="s">
        <v>5215</v>
      </c>
      <c r="D2912" s="4" t="s">
        <v>4974</v>
      </c>
      <c r="E2912" s="5" t="s">
        <v>5026</v>
      </c>
      <c r="F2912" s="5" t="str">
        <f t="shared" si="45"/>
        <v>svenskiptv.com</v>
      </c>
      <c r="G2912" s="5" t="s">
        <v>4</v>
      </c>
      <c r="H2912" s="5" t="s">
        <v>5</v>
      </c>
      <c r="I2912" s="6">
        <v>45716</v>
      </c>
    </row>
    <row r="2913" spans="1:9" ht="13.5">
      <c r="A2913" s="2" t="s">
        <v>4433</v>
      </c>
      <c r="B2913" s="3"/>
      <c r="C2913" s="4" t="s">
        <v>5216</v>
      </c>
      <c r="D2913" s="4" t="s">
        <v>5099</v>
      </c>
      <c r="E2913" s="5" t="s">
        <v>5217</v>
      </c>
      <c r="F2913" s="5" t="str">
        <f t="shared" si="45"/>
        <v>svenskiptv.com</v>
      </c>
      <c r="G2913" s="5" t="s">
        <v>4</v>
      </c>
      <c r="H2913" s="5" t="s">
        <v>5</v>
      </c>
      <c r="I2913" s="6">
        <v>45716</v>
      </c>
    </row>
    <row r="2914" spans="1:9" ht="13.5">
      <c r="A2914" s="2" t="s">
        <v>3491</v>
      </c>
      <c r="B2914" s="3"/>
      <c r="C2914" s="4" t="s">
        <v>5218</v>
      </c>
      <c r="D2914" s="4" t="s">
        <v>3493</v>
      </c>
      <c r="E2914" s="5" t="s">
        <v>3494</v>
      </c>
      <c r="F2914" s="5" t="str">
        <f t="shared" si="45"/>
        <v>mynicco.com</v>
      </c>
      <c r="G2914" s="5" t="s">
        <v>4</v>
      </c>
      <c r="H2914" s="5" t="s">
        <v>345</v>
      </c>
      <c r="I2914" s="6">
        <v>45716</v>
      </c>
    </row>
    <row r="2915" spans="1:9" ht="13.5">
      <c r="A2915" s="7" t="s">
        <v>1910</v>
      </c>
      <c r="B2915" s="3"/>
      <c r="C2915" s="4" t="s">
        <v>5219</v>
      </c>
      <c r="D2915" s="4" t="s">
        <v>3470</v>
      </c>
      <c r="E2915" s="5" t="s">
        <v>4094</v>
      </c>
      <c r="F2915" s="5" t="str">
        <f t="shared" si="45"/>
        <v>kelleher-international</v>
      </c>
      <c r="G2915" s="5" t="s">
        <v>4</v>
      </c>
      <c r="H2915" s="5" t="s">
        <v>345</v>
      </c>
      <c r="I2915" s="6">
        <v>45716</v>
      </c>
    </row>
    <row r="2916" spans="1:9" ht="13.5">
      <c r="A2916" s="2" t="s">
        <v>723</v>
      </c>
      <c r="B2916" s="3"/>
      <c r="C2916" s="4" t="s">
        <v>5220</v>
      </c>
      <c r="D2916" s="4" t="s">
        <v>725</v>
      </c>
      <c r="E2916" s="5" t="s">
        <v>3941</v>
      </c>
      <c r="F2916" s="5" t="str">
        <f t="shared" si="45"/>
        <v>aretrotale.com</v>
      </c>
      <c r="G2916" s="5" t="s">
        <v>4</v>
      </c>
      <c r="H2916" s="5" t="s">
        <v>3496</v>
      </c>
      <c r="I2916" s="6">
        <v>45716</v>
      </c>
    </row>
    <row r="2917" spans="1:9" ht="13.5">
      <c r="A2917" s="2" t="s">
        <v>3885</v>
      </c>
      <c r="B2917" s="3"/>
      <c r="C2917" s="4" t="s">
        <v>5221</v>
      </c>
      <c r="D2917" s="4" t="s">
        <v>3893</v>
      </c>
      <c r="E2917" s="5" t="s">
        <v>3896</v>
      </c>
      <c r="F2917" s="5" t="str">
        <f t="shared" si="45"/>
        <v>chattanoogarehab.com</v>
      </c>
      <c r="G2917" s="5" t="s">
        <v>4</v>
      </c>
      <c r="H2917" s="5" t="s">
        <v>345</v>
      </c>
      <c r="I2917" s="6">
        <v>45716</v>
      </c>
    </row>
    <row r="2918" spans="1:9" ht="13.5">
      <c r="A2918" s="2" t="s">
        <v>3086</v>
      </c>
      <c r="B2918" s="3"/>
      <c r="C2918" s="4" t="s">
        <v>5222</v>
      </c>
      <c r="D2918" s="4" t="s">
        <v>3088</v>
      </c>
      <c r="E2918" s="5" t="s">
        <v>4616</v>
      </c>
      <c r="F2918" s="5" t="str">
        <f t="shared" si="45"/>
        <v>himala.ai</v>
      </c>
      <c r="G2918" s="5" t="s">
        <v>4</v>
      </c>
      <c r="H2918" s="5" t="s">
        <v>345</v>
      </c>
      <c r="I2918" s="6">
        <v>45716</v>
      </c>
    </row>
    <row r="2919" spans="1:9" ht="13.5">
      <c r="A2919" s="2" t="s">
        <v>4489</v>
      </c>
      <c r="B2919" s="3"/>
      <c r="C2919" s="4" t="s">
        <v>5223</v>
      </c>
      <c r="D2919" s="4" t="s">
        <v>4491</v>
      </c>
      <c r="E2919" s="5" t="s">
        <v>4492</v>
      </c>
      <c r="F2919" s="5" t="str">
        <f t="shared" si="45"/>
        <v>nordicknots.com</v>
      </c>
      <c r="G2919" s="5" t="s">
        <v>4</v>
      </c>
      <c r="H2919" s="5" t="s">
        <v>345</v>
      </c>
      <c r="I2919" s="6">
        <v>45716</v>
      </c>
    </row>
    <row r="2920" spans="1:9" ht="13.5">
      <c r="A2920" s="2" t="s">
        <v>3186</v>
      </c>
      <c r="B2920" s="3"/>
      <c r="C2920" s="4" t="s">
        <v>5224</v>
      </c>
      <c r="D2920" s="4" t="s">
        <v>4207</v>
      </c>
      <c r="E2920" s="5" t="s">
        <v>4811</v>
      </c>
      <c r="F2920" s="5" t="str">
        <f t="shared" si="45"/>
        <v>myownwater.com</v>
      </c>
      <c r="G2920" s="5" t="s">
        <v>4</v>
      </c>
      <c r="H2920" s="5" t="s">
        <v>345</v>
      </c>
      <c r="I2920" s="6">
        <v>45716</v>
      </c>
    </row>
    <row r="2921" spans="1:9" ht="13.5">
      <c r="A2921" s="2" t="s">
        <v>1993</v>
      </c>
      <c r="B2921" s="3"/>
      <c r="C2921" s="4" t="s">
        <v>5225</v>
      </c>
      <c r="D2921" s="4" t="s">
        <v>5226</v>
      </c>
      <c r="E2921" s="5" t="s">
        <v>5227</v>
      </c>
      <c r="F2921" s="5" t="str">
        <f t="shared" si="45"/>
        <v>filippa-k.com/se/sv/</v>
      </c>
      <c r="G2921" s="5" t="s">
        <v>4</v>
      </c>
      <c r="H2921" s="5" t="s">
        <v>262</v>
      </c>
      <c r="I2921" s="6">
        <v>45716</v>
      </c>
    </row>
    <row r="2922" spans="1:9" ht="13.5">
      <c r="A2922" s="2" t="s">
        <v>1615</v>
      </c>
      <c r="B2922" s="3"/>
      <c r="C2922" s="4" t="s">
        <v>5228</v>
      </c>
      <c r="D2922" s="4" t="s">
        <v>1617</v>
      </c>
      <c r="E2922" s="5" t="s">
        <v>1619</v>
      </c>
      <c r="F2922" s="5" t="str">
        <f t="shared" si="45"/>
        <v>kamux.fi</v>
      </c>
      <c r="G2922" s="5" t="s">
        <v>4</v>
      </c>
      <c r="H2922" s="5" t="s">
        <v>1618</v>
      </c>
      <c r="I2922" s="6">
        <v>45716</v>
      </c>
    </row>
    <row r="2923" spans="1:9" ht="13.5">
      <c r="A2923" s="2" t="s">
        <v>1615</v>
      </c>
      <c r="B2923" s="3"/>
      <c r="C2923" s="4" t="s">
        <v>5229</v>
      </c>
      <c r="D2923" s="4" t="s">
        <v>1617</v>
      </c>
      <c r="E2923" s="5" t="s">
        <v>1619</v>
      </c>
      <c r="F2923" s="5" t="str">
        <f t="shared" si="45"/>
        <v>kamux.fi</v>
      </c>
      <c r="G2923" s="5" t="s">
        <v>4</v>
      </c>
      <c r="H2923" s="5" t="s">
        <v>1618</v>
      </c>
      <c r="I2923" s="6">
        <v>45716</v>
      </c>
    </row>
    <row r="2924" spans="1:9" ht="13.5">
      <c r="A2924" s="7" t="s">
        <v>3791</v>
      </c>
      <c r="B2924" s="3"/>
      <c r="C2924" s="4" t="s">
        <v>5230</v>
      </c>
      <c r="D2924" s="4" t="s">
        <v>3982</v>
      </c>
      <c r="E2924" s="5" t="s">
        <v>3983</v>
      </c>
      <c r="F2924" s="5" t="str">
        <f t="shared" si="45"/>
        <v>coface</v>
      </c>
      <c r="G2924" s="5" t="s">
        <v>4</v>
      </c>
      <c r="H2924" s="5" t="s">
        <v>382</v>
      </c>
      <c r="I2924" s="6">
        <v>45716</v>
      </c>
    </row>
    <row r="2925" spans="1:9" ht="13.5">
      <c r="A2925" s="7" t="s">
        <v>3791</v>
      </c>
      <c r="B2925" s="3"/>
      <c r="C2925" s="4" t="s">
        <v>5231</v>
      </c>
      <c r="D2925" s="4" t="s">
        <v>4103</v>
      </c>
      <c r="E2925" s="5" t="s">
        <v>4104</v>
      </c>
      <c r="F2925" s="5" t="str">
        <f t="shared" si="45"/>
        <v>coface</v>
      </c>
      <c r="G2925" s="5" t="s">
        <v>4</v>
      </c>
      <c r="H2925" s="5" t="s">
        <v>1618</v>
      </c>
      <c r="I2925" s="6">
        <v>45716</v>
      </c>
    </row>
    <row r="2926" spans="1:9" ht="13.5">
      <c r="A2926" s="7" t="s">
        <v>3791</v>
      </c>
      <c r="B2926" s="3"/>
      <c r="C2926" s="4" t="s">
        <v>5232</v>
      </c>
      <c r="D2926" s="4" t="s">
        <v>4098</v>
      </c>
      <c r="E2926" s="5" t="s">
        <v>4099</v>
      </c>
      <c r="F2926" s="5" t="str">
        <f t="shared" si="45"/>
        <v>coface</v>
      </c>
      <c r="G2926" s="5" t="s">
        <v>4</v>
      </c>
      <c r="H2926" s="5" t="s">
        <v>1618</v>
      </c>
      <c r="I2926" s="6">
        <v>45716</v>
      </c>
    </row>
    <row r="2927" spans="1:9" ht="13.5">
      <c r="A2927" s="2" t="s">
        <v>4482</v>
      </c>
      <c r="B2927" s="3"/>
      <c r="C2927" s="4" t="s">
        <v>5233</v>
      </c>
      <c r="D2927" s="4" t="s">
        <v>4484</v>
      </c>
      <c r="E2927" s="5" t="s">
        <v>4485</v>
      </c>
      <c r="F2927" s="5" t="str">
        <f t="shared" si="45"/>
        <v>godies.fi</v>
      </c>
      <c r="G2927" s="5" t="s">
        <v>4</v>
      </c>
      <c r="H2927" s="5" t="s">
        <v>1618</v>
      </c>
      <c r="I2927" s="6">
        <v>45716</v>
      </c>
    </row>
    <row r="2928" spans="1:9" ht="13.5">
      <c r="A2928" s="2" t="s">
        <v>4482</v>
      </c>
      <c r="B2928" s="3"/>
      <c r="C2928" s="4" t="s">
        <v>5234</v>
      </c>
      <c r="D2928" s="4" t="s">
        <v>4487</v>
      </c>
      <c r="E2928" s="5" t="s">
        <v>4488</v>
      </c>
      <c r="F2928" s="5" t="str">
        <f t="shared" si="45"/>
        <v>godies.fi</v>
      </c>
      <c r="G2928" s="5" t="s">
        <v>4</v>
      </c>
      <c r="H2928" s="5" t="s">
        <v>1618</v>
      </c>
      <c r="I2928" s="6">
        <v>45716</v>
      </c>
    </row>
    <row r="2929" spans="1:9" ht="13.5">
      <c r="A2929" s="2" t="s">
        <v>4219</v>
      </c>
      <c r="B2929" s="3"/>
      <c r="C2929" s="4" t="s">
        <v>5235</v>
      </c>
      <c r="D2929" s="4" t="s">
        <v>4221</v>
      </c>
      <c r="E2929" s="5" t="s">
        <v>4222</v>
      </c>
      <c r="F2929" s="5" t="str">
        <f t="shared" si="45"/>
        <v>clearfuze.com</v>
      </c>
      <c r="G2929" s="5" t="s">
        <v>4</v>
      </c>
      <c r="H2929" s="5" t="s">
        <v>5</v>
      </c>
      <c r="I2929" s="6">
        <v>45716</v>
      </c>
    </row>
    <row r="2930" spans="1:9" ht="13.5">
      <c r="A2930" s="2" t="s">
        <v>3128</v>
      </c>
      <c r="B2930" s="3"/>
      <c r="C2930" s="4" t="s">
        <v>5236</v>
      </c>
      <c r="D2930" s="4" t="s">
        <v>5154</v>
      </c>
      <c r="E2930" s="5" t="s">
        <v>5237</v>
      </c>
      <c r="F2930" s="5" t="str">
        <f t="shared" si="45"/>
        <v>bethard.com</v>
      </c>
      <c r="G2930" s="5" t="s">
        <v>4</v>
      </c>
      <c r="H2930" s="5" t="s">
        <v>5</v>
      </c>
      <c r="I2930" s="6">
        <v>45716</v>
      </c>
    </row>
    <row r="2931" spans="1:9" ht="13.5">
      <c r="A2931" s="7"/>
      <c r="B2931" s="3"/>
      <c r="C2931" s="8" t="s">
        <v>5238</v>
      </c>
      <c r="D2931" s="8" t="s">
        <v>2999</v>
      </c>
      <c r="E2931" s="5" t="s">
        <v>5239</v>
      </c>
      <c r="F2931" s="5">
        <f t="shared" si="45"/>
        <v>0</v>
      </c>
      <c r="G2931" s="5" t="s">
        <v>4</v>
      </c>
      <c r="H2931" s="5" t="s">
        <v>5</v>
      </c>
      <c r="I2931" s="6">
        <v>45716</v>
      </c>
    </row>
    <row r="2932" spans="1:9" ht="13.5">
      <c r="A2932" s="2" t="s">
        <v>2636</v>
      </c>
      <c r="B2932" s="3"/>
      <c r="C2932" s="5" t="s">
        <v>5240</v>
      </c>
      <c r="D2932" s="5" t="s">
        <v>2702</v>
      </c>
      <c r="E2932" s="5" t="s">
        <v>5241</v>
      </c>
      <c r="F2932" s="5" t="str">
        <f t="shared" si="45"/>
        <v>kvarnx.com</v>
      </c>
      <c r="G2932" s="5" t="s">
        <v>4</v>
      </c>
      <c r="H2932" s="5" t="s">
        <v>5</v>
      </c>
      <c r="I2932" s="6">
        <v>45716</v>
      </c>
    </row>
    <row r="2933" spans="1:9" ht="13.5">
      <c r="A2933" s="7" t="s">
        <v>3419</v>
      </c>
      <c r="B2933" s="3"/>
      <c r="C2933" s="5" t="s">
        <v>5242</v>
      </c>
      <c r="D2933" s="5" t="s">
        <v>5243</v>
      </c>
      <c r="E2933" s="5" t="s">
        <v>5244</v>
      </c>
      <c r="F2933" s="5" t="str">
        <f t="shared" si="45"/>
        <v>zmarta</v>
      </c>
      <c r="G2933" s="5" t="s">
        <v>4</v>
      </c>
      <c r="H2933" s="5" t="s">
        <v>5</v>
      </c>
      <c r="I2933" s="6">
        <v>45716</v>
      </c>
    </row>
    <row r="2934" spans="1:9" ht="13.5">
      <c r="A2934" s="2" t="s">
        <v>3682</v>
      </c>
      <c r="B2934" s="3"/>
      <c r="C2934" s="5" t="s">
        <v>5245</v>
      </c>
      <c r="D2934" s="5" t="s">
        <v>5246</v>
      </c>
      <c r="E2934" s="5" t="s">
        <v>5247</v>
      </c>
      <c r="F2934" s="5" t="str">
        <f t="shared" si="45"/>
        <v>upplevelse.com</v>
      </c>
      <c r="G2934" s="5" t="s">
        <v>4</v>
      </c>
      <c r="H2934" s="5" t="s">
        <v>5</v>
      </c>
      <c r="I2934" s="6">
        <v>45716</v>
      </c>
    </row>
    <row r="2935" spans="1:9" ht="13.5">
      <c r="A2935" s="2" t="s">
        <v>3761</v>
      </c>
      <c r="B2935" s="3"/>
      <c r="C2935" s="5" t="s">
        <v>5248</v>
      </c>
      <c r="D2935" s="5" t="s">
        <v>5049</v>
      </c>
      <c r="E2935" s="5" t="s">
        <v>5249</v>
      </c>
      <c r="F2935" s="5" t="str">
        <f t="shared" si="45"/>
        <v>hajper.com</v>
      </c>
      <c r="G2935" s="5" t="s">
        <v>4</v>
      </c>
      <c r="H2935" s="5" t="s">
        <v>5</v>
      </c>
      <c r="I2935" s="6">
        <v>45716</v>
      </c>
    </row>
    <row r="2936" spans="1:9" ht="13.5">
      <c r="A2936" s="2" t="s">
        <v>3761</v>
      </c>
      <c r="B2936" s="3"/>
      <c r="C2936" s="5" t="s">
        <v>5250</v>
      </c>
      <c r="D2936" s="5" t="s">
        <v>5049</v>
      </c>
      <c r="E2936" s="5" t="s">
        <v>5251</v>
      </c>
      <c r="F2936" s="5" t="str">
        <f t="shared" si="45"/>
        <v>hajper.com</v>
      </c>
      <c r="G2936" s="5" t="s">
        <v>4</v>
      </c>
      <c r="H2936" s="5" t="s">
        <v>5</v>
      </c>
      <c r="I2936" s="6">
        <v>45716</v>
      </c>
    </row>
    <row r="2937" spans="1:9" ht="13.5">
      <c r="A2937" s="7" t="s">
        <v>3921</v>
      </c>
      <c r="B2937" s="3"/>
      <c r="C2937" s="5" t="s">
        <v>5252</v>
      </c>
      <c r="D2937" s="5" t="s">
        <v>4190</v>
      </c>
      <c r="E2937" s="5" t="s">
        <v>5253</v>
      </c>
      <c r="F2937" s="5" t="str">
        <f t="shared" si="45"/>
        <v>svenskalasjouren.se</v>
      </c>
      <c r="G2937" s="5" t="s">
        <v>4</v>
      </c>
      <c r="H2937" s="5" t="s">
        <v>5</v>
      </c>
      <c r="I2937" s="6">
        <v>45716</v>
      </c>
    </row>
    <row r="2938" spans="1:9" ht="13.5">
      <c r="A2938" s="7" t="s">
        <v>1559</v>
      </c>
      <c r="B2938" s="3"/>
      <c r="C2938" s="5" t="s">
        <v>5254</v>
      </c>
      <c r="D2938" s="5" t="s">
        <v>1559</v>
      </c>
      <c r="E2938" s="5" t="s">
        <v>2365</v>
      </c>
      <c r="F2938" s="5" t="str">
        <f t="shared" si="45"/>
        <v>rorjour247.se</v>
      </c>
      <c r="G2938" s="5" t="s">
        <v>4</v>
      </c>
      <c r="H2938" s="5" t="s">
        <v>5</v>
      </c>
      <c r="I2938" s="6">
        <v>45716</v>
      </c>
    </row>
    <row r="2939" spans="1:9" ht="13.5">
      <c r="A2939" s="7" t="s">
        <v>1559</v>
      </c>
      <c r="B2939" s="3"/>
      <c r="C2939" s="5" t="s">
        <v>5255</v>
      </c>
      <c r="D2939" s="5" t="s">
        <v>3238</v>
      </c>
      <c r="E2939" s="5" t="s">
        <v>5256</v>
      </c>
      <c r="F2939" s="5" t="str">
        <f t="shared" si="45"/>
        <v>rorjour247.se</v>
      </c>
      <c r="G2939" s="5" t="s">
        <v>4</v>
      </c>
      <c r="H2939" s="5" t="s">
        <v>5</v>
      </c>
      <c r="I2939" s="6">
        <v>45716</v>
      </c>
    </row>
    <row r="2940" spans="1:9" ht="13.5">
      <c r="A2940" s="2" t="s">
        <v>1318</v>
      </c>
      <c r="B2940" s="3"/>
      <c r="C2940" s="4" t="s">
        <v>5257</v>
      </c>
      <c r="D2940" s="4" t="s">
        <v>1318</v>
      </c>
      <c r="E2940" s="5" t="s">
        <v>2016</v>
      </c>
      <c r="F2940" s="5" t="str">
        <f t="shared" si="45"/>
        <v>spelklubben.se</v>
      </c>
      <c r="G2940" s="5" t="s">
        <v>4</v>
      </c>
      <c r="H2940" s="5" t="s">
        <v>5</v>
      </c>
      <c r="I2940" s="6">
        <v>45717</v>
      </c>
    </row>
    <row r="2941" spans="1:9" ht="14.25">
      <c r="A2941" s="2" t="s">
        <v>4489</v>
      </c>
      <c r="B2941" s="3"/>
      <c r="C2941" s="28" t="s">
        <v>5258</v>
      </c>
      <c r="D2941" s="333" t="s">
        <v>4955</v>
      </c>
      <c r="E2941" s="5" t="s">
        <v>5259</v>
      </c>
      <c r="F2941" s="5" t="str">
        <f t="shared" si="45"/>
        <v>nordicknots.com</v>
      </c>
      <c r="G2941" s="5" t="s">
        <v>4</v>
      </c>
      <c r="H2941" s="5" t="s">
        <v>345</v>
      </c>
      <c r="I2941" s="6">
        <v>45719</v>
      </c>
    </row>
    <row r="2942" spans="1:9" ht="13.5">
      <c r="A2942" s="2" t="s">
        <v>4489</v>
      </c>
      <c r="B2942" s="3"/>
      <c r="C2942" s="8" t="s">
        <v>5260</v>
      </c>
      <c r="D2942" s="4" t="s">
        <v>5261</v>
      </c>
      <c r="E2942" s="5" t="s">
        <v>4724</v>
      </c>
      <c r="F2942" s="5" t="str">
        <f t="shared" si="45"/>
        <v>nordicknots.com</v>
      </c>
      <c r="G2942" s="5" t="s">
        <v>4</v>
      </c>
      <c r="H2942" s="5" t="s">
        <v>345</v>
      </c>
      <c r="I2942" s="6">
        <v>45719</v>
      </c>
    </row>
    <row r="2943" spans="1:9" ht="13.5">
      <c r="A2943" s="2" t="s">
        <v>4489</v>
      </c>
      <c r="B2943" s="3"/>
      <c r="C2943" s="4" t="s">
        <v>5262</v>
      </c>
      <c r="D2943" s="4" t="s">
        <v>4494</v>
      </c>
      <c r="E2943" s="5" t="s">
        <v>5263</v>
      </c>
      <c r="F2943" s="5" t="str">
        <f t="shared" si="45"/>
        <v>nordicknots.com</v>
      </c>
      <c r="G2943" s="5" t="s">
        <v>4</v>
      </c>
      <c r="H2943" s="5" t="s">
        <v>345</v>
      </c>
      <c r="I2943" s="6">
        <v>45719</v>
      </c>
    </row>
    <row r="2944" spans="1:9" ht="13.5">
      <c r="A2944" s="7" t="s">
        <v>3791</v>
      </c>
      <c r="B2944" s="3"/>
      <c r="C2944" s="4" t="s">
        <v>5264</v>
      </c>
      <c r="D2944" s="4" t="s">
        <v>5265</v>
      </c>
      <c r="E2944" s="5" t="s">
        <v>4732</v>
      </c>
      <c r="F2944" s="5" t="str">
        <f t="shared" si="45"/>
        <v>coface</v>
      </c>
      <c r="G2944" s="5" t="s">
        <v>4</v>
      </c>
      <c r="H2944" s="5" t="s">
        <v>5</v>
      </c>
      <c r="I2944" s="6">
        <v>45719</v>
      </c>
    </row>
    <row r="2945" spans="1:9" ht="13.5">
      <c r="A2945" s="7" t="s">
        <v>5266</v>
      </c>
      <c r="B2945" s="3"/>
      <c r="C2945" s="138" t="s">
        <v>5267</v>
      </c>
      <c r="D2945" s="4" t="s">
        <v>5268</v>
      </c>
      <c r="E2945" s="5" t="s">
        <v>5269</v>
      </c>
      <c r="F2945" s="5" t="str">
        <f t="shared" si="45"/>
        <v>Tandea Haninge</v>
      </c>
      <c r="G2945" s="5" t="s">
        <v>2360</v>
      </c>
      <c r="H2945" s="5" t="s">
        <v>5</v>
      </c>
      <c r="I2945" s="6">
        <v>45719</v>
      </c>
    </row>
    <row r="2946" spans="1:9" ht="13.5">
      <c r="A2946" s="2" t="s">
        <v>3173</v>
      </c>
      <c r="B2946" s="3"/>
      <c r="C2946" s="8" t="s">
        <v>5270</v>
      </c>
      <c r="D2946" s="4" t="s">
        <v>5271</v>
      </c>
      <c r="E2946" s="5" t="s">
        <v>4845</v>
      </c>
      <c r="F2946" s="5" t="str">
        <f t="shared" si="45"/>
        <v>ekstromgaray.se</v>
      </c>
      <c r="G2946" s="5" t="s">
        <v>4</v>
      </c>
      <c r="H2946" s="5" t="s">
        <v>5</v>
      </c>
      <c r="I2946" s="6">
        <v>45719</v>
      </c>
    </row>
    <row r="2947" spans="1:9" ht="13.5">
      <c r="A2947" s="2" t="s">
        <v>3580</v>
      </c>
      <c r="B2947" s="3"/>
      <c r="C2947" s="4" t="s">
        <v>5272</v>
      </c>
      <c r="D2947" s="4" t="s">
        <v>4756</v>
      </c>
      <c r="E2947" s="5" t="s">
        <v>5273</v>
      </c>
      <c r="F2947" s="5" t="str">
        <f t="shared" ref="F2947:F3010" si="46">A2947</f>
        <v>kleer.se</v>
      </c>
      <c r="G2947" s="5" t="s">
        <v>4</v>
      </c>
      <c r="H2947" s="5" t="s">
        <v>5</v>
      </c>
      <c r="I2947" s="6">
        <v>45719</v>
      </c>
    </row>
    <row r="2948" spans="1:9" ht="13.5">
      <c r="A2948" s="2" t="s">
        <v>3128</v>
      </c>
      <c r="B2948" s="3"/>
      <c r="C2948" s="4" t="s">
        <v>5274</v>
      </c>
      <c r="D2948" s="4" t="s">
        <v>5154</v>
      </c>
      <c r="E2948" s="5" t="s">
        <v>5275</v>
      </c>
      <c r="F2948" s="5" t="str">
        <f t="shared" si="46"/>
        <v>bethard.com</v>
      </c>
      <c r="G2948" s="5" t="s">
        <v>4</v>
      </c>
      <c r="H2948" s="5" t="s">
        <v>5</v>
      </c>
      <c r="I2948" s="6">
        <v>45719</v>
      </c>
    </row>
    <row r="2949" spans="1:9" ht="13.5">
      <c r="A2949" s="2" t="s">
        <v>2999</v>
      </c>
      <c r="B2949" s="3"/>
      <c r="C2949" s="8" t="s">
        <v>5276</v>
      </c>
      <c r="D2949" s="8" t="s">
        <v>2999</v>
      </c>
      <c r="E2949" s="5" t="s">
        <v>4917</v>
      </c>
      <c r="F2949" s="5" t="str">
        <f t="shared" si="46"/>
        <v>nettotobak.com</v>
      </c>
      <c r="G2949" s="5" t="s">
        <v>4</v>
      </c>
      <c r="H2949" s="5" t="s">
        <v>5</v>
      </c>
      <c r="I2949" s="6">
        <v>45719</v>
      </c>
    </row>
    <row r="2950" spans="1:9" ht="13.5">
      <c r="A2950" s="7" t="s">
        <v>3419</v>
      </c>
      <c r="B2950" s="3"/>
      <c r="C2950" s="5" t="s">
        <v>5277</v>
      </c>
      <c r="D2950" s="5" t="s">
        <v>4961</v>
      </c>
      <c r="E2950" s="5" t="s">
        <v>5278</v>
      </c>
      <c r="F2950" s="5" t="str">
        <f t="shared" si="46"/>
        <v>zmarta</v>
      </c>
      <c r="G2950" s="5" t="s">
        <v>4</v>
      </c>
      <c r="H2950" s="5" t="s">
        <v>5</v>
      </c>
      <c r="I2950" s="6">
        <v>45719</v>
      </c>
    </row>
    <row r="2951" spans="1:9" ht="13.5">
      <c r="A2951" s="7" t="s">
        <v>3419</v>
      </c>
      <c r="B2951" s="3"/>
      <c r="C2951" s="5" t="s">
        <v>5279</v>
      </c>
      <c r="D2951" s="5" t="s">
        <v>5280</v>
      </c>
      <c r="E2951" s="5" t="s">
        <v>5281</v>
      </c>
      <c r="F2951" s="5" t="str">
        <f t="shared" si="46"/>
        <v>zmarta</v>
      </c>
      <c r="G2951" s="5" t="s">
        <v>4</v>
      </c>
      <c r="H2951" s="5" t="s">
        <v>5</v>
      </c>
      <c r="I2951" s="6">
        <v>45719</v>
      </c>
    </row>
    <row r="2952" spans="1:9" ht="13.5">
      <c r="A2952" s="7" t="s">
        <v>3419</v>
      </c>
      <c r="B2952" s="3"/>
      <c r="C2952" s="5" t="s">
        <v>5282</v>
      </c>
      <c r="D2952" s="5" t="s">
        <v>3843</v>
      </c>
      <c r="E2952" s="5" t="s">
        <v>5283</v>
      </c>
      <c r="F2952" s="5" t="str">
        <f t="shared" si="46"/>
        <v>zmarta</v>
      </c>
      <c r="G2952" s="5" t="s">
        <v>2360</v>
      </c>
      <c r="H2952" s="5" t="s">
        <v>5</v>
      </c>
      <c r="I2952" s="6">
        <v>45719</v>
      </c>
    </row>
    <row r="2953" spans="1:9" ht="13.5">
      <c r="A2953" s="7" t="s">
        <v>224</v>
      </c>
      <c r="B2953" s="3"/>
      <c r="C2953" s="4" t="s">
        <v>5284</v>
      </c>
      <c r="D2953" s="4" t="s">
        <v>337</v>
      </c>
      <c r="E2953" s="5" t="s">
        <v>338</v>
      </c>
      <c r="F2953" s="5" t="str">
        <f t="shared" si="46"/>
        <v>swedoffice</v>
      </c>
      <c r="G2953" s="5" t="s">
        <v>4</v>
      </c>
      <c r="H2953" s="5" t="s">
        <v>5</v>
      </c>
      <c r="I2953" s="6">
        <v>45720</v>
      </c>
    </row>
    <row r="2954" spans="1:9" ht="13.5">
      <c r="A2954" s="2" t="s">
        <v>4373</v>
      </c>
      <c r="B2954" s="3"/>
      <c r="C2954" s="4" t="s">
        <v>5285</v>
      </c>
      <c r="D2954" s="4" t="s">
        <v>5286</v>
      </c>
      <c r="E2954" s="5" t="s">
        <v>4902</v>
      </c>
      <c r="F2954" s="5" t="str">
        <f t="shared" si="46"/>
        <v>vardagsfrid.se</v>
      </c>
      <c r="G2954" s="5" t="s">
        <v>4</v>
      </c>
      <c r="H2954" s="5" t="s">
        <v>5</v>
      </c>
      <c r="I2954" s="6">
        <v>45720</v>
      </c>
    </row>
    <row r="2955" spans="1:9" ht="13.5">
      <c r="A2955" s="2" t="s">
        <v>4771</v>
      </c>
      <c r="B2955" s="3"/>
      <c r="C2955" s="4" t="s">
        <v>5287</v>
      </c>
      <c r="D2955" s="4" t="s">
        <v>5288</v>
      </c>
      <c r="E2955" s="9" t="s">
        <v>5288</v>
      </c>
      <c r="F2955" s="5" t="str">
        <f t="shared" si="46"/>
        <v>dryft.se</v>
      </c>
      <c r="G2955" s="5" t="s">
        <v>4</v>
      </c>
      <c r="H2955" s="5" t="s">
        <v>5</v>
      </c>
      <c r="I2955" s="6">
        <v>45721</v>
      </c>
    </row>
    <row r="2956" spans="1:9" ht="13.5">
      <c r="A2956" s="2" t="s">
        <v>1318</v>
      </c>
      <c r="B2956" s="3"/>
      <c r="C2956" s="4" t="s">
        <v>5289</v>
      </c>
      <c r="D2956" s="4" t="s">
        <v>1320</v>
      </c>
      <c r="E2956" s="5" t="s">
        <v>2016</v>
      </c>
      <c r="F2956" s="5" t="str">
        <f t="shared" si="46"/>
        <v>spelklubben.se</v>
      </c>
      <c r="G2956" s="5" t="s">
        <v>4</v>
      </c>
      <c r="H2956" s="5" t="s">
        <v>5</v>
      </c>
      <c r="I2956" s="6">
        <v>45723</v>
      </c>
    </row>
    <row r="2957" spans="1:9" ht="13.5">
      <c r="A2957" s="2" t="s">
        <v>2836</v>
      </c>
      <c r="B2957" s="3"/>
      <c r="C2957" s="4" t="s">
        <v>5289</v>
      </c>
      <c r="D2957" s="4" t="s">
        <v>2967</v>
      </c>
      <c r="E2957" s="5" t="s">
        <v>3618</v>
      </c>
      <c r="F2957" s="5" t="str">
        <f t="shared" si="46"/>
        <v>cherry.com</v>
      </c>
      <c r="G2957" s="5" t="s">
        <v>4</v>
      </c>
      <c r="H2957" s="5" t="s">
        <v>5</v>
      </c>
      <c r="I2957" s="6">
        <v>45723</v>
      </c>
    </row>
    <row r="2958" spans="1:9" ht="13.5">
      <c r="A2958" s="2" t="s">
        <v>1318</v>
      </c>
      <c r="B2958" s="3"/>
      <c r="C2958" s="4" t="s">
        <v>5290</v>
      </c>
      <c r="D2958" s="4" t="s">
        <v>1320</v>
      </c>
      <c r="E2958" s="5" t="s">
        <v>5291</v>
      </c>
      <c r="F2958" s="5" t="str">
        <f t="shared" si="46"/>
        <v>spelklubben.se</v>
      </c>
      <c r="G2958" s="5" t="s">
        <v>4</v>
      </c>
      <c r="H2958" s="5" t="s">
        <v>5</v>
      </c>
      <c r="I2958" s="6">
        <v>45726</v>
      </c>
    </row>
    <row r="2959" spans="1:9" ht="13.5">
      <c r="A2959" s="2" t="s">
        <v>1318</v>
      </c>
      <c r="B2959" s="3"/>
      <c r="C2959" s="4" t="s">
        <v>5292</v>
      </c>
      <c r="D2959" s="4" t="s">
        <v>1942</v>
      </c>
      <c r="E2959" s="5" t="s">
        <v>5293</v>
      </c>
      <c r="F2959" s="5" t="str">
        <f t="shared" si="46"/>
        <v>spelklubben.se</v>
      </c>
      <c r="G2959" s="5" t="s">
        <v>4</v>
      </c>
      <c r="H2959" s="5" t="s">
        <v>5</v>
      </c>
      <c r="I2959" s="6">
        <v>45727</v>
      </c>
    </row>
    <row r="2960" spans="1:9" ht="13.5">
      <c r="A2960" s="2" t="s">
        <v>4433</v>
      </c>
      <c r="B2960" s="3"/>
      <c r="C2960" s="4" t="s">
        <v>5294</v>
      </c>
      <c r="D2960" s="4" t="s">
        <v>4974</v>
      </c>
      <c r="E2960" s="5" t="s">
        <v>4470</v>
      </c>
      <c r="F2960" s="5" t="str">
        <f t="shared" si="46"/>
        <v>svenskiptv.com</v>
      </c>
      <c r="G2960" s="5" t="s">
        <v>4</v>
      </c>
      <c r="H2960" s="5" t="s">
        <v>5</v>
      </c>
      <c r="I2960" s="6">
        <v>45727</v>
      </c>
    </row>
    <row r="2961" spans="1:9" ht="13.5">
      <c r="A2961" s="7" t="s">
        <v>4108</v>
      </c>
      <c r="B2961" s="3"/>
      <c r="C2961" s="4" t="s">
        <v>5295</v>
      </c>
      <c r="D2961" s="4" t="s">
        <v>4110</v>
      </c>
      <c r="E2961" s="5" t="s">
        <v>4111</v>
      </c>
      <c r="F2961" s="5" t="str">
        <f t="shared" si="46"/>
        <v>racha-organics</v>
      </c>
      <c r="G2961" s="5" t="s">
        <v>4</v>
      </c>
      <c r="H2961" s="5" t="s">
        <v>345</v>
      </c>
      <c r="I2961" s="6">
        <v>45729</v>
      </c>
    </row>
    <row r="2962" spans="1:9" ht="13.5">
      <c r="A2962" s="2" t="s">
        <v>1318</v>
      </c>
      <c r="B2962" s="3"/>
      <c r="C2962" s="4" t="s">
        <v>5296</v>
      </c>
      <c r="D2962" s="4" t="s">
        <v>1320</v>
      </c>
      <c r="E2962" s="5" t="s">
        <v>2016</v>
      </c>
      <c r="F2962" s="5" t="str">
        <f t="shared" si="46"/>
        <v>spelklubben.se</v>
      </c>
      <c r="G2962" s="5" t="s">
        <v>4</v>
      </c>
      <c r="H2962" s="5" t="s">
        <v>5</v>
      </c>
      <c r="I2962" s="6">
        <v>45730</v>
      </c>
    </row>
    <row r="2963" spans="1:9" ht="13.5">
      <c r="A2963" s="2" t="s">
        <v>3743</v>
      </c>
      <c r="B2963" s="3"/>
      <c r="C2963" s="9" t="s">
        <v>5297</v>
      </c>
      <c r="D2963" s="4" t="s">
        <v>4383</v>
      </c>
      <c r="E2963" s="5" t="s">
        <v>4384</v>
      </c>
      <c r="F2963" s="5" t="str">
        <f t="shared" si="46"/>
        <v>acnespecialisten.se</v>
      </c>
      <c r="G2963" s="5" t="s">
        <v>4</v>
      </c>
      <c r="H2963" s="5" t="s">
        <v>5</v>
      </c>
      <c r="I2963" s="6">
        <v>45730</v>
      </c>
    </row>
    <row r="2964" spans="1:9" ht="13.5">
      <c r="A2964" s="2" t="s">
        <v>4135</v>
      </c>
      <c r="B2964" s="3"/>
      <c r="C2964" s="9" t="s">
        <v>5298</v>
      </c>
      <c r="D2964" s="4" t="s">
        <v>4368</v>
      </c>
      <c r="E2964" s="5" t="s">
        <v>4369</v>
      </c>
      <c r="F2964" s="5" t="str">
        <f t="shared" si="46"/>
        <v>aerius.se</v>
      </c>
      <c r="G2964" s="5" t="s">
        <v>4</v>
      </c>
      <c r="H2964" s="5" t="s">
        <v>5</v>
      </c>
      <c r="I2964" s="6">
        <v>45730</v>
      </c>
    </row>
    <row r="2965" spans="1:9" ht="13.5">
      <c r="A2965" s="2" t="s">
        <v>171</v>
      </c>
      <c r="B2965" s="3"/>
      <c r="C2965" s="9" t="s">
        <v>5299</v>
      </c>
      <c r="D2965" s="4" t="s">
        <v>1095</v>
      </c>
      <c r="E2965" s="5" t="s">
        <v>1533</v>
      </c>
      <c r="F2965" s="5" t="str">
        <f t="shared" si="46"/>
        <v>arctic.se</v>
      </c>
      <c r="G2965" s="5" t="s">
        <v>4</v>
      </c>
      <c r="H2965" s="5" t="s">
        <v>5</v>
      </c>
      <c r="I2965" s="6">
        <v>45730</v>
      </c>
    </row>
    <row r="2966" spans="1:9" ht="13.5">
      <c r="A2966" s="2" t="s">
        <v>171</v>
      </c>
      <c r="B2966" s="3"/>
      <c r="C2966" s="9" t="s">
        <v>5300</v>
      </c>
      <c r="D2966" s="4" t="s">
        <v>1095</v>
      </c>
      <c r="E2966" s="5" t="s">
        <v>2856</v>
      </c>
      <c r="F2966" s="5" t="str">
        <f t="shared" si="46"/>
        <v>arctic.se</v>
      </c>
      <c r="G2966" s="5" t="s">
        <v>4</v>
      </c>
      <c r="H2966" s="5" t="s">
        <v>5</v>
      </c>
      <c r="I2966" s="6">
        <v>45730</v>
      </c>
    </row>
    <row r="2967" spans="1:9" ht="13.5">
      <c r="A2967" s="2" t="s">
        <v>4458</v>
      </c>
      <c r="B2967" s="3"/>
      <c r="C2967" s="9" t="s">
        <v>5301</v>
      </c>
      <c r="D2967" s="4" t="s">
        <v>4460</v>
      </c>
      <c r="E2967" s="5" t="s">
        <v>2234</v>
      </c>
      <c r="F2967" s="5" t="str">
        <f t="shared" si="46"/>
        <v>cdbilvardsprodukter.se</v>
      </c>
      <c r="G2967" s="5" t="s">
        <v>4</v>
      </c>
      <c r="H2967" s="5" t="s">
        <v>5</v>
      </c>
      <c r="I2967" s="6">
        <v>45730</v>
      </c>
    </row>
    <row r="2968" spans="1:9" ht="13.5">
      <c r="A2968" s="2" t="s">
        <v>4458</v>
      </c>
      <c r="B2968" s="3"/>
      <c r="C2968" s="9" t="s">
        <v>5302</v>
      </c>
      <c r="D2968" s="4" t="s">
        <v>4460</v>
      </c>
      <c r="E2968" s="5" t="s">
        <v>2234</v>
      </c>
      <c r="F2968" s="5" t="str">
        <f t="shared" si="46"/>
        <v>cdbilvardsprodukter.se</v>
      </c>
      <c r="G2968" s="5" t="s">
        <v>4</v>
      </c>
      <c r="H2968" s="5" t="s">
        <v>5</v>
      </c>
      <c r="I2968" s="6">
        <v>45730</v>
      </c>
    </row>
    <row r="2969" spans="1:9" ht="13.5">
      <c r="A2969" s="2" t="s">
        <v>3173</v>
      </c>
      <c r="B2969" s="3"/>
      <c r="C2969" s="9" t="s">
        <v>5303</v>
      </c>
      <c r="D2969" s="4" t="s">
        <v>3175</v>
      </c>
      <c r="E2969" s="5" t="s">
        <v>3217</v>
      </c>
      <c r="F2969" s="5" t="str">
        <f t="shared" si="46"/>
        <v>ekstromgaray.se</v>
      </c>
      <c r="G2969" s="5" t="s">
        <v>4</v>
      </c>
      <c r="H2969" s="5" t="s">
        <v>5</v>
      </c>
      <c r="I2969" s="6">
        <v>45730</v>
      </c>
    </row>
    <row r="2970" spans="1:9" ht="13.5">
      <c r="A2970" s="2" t="s">
        <v>435</v>
      </c>
      <c r="B2970" s="3"/>
      <c r="C2970" s="9" t="s">
        <v>5304</v>
      </c>
      <c r="D2970" s="4" t="s">
        <v>435</v>
      </c>
      <c r="E2970" s="5" t="s">
        <v>839</v>
      </c>
      <c r="F2970" s="5" t="str">
        <f t="shared" si="46"/>
        <v>fairinvestments.se</v>
      </c>
      <c r="G2970" s="5" t="s">
        <v>4</v>
      </c>
      <c r="H2970" s="5" t="s">
        <v>5</v>
      </c>
      <c r="I2970" s="6">
        <v>45730</v>
      </c>
    </row>
    <row r="2971" spans="1:9" ht="13.5">
      <c r="A2971" s="2" t="s">
        <v>435</v>
      </c>
      <c r="B2971" s="3"/>
      <c r="C2971" s="9" t="s">
        <v>5305</v>
      </c>
      <c r="D2971" s="4" t="s">
        <v>435</v>
      </c>
      <c r="E2971" s="5" t="s">
        <v>839</v>
      </c>
      <c r="F2971" s="5" t="str">
        <f t="shared" si="46"/>
        <v>fairinvestments.se</v>
      </c>
      <c r="G2971" s="5" t="s">
        <v>4</v>
      </c>
      <c r="H2971" s="5" t="s">
        <v>5</v>
      </c>
      <c r="I2971" s="6">
        <v>45730</v>
      </c>
    </row>
    <row r="2972" spans="1:9" ht="13.5">
      <c r="A2972" s="2" t="s">
        <v>435</v>
      </c>
      <c r="B2972" s="3"/>
      <c r="C2972" s="9" t="s">
        <v>5306</v>
      </c>
      <c r="D2972" s="4" t="s">
        <v>435</v>
      </c>
      <c r="E2972" s="5" t="s">
        <v>839</v>
      </c>
      <c r="F2972" s="5" t="str">
        <f t="shared" si="46"/>
        <v>fairinvestments.se</v>
      </c>
      <c r="G2972" s="5" t="s">
        <v>4</v>
      </c>
      <c r="H2972" s="5" t="s">
        <v>5</v>
      </c>
      <c r="I2972" s="6">
        <v>45730</v>
      </c>
    </row>
    <row r="2973" spans="1:9" ht="13.5">
      <c r="A2973" s="2" t="s">
        <v>435</v>
      </c>
      <c r="B2973" s="3"/>
      <c r="C2973" s="9" t="s">
        <v>5307</v>
      </c>
      <c r="D2973" s="4" t="s">
        <v>435</v>
      </c>
      <c r="E2973" s="5" t="s">
        <v>839</v>
      </c>
      <c r="F2973" s="5" t="str">
        <f t="shared" si="46"/>
        <v>fairinvestments.se</v>
      </c>
      <c r="G2973" s="5" t="s">
        <v>4</v>
      </c>
      <c r="H2973" s="5" t="s">
        <v>5</v>
      </c>
      <c r="I2973" s="6">
        <v>45730</v>
      </c>
    </row>
    <row r="2974" spans="1:9" ht="13.5">
      <c r="A2974" s="2" t="s">
        <v>308</v>
      </c>
      <c r="B2974" s="3"/>
      <c r="C2974" s="9" t="s">
        <v>5308</v>
      </c>
      <c r="D2974" s="4" t="s">
        <v>1395</v>
      </c>
      <c r="E2974" s="5" t="s">
        <v>2489</v>
      </c>
      <c r="F2974" s="5" t="str">
        <f t="shared" si="46"/>
        <v>lansfast.se</v>
      </c>
      <c r="G2974" s="5" t="s">
        <v>4</v>
      </c>
      <c r="H2974" s="5" t="s">
        <v>5</v>
      </c>
      <c r="I2974" s="6">
        <v>45730</v>
      </c>
    </row>
    <row r="2975" spans="1:9" ht="13.5">
      <c r="A2975" s="2" t="s">
        <v>308</v>
      </c>
      <c r="B2975" s="3"/>
      <c r="C2975" s="9" t="s">
        <v>5309</v>
      </c>
      <c r="D2975" s="4" t="s">
        <v>1395</v>
      </c>
      <c r="E2975" s="5" t="s">
        <v>2489</v>
      </c>
      <c r="F2975" s="5" t="str">
        <f t="shared" si="46"/>
        <v>lansfast.se</v>
      </c>
      <c r="G2975" s="5" t="s">
        <v>4</v>
      </c>
      <c r="H2975" s="5" t="s">
        <v>5</v>
      </c>
      <c r="I2975" s="6">
        <v>45730</v>
      </c>
    </row>
    <row r="2976" spans="1:9" ht="13.5">
      <c r="A2976" s="2" t="s">
        <v>4051</v>
      </c>
      <c r="B2976" s="3"/>
      <c r="C2976" s="9" t="s">
        <v>5310</v>
      </c>
      <c r="D2976" s="4" t="s">
        <v>4051</v>
      </c>
      <c r="E2976" s="9" t="s">
        <v>4051</v>
      </c>
      <c r="F2976" s="5" t="str">
        <f t="shared" si="46"/>
        <v>hund.se</v>
      </c>
      <c r="G2976" s="5" t="s">
        <v>4</v>
      </c>
      <c r="H2976" s="5" t="s">
        <v>5</v>
      </c>
      <c r="I2976" s="6">
        <v>45730</v>
      </c>
    </row>
    <row r="2977" spans="1:9" ht="13.5">
      <c r="A2977" s="2" t="s">
        <v>3580</v>
      </c>
      <c r="B2977" s="3"/>
      <c r="C2977" s="9" t="s">
        <v>5311</v>
      </c>
      <c r="D2977" s="4" t="s">
        <v>5312</v>
      </c>
      <c r="E2977" s="5" t="s">
        <v>5313</v>
      </c>
      <c r="F2977" s="5" t="str">
        <f t="shared" si="46"/>
        <v>kleer.se</v>
      </c>
      <c r="G2977" s="5" t="s">
        <v>4</v>
      </c>
      <c r="H2977" s="5" t="s">
        <v>5</v>
      </c>
      <c r="I2977" s="6">
        <v>45730</v>
      </c>
    </row>
    <row r="2978" spans="1:9" ht="13.5">
      <c r="A2978" s="2" t="s">
        <v>2549</v>
      </c>
      <c r="B2978" s="3"/>
      <c r="C2978" s="9" t="s">
        <v>5314</v>
      </c>
      <c r="D2978" s="4" t="s">
        <v>3204</v>
      </c>
      <c r="E2978" s="5" t="s">
        <v>3205</v>
      </c>
      <c r="F2978" s="5" t="str">
        <f t="shared" si="46"/>
        <v>purakliniken.se</v>
      </c>
      <c r="G2978" s="5" t="s">
        <v>4</v>
      </c>
      <c r="H2978" s="5" t="s">
        <v>5</v>
      </c>
      <c r="I2978" s="6">
        <v>45730</v>
      </c>
    </row>
    <row r="2979" spans="1:9" ht="13.5">
      <c r="A2979" s="2" t="s">
        <v>3058</v>
      </c>
      <c r="B2979" s="3"/>
      <c r="C2979" s="9" t="s">
        <v>5315</v>
      </c>
      <c r="D2979" s="4" t="s">
        <v>3063</v>
      </c>
      <c r="E2979" s="5" t="s">
        <v>3064</v>
      </c>
      <c r="F2979" s="5" t="str">
        <f t="shared" si="46"/>
        <v>rusta.se</v>
      </c>
      <c r="G2979" s="5" t="s">
        <v>4</v>
      </c>
      <c r="H2979" s="5" t="s">
        <v>5</v>
      </c>
      <c r="I2979" s="6">
        <v>45730</v>
      </c>
    </row>
    <row r="2980" spans="1:9" ht="13.5">
      <c r="A2980" s="2" t="s">
        <v>3058</v>
      </c>
      <c r="B2980" s="3"/>
      <c r="C2980" s="9" t="s">
        <v>5316</v>
      </c>
      <c r="D2980" s="4" t="s">
        <v>3060</v>
      </c>
      <c r="E2980" s="5" t="s">
        <v>3061</v>
      </c>
      <c r="F2980" s="5" t="str">
        <f t="shared" si="46"/>
        <v>rusta.se</v>
      </c>
      <c r="G2980" s="5" t="s">
        <v>4</v>
      </c>
      <c r="H2980" s="5" t="s">
        <v>5</v>
      </c>
      <c r="I2980" s="6">
        <v>45730</v>
      </c>
    </row>
    <row r="2981" spans="1:9" ht="13.5">
      <c r="A2981" s="2" t="s">
        <v>3058</v>
      </c>
      <c r="B2981" s="3"/>
      <c r="C2981" s="9" t="s">
        <v>5317</v>
      </c>
      <c r="D2981" s="4" t="s">
        <v>5034</v>
      </c>
      <c r="E2981" s="5" t="s">
        <v>14</v>
      </c>
      <c r="F2981" s="5" t="str">
        <f t="shared" si="46"/>
        <v>rusta.se</v>
      </c>
      <c r="G2981" s="5" t="s">
        <v>4</v>
      </c>
      <c r="H2981" s="5" t="s">
        <v>5</v>
      </c>
      <c r="I2981" s="6">
        <v>45730</v>
      </c>
    </row>
    <row r="2982" spans="1:9" ht="13.5">
      <c r="A2982" s="2" t="s">
        <v>2127</v>
      </c>
      <c r="B2982" s="3"/>
      <c r="C2982" s="9" t="s">
        <v>5318</v>
      </c>
      <c r="D2982" s="4" t="s">
        <v>5319</v>
      </c>
      <c r="E2982" s="5" t="s">
        <v>4999</v>
      </c>
      <c r="F2982" s="5" t="str">
        <f t="shared" si="46"/>
        <v>startmotor.se</v>
      </c>
      <c r="G2982" s="5" t="s">
        <v>4</v>
      </c>
      <c r="H2982" s="5" t="s">
        <v>5</v>
      </c>
      <c r="I2982" s="6">
        <v>45730</v>
      </c>
    </row>
    <row r="2983" spans="1:9" ht="13.5">
      <c r="A2983" s="2" t="s">
        <v>2127</v>
      </c>
      <c r="B2983" s="3"/>
      <c r="C2983" s="22" t="s">
        <v>5320</v>
      </c>
      <c r="D2983" s="4" t="s">
        <v>5321</v>
      </c>
      <c r="E2983" s="5" t="s">
        <v>5322</v>
      </c>
      <c r="F2983" s="5" t="str">
        <f t="shared" si="46"/>
        <v>startmotor.se</v>
      </c>
      <c r="G2983" s="5" t="s">
        <v>4</v>
      </c>
      <c r="H2983" s="5" t="s">
        <v>5</v>
      </c>
      <c r="I2983" s="6">
        <v>45730</v>
      </c>
    </row>
    <row r="2984" spans="1:9" ht="13.5">
      <c r="A2984" s="7" t="s">
        <v>3747</v>
      </c>
      <c r="B2984" s="3"/>
      <c r="C2984" s="9" t="s">
        <v>5323</v>
      </c>
      <c r="D2984" s="4" t="s">
        <v>3749</v>
      </c>
      <c r="E2984" s="5" t="s">
        <v>3750</v>
      </c>
      <c r="F2984" s="5" t="str">
        <f t="shared" si="46"/>
        <v>supernormal.health</v>
      </c>
      <c r="G2984" s="5" t="s">
        <v>4</v>
      </c>
      <c r="H2984" s="5" t="s">
        <v>5</v>
      </c>
      <c r="I2984" s="6">
        <v>45730</v>
      </c>
    </row>
    <row r="2985" spans="1:9" ht="13.5">
      <c r="A2985" s="2" t="s">
        <v>3824</v>
      </c>
      <c r="B2985" s="3"/>
      <c r="C2985" s="9" t="s">
        <v>5324</v>
      </c>
      <c r="D2985" s="4" t="s">
        <v>4358</v>
      </c>
      <c r="E2985" s="5" t="s">
        <v>5325</v>
      </c>
      <c r="F2985" s="5" t="str">
        <f t="shared" si="46"/>
        <v>swedenlongstay.se</v>
      </c>
      <c r="G2985" s="5" t="s">
        <v>4</v>
      </c>
      <c r="H2985" s="5" t="s">
        <v>5</v>
      </c>
      <c r="I2985" s="6">
        <v>45730</v>
      </c>
    </row>
    <row r="2986" spans="1:9" ht="13.5">
      <c r="A2986" s="2" t="s">
        <v>3824</v>
      </c>
      <c r="B2986" s="3"/>
      <c r="C2986" s="9" t="s">
        <v>5326</v>
      </c>
      <c r="D2986" s="4" t="s">
        <v>5327</v>
      </c>
      <c r="E2986" s="5" t="s">
        <v>5328</v>
      </c>
      <c r="F2986" s="5" t="str">
        <f t="shared" si="46"/>
        <v>swedenlongstay.se</v>
      </c>
      <c r="G2986" s="5" t="s">
        <v>4</v>
      </c>
      <c r="H2986" s="5" t="s">
        <v>5</v>
      </c>
      <c r="I2986" s="6">
        <v>45730</v>
      </c>
    </row>
    <row r="2987" spans="1:9" ht="13.5">
      <c r="A2987" s="7" t="s">
        <v>224</v>
      </c>
      <c r="B2987" s="3"/>
      <c r="C2987" s="9" t="s">
        <v>5329</v>
      </c>
      <c r="D2987" s="4" t="s">
        <v>461</v>
      </c>
      <c r="E2987" s="5" t="s">
        <v>1117</v>
      </c>
      <c r="F2987" s="5" t="str">
        <f t="shared" si="46"/>
        <v>swedoffice</v>
      </c>
      <c r="G2987" s="5" t="s">
        <v>4</v>
      </c>
      <c r="H2987" s="5" t="s">
        <v>5</v>
      </c>
      <c r="I2987" s="6">
        <v>45730</v>
      </c>
    </row>
    <row r="2988" spans="1:9" ht="13.5">
      <c r="A2988" s="2" t="s">
        <v>2428</v>
      </c>
      <c r="B2988" s="3"/>
      <c r="C2988" s="9" t="s">
        <v>5330</v>
      </c>
      <c r="D2988" s="4" t="s">
        <v>5081</v>
      </c>
      <c r="E2988" s="5" t="s">
        <v>5331</v>
      </c>
      <c r="F2988" s="5" t="str">
        <f t="shared" si="46"/>
        <v>sakraror.se</v>
      </c>
      <c r="G2988" s="5" t="s">
        <v>4</v>
      </c>
      <c r="H2988" s="5" t="s">
        <v>5</v>
      </c>
      <c r="I2988" s="6">
        <v>45730</v>
      </c>
    </row>
    <row r="2989" spans="1:9" ht="13.5">
      <c r="A2989" s="2" t="s">
        <v>325</v>
      </c>
      <c r="B2989" s="3"/>
      <c r="C2989" s="9" t="s">
        <v>5332</v>
      </c>
      <c r="D2989" s="4" t="s">
        <v>1244</v>
      </c>
      <c r="E2989" s="5" t="s">
        <v>463</v>
      </c>
      <c r="F2989" s="5" t="str">
        <f t="shared" si="46"/>
        <v>tiotak.se</v>
      </c>
      <c r="G2989" s="5" t="s">
        <v>4</v>
      </c>
      <c r="H2989" s="5" t="s">
        <v>5</v>
      </c>
      <c r="I2989" s="6">
        <v>45730</v>
      </c>
    </row>
    <row r="2990" spans="1:9" ht="13.5">
      <c r="A2990" s="2" t="s">
        <v>325</v>
      </c>
      <c r="B2990" s="3"/>
      <c r="C2990" s="9" t="s">
        <v>5333</v>
      </c>
      <c r="D2990" s="4" t="s">
        <v>873</v>
      </c>
      <c r="E2990" s="5" t="s">
        <v>2922</v>
      </c>
      <c r="F2990" s="5" t="str">
        <f t="shared" si="46"/>
        <v>tiotak.se</v>
      </c>
      <c r="G2990" s="5" t="s">
        <v>4</v>
      </c>
      <c r="H2990" s="5" t="s">
        <v>5</v>
      </c>
      <c r="I2990" s="6">
        <v>45730</v>
      </c>
    </row>
    <row r="2991" spans="1:9" ht="13.5">
      <c r="A2991" s="2" t="s">
        <v>4553</v>
      </c>
      <c r="B2991" s="3"/>
      <c r="C2991" s="9" t="s">
        <v>5334</v>
      </c>
      <c r="D2991" s="4" t="s">
        <v>4553</v>
      </c>
      <c r="E2991" s="5" t="s">
        <v>5335</v>
      </c>
      <c r="F2991" s="5" t="str">
        <f t="shared" si="46"/>
        <v>tkw.se</v>
      </c>
      <c r="G2991" s="5" t="s">
        <v>4</v>
      </c>
      <c r="H2991" s="5" t="s">
        <v>5</v>
      </c>
      <c r="I2991" s="6">
        <v>45730</v>
      </c>
    </row>
    <row r="2992" spans="1:9" ht="13.5">
      <c r="A2992" s="2" t="s">
        <v>4553</v>
      </c>
      <c r="B2992" s="3"/>
      <c r="C2992" s="9" t="s">
        <v>5336</v>
      </c>
      <c r="D2992" s="4" t="s">
        <v>4553</v>
      </c>
      <c r="E2992" s="5" t="s">
        <v>5335</v>
      </c>
      <c r="F2992" s="5" t="str">
        <f t="shared" si="46"/>
        <v>tkw.se</v>
      </c>
      <c r="G2992" s="5" t="s">
        <v>4</v>
      </c>
      <c r="H2992" s="5" t="s">
        <v>5</v>
      </c>
      <c r="I2992" s="6">
        <v>45730</v>
      </c>
    </row>
    <row r="2993" spans="1:9" ht="13.5">
      <c r="A2993" s="2" t="s">
        <v>535</v>
      </c>
      <c r="B2993" s="3"/>
      <c r="C2993" s="9" t="s">
        <v>5337</v>
      </c>
      <c r="D2993" s="4" t="s">
        <v>2806</v>
      </c>
      <c r="E2993" s="5" t="s">
        <v>2807</v>
      </c>
      <c r="F2993" s="5" t="str">
        <f t="shared" si="46"/>
        <v>tryggbil.se</v>
      </c>
      <c r="G2993" s="5" t="s">
        <v>4</v>
      </c>
      <c r="H2993" s="5" t="s">
        <v>5</v>
      </c>
      <c r="I2993" s="6">
        <v>45730</v>
      </c>
    </row>
    <row r="2994" spans="1:9" ht="13.5">
      <c r="A2994" s="7"/>
      <c r="B2994" s="3"/>
      <c r="C2994" s="9" t="s">
        <v>5338</v>
      </c>
      <c r="D2994" s="4" t="s">
        <v>4057</v>
      </c>
      <c r="E2994" s="5" t="s">
        <v>4363</v>
      </c>
      <c r="F2994" s="5">
        <f t="shared" si="46"/>
        <v>0</v>
      </c>
      <c r="G2994" s="5" t="s">
        <v>4</v>
      </c>
      <c r="H2994" s="5" t="s">
        <v>5</v>
      </c>
      <c r="I2994" s="6">
        <v>45730</v>
      </c>
    </row>
    <row r="2995" spans="1:9" ht="13.5">
      <c r="A2995" s="7" t="s">
        <v>2281</v>
      </c>
      <c r="B2995" s="3"/>
      <c r="C2995" s="9" t="s">
        <v>5339</v>
      </c>
      <c r="D2995" s="4" t="s">
        <v>2283</v>
      </c>
      <c r="E2995" s="5" t="s">
        <v>963</v>
      </c>
      <c r="F2995" s="5" t="str">
        <f t="shared" si="46"/>
        <v>tandläkare.se</v>
      </c>
      <c r="G2995" s="5" t="s">
        <v>4</v>
      </c>
      <c r="H2995" s="5" t="s">
        <v>5</v>
      </c>
      <c r="I2995" s="6">
        <v>45730</v>
      </c>
    </row>
    <row r="2996" spans="1:9" ht="13.5">
      <c r="A2996" s="7" t="s">
        <v>2281</v>
      </c>
      <c r="B2996" s="3"/>
      <c r="C2996" s="9" t="s">
        <v>5340</v>
      </c>
      <c r="D2996" s="4" t="s">
        <v>5015</v>
      </c>
      <c r="E2996" s="5" t="s">
        <v>5016</v>
      </c>
      <c r="F2996" s="5" t="str">
        <f t="shared" si="46"/>
        <v>tandläkare.se</v>
      </c>
      <c r="G2996" s="5" t="s">
        <v>4</v>
      </c>
      <c r="H2996" s="5" t="s">
        <v>5</v>
      </c>
      <c r="I2996" s="6">
        <v>45730</v>
      </c>
    </row>
    <row r="2997" spans="1:9" ht="13.5">
      <c r="A2997" s="2" t="s">
        <v>5020</v>
      </c>
      <c r="B2997" s="3"/>
      <c r="C2997" s="9" t="s">
        <v>5341</v>
      </c>
      <c r="D2997" s="4" t="s">
        <v>5020</v>
      </c>
      <c r="E2997" s="5" t="s">
        <v>5022</v>
      </c>
      <c r="F2997" s="5" t="str">
        <f t="shared" si="46"/>
        <v>sesec.se</v>
      </c>
      <c r="G2997" s="5" t="s">
        <v>4</v>
      </c>
      <c r="H2997" s="5" t="s">
        <v>5</v>
      </c>
      <c r="I2997" s="6">
        <v>45730</v>
      </c>
    </row>
    <row r="2998" spans="1:9" ht="13.5">
      <c r="A2998" s="2" t="s">
        <v>3832</v>
      </c>
      <c r="B2998" s="3"/>
      <c r="C2998" s="9" t="s">
        <v>5342</v>
      </c>
      <c r="D2998" s="4" t="s">
        <v>3832</v>
      </c>
      <c r="E2998" s="5" t="s">
        <v>5024</v>
      </c>
      <c r="F2998" s="5" t="str">
        <f t="shared" si="46"/>
        <v>michaelofrisorerna.se</v>
      </c>
      <c r="G2998" s="5" t="s">
        <v>4</v>
      </c>
      <c r="H2998" s="5" t="s">
        <v>5</v>
      </c>
      <c r="I2998" s="6">
        <v>45730</v>
      </c>
    </row>
    <row r="2999" spans="1:9" ht="13.5">
      <c r="A2999" s="2" t="s">
        <v>5343</v>
      </c>
      <c r="B2999" s="3"/>
      <c r="C2999" s="9" t="s">
        <v>5344</v>
      </c>
      <c r="D2999" s="4" t="s">
        <v>5343</v>
      </c>
      <c r="E2999" s="5" t="s">
        <v>5345</v>
      </c>
      <c r="F2999" s="5" t="str">
        <f t="shared" si="46"/>
        <v>rbentreprenad.se</v>
      </c>
      <c r="G2999" s="5" t="s">
        <v>4</v>
      </c>
      <c r="H2999" s="5" t="s">
        <v>5</v>
      </c>
      <c r="I2999" s="6">
        <v>45730</v>
      </c>
    </row>
    <row r="3000" spans="1:9" ht="13.5">
      <c r="A3000" s="2" t="s">
        <v>5346</v>
      </c>
      <c r="B3000" s="3"/>
      <c r="C3000" s="9" t="s">
        <v>5347</v>
      </c>
      <c r="D3000" s="4" t="s">
        <v>5348</v>
      </c>
      <c r="E3000" s="5" t="s">
        <v>5349</v>
      </c>
      <c r="F3000" s="5" t="str">
        <f t="shared" si="46"/>
        <v>swefleet.se</v>
      </c>
      <c r="G3000" s="5" t="s">
        <v>4</v>
      </c>
      <c r="H3000" s="5" t="s">
        <v>5</v>
      </c>
      <c r="I3000" s="6">
        <v>45730</v>
      </c>
    </row>
    <row r="3001" spans="1:9" ht="13.5">
      <c r="A3001" s="2" t="s">
        <v>5350</v>
      </c>
      <c r="B3001" s="3"/>
      <c r="C3001" s="9" t="s">
        <v>5351</v>
      </c>
      <c r="D3001" s="4" t="s">
        <v>5352</v>
      </c>
      <c r="E3001" s="5" t="s">
        <v>5353</v>
      </c>
      <c r="F3001" s="5" t="str">
        <f t="shared" si="46"/>
        <v>lilla-varlden.se</v>
      </c>
      <c r="G3001" s="5" t="s">
        <v>4</v>
      </c>
      <c r="H3001" s="5" t="s">
        <v>5</v>
      </c>
      <c r="I3001" s="6">
        <v>45730</v>
      </c>
    </row>
    <row r="3002" spans="1:9" ht="13.5">
      <c r="A3002" s="2" t="s">
        <v>846</v>
      </c>
      <c r="B3002" s="3"/>
      <c r="C3002" s="9" t="s">
        <v>5354</v>
      </c>
      <c r="D3002" s="4" t="s">
        <v>5211</v>
      </c>
      <c r="E3002" s="5" t="s">
        <v>5355</v>
      </c>
      <c r="F3002" s="5" t="str">
        <f t="shared" si="46"/>
        <v>tandea.se</v>
      </c>
      <c r="G3002" s="5" t="s">
        <v>4</v>
      </c>
      <c r="H3002" s="5" t="s">
        <v>5</v>
      </c>
      <c r="I3002" s="6">
        <v>45730</v>
      </c>
    </row>
    <row r="3003" spans="1:9" ht="13.5">
      <c r="A3003" s="2" t="s">
        <v>3086</v>
      </c>
      <c r="B3003" s="3"/>
      <c r="C3003" s="4" t="s">
        <v>5356</v>
      </c>
      <c r="D3003" s="4" t="s">
        <v>3088</v>
      </c>
      <c r="E3003" s="5" t="s">
        <v>4616</v>
      </c>
      <c r="F3003" s="5" t="str">
        <f t="shared" si="46"/>
        <v>himala.ai</v>
      </c>
      <c r="G3003" s="5" t="s">
        <v>4</v>
      </c>
      <c r="H3003" s="5" t="s">
        <v>345</v>
      </c>
      <c r="I3003" s="6">
        <v>45730</v>
      </c>
    </row>
    <row r="3004" spans="1:9" ht="13.5">
      <c r="A3004" s="2" t="s">
        <v>3761</v>
      </c>
      <c r="B3004" s="3"/>
      <c r="C3004" s="5" t="s">
        <v>5357</v>
      </c>
      <c r="D3004" s="5" t="s">
        <v>3908</v>
      </c>
      <c r="E3004" s="5" t="s">
        <v>5358</v>
      </c>
      <c r="F3004" s="5" t="str">
        <f t="shared" si="46"/>
        <v>hajper.com</v>
      </c>
      <c r="G3004" s="5" t="s">
        <v>4</v>
      </c>
      <c r="H3004" s="5" t="s">
        <v>5</v>
      </c>
      <c r="I3004" s="6">
        <v>45730</v>
      </c>
    </row>
    <row r="3005" spans="1:9" ht="13.5">
      <c r="A3005" s="2" t="s">
        <v>4433</v>
      </c>
      <c r="B3005" s="3"/>
      <c r="C3005" s="4" t="s">
        <v>5359</v>
      </c>
      <c r="D3005" s="4" t="s">
        <v>4974</v>
      </c>
      <c r="E3005" s="5" t="s">
        <v>4703</v>
      </c>
      <c r="F3005" s="5" t="str">
        <f t="shared" si="46"/>
        <v>svenskiptv.com</v>
      </c>
      <c r="G3005" s="5" t="s">
        <v>4</v>
      </c>
      <c r="H3005" s="5" t="s">
        <v>5</v>
      </c>
      <c r="I3005" s="6">
        <v>45731</v>
      </c>
    </row>
    <row r="3006" spans="1:9" ht="13.5">
      <c r="A3006" s="2" t="s">
        <v>4433</v>
      </c>
      <c r="B3006" s="3"/>
      <c r="C3006" s="4" t="s">
        <v>5360</v>
      </c>
      <c r="D3006" s="4" t="s">
        <v>5099</v>
      </c>
      <c r="E3006" s="5" t="s">
        <v>4470</v>
      </c>
      <c r="F3006" s="5" t="str">
        <f t="shared" si="46"/>
        <v>svenskiptv.com</v>
      </c>
      <c r="G3006" s="5" t="s">
        <v>4</v>
      </c>
      <c r="H3006" s="5" t="s">
        <v>5</v>
      </c>
      <c r="I3006" s="6">
        <v>45732</v>
      </c>
    </row>
    <row r="3007" spans="1:9" ht="13.5">
      <c r="A3007" s="7" t="s">
        <v>5361</v>
      </c>
      <c r="B3007" s="3"/>
      <c r="C3007" s="4" t="s">
        <v>5362</v>
      </c>
      <c r="D3007" s="4" t="s">
        <v>5363</v>
      </c>
      <c r="E3007" s="9" t="s">
        <v>5364</v>
      </c>
      <c r="F3007" s="5" t="str">
        <f t="shared" si="46"/>
        <v>Leaptodigital</v>
      </c>
      <c r="G3007" s="5" t="s">
        <v>4</v>
      </c>
      <c r="H3007" s="5" t="s">
        <v>345</v>
      </c>
      <c r="I3007" s="6">
        <v>45733</v>
      </c>
    </row>
    <row r="3008" spans="1:9" ht="13.5">
      <c r="A3008" s="2" t="s">
        <v>3885</v>
      </c>
      <c r="B3008" s="3"/>
      <c r="C3008" s="4" t="s">
        <v>5365</v>
      </c>
      <c r="D3008" s="4" t="s">
        <v>3887</v>
      </c>
      <c r="E3008" s="5" t="s">
        <v>3888</v>
      </c>
      <c r="F3008" s="5" t="str">
        <f t="shared" si="46"/>
        <v>chattanoogarehab.com</v>
      </c>
      <c r="G3008" s="5" t="s">
        <v>4</v>
      </c>
      <c r="H3008" s="5" t="s">
        <v>345</v>
      </c>
      <c r="I3008" s="6">
        <v>45733</v>
      </c>
    </row>
    <row r="3009" spans="1:9" ht="13.5">
      <c r="A3009" s="2" t="s">
        <v>4433</v>
      </c>
      <c r="B3009" s="3"/>
      <c r="C3009" s="4" t="s">
        <v>5366</v>
      </c>
      <c r="D3009" s="4" t="s">
        <v>5367</v>
      </c>
      <c r="E3009" s="5" t="s">
        <v>4470</v>
      </c>
      <c r="F3009" s="5" t="str">
        <f t="shared" si="46"/>
        <v>svenskiptv.com</v>
      </c>
      <c r="G3009" s="5" t="s">
        <v>4</v>
      </c>
      <c r="H3009" s="5" t="s">
        <v>5</v>
      </c>
      <c r="I3009" s="6">
        <v>45733</v>
      </c>
    </row>
    <row r="3010" spans="1:9" ht="13.5">
      <c r="A3010" s="2" t="s">
        <v>5368</v>
      </c>
      <c r="B3010" s="3"/>
      <c r="C3010" s="4" t="s">
        <v>5369</v>
      </c>
      <c r="D3010" s="4" t="s">
        <v>5370</v>
      </c>
      <c r="E3010" s="9" t="s">
        <v>5368</v>
      </c>
      <c r="F3010" s="5" t="str">
        <f t="shared" si="46"/>
        <v>axofinans.se</v>
      </c>
      <c r="G3010" s="5" t="s">
        <v>4</v>
      </c>
      <c r="H3010" s="5" t="s">
        <v>5</v>
      </c>
      <c r="I3010" s="6">
        <v>45734</v>
      </c>
    </row>
    <row r="3011" spans="1:9" ht="13.5">
      <c r="A3011" s="2" t="s">
        <v>4433</v>
      </c>
      <c r="B3011" s="3"/>
      <c r="C3011" s="4" t="s">
        <v>5371</v>
      </c>
      <c r="D3011" s="4" t="s">
        <v>5372</v>
      </c>
      <c r="E3011" s="5" t="s">
        <v>5373</v>
      </c>
      <c r="F3011" s="5" t="str">
        <f t="shared" ref="F3011:F3074" si="47">A3011</f>
        <v>svenskiptv.com</v>
      </c>
      <c r="G3011" s="5" t="s">
        <v>4</v>
      </c>
      <c r="H3011" s="5" t="s">
        <v>5</v>
      </c>
      <c r="I3011" s="6">
        <v>45735</v>
      </c>
    </row>
    <row r="3012" spans="1:9" ht="13.5">
      <c r="A3012" s="2" t="s">
        <v>5374</v>
      </c>
      <c r="B3012" s="3"/>
      <c r="C3012" s="4" t="s">
        <v>5375</v>
      </c>
      <c r="D3012" s="4" t="s">
        <v>5376</v>
      </c>
      <c r="E3012" s="5" t="s">
        <v>5377</v>
      </c>
      <c r="F3012" s="5" t="str">
        <f t="shared" si="47"/>
        <v>willabgarden.de</v>
      </c>
      <c r="G3012" s="5" t="s">
        <v>4</v>
      </c>
      <c r="H3012" s="5" t="s">
        <v>2355</v>
      </c>
      <c r="I3012" s="6">
        <v>45736</v>
      </c>
    </row>
    <row r="3013" spans="1:9" ht="13.5">
      <c r="A3013" s="2" t="s">
        <v>5374</v>
      </c>
      <c r="B3013" s="3"/>
      <c r="C3013" s="4" t="s">
        <v>5378</v>
      </c>
      <c r="D3013" s="4" t="s">
        <v>5379</v>
      </c>
      <c r="E3013" s="5" t="s">
        <v>5380</v>
      </c>
      <c r="F3013" s="5" t="str">
        <f t="shared" si="47"/>
        <v>willabgarden.de</v>
      </c>
      <c r="G3013" s="5" t="s">
        <v>4</v>
      </c>
      <c r="H3013" s="5" t="s">
        <v>2355</v>
      </c>
      <c r="I3013" s="6">
        <v>45736</v>
      </c>
    </row>
    <row r="3014" spans="1:9" ht="13.5">
      <c r="A3014" s="2" t="s">
        <v>5368</v>
      </c>
      <c r="B3014" s="3"/>
      <c r="C3014" s="4" t="s">
        <v>5381</v>
      </c>
      <c r="D3014" s="4" t="s">
        <v>5382</v>
      </c>
      <c r="E3014" s="5" t="s">
        <v>5383</v>
      </c>
      <c r="F3014" s="5" t="str">
        <f t="shared" si="47"/>
        <v>axofinans.se</v>
      </c>
      <c r="G3014" s="5" t="s">
        <v>4</v>
      </c>
      <c r="H3014" s="5" t="s">
        <v>5</v>
      </c>
      <c r="I3014" s="6">
        <v>45736</v>
      </c>
    </row>
    <row r="3015" spans="1:9" ht="13.5">
      <c r="A3015" s="2" t="s">
        <v>4489</v>
      </c>
      <c r="B3015" s="3"/>
      <c r="C3015" s="4" t="s">
        <v>5384</v>
      </c>
      <c r="D3015" s="4" t="s">
        <v>4491</v>
      </c>
      <c r="E3015" s="5" t="s">
        <v>4724</v>
      </c>
      <c r="F3015" s="5" t="str">
        <f t="shared" si="47"/>
        <v>nordicknots.com</v>
      </c>
      <c r="G3015" s="5" t="s">
        <v>4</v>
      </c>
      <c r="H3015" s="5" t="s">
        <v>345</v>
      </c>
      <c r="I3015" s="6">
        <v>45736</v>
      </c>
    </row>
    <row r="3016" spans="1:9" ht="13.5">
      <c r="A3016" s="2" t="s">
        <v>4433</v>
      </c>
      <c r="B3016" s="3"/>
      <c r="C3016" s="4" t="s">
        <v>5385</v>
      </c>
      <c r="D3016" s="4" t="s">
        <v>5386</v>
      </c>
      <c r="E3016" s="5" t="s">
        <v>4470</v>
      </c>
      <c r="F3016" s="5" t="str">
        <f t="shared" si="47"/>
        <v>svenskiptv.com</v>
      </c>
      <c r="G3016" s="5" t="s">
        <v>4</v>
      </c>
      <c r="H3016" s="5" t="s">
        <v>5</v>
      </c>
      <c r="I3016" s="6">
        <v>45736</v>
      </c>
    </row>
    <row r="3017" spans="1:9" ht="13.5">
      <c r="A3017" s="2" t="s">
        <v>4433</v>
      </c>
      <c r="B3017" s="3"/>
      <c r="C3017" s="4" t="s">
        <v>5387</v>
      </c>
      <c r="D3017" s="4" t="s">
        <v>5367</v>
      </c>
      <c r="E3017" s="5" t="s">
        <v>4703</v>
      </c>
      <c r="F3017" s="5" t="str">
        <f t="shared" si="47"/>
        <v>svenskiptv.com</v>
      </c>
      <c r="G3017" s="5" t="s">
        <v>4</v>
      </c>
      <c r="H3017" s="5" t="s">
        <v>5</v>
      </c>
      <c r="I3017" s="6">
        <v>45736</v>
      </c>
    </row>
    <row r="3018" spans="1:9" ht="13.5">
      <c r="A3018" s="2" t="s">
        <v>1318</v>
      </c>
      <c r="B3018" s="3"/>
      <c r="C3018" s="4" t="s">
        <v>5388</v>
      </c>
      <c r="D3018" s="8" t="s">
        <v>1942</v>
      </c>
      <c r="E3018" s="5" t="s">
        <v>1876</v>
      </c>
      <c r="F3018" s="5" t="str">
        <f t="shared" si="47"/>
        <v>spelklubben.se</v>
      </c>
      <c r="G3018" s="5" t="s">
        <v>4</v>
      </c>
      <c r="H3018" s="5" t="s">
        <v>5</v>
      </c>
      <c r="I3018" s="6">
        <v>45737</v>
      </c>
    </row>
    <row r="3019" spans="1:9" ht="13.5">
      <c r="A3019" s="2" t="s">
        <v>846</v>
      </c>
      <c r="B3019" s="3"/>
      <c r="C3019" s="4" t="s">
        <v>5389</v>
      </c>
      <c r="D3019" s="5" t="s">
        <v>846</v>
      </c>
      <c r="E3019" s="5" t="s">
        <v>5390</v>
      </c>
      <c r="F3019" s="5" t="str">
        <f t="shared" si="47"/>
        <v>tandea.se</v>
      </c>
      <c r="G3019" s="5" t="s">
        <v>4</v>
      </c>
      <c r="H3019" s="5" t="s">
        <v>5</v>
      </c>
      <c r="I3019" s="6">
        <v>45737</v>
      </c>
    </row>
    <row r="3020" spans="1:9" ht="13.5">
      <c r="A3020" s="2" t="s">
        <v>3682</v>
      </c>
      <c r="B3020" s="3"/>
      <c r="C3020" s="5" t="s">
        <v>5389</v>
      </c>
      <c r="D3020" s="5" t="s">
        <v>4970</v>
      </c>
      <c r="E3020" s="5" t="s">
        <v>4073</v>
      </c>
      <c r="F3020" s="5" t="str">
        <f t="shared" si="47"/>
        <v>upplevelse.com</v>
      </c>
      <c r="G3020" s="5" t="s">
        <v>4</v>
      </c>
      <c r="H3020" s="5" t="s">
        <v>5</v>
      </c>
      <c r="I3020" s="6">
        <v>45737</v>
      </c>
    </row>
    <row r="3021" spans="1:9" ht="13.5">
      <c r="A3021" s="2" t="s">
        <v>4433</v>
      </c>
      <c r="B3021" s="3"/>
      <c r="C3021" s="4" t="s">
        <v>5391</v>
      </c>
      <c r="D3021" s="4" t="s">
        <v>5367</v>
      </c>
      <c r="E3021" s="5" t="s">
        <v>5217</v>
      </c>
      <c r="F3021" s="5" t="str">
        <f t="shared" si="47"/>
        <v>svenskiptv.com</v>
      </c>
      <c r="G3021" s="5" t="s">
        <v>4</v>
      </c>
      <c r="H3021" s="5" t="s">
        <v>5</v>
      </c>
      <c r="I3021" s="6">
        <v>45739</v>
      </c>
    </row>
    <row r="3022" spans="1:9" ht="13.5">
      <c r="A3022" s="2" t="s">
        <v>4433</v>
      </c>
      <c r="B3022" s="3"/>
      <c r="C3022" s="4" t="s">
        <v>5392</v>
      </c>
      <c r="D3022" s="4" t="s">
        <v>4974</v>
      </c>
      <c r="E3022" s="5" t="s">
        <v>4470</v>
      </c>
      <c r="F3022" s="5" t="str">
        <f t="shared" si="47"/>
        <v>svenskiptv.com</v>
      </c>
      <c r="G3022" s="5" t="s">
        <v>4</v>
      </c>
      <c r="H3022" s="5" t="s">
        <v>5</v>
      </c>
      <c r="I3022" s="6">
        <v>45739</v>
      </c>
    </row>
    <row r="3023" spans="1:9" ht="13.5">
      <c r="A3023" s="2" t="s">
        <v>3173</v>
      </c>
      <c r="B3023" s="3"/>
      <c r="C3023" s="4" t="s">
        <v>5393</v>
      </c>
      <c r="D3023" s="4" t="s">
        <v>5271</v>
      </c>
      <c r="E3023" s="5" t="s">
        <v>4845</v>
      </c>
      <c r="F3023" s="5" t="str">
        <f t="shared" si="47"/>
        <v>ekstromgaray.se</v>
      </c>
      <c r="G3023" s="5" t="s">
        <v>4</v>
      </c>
      <c r="H3023" s="5" t="s">
        <v>5</v>
      </c>
      <c r="I3023" s="6">
        <v>45740</v>
      </c>
    </row>
    <row r="3024" spans="1:9" ht="13.5">
      <c r="A3024" s="2" t="s">
        <v>3058</v>
      </c>
      <c r="B3024" s="3"/>
      <c r="C3024" s="4" t="s">
        <v>5394</v>
      </c>
      <c r="D3024" s="4" t="s">
        <v>5034</v>
      </c>
      <c r="E3024" s="5" t="s">
        <v>5395</v>
      </c>
      <c r="F3024" s="5" t="str">
        <f t="shared" si="47"/>
        <v>rusta.se</v>
      </c>
      <c r="G3024" s="5" t="s">
        <v>4</v>
      </c>
      <c r="H3024" s="5" t="s">
        <v>5</v>
      </c>
      <c r="I3024" s="6">
        <v>45740</v>
      </c>
    </row>
    <row r="3025" spans="1:9" ht="13.5">
      <c r="A3025" s="7" t="s">
        <v>2281</v>
      </c>
      <c r="B3025" s="3"/>
      <c r="C3025" s="4" t="s">
        <v>5396</v>
      </c>
      <c r="D3025" s="4" t="s">
        <v>2283</v>
      </c>
      <c r="E3025" s="5" t="s">
        <v>5397</v>
      </c>
      <c r="F3025" s="5" t="str">
        <f t="shared" si="47"/>
        <v>tandläkare.se</v>
      </c>
      <c r="G3025" s="5" t="s">
        <v>4</v>
      </c>
      <c r="H3025" s="5" t="s">
        <v>5</v>
      </c>
      <c r="I3025" s="6">
        <v>45740</v>
      </c>
    </row>
    <row r="3026" spans="1:9" ht="13.5">
      <c r="A3026" s="2" t="s">
        <v>5202</v>
      </c>
      <c r="B3026" s="3"/>
      <c r="C3026" s="4" t="s">
        <v>5398</v>
      </c>
      <c r="D3026" s="4" t="s">
        <v>5202</v>
      </c>
      <c r="E3026" s="5" t="s">
        <v>5399</v>
      </c>
      <c r="F3026" s="5" t="str">
        <f t="shared" si="47"/>
        <v>bus4you.se</v>
      </c>
      <c r="G3026" s="5" t="s">
        <v>4</v>
      </c>
      <c r="H3026" s="5" t="s">
        <v>5</v>
      </c>
      <c r="I3026" s="6">
        <v>45740</v>
      </c>
    </row>
    <row r="3027" spans="1:9" ht="13.5">
      <c r="A3027" s="2" t="s">
        <v>5368</v>
      </c>
      <c r="B3027" s="3"/>
      <c r="C3027" s="4" t="s">
        <v>5400</v>
      </c>
      <c r="D3027" s="4" t="s">
        <v>5401</v>
      </c>
      <c r="E3027" s="5" t="s">
        <v>5402</v>
      </c>
      <c r="F3027" s="5" t="str">
        <f t="shared" si="47"/>
        <v>axofinans.se</v>
      </c>
      <c r="G3027" s="5" t="s">
        <v>4</v>
      </c>
      <c r="H3027" s="5" t="s">
        <v>5</v>
      </c>
      <c r="I3027" s="6">
        <v>45740</v>
      </c>
    </row>
    <row r="3028" spans="1:9" ht="13.5">
      <c r="A3028" s="2" t="s">
        <v>3580</v>
      </c>
      <c r="B3028" s="3"/>
      <c r="C3028" s="8" t="s">
        <v>5403</v>
      </c>
      <c r="D3028" s="4" t="s">
        <v>5404</v>
      </c>
      <c r="E3028" s="5" t="s">
        <v>4570</v>
      </c>
      <c r="F3028" s="5" t="str">
        <f t="shared" si="47"/>
        <v>kleer.se</v>
      </c>
      <c r="G3028" s="5" t="s">
        <v>4</v>
      </c>
      <c r="H3028" s="5" t="s">
        <v>5</v>
      </c>
      <c r="I3028" s="6">
        <v>45740</v>
      </c>
    </row>
    <row r="3029" spans="1:9" ht="13.5">
      <c r="A3029" s="2" t="s">
        <v>3173</v>
      </c>
      <c r="B3029" s="3"/>
      <c r="C3029" s="4" t="s">
        <v>5393</v>
      </c>
      <c r="D3029" s="4" t="s">
        <v>5271</v>
      </c>
      <c r="E3029" s="5" t="s">
        <v>4845</v>
      </c>
      <c r="F3029" s="5" t="str">
        <f t="shared" si="47"/>
        <v>ekstromgaray.se</v>
      </c>
      <c r="G3029" s="5" t="s">
        <v>4</v>
      </c>
      <c r="H3029" s="5" t="s">
        <v>5</v>
      </c>
      <c r="I3029" s="6">
        <v>45740</v>
      </c>
    </row>
    <row r="3030" spans="1:9" ht="13.5">
      <c r="A3030" s="2" t="s">
        <v>3058</v>
      </c>
      <c r="B3030" s="3"/>
      <c r="C3030" s="8" t="s">
        <v>5394</v>
      </c>
      <c r="D3030" s="4" t="s">
        <v>5034</v>
      </c>
      <c r="E3030" s="5" t="s">
        <v>5395</v>
      </c>
      <c r="F3030" s="5" t="str">
        <f t="shared" si="47"/>
        <v>rusta.se</v>
      </c>
      <c r="G3030" s="5" t="s">
        <v>4</v>
      </c>
      <c r="H3030" s="5" t="s">
        <v>5</v>
      </c>
      <c r="I3030" s="6">
        <v>45740</v>
      </c>
    </row>
    <row r="3031" spans="1:9" ht="13.5">
      <c r="A3031" s="2" t="s">
        <v>4433</v>
      </c>
      <c r="B3031" s="3"/>
      <c r="C3031" s="4" t="s">
        <v>5405</v>
      </c>
      <c r="D3031" s="4" t="s">
        <v>5386</v>
      </c>
      <c r="E3031" s="5" t="s">
        <v>4703</v>
      </c>
      <c r="F3031" s="5" t="str">
        <f t="shared" si="47"/>
        <v>svenskiptv.com</v>
      </c>
      <c r="G3031" s="5" t="s">
        <v>4</v>
      </c>
      <c r="H3031" s="5" t="s">
        <v>5</v>
      </c>
      <c r="I3031" s="6">
        <v>45740</v>
      </c>
    </row>
    <row r="3032" spans="1:9" ht="13.5">
      <c r="A3032" s="2" t="s">
        <v>4433</v>
      </c>
      <c r="B3032" s="3"/>
      <c r="C3032" s="4" t="s">
        <v>5406</v>
      </c>
      <c r="D3032" s="4" t="s">
        <v>5099</v>
      </c>
      <c r="E3032" s="5" t="s">
        <v>4703</v>
      </c>
      <c r="F3032" s="5" t="str">
        <f t="shared" si="47"/>
        <v>svenskiptv.com</v>
      </c>
      <c r="G3032" s="5" t="s">
        <v>4</v>
      </c>
      <c r="H3032" s="5" t="s">
        <v>5</v>
      </c>
      <c r="I3032" s="6">
        <v>45741</v>
      </c>
    </row>
    <row r="3033" spans="1:9" ht="13.5">
      <c r="A3033" s="2" t="s">
        <v>2999</v>
      </c>
      <c r="B3033" s="3"/>
      <c r="C3033" s="8" t="s">
        <v>5407</v>
      </c>
      <c r="D3033" s="8" t="s">
        <v>2999</v>
      </c>
      <c r="E3033" s="5" t="s">
        <v>3190</v>
      </c>
      <c r="F3033" s="5" t="str">
        <f t="shared" si="47"/>
        <v>nettotobak.com</v>
      </c>
      <c r="G3033" s="5" t="s">
        <v>4</v>
      </c>
      <c r="H3033" s="5" t="s">
        <v>5</v>
      </c>
      <c r="I3033" s="6">
        <v>45741</v>
      </c>
    </row>
    <row r="3034" spans="1:9" ht="13.5">
      <c r="A3034" s="7" t="s">
        <v>3419</v>
      </c>
      <c r="B3034" s="3"/>
      <c r="C3034" s="5" t="s">
        <v>5408</v>
      </c>
      <c r="D3034" s="5" t="s">
        <v>4961</v>
      </c>
      <c r="E3034" s="5" t="s">
        <v>5409</v>
      </c>
      <c r="F3034" s="5" t="str">
        <f t="shared" si="47"/>
        <v>zmarta</v>
      </c>
      <c r="G3034" s="5" t="s">
        <v>4</v>
      </c>
      <c r="H3034" s="5" t="s">
        <v>5</v>
      </c>
      <c r="I3034" s="6">
        <v>45741</v>
      </c>
    </row>
    <row r="3035" spans="1:9" ht="13.5">
      <c r="A3035" s="7" t="s">
        <v>3419</v>
      </c>
      <c r="B3035" s="3"/>
      <c r="C3035" s="5" t="s">
        <v>5410</v>
      </c>
      <c r="D3035" s="5" t="s">
        <v>4961</v>
      </c>
      <c r="E3035" s="5" t="s">
        <v>4962</v>
      </c>
      <c r="F3035" s="5" t="str">
        <f t="shared" si="47"/>
        <v>zmarta</v>
      </c>
      <c r="G3035" s="5" t="s">
        <v>4</v>
      </c>
      <c r="H3035" s="5" t="s">
        <v>5</v>
      </c>
      <c r="I3035" s="6">
        <v>45741</v>
      </c>
    </row>
    <row r="3036" spans="1:9" ht="13.5">
      <c r="A3036" s="7" t="s">
        <v>3419</v>
      </c>
      <c r="B3036" s="3"/>
      <c r="C3036" s="5" t="s">
        <v>5411</v>
      </c>
      <c r="D3036" s="5" t="s">
        <v>5412</v>
      </c>
      <c r="E3036" s="5" t="s">
        <v>5413</v>
      </c>
      <c r="F3036" s="5" t="str">
        <f t="shared" si="47"/>
        <v>zmarta</v>
      </c>
      <c r="G3036" s="5" t="s">
        <v>4</v>
      </c>
      <c r="H3036" s="5" t="s">
        <v>5</v>
      </c>
      <c r="I3036" s="6">
        <v>45741</v>
      </c>
    </row>
    <row r="3037" spans="1:9" ht="13.5">
      <c r="A3037" s="7" t="s">
        <v>3419</v>
      </c>
      <c r="B3037" s="3"/>
      <c r="C3037" s="5" t="s">
        <v>5414</v>
      </c>
      <c r="D3037" s="5" t="s">
        <v>3407</v>
      </c>
      <c r="E3037" s="5" t="s">
        <v>5415</v>
      </c>
      <c r="F3037" s="5" t="str">
        <f t="shared" si="47"/>
        <v>zmarta</v>
      </c>
      <c r="G3037" s="5" t="s">
        <v>4</v>
      </c>
      <c r="H3037" s="5" t="s">
        <v>5</v>
      </c>
      <c r="I3037" s="6">
        <v>45741</v>
      </c>
    </row>
    <row r="3038" spans="1:9" ht="13.5">
      <c r="A3038" s="7" t="s">
        <v>3419</v>
      </c>
      <c r="B3038" s="3"/>
      <c r="C3038" s="5" t="s">
        <v>5416</v>
      </c>
      <c r="D3038" s="5" t="s">
        <v>4961</v>
      </c>
      <c r="E3038" s="5" t="s">
        <v>5417</v>
      </c>
      <c r="F3038" s="5" t="str">
        <f t="shared" si="47"/>
        <v>zmarta</v>
      </c>
      <c r="G3038" s="5" t="s">
        <v>4</v>
      </c>
      <c r="H3038" s="5" t="s">
        <v>5</v>
      </c>
      <c r="I3038" s="6">
        <v>45741</v>
      </c>
    </row>
    <row r="3039" spans="1:9" ht="13.5">
      <c r="A3039" s="2" t="s">
        <v>3682</v>
      </c>
      <c r="B3039" s="3"/>
      <c r="C3039" s="5" t="s">
        <v>5418</v>
      </c>
      <c r="D3039" s="5" t="s">
        <v>5419</v>
      </c>
      <c r="E3039" s="5" t="s">
        <v>5106</v>
      </c>
      <c r="F3039" s="5" t="str">
        <f t="shared" si="47"/>
        <v>upplevelse.com</v>
      </c>
      <c r="G3039" s="5" t="s">
        <v>4</v>
      </c>
      <c r="H3039" s="5" t="s">
        <v>5</v>
      </c>
      <c r="I3039" s="6">
        <v>45741</v>
      </c>
    </row>
    <row r="3040" spans="1:9" ht="13.5">
      <c r="A3040" s="2" t="s">
        <v>3761</v>
      </c>
      <c r="B3040" s="3"/>
      <c r="C3040" s="5" t="s">
        <v>5420</v>
      </c>
      <c r="D3040" s="5" t="s">
        <v>3908</v>
      </c>
      <c r="E3040" s="5" t="s">
        <v>5421</v>
      </c>
      <c r="F3040" s="5" t="str">
        <f t="shared" si="47"/>
        <v>hajper.com</v>
      </c>
      <c r="G3040" s="5" t="s">
        <v>4</v>
      </c>
      <c r="H3040" s="5" t="s">
        <v>5</v>
      </c>
      <c r="I3040" s="6">
        <v>45741</v>
      </c>
    </row>
    <row r="3041" spans="1:9" ht="13.5">
      <c r="A3041" s="2" t="s">
        <v>3761</v>
      </c>
      <c r="B3041" s="3"/>
      <c r="C3041" s="5" t="s">
        <v>5422</v>
      </c>
      <c r="D3041" s="5" t="s">
        <v>3908</v>
      </c>
      <c r="E3041" s="5" t="s">
        <v>5423</v>
      </c>
      <c r="F3041" s="5" t="str">
        <f t="shared" si="47"/>
        <v>hajper.com</v>
      </c>
      <c r="G3041" s="5" t="s">
        <v>4</v>
      </c>
      <c r="H3041" s="5" t="s">
        <v>5</v>
      </c>
      <c r="I3041" s="6">
        <v>45741</v>
      </c>
    </row>
    <row r="3042" spans="1:9" ht="13.5">
      <c r="A3042" s="7" t="s">
        <v>3921</v>
      </c>
      <c r="B3042" s="3"/>
      <c r="C3042" s="5" t="s">
        <v>5424</v>
      </c>
      <c r="D3042" s="5" t="s">
        <v>5425</v>
      </c>
      <c r="E3042" s="5" t="s">
        <v>4640</v>
      </c>
      <c r="F3042" s="5" t="str">
        <f t="shared" si="47"/>
        <v>svenskalasjouren.se</v>
      </c>
      <c r="G3042" s="5" t="s">
        <v>4</v>
      </c>
      <c r="H3042" s="5" t="s">
        <v>5</v>
      </c>
      <c r="I3042" s="6">
        <v>45741</v>
      </c>
    </row>
    <row r="3043" spans="1:9" ht="13.5">
      <c r="A3043" s="7" t="s">
        <v>3921</v>
      </c>
      <c r="B3043" s="3"/>
      <c r="C3043" s="5" t="s">
        <v>5426</v>
      </c>
      <c r="D3043" s="5" t="s">
        <v>5052</v>
      </c>
      <c r="E3043" s="5" t="s">
        <v>5253</v>
      </c>
      <c r="F3043" s="5" t="str">
        <f t="shared" si="47"/>
        <v>svenskalasjouren.se</v>
      </c>
      <c r="G3043" s="5" t="s">
        <v>4</v>
      </c>
      <c r="H3043" s="5" t="s">
        <v>5</v>
      </c>
      <c r="I3043" s="6">
        <v>45741</v>
      </c>
    </row>
    <row r="3044" spans="1:9" ht="13.5">
      <c r="A3044" s="2" t="s">
        <v>1318</v>
      </c>
      <c r="B3044" s="3"/>
      <c r="C3044" s="4" t="s">
        <v>5427</v>
      </c>
      <c r="D3044" s="4" t="s">
        <v>1942</v>
      </c>
      <c r="E3044" s="5" t="s">
        <v>1943</v>
      </c>
      <c r="F3044" s="5" t="str">
        <f t="shared" si="47"/>
        <v>spelklubben.se</v>
      </c>
      <c r="G3044" s="5" t="s">
        <v>4</v>
      </c>
      <c r="H3044" s="5" t="s">
        <v>5</v>
      </c>
      <c r="I3044" s="6">
        <v>45742</v>
      </c>
    </row>
    <row r="3045" spans="1:9" ht="13.5">
      <c r="A3045" s="2" t="s">
        <v>435</v>
      </c>
      <c r="B3045" s="3"/>
      <c r="C3045" s="4" t="s">
        <v>5428</v>
      </c>
      <c r="D3045" s="4" t="s">
        <v>973</v>
      </c>
      <c r="E3045" s="5" t="s">
        <v>563</v>
      </c>
      <c r="F3045" s="5" t="str">
        <f t="shared" si="47"/>
        <v>fairinvestments.se</v>
      </c>
      <c r="G3045" s="5" t="s">
        <v>4</v>
      </c>
      <c r="H3045" s="5" t="s">
        <v>5</v>
      </c>
      <c r="I3045" s="6">
        <v>45742</v>
      </c>
    </row>
    <row r="3046" spans="1:9" ht="13.5">
      <c r="A3046" s="2" t="s">
        <v>4051</v>
      </c>
      <c r="B3046" s="3"/>
      <c r="C3046" s="4" t="s">
        <v>5429</v>
      </c>
      <c r="D3046" s="4" t="s">
        <v>5430</v>
      </c>
      <c r="E3046" s="9" t="s">
        <v>4051</v>
      </c>
      <c r="F3046" s="5" t="str">
        <f t="shared" si="47"/>
        <v>hund.se</v>
      </c>
      <c r="G3046" s="5" t="s">
        <v>4</v>
      </c>
      <c r="H3046" s="5" t="s">
        <v>5</v>
      </c>
      <c r="I3046" s="6">
        <v>45742</v>
      </c>
    </row>
    <row r="3047" spans="1:9" ht="13.5">
      <c r="A3047" s="2" t="s">
        <v>435</v>
      </c>
      <c r="B3047" s="3"/>
      <c r="C3047" s="4" t="s">
        <v>5431</v>
      </c>
      <c r="D3047" s="4" t="s">
        <v>5432</v>
      </c>
      <c r="E3047" s="5" t="s">
        <v>2692</v>
      </c>
      <c r="F3047" s="5" t="str">
        <f t="shared" si="47"/>
        <v>fairinvestments.se</v>
      </c>
      <c r="G3047" s="5" t="s">
        <v>4</v>
      </c>
      <c r="H3047" s="5" t="s">
        <v>5</v>
      </c>
      <c r="I3047" s="6">
        <v>45742</v>
      </c>
    </row>
    <row r="3048" spans="1:9" ht="13.5">
      <c r="A3048" s="2" t="s">
        <v>435</v>
      </c>
      <c r="B3048" s="3"/>
      <c r="C3048" s="4" t="s">
        <v>5433</v>
      </c>
      <c r="D3048" s="4" t="s">
        <v>5434</v>
      </c>
      <c r="E3048" s="5" t="s">
        <v>2692</v>
      </c>
      <c r="F3048" s="5" t="str">
        <f t="shared" si="47"/>
        <v>fairinvestments.se</v>
      </c>
      <c r="G3048" s="5" t="s">
        <v>4</v>
      </c>
      <c r="H3048" s="5" t="s">
        <v>5</v>
      </c>
      <c r="I3048" s="6">
        <v>45742</v>
      </c>
    </row>
    <row r="3049" spans="1:9" ht="13.5">
      <c r="A3049" s="7" t="s">
        <v>5361</v>
      </c>
      <c r="B3049" s="3"/>
      <c r="C3049" s="4" t="s">
        <v>5435</v>
      </c>
      <c r="D3049" s="4" t="s">
        <v>5436</v>
      </c>
      <c r="E3049" s="5" t="s">
        <v>5437</v>
      </c>
      <c r="F3049" s="5" t="str">
        <f t="shared" si="47"/>
        <v>Leaptodigital</v>
      </c>
      <c r="G3049" s="5" t="s">
        <v>4</v>
      </c>
      <c r="H3049" s="5" t="s">
        <v>345</v>
      </c>
      <c r="I3049" s="6">
        <v>45742</v>
      </c>
    </row>
    <row r="3050" spans="1:9" ht="13.5">
      <c r="A3050" s="2" t="s">
        <v>3885</v>
      </c>
      <c r="B3050" s="3"/>
      <c r="C3050" s="4" t="s">
        <v>5438</v>
      </c>
      <c r="D3050" s="4" t="s">
        <v>3887</v>
      </c>
      <c r="E3050" s="5" t="s">
        <v>3890</v>
      </c>
      <c r="F3050" s="5" t="str">
        <f t="shared" si="47"/>
        <v>chattanoogarehab.com</v>
      </c>
      <c r="G3050" s="5" t="s">
        <v>4</v>
      </c>
      <c r="H3050" s="5" t="s">
        <v>345</v>
      </c>
      <c r="I3050" s="6">
        <v>45742</v>
      </c>
    </row>
    <row r="3051" spans="1:9" ht="13.5">
      <c r="A3051" s="2" t="s">
        <v>4433</v>
      </c>
      <c r="B3051" s="3"/>
      <c r="C3051" s="4" t="s">
        <v>5439</v>
      </c>
      <c r="D3051" s="4" t="s">
        <v>5367</v>
      </c>
      <c r="E3051" s="5" t="s">
        <v>4470</v>
      </c>
      <c r="F3051" s="5" t="str">
        <f t="shared" si="47"/>
        <v>svenskiptv.com</v>
      </c>
      <c r="G3051" s="5" t="s">
        <v>4</v>
      </c>
      <c r="H3051" s="5" t="s">
        <v>5</v>
      </c>
      <c r="I3051" s="6">
        <v>45742</v>
      </c>
    </row>
    <row r="3052" spans="1:9" ht="13.5">
      <c r="A3052" s="7" t="s">
        <v>5361</v>
      </c>
      <c r="B3052" s="3"/>
      <c r="C3052" s="4" t="s">
        <v>5440</v>
      </c>
      <c r="D3052" s="4" t="s">
        <v>5436</v>
      </c>
      <c r="E3052" s="5" t="s">
        <v>5437</v>
      </c>
      <c r="F3052" s="5" t="str">
        <f t="shared" si="47"/>
        <v>Leaptodigital</v>
      </c>
      <c r="G3052" s="5" t="s">
        <v>4</v>
      </c>
      <c r="H3052" s="5" t="s">
        <v>345</v>
      </c>
      <c r="I3052" s="6">
        <v>45742</v>
      </c>
    </row>
    <row r="3053" spans="1:9" ht="13.5">
      <c r="A3053" s="2" t="s">
        <v>2127</v>
      </c>
      <c r="B3053" s="3"/>
      <c r="C3053" s="4" t="s">
        <v>5441</v>
      </c>
      <c r="D3053" s="4" t="s">
        <v>5442</v>
      </c>
      <c r="E3053" s="5" t="s">
        <v>4153</v>
      </c>
      <c r="F3053" s="5" t="str">
        <f t="shared" si="47"/>
        <v>startmotor.se</v>
      </c>
      <c r="G3053" s="5" t="s">
        <v>4</v>
      </c>
      <c r="H3053" s="5" t="s">
        <v>5</v>
      </c>
      <c r="I3053" s="6">
        <v>45743</v>
      </c>
    </row>
    <row r="3054" spans="1:9" ht="13.5">
      <c r="A3054" s="2" t="s">
        <v>4409</v>
      </c>
      <c r="B3054" s="3"/>
      <c r="C3054" s="4" t="s">
        <v>5443</v>
      </c>
      <c r="D3054" s="4" t="s">
        <v>5444</v>
      </c>
      <c r="E3054" s="5" t="s">
        <v>5445</v>
      </c>
      <c r="F3054" s="5" t="str">
        <f t="shared" si="47"/>
        <v>svenskafonster.se</v>
      </c>
      <c r="G3054" s="5" t="s">
        <v>4</v>
      </c>
      <c r="H3054" s="5" t="s">
        <v>5</v>
      </c>
      <c r="I3054" s="6">
        <v>45743</v>
      </c>
    </row>
    <row r="3055" spans="1:9" ht="13.5">
      <c r="A3055" s="2" t="s">
        <v>4409</v>
      </c>
      <c r="B3055" s="3"/>
      <c r="C3055" s="4" t="s">
        <v>5446</v>
      </c>
      <c r="D3055" s="4" t="s">
        <v>4411</v>
      </c>
      <c r="E3055" s="5" t="s">
        <v>4873</v>
      </c>
      <c r="F3055" s="5" t="str">
        <f t="shared" si="47"/>
        <v>svenskafonster.se</v>
      </c>
      <c r="G3055" s="5" t="s">
        <v>4</v>
      </c>
      <c r="H3055" s="5" t="s">
        <v>5</v>
      </c>
      <c r="I3055" s="6">
        <v>45743</v>
      </c>
    </row>
    <row r="3056" spans="1:9" ht="13.5">
      <c r="A3056" s="2" t="s">
        <v>4147</v>
      </c>
      <c r="B3056" s="3"/>
      <c r="C3056" s="4" t="s">
        <v>5447</v>
      </c>
      <c r="D3056" s="8" t="s">
        <v>5448</v>
      </c>
      <c r="E3056" s="5" t="s">
        <v>5449</v>
      </c>
      <c r="F3056" s="5" t="str">
        <f t="shared" si="47"/>
        <v>petster.se</v>
      </c>
      <c r="G3056" s="5" t="s">
        <v>4</v>
      </c>
      <c r="H3056" s="5" t="s">
        <v>5</v>
      </c>
      <c r="I3056" s="6">
        <v>45743</v>
      </c>
    </row>
    <row r="3057" spans="1:9" ht="13.5">
      <c r="A3057" s="2" t="s">
        <v>4771</v>
      </c>
      <c r="B3057" s="3"/>
      <c r="C3057" s="4" t="s">
        <v>5450</v>
      </c>
      <c r="D3057" s="4" t="s">
        <v>5451</v>
      </c>
      <c r="E3057" s="5" t="s">
        <v>5452</v>
      </c>
      <c r="F3057" s="5" t="str">
        <f t="shared" si="47"/>
        <v>dryft.se</v>
      </c>
      <c r="G3057" s="5" t="s">
        <v>4</v>
      </c>
      <c r="H3057" s="5" t="s">
        <v>5</v>
      </c>
      <c r="I3057" s="6">
        <v>45743</v>
      </c>
    </row>
    <row r="3058" spans="1:9" ht="13.5">
      <c r="A3058" s="2" t="s">
        <v>4771</v>
      </c>
      <c r="B3058" s="3"/>
      <c r="C3058" s="4" t="s">
        <v>5453</v>
      </c>
      <c r="D3058" s="4" t="s">
        <v>4944</v>
      </c>
      <c r="E3058" s="5" t="s">
        <v>4773</v>
      </c>
      <c r="F3058" s="5" t="str">
        <f t="shared" si="47"/>
        <v>dryft.se</v>
      </c>
      <c r="G3058" s="5" t="s">
        <v>4</v>
      </c>
      <c r="H3058" s="5" t="s">
        <v>5</v>
      </c>
      <c r="I3058" s="6">
        <v>45743</v>
      </c>
    </row>
    <row r="3059" spans="1:9" ht="13.5">
      <c r="A3059" s="2" t="s">
        <v>5084</v>
      </c>
      <c r="B3059" s="3"/>
      <c r="C3059" s="4" t="s">
        <v>5454</v>
      </c>
      <c r="D3059" s="4" t="s">
        <v>5086</v>
      </c>
      <c r="E3059" s="5" t="s">
        <v>5087</v>
      </c>
      <c r="F3059" s="5" t="str">
        <f t="shared" si="47"/>
        <v>glassfactory.fi</v>
      </c>
      <c r="G3059" s="5" t="s">
        <v>4</v>
      </c>
      <c r="H3059" s="5" t="s">
        <v>5</v>
      </c>
      <c r="I3059" s="6">
        <v>45743</v>
      </c>
    </row>
    <row r="3060" spans="1:9" ht="13.5">
      <c r="A3060" s="2" t="s">
        <v>5191</v>
      </c>
      <c r="B3060" s="3"/>
      <c r="C3060" s="8" t="s">
        <v>5455</v>
      </c>
      <c r="D3060" s="4" t="s">
        <v>5456</v>
      </c>
      <c r="E3060" s="5" t="s">
        <v>5457</v>
      </c>
      <c r="F3060" s="5" t="str">
        <f t="shared" si="47"/>
        <v>bergetsro.se</v>
      </c>
      <c r="G3060" s="5" t="s">
        <v>4</v>
      </c>
      <c r="H3060" s="5" t="s">
        <v>5</v>
      </c>
      <c r="I3060" s="6">
        <v>45743</v>
      </c>
    </row>
    <row r="3061" spans="1:9" ht="13.5">
      <c r="A3061" s="2" t="s">
        <v>4829</v>
      </c>
      <c r="B3061" s="3"/>
      <c r="C3061" s="4" t="s">
        <v>5458</v>
      </c>
      <c r="D3061" s="4" t="s">
        <v>5101</v>
      </c>
      <c r="E3061" s="5" t="s">
        <v>5459</v>
      </c>
      <c r="F3061" s="5" t="str">
        <f t="shared" si="47"/>
        <v>technobark.com</v>
      </c>
      <c r="G3061" s="5" t="s">
        <v>4</v>
      </c>
      <c r="H3061" s="5" t="s">
        <v>345</v>
      </c>
      <c r="I3061" s="6">
        <v>45743</v>
      </c>
    </row>
    <row r="3062" spans="1:9" ht="13.5">
      <c r="A3062" s="2" t="s">
        <v>4829</v>
      </c>
      <c r="B3062" s="3"/>
      <c r="C3062" s="4" t="s">
        <v>5460</v>
      </c>
      <c r="D3062" s="4" t="s">
        <v>4934</v>
      </c>
      <c r="E3062" s="5" t="s">
        <v>5461</v>
      </c>
      <c r="F3062" s="5" t="str">
        <f t="shared" si="47"/>
        <v>technobark.com</v>
      </c>
      <c r="G3062" s="5" t="s">
        <v>4</v>
      </c>
      <c r="H3062" s="5" t="s">
        <v>345</v>
      </c>
      <c r="I3062" s="6">
        <v>45743</v>
      </c>
    </row>
    <row r="3063" spans="1:9" ht="13.5">
      <c r="A3063" s="2" t="s">
        <v>2352</v>
      </c>
      <c r="B3063" s="3"/>
      <c r="C3063" s="4" t="s">
        <v>5462</v>
      </c>
      <c r="D3063" s="4" t="s">
        <v>2354</v>
      </c>
      <c r="E3063" s="5" t="s">
        <v>2356</v>
      </c>
      <c r="F3063" s="5" t="str">
        <f t="shared" si="47"/>
        <v>seniorrabatt.se</v>
      </c>
      <c r="G3063" s="5" t="s">
        <v>4</v>
      </c>
      <c r="H3063" s="5" t="s">
        <v>3496</v>
      </c>
      <c r="I3063" s="6">
        <v>45743</v>
      </c>
    </row>
    <row r="3064" spans="1:9" ht="13.5">
      <c r="A3064" s="2" t="s">
        <v>4433</v>
      </c>
      <c r="B3064" s="3"/>
      <c r="C3064" s="4" t="s">
        <v>5463</v>
      </c>
      <c r="D3064" s="4" t="s">
        <v>4974</v>
      </c>
      <c r="E3064" s="5" t="s">
        <v>4703</v>
      </c>
      <c r="F3064" s="5" t="str">
        <f t="shared" si="47"/>
        <v>svenskiptv.com</v>
      </c>
      <c r="G3064" s="5" t="s">
        <v>4</v>
      </c>
      <c r="H3064" s="5" t="s">
        <v>5</v>
      </c>
      <c r="I3064" s="6">
        <v>45743</v>
      </c>
    </row>
    <row r="3065" spans="1:9" ht="13.5">
      <c r="A3065" s="2" t="s">
        <v>3761</v>
      </c>
      <c r="B3065" s="3"/>
      <c r="C3065" s="5" t="s">
        <v>5464</v>
      </c>
      <c r="D3065" s="5" t="s">
        <v>3846</v>
      </c>
      <c r="E3065" s="5" t="s">
        <v>5465</v>
      </c>
      <c r="F3065" s="5" t="str">
        <f t="shared" si="47"/>
        <v>hajper.com</v>
      </c>
      <c r="G3065" s="5" t="s">
        <v>4</v>
      </c>
      <c r="H3065" s="5" t="s">
        <v>5</v>
      </c>
      <c r="I3065" s="6">
        <v>45743</v>
      </c>
    </row>
    <row r="3066" spans="1:9" ht="13.5">
      <c r="A3066" s="2" t="s">
        <v>4771</v>
      </c>
      <c r="B3066" s="3"/>
      <c r="C3066" s="4" t="s">
        <v>5466</v>
      </c>
      <c r="D3066" s="4" t="s">
        <v>4944</v>
      </c>
      <c r="E3066" s="5" t="s">
        <v>5467</v>
      </c>
      <c r="F3066" s="5" t="str">
        <f t="shared" si="47"/>
        <v>dryft.se</v>
      </c>
      <c r="G3066" s="5" t="s">
        <v>4</v>
      </c>
      <c r="H3066" s="5" t="s">
        <v>5</v>
      </c>
      <c r="I3066" s="6">
        <v>45744</v>
      </c>
    </row>
    <row r="3067" spans="1:9" ht="13.5">
      <c r="A3067" s="2" t="s">
        <v>5468</v>
      </c>
      <c r="B3067" s="3"/>
      <c r="C3067" s="4" t="s">
        <v>5469</v>
      </c>
      <c r="D3067" s="4" t="s">
        <v>5470</v>
      </c>
      <c r="E3067" s="5" t="s">
        <v>5471</v>
      </c>
      <c r="F3067" s="5" t="str">
        <f t="shared" si="47"/>
        <v>wellio.se</v>
      </c>
      <c r="G3067" s="5" t="s">
        <v>4</v>
      </c>
      <c r="H3067" s="5" t="s">
        <v>5</v>
      </c>
      <c r="I3067" s="6">
        <v>45744</v>
      </c>
    </row>
    <row r="3068" spans="1:9" ht="13.5">
      <c r="A3068" s="2" t="s">
        <v>3058</v>
      </c>
      <c r="B3068" s="3"/>
      <c r="C3068" s="4" t="s">
        <v>5472</v>
      </c>
      <c r="D3068" s="4" t="s">
        <v>5034</v>
      </c>
      <c r="E3068" s="5" t="s">
        <v>179</v>
      </c>
      <c r="F3068" s="5" t="str">
        <f t="shared" si="47"/>
        <v>rusta.se</v>
      </c>
      <c r="G3068" s="5" t="s">
        <v>4</v>
      </c>
      <c r="H3068" s="5" t="s">
        <v>5</v>
      </c>
      <c r="I3068" s="6">
        <v>45744</v>
      </c>
    </row>
    <row r="3069" spans="1:9" ht="13.5">
      <c r="A3069" s="2" t="s">
        <v>4558</v>
      </c>
      <c r="B3069" s="3"/>
      <c r="C3069" s="4" t="s">
        <v>5473</v>
      </c>
      <c r="D3069" s="4" t="s">
        <v>4558</v>
      </c>
      <c r="E3069" s="5" t="s">
        <v>4566</v>
      </c>
      <c r="F3069" s="5" t="str">
        <f t="shared" si="47"/>
        <v>mockfjards.se</v>
      </c>
      <c r="G3069" s="5" t="s">
        <v>4</v>
      </c>
      <c r="H3069" s="5" t="s">
        <v>5</v>
      </c>
      <c r="I3069" s="6">
        <v>45744</v>
      </c>
    </row>
    <row r="3070" spans="1:9" ht="13.5">
      <c r="A3070" s="2" t="s">
        <v>435</v>
      </c>
      <c r="B3070" s="3"/>
      <c r="C3070" s="4" t="s">
        <v>5474</v>
      </c>
      <c r="D3070" s="4" t="s">
        <v>5434</v>
      </c>
      <c r="E3070" s="5" t="s">
        <v>5475</v>
      </c>
      <c r="F3070" s="5" t="str">
        <f t="shared" si="47"/>
        <v>fairinvestments.se</v>
      </c>
      <c r="G3070" s="5" t="s">
        <v>4</v>
      </c>
      <c r="H3070" s="5" t="s">
        <v>5</v>
      </c>
      <c r="I3070" s="6">
        <v>45744</v>
      </c>
    </row>
    <row r="3071" spans="1:9" ht="13.5">
      <c r="A3071" s="2" t="s">
        <v>3058</v>
      </c>
      <c r="B3071" s="3"/>
      <c r="C3071" s="4" t="s">
        <v>5476</v>
      </c>
      <c r="D3071" s="8" t="s">
        <v>5140</v>
      </c>
      <c r="E3071" s="5" t="s">
        <v>5477</v>
      </c>
      <c r="F3071" s="5" t="str">
        <f t="shared" si="47"/>
        <v>rusta.se</v>
      </c>
      <c r="G3071" s="5" t="s">
        <v>4</v>
      </c>
      <c r="H3071" s="5" t="s">
        <v>5</v>
      </c>
      <c r="I3071" s="6">
        <v>45744</v>
      </c>
    </row>
    <row r="3072" spans="1:9" ht="13.5">
      <c r="A3072" s="2" t="s">
        <v>3058</v>
      </c>
      <c r="B3072" s="3"/>
      <c r="C3072" s="4" t="s">
        <v>5478</v>
      </c>
      <c r="D3072" s="8" t="s">
        <v>5140</v>
      </c>
      <c r="E3072" s="5" t="s">
        <v>3185</v>
      </c>
      <c r="F3072" s="5" t="str">
        <f t="shared" si="47"/>
        <v>rusta.se</v>
      </c>
      <c r="G3072" s="5" t="s">
        <v>4</v>
      </c>
      <c r="H3072" s="5" t="s">
        <v>5</v>
      </c>
      <c r="I3072" s="6">
        <v>45744</v>
      </c>
    </row>
    <row r="3073" spans="1:9" ht="13.5">
      <c r="A3073" s="7" t="s">
        <v>3747</v>
      </c>
      <c r="B3073" s="3"/>
      <c r="C3073" s="4" t="s">
        <v>5479</v>
      </c>
      <c r="D3073" s="5" t="s">
        <v>5480</v>
      </c>
      <c r="E3073" s="5" t="s">
        <v>4907</v>
      </c>
      <c r="F3073" s="5" t="str">
        <f t="shared" si="47"/>
        <v>supernormal.health</v>
      </c>
      <c r="G3073" s="5" t="s">
        <v>4</v>
      </c>
      <c r="H3073" s="5" t="s">
        <v>5</v>
      </c>
      <c r="I3073" s="6">
        <v>45744</v>
      </c>
    </row>
    <row r="3074" spans="1:9" ht="13.5">
      <c r="A3074" s="2" t="s">
        <v>2428</v>
      </c>
      <c r="B3074" s="3"/>
      <c r="C3074" s="4" t="s">
        <v>5481</v>
      </c>
      <c r="D3074" s="4" t="s">
        <v>5482</v>
      </c>
      <c r="E3074" s="5" t="s">
        <v>5483</v>
      </c>
      <c r="F3074" s="5" t="str">
        <f t="shared" si="47"/>
        <v>sakraror.se</v>
      </c>
      <c r="G3074" s="5" t="s">
        <v>4</v>
      </c>
      <c r="H3074" s="5" t="s">
        <v>5</v>
      </c>
      <c r="I3074" s="6">
        <v>45744</v>
      </c>
    </row>
    <row r="3075" spans="1:9" ht="13.5">
      <c r="A3075" s="7" t="s">
        <v>224</v>
      </c>
      <c r="B3075" s="3"/>
      <c r="C3075" s="4" t="s">
        <v>5484</v>
      </c>
      <c r="D3075" s="4" t="s">
        <v>337</v>
      </c>
      <c r="E3075" s="5" t="s">
        <v>416</v>
      </c>
      <c r="F3075" s="5" t="str">
        <f t="shared" ref="F3075:F3138" si="48">A3075</f>
        <v>swedoffice</v>
      </c>
      <c r="G3075" s="5" t="s">
        <v>4</v>
      </c>
      <c r="H3075" s="5" t="s">
        <v>5</v>
      </c>
      <c r="I3075" s="6">
        <v>45744</v>
      </c>
    </row>
    <row r="3076" spans="1:9" ht="13.5">
      <c r="A3076" s="2" t="s">
        <v>5468</v>
      </c>
      <c r="B3076" s="3"/>
      <c r="C3076" s="4" t="s">
        <v>5485</v>
      </c>
      <c r="D3076" s="4" t="s">
        <v>5468</v>
      </c>
      <c r="E3076" s="5" t="s">
        <v>5486</v>
      </c>
      <c r="F3076" s="5" t="str">
        <f t="shared" si="48"/>
        <v>wellio.se</v>
      </c>
      <c r="G3076" s="5" t="s">
        <v>4</v>
      </c>
      <c r="H3076" s="5" t="s">
        <v>5</v>
      </c>
      <c r="I3076" s="6">
        <v>45744</v>
      </c>
    </row>
    <row r="3077" spans="1:9" ht="13.5">
      <c r="A3077" s="2" t="s">
        <v>4041</v>
      </c>
      <c r="B3077" s="3"/>
      <c r="C3077" s="4" t="s">
        <v>5487</v>
      </c>
      <c r="D3077" s="4" t="s">
        <v>4847</v>
      </c>
      <c r="E3077" s="5" t="s">
        <v>5488</v>
      </c>
      <c r="F3077" s="5" t="str">
        <f t="shared" si="48"/>
        <v>cateringfabriken.se</v>
      </c>
      <c r="G3077" s="5" t="s">
        <v>4</v>
      </c>
      <c r="H3077" s="5" t="s">
        <v>5</v>
      </c>
      <c r="I3077" s="6">
        <v>45744</v>
      </c>
    </row>
    <row r="3078" spans="1:9" ht="13.5">
      <c r="A3078" s="2" t="s">
        <v>435</v>
      </c>
      <c r="B3078" s="3"/>
      <c r="C3078" s="4" t="s">
        <v>5489</v>
      </c>
      <c r="D3078" s="4" t="s">
        <v>5490</v>
      </c>
      <c r="E3078" s="5" t="s">
        <v>563</v>
      </c>
      <c r="F3078" s="5" t="str">
        <f t="shared" si="48"/>
        <v>fairinvestments.se</v>
      </c>
      <c r="G3078" s="5" t="s">
        <v>4</v>
      </c>
      <c r="H3078" s="5" t="s">
        <v>5</v>
      </c>
      <c r="I3078" s="6">
        <v>45744</v>
      </c>
    </row>
    <row r="3079" spans="1:9" ht="13.5">
      <c r="A3079" s="2" t="s">
        <v>3832</v>
      </c>
      <c r="B3079" s="3"/>
      <c r="C3079" s="4" t="s">
        <v>5491</v>
      </c>
      <c r="D3079" s="4" t="s">
        <v>3832</v>
      </c>
      <c r="E3079" s="5" t="s">
        <v>4852</v>
      </c>
      <c r="F3079" s="5" t="str">
        <f t="shared" si="48"/>
        <v>michaelofrisorerna.se</v>
      </c>
      <c r="G3079" s="5" t="s">
        <v>4</v>
      </c>
      <c r="H3079" s="5" t="s">
        <v>5</v>
      </c>
      <c r="I3079" s="6">
        <v>45744</v>
      </c>
    </row>
    <row r="3080" spans="1:9" ht="13.5">
      <c r="A3080" s="2" t="s">
        <v>535</v>
      </c>
      <c r="B3080" s="3"/>
      <c r="C3080" s="4" t="s">
        <v>5492</v>
      </c>
      <c r="D3080" s="9" t="s">
        <v>3327</v>
      </c>
      <c r="E3080" s="5" t="s">
        <v>4660</v>
      </c>
      <c r="F3080" s="5" t="str">
        <f t="shared" si="48"/>
        <v>tryggbil.se</v>
      </c>
      <c r="G3080" s="5" t="s">
        <v>4</v>
      </c>
      <c r="H3080" s="5" t="s">
        <v>5</v>
      </c>
      <c r="I3080" s="6">
        <v>45744</v>
      </c>
    </row>
    <row r="3081" spans="1:9" ht="13.5">
      <c r="A3081" s="2" t="s">
        <v>4433</v>
      </c>
      <c r="B3081" s="3"/>
      <c r="C3081" s="4" t="s">
        <v>5493</v>
      </c>
      <c r="D3081" s="4" t="s">
        <v>5386</v>
      </c>
      <c r="E3081" s="5" t="s">
        <v>5217</v>
      </c>
      <c r="F3081" s="5" t="str">
        <f t="shared" si="48"/>
        <v>svenskiptv.com</v>
      </c>
      <c r="G3081" s="5" t="s">
        <v>4</v>
      </c>
      <c r="H3081" s="5" t="s">
        <v>5</v>
      </c>
      <c r="I3081" s="6">
        <v>45744</v>
      </c>
    </row>
    <row r="3082" spans="1:9" ht="13.5">
      <c r="A3082" s="2" t="s">
        <v>2999</v>
      </c>
      <c r="B3082" s="3"/>
      <c r="C3082" s="8" t="s">
        <v>5494</v>
      </c>
      <c r="D3082" s="8" t="s">
        <v>4916</v>
      </c>
      <c r="E3082" s="5" t="s">
        <v>5495</v>
      </c>
      <c r="F3082" s="5" t="str">
        <f t="shared" si="48"/>
        <v>nettotobak.com</v>
      </c>
      <c r="G3082" s="5" t="s">
        <v>4</v>
      </c>
      <c r="H3082" s="5" t="s">
        <v>5</v>
      </c>
      <c r="I3082" s="6">
        <v>45744</v>
      </c>
    </row>
    <row r="3083" spans="1:9" ht="13.5">
      <c r="A3083" s="2" t="s">
        <v>2999</v>
      </c>
      <c r="B3083" s="3"/>
      <c r="C3083" s="8" t="s">
        <v>5496</v>
      </c>
      <c r="D3083" s="8" t="s">
        <v>5168</v>
      </c>
      <c r="E3083" s="5" t="s">
        <v>5497</v>
      </c>
      <c r="F3083" s="5" t="str">
        <f t="shared" si="48"/>
        <v>nettotobak.com</v>
      </c>
      <c r="G3083" s="5" t="s">
        <v>4</v>
      </c>
      <c r="H3083" s="5" t="s">
        <v>5</v>
      </c>
      <c r="I3083" s="6">
        <v>45744</v>
      </c>
    </row>
    <row r="3084" spans="1:9" ht="13.5">
      <c r="A3084" s="2" t="s">
        <v>2999</v>
      </c>
      <c r="B3084" s="3"/>
      <c r="C3084" s="8" t="s">
        <v>5498</v>
      </c>
      <c r="D3084" s="8" t="s">
        <v>5499</v>
      </c>
      <c r="E3084" s="5" t="s">
        <v>4958</v>
      </c>
      <c r="F3084" s="5" t="str">
        <f t="shared" si="48"/>
        <v>nettotobak.com</v>
      </c>
      <c r="G3084" s="5" t="s">
        <v>4</v>
      </c>
      <c r="H3084" s="5" t="s">
        <v>5</v>
      </c>
      <c r="I3084" s="6">
        <v>45744</v>
      </c>
    </row>
    <row r="3085" spans="1:9" ht="13.5">
      <c r="A3085" s="2" t="s">
        <v>3682</v>
      </c>
      <c r="B3085" s="3"/>
      <c r="C3085" s="5" t="s">
        <v>5500</v>
      </c>
      <c r="D3085" s="5" t="s">
        <v>4970</v>
      </c>
      <c r="E3085" s="5" t="s">
        <v>4073</v>
      </c>
      <c r="F3085" s="5" t="str">
        <f t="shared" si="48"/>
        <v>upplevelse.com</v>
      </c>
      <c r="G3085" s="5" t="s">
        <v>4</v>
      </c>
      <c r="H3085" s="5" t="s">
        <v>5</v>
      </c>
      <c r="I3085" s="6">
        <v>45744</v>
      </c>
    </row>
    <row r="3086" spans="1:9" ht="13.5">
      <c r="A3086" s="2" t="s">
        <v>3682</v>
      </c>
      <c r="B3086" s="3"/>
      <c r="C3086" s="5" t="s">
        <v>5501</v>
      </c>
      <c r="D3086" s="5" t="s">
        <v>4970</v>
      </c>
      <c r="E3086" s="5" t="s">
        <v>4073</v>
      </c>
      <c r="F3086" s="5" t="str">
        <f t="shared" si="48"/>
        <v>upplevelse.com</v>
      </c>
      <c r="G3086" s="5" t="s">
        <v>4</v>
      </c>
      <c r="H3086" s="5" t="s">
        <v>5</v>
      </c>
      <c r="I3086" s="6">
        <v>45744</v>
      </c>
    </row>
    <row r="3087" spans="1:9" ht="13.5">
      <c r="A3087" s="7" t="s">
        <v>1559</v>
      </c>
      <c r="B3087" s="3"/>
      <c r="C3087" s="5" t="s">
        <v>5502</v>
      </c>
      <c r="D3087" s="5" t="s">
        <v>5055</v>
      </c>
      <c r="E3087" s="5" t="s">
        <v>5503</v>
      </c>
      <c r="F3087" s="5" t="str">
        <f t="shared" si="48"/>
        <v>rorjour247.se</v>
      </c>
      <c r="G3087" s="5" t="s">
        <v>4</v>
      </c>
      <c r="H3087" s="5" t="s">
        <v>5</v>
      </c>
      <c r="I3087" s="6">
        <v>45744</v>
      </c>
    </row>
    <row r="3088" spans="1:9" ht="13.5">
      <c r="A3088" s="7" t="s">
        <v>1559</v>
      </c>
      <c r="B3088" s="3"/>
      <c r="C3088" s="5" t="s">
        <v>5504</v>
      </c>
      <c r="D3088" s="5" t="s">
        <v>5505</v>
      </c>
      <c r="E3088" s="5" t="s">
        <v>4778</v>
      </c>
      <c r="F3088" s="5" t="str">
        <f t="shared" si="48"/>
        <v>rorjour247.se</v>
      </c>
      <c r="G3088" s="5" t="s">
        <v>4</v>
      </c>
      <c r="H3088" s="5" t="s">
        <v>5</v>
      </c>
      <c r="I3088" s="6">
        <v>45744</v>
      </c>
    </row>
    <row r="3089" spans="1:9" ht="13.5">
      <c r="A3089" s="7" t="s">
        <v>1559</v>
      </c>
      <c r="B3089" s="3"/>
      <c r="C3089" s="5" t="s">
        <v>5506</v>
      </c>
      <c r="D3089" s="5" t="s">
        <v>5055</v>
      </c>
      <c r="E3089" s="5" t="s">
        <v>5507</v>
      </c>
      <c r="F3089" s="5" t="str">
        <f t="shared" si="48"/>
        <v>rorjour247.se</v>
      </c>
      <c r="G3089" s="5" t="s">
        <v>4</v>
      </c>
      <c r="H3089" s="5" t="s">
        <v>5</v>
      </c>
      <c r="I3089" s="6">
        <v>45744</v>
      </c>
    </row>
    <row r="3090" spans="1:9" ht="13.5">
      <c r="A3090" s="2" t="s">
        <v>3885</v>
      </c>
      <c r="B3090" s="3"/>
      <c r="C3090" s="4" t="s">
        <v>5508</v>
      </c>
      <c r="D3090" s="4" t="s">
        <v>3967</v>
      </c>
      <c r="E3090" s="5" t="s">
        <v>3968</v>
      </c>
      <c r="F3090" s="5" t="str">
        <f t="shared" si="48"/>
        <v>chattanoogarehab.com</v>
      </c>
      <c r="G3090" s="5" t="s">
        <v>4</v>
      </c>
      <c r="H3090" s="5" t="s">
        <v>345</v>
      </c>
      <c r="I3090" s="6">
        <v>45745</v>
      </c>
    </row>
    <row r="3091" spans="1:9" ht="13.5">
      <c r="A3091" s="2" t="s">
        <v>1318</v>
      </c>
      <c r="B3091" s="3"/>
      <c r="C3091" s="4" t="s">
        <v>5509</v>
      </c>
      <c r="D3091" s="4" t="s">
        <v>5510</v>
      </c>
      <c r="E3091" s="5" t="s">
        <v>5511</v>
      </c>
      <c r="F3091" s="5" t="str">
        <f t="shared" si="48"/>
        <v>spelklubben.se</v>
      </c>
      <c r="G3091" s="5" t="s">
        <v>4</v>
      </c>
      <c r="H3091" s="5" t="s">
        <v>5</v>
      </c>
      <c r="I3091" s="6">
        <v>45747</v>
      </c>
    </row>
    <row r="3092" spans="1:9" ht="13.5">
      <c r="A3092" s="2" t="s">
        <v>4051</v>
      </c>
      <c r="B3092" s="3"/>
      <c r="C3092" s="4" t="s">
        <v>5512</v>
      </c>
      <c r="D3092" s="4" t="s">
        <v>5108</v>
      </c>
      <c r="E3092" s="5" t="s">
        <v>5109</v>
      </c>
      <c r="F3092" s="5" t="str">
        <f t="shared" si="48"/>
        <v>hund.se</v>
      </c>
      <c r="G3092" s="5" t="s">
        <v>4</v>
      </c>
      <c r="H3092" s="5" t="s">
        <v>5</v>
      </c>
      <c r="I3092" s="6">
        <v>45747</v>
      </c>
    </row>
    <row r="3093" spans="1:9" ht="13.5">
      <c r="A3093" s="2" t="s">
        <v>4558</v>
      </c>
      <c r="B3093" s="3"/>
      <c r="C3093" s="4" t="s">
        <v>5513</v>
      </c>
      <c r="D3093" s="4" t="s">
        <v>4813</v>
      </c>
      <c r="E3093" s="5" t="s">
        <v>4561</v>
      </c>
      <c r="F3093" s="5" t="str">
        <f t="shared" si="48"/>
        <v>mockfjards.se</v>
      </c>
      <c r="G3093" s="5" t="s">
        <v>4</v>
      </c>
      <c r="H3093" s="5" t="s">
        <v>5</v>
      </c>
      <c r="I3093" s="6">
        <v>45747</v>
      </c>
    </row>
    <row r="3094" spans="1:9" ht="13.5">
      <c r="A3094" s="2" t="s">
        <v>4219</v>
      </c>
      <c r="B3094" s="3"/>
      <c r="C3094" s="4" t="s">
        <v>5514</v>
      </c>
      <c r="D3094" s="4" t="s">
        <v>4221</v>
      </c>
      <c r="E3094" s="5" t="s">
        <v>4222</v>
      </c>
      <c r="F3094" s="5" t="str">
        <f t="shared" si="48"/>
        <v>clearfuze.com</v>
      </c>
      <c r="G3094" s="5" t="s">
        <v>4</v>
      </c>
      <c r="H3094" s="5" t="s">
        <v>345</v>
      </c>
      <c r="I3094" s="6">
        <v>45747</v>
      </c>
    </row>
    <row r="3095" spans="1:9" ht="13.5">
      <c r="A3095" s="2" t="s">
        <v>4219</v>
      </c>
      <c r="B3095" s="3"/>
      <c r="C3095" s="4" t="s">
        <v>5515</v>
      </c>
      <c r="D3095" s="4" t="s">
        <v>4224</v>
      </c>
      <c r="E3095" s="5" t="s">
        <v>5516</v>
      </c>
      <c r="F3095" s="5" t="str">
        <f t="shared" si="48"/>
        <v>clearfuze.com</v>
      </c>
      <c r="G3095" s="5" t="s">
        <v>4</v>
      </c>
      <c r="H3095" s="5" t="s">
        <v>345</v>
      </c>
      <c r="I3095" s="6">
        <v>45747</v>
      </c>
    </row>
    <row r="3096" spans="1:9" ht="13.5">
      <c r="A3096" s="2" t="s">
        <v>4219</v>
      </c>
      <c r="B3096" s="3"/>
      <c r="C3096" s="4" t="s">
        <v>5517</v>
      </c>
      <c r="D3096" s="4" t="s">
        <v>4224</v>
      </c>
      <c r="E3096" s="5" t="s">
        <v>5516</v>
      </c>
      <c r="F3096" s="5" t="str">
        <f t="shared" si="48"/>
        <v>clearfuze.com</v>
      </c>
      <c r="G3096" s="5" t="s">
        <v>4</v>
      </c>
      <c r="H3096" s="5" t="s">
        <v>345</v>
      </c>
      <c r="I3096" s="6">
        <v>45747</v>
      </c>
    </row>
    <row r="3097" spans="1:9" ht="13.5">
      <c r="A3097" s="7" t="s">
        <v>5361</v>
      </c>
      <c r="B3097" s="3"/>
      <c r="C3097" s="4" t="s">
        <v>5518</v>
      </c>
      <c r="D3097" s="4" t="s">
        <v>5363</v>
      </c>
      <c r="E3097" s="5" t="s">
        <v>5519</v>
      </c>
      <c r="F3097" s="5" t="str">
        <f t="shared" si="48"/>
        <v>Leaptodigital</v>
      </c>
      <c r="G3097" s="5" t="s">
        <v>4</v>
      </c>
      <c r="H3097" s="5" t="s">
        <v>345</v>
      </c>
      <c r="I3097" s="6">
        <v>45747</v>
      </c>
    </row>
    <row r="3098" spans="1:9" ht="13.5">
      <c r="A3098" s="2" t="s">
        <v>1993</v>
      </c>
      <c r="B3098" s="3"/>
      <c r="C3098" s="138" t="s">
        <v>5520</v>
      </c>
      <c r="D3098" s="4" t="s">
        <v>5226</v>
      </c>
      <c r="E3098" s="5" t="s">
        <v>5227</v>
      </c>
      <c r="F3098" s="5" t="str">
        <f t="shared" si="48"/>
        <v>filippa-k.com/se/sv/</v>
      </c>
      <c r="G3098" s="5" t="s">
        <v>4</v>
      </c>
      <c r="H3098" s="5" t="s">
        <v>2355</v>
      </c>
      <c r="I3098" s="6">
        <v>45747</v>
      </c>
    </row>
    <row r="3099" spans="1:9" ht="13.5">
      <c r="A3099" s="2" t="s">
        <v>723</v>
      </c>
      <c r="B3099" s="3"/>
      <c r="C3099" s="4" t="s">
        <v>5521</v>
      </c>
      <c r="D3099" s="4" t="s">
        <v>725</v>
      </c>
      <c r="E3099" s="5" t="s">
        <v>3941</v>
      </c>
      <c r="F3099" s="5" t="str">
        <f t="shared" si="48"/>
        <v>aretrotale.com</v>
      </c>
      <c r="G3099" s="5" t="s">
        <v>4</v>
      </c>
      <c r="H3099" s="5" t="s">
        <v>3496</v>
      </c>
      <c r="I3099" s="6">
        <v>45747</v>
      </c>
    </row>
    <row r="3100" spans="1:9" ht="13.5">
      <c r="A3100" s="2" t="s">
        <v>3186</v>
      </c>
      <c r="B3100" s="3"/>
      <c r="C3100" s="4" t="s">
        <v>5522</v>
      </c>
      <c r="D3100" s="4" t="s">
        <v>4904</v>
      </c>
      <c r="E3100" s="5" t="s">
        <v>3468</v>
      </c>
      <c r="F3100" s="5" t="str">
        <f t="shared" si="48"/>
        <v>myownwater.com</v>
      </c>
      <c r="G3100" s="5" t="s">
        <v>4</v>
      </c>
      <c r="H3100" s="5" t="s">
        <v>345</v>
      </c>
      <c r="I3100" s="6">
        <v>45747</v>
      </c>
    </row>
    <row r="3101" spans="1:9" ht="13.5">
      <c r="A3101" s="2" t="s">
        <v>3186</v>
      </c>
      <c r="B3101" s="3"/>
      <c r="C3101" s="4" t="s">
        <v>5523</v>
      </c>
      <c r="D3101" s="4" t="s">
        <v>4207</v>
      </c>
      <c r="E3101" s="5" t="s">
        <v>4811</v>
      </c>
      <c r="F3101" s="5" t="str">
        <f t="shared" si="48"/>
        <v>myownwater.com</v>
      </c>
      <c r="G3101" s="5" t="s">
        <v>4</v>
      </c>
      <c r="H3101" s="5" t="s">
        <v>345</v>
      </c>
      <c r="I3101" s="6">
        <v>45747</v>
      </c>
    </row>
    <row r="3102" spans="1:9" ht="13.5">
      <c r="A3102" s="2" t="s">
        <v>2348</v>
      </c>
      <c r="B3102" s="3"/>
      <c r="C3102" s="4" t="s">
        <v>5524</v>
      </c>
      <c r="D3102" s="4" t="s">
        <v>2350</v>
      </c>
      <c r="E3102" s="5" t="s">
        <v>4719</v>
      </c>
      <c r="F3102" s="5" t="str">
        <f t="shared" si="48"/>
        <v>mobot.com</v>
      </c>
      <c r="G3102" s="5" t="s">
        <v>4</v>
      </c>
      <c r="H3102" s="5" t="s">
        <v>345</v>
      </c>
      <c r="I3102" s="6">
        <v>45747</v>
      </c>
    </row>
    <row r="3103" spans="1:9" ht="13.5">
      <c r="A3103" s="2" t="s">
        <v>2348</v>
      </c>
      <c r="B3103" s="3"/>
      <c r="C3103" s="4" t="s">
        <v>5525</v>
      </c>
      <c r="D3103" s="4" t="s">
        <v>2350</v>
      </c>
      <c r="E3103" s="5" t="s">
        <v>2351</v>
      </c>
      <c r="F3103" s="5" t="str">
        <f t="shared" si="48"/>
        <v>mobot.com</v>
      </c>
      <c r="G3103" s="5" t="s">
        <v>4</v>
      </c>
      <c r="H3103" s="5" t="s">
        <v>345</v>
      </c>
      <c r="I3103" s="6">
        <v>45747</v>
      </c>
    </row>
    <row r="3104" spans="1:9" ht="13.5">
      <c r="A3104" s="2" t="s">
        <v>3491</v>
      </c>
      <c r="B3104" s="3"/>
      <c r="C3104" s="4" t="s">
        <v>5526</v>
      </c>
      <c r="D3104" s="4" t="s">
        <v>3493</v>
      </c>
      <c r="E3104" s="5" t="s">
        <v>3494</v>
      </c>
      <c r="F3104" s="5" t="str">
        <f t="shared" si="48"/>
        <v>mynicco.com</v>
      </c>
      <c r="G3104" s="5" t="s">
        <v>4</v>
      </c>
      <c r="H3104" s="5" t="s">
        <v>345</v>
      </c>
      <c r="I3104" s="6">
        <v>45747</v>
      </c>
    </row>
    <row r="3105" spans="1:9" ht="13.5">
      <c r="A3105" s="2" t="s">
        <v>3491</v>
      </c>
      <c r="B3105" s="3"/>
      <c r="C3105" s="4" t="s">
        <v>5527</v>
      </c>
      <c r="D3105" s="4" t="s">
        <v>5528</v>
      </c>
      <c r="E3105" s="5" t="s">
        <v>5529</v>
      </c>
      <c r="F3105" s="5" t="str">
        <f t="shared" si="48"/>
        <v>mynicco.com</v>
      </c>
      <c r="G3105" s="5" t="s">
        <v>4</v>
      </c>
      <c r="H3105" s="5" t="s">
        <v>345</v>
      </c>
      <c r="I3105" s="6">
        <v>45747</v>
      </c>
    </row>
    <row r="3106" spans="1:9" ht="13.5">
      <c r="A3106" s="7" t="s">
        <v>1910</v>
      </c>
      <c r="B3106" s="3"/>
      <c r="C3106" s="4" t="s">
        <v>5530</v>
      </c>
      <c r="D3106" s="4" t="s">
        <v>3470</v>
      </c>
      <c r="E3106" s="5" t="s">
        <v>4094</v>
      </c>
      <c r="F3106" s="5" t="str">
        <f t="shared" si="48"/>
        <v>kelleher-international</v>
      </c>
      <c r="G3106" s="5" t="s">
        <v>4</v>
      </c>
      <c r="H3106" s="5" t="s">
        <v>345</v>
      </c>
      <c r="I3106" s="6">
        <v>45747</v>
      </c>
    </row>
    <row r="3107" spans="1:9" ht="13.5">
      <c r="A3107" s="2" t="s">
        <v>4433</v>
      </c>
      <c r="B3107" s="3"/>
      <c r="C3107" s="4" t="s">
        <v>5531</v>
      </c>
      <c r="D3107" s="4" t="s">
        <v>5099</v>
      </c>
      <c r="E3107" s="5" t="s">
        <v>5217</v>
      </c>
      <c r="F3107" s="5" t="str">
        <f t="shared" si="48"/>
        <v>svenskiptv.com</v>
      </c>
      <c r="G3107" s="5" t="s">
        <v>4</v>
      </c>
      <c r="H3107" s="5" t="s">
        <v>5</v>
      </c>
      <c r="I3107" s="6">
        <v>45747</v>
      </c>
    </row>
    <row r="3108" spans="1:9" ht="13.5">
      <c r="A3108" s="2" t="s">
        <v>4433</v>
      </c>
      <c r="B3108" s="3"/>
      <c r="C3108" s="4" t="s">
        <v>5532</v>
      </c>
      <c r="D3108" s="4" t="s">
        <v>5372</v>
      </c>
      <c r="E3108" s="5" t="s">
        <v>5373</v>
      </c>
      <c r="F3108" s="5" t="str">
        <f t="shared" si="48"/>
        <v>svenskiptv.com</v>
      </c>
      <c r="G3108" s="5" t="s">
        <v>4</v>
      </c>
      <c r="H3108" s="5" t="s">
        <v>5</v>
      </c>
      <c r="I3108" s="6">
        <v>45747</v>
      </c>
    </row>
    <row r="3109" spans="1:9" ht="13.5">
      <c r="A3109" s="2" t="s">
        <v>3128</v>
      </c>
      <c r="B3109" s="3"/>
      <c r="C3109" s="138" t="s">
        <v>5533</v>
      </c>
      <c r="D3109" s="138" t="s">
        <v>5154</v>
      </c>
      <c r="E3109" s="72" t="s">
        <v>5534</v>
      </c>
      <c r="F3109" s="5" t="str">
        <f t="shared" si="48"/>
        <v>bethard.com</v>
      </c>
      <c r="G3109" s="5" t="s">
        <v>4</v>
      </c>
      <c r="H3109" s="5" t="s">
        <v>5</v>
      </c>
      <c r="I3109" s="334">
        <v>45747</v>
      </c>
    </row>
    <row r="3110" spans="1:9" ht="13.5">
      <c r="A3110" s="2" t="s">
        <v>5350</v>
      </c>
      <c r="B3110" s="3"/>
      <c r="C3110" s="4" t="s">
        <v>5535</v>
      </c>
      <c r="D3110" s="4" t="s">
        <v>5536</v>
      </c>
      <c r="E3110" s="5" t="s">
        <v>5537</v>
      </c>
      <c r="F3110" s="5" t="str">
        <f t="shared" si="48"/>
        <v>lilla-varlden.se</v>
      </c>
      <c r="G3110" s="5" t="s">
        <v>4</v>
      </c>
      <c r="H3110" s="5" t="s">
        <v>5</v>
      </c>
      <c r="I3110" s="6">
        <v>45748</v>
      </c>
    </row>
    <row r="3111" spans="1:9" ht="13.5">
      <c r="A3111" s="2" t="s">
        <v>5538</v>
      </c>
      <c r="B3111" s="3"/>
      <c r="C3111" s="4" t="s">
        <v>5539</v>
      </c>
      <c r="D3111" s="4" t="s">
        <v>5540</v>
      </c>
      <c r="E3111" s="5" t="s">
        <v>5541</v>
      </c>
      <c r="F3111" s="5" t="str">
        <f t="shared" si="48"/>
        <v>kruunukaluste.fi</v>
      </c>
      <c r="G3111" s="5" t="s">
        <v>4</v>
      </c>
      <c r="H3111" s="5" t="s">
        <v>1618</v>
      </c>
      <c r="I3111" s="6">
        <v>45748</v>
      </c>
    </row>
    <row r="3112" spans="1:9" ht="13.5">
      <c r="A3112" s="2" t="s">
        <v>3086</v>
      </c>
      <c r="B3112" s="3"/>
      <c r="C3112" s="4" t="s">
        <v>5542</v>
      </c>
      <c r="D3112" s="4" t="s">
        <v>3088</v>
      </c>
      <c r="E3112" s="5" t="s">
        <v>5543</v>
      </c>
      <c r="F3112" s="5" t="str">
        <f t="shared" si="48"/>
        <v>himala.ai</v>
      </c>
      <c r="G3112" s="5" t="s">
        <v>4</v>
      </c>
      <c r="H3112" s="5" t="s">
        <v>345</v>
      </c>
      <c r="I3112" s="6">
        <v>45748</v>
      </c>
    </row>
    <row r="3113" spans="1:9" ht="13.5">
      <c r="A3113" s="2" t="s">
        <v>3580</v>
      </c>
      <c r="B3113" s="3"/>
      <c r="C3113" s="4" t="s">
        <v>5544</v>
      </c>
      <c r="D3113" s="4" t="s">
        <v>5312</v>
      </c>
      <c r="E3113" s="5" t="s">
        <v>5313</v>
      </c>
      <c r="F3113" s="5" t="str">
        <f t="shared" si="48"/>
        <v>kleer.se</v>
      </c>
      <c r="G3113" s="5" t="s">
        <v>4</v>
      </c>
      <c r="H3113" s="5" t="s">
        <v>5</v>
      </c>
      <c r="I3113" s="6">
        <v>45749</v>
      </c>
    </row>
    <row r="3114" spans="1:9" ht="13.5">
      <c r="A3114" s="2" t="s">
        <v>5538</v>
      </c>
      <c r="B3114" s="3"/>
      <c r="C3114" s="4" t="s">
        <v>5545</v>
      </c>
      <c r="D3114" s="4" t="s">
        <v>5540</v>
      </c>
      <c r="E3114" s="5" t="s">
        <v>5546</v>
      </c>
      <c r="F3114" s="5" t="str">
        <f t="shared" si="48"/>
        <v>kruunukaluste.fi</v>
      </c>
      <c r="G3114" s="5" t="s">
        <v>4</v>
      </c>
      <c r="H3114" s="5" t="s">
        <v>1618</v>
      </c>
      <c r="I3114" s="6">
        <v>45749</v>
      </c>
    </row>
    <row r="3115" spans="1:9" ht="13.5">
      <c r="A3115" s="2" t="s">
        <v>846</v>
      </c>
      <c r="B3115" s="3"/>
      <c r="C3115" s="4" t="s">
        <v>5547</v>
      </c>
      <c r="D3115" s="4" t="s">
        <v>5548</v>
      </c>
      <c r="E3115" s="5" t="s">
        <v>4909</v>
      </c>
      <c r="F3115" s="5" t="str">
        <f t="shared" si="48"/>
        <v>tandea.se</v>
      </c>
      <c r="G3115" s="5" t="s">
        <v>4</v>
      </c>
      <c r="H3115" s="5" t="s">
        <v>5</v>
      </c>
      <c r="I3115" s="6">
        <v>45749</v>
      </c>
    </row>
    <row r="3116" spans="1:9" ht="13.5">
      <c r="A3116" s="2" t="s">
        <v>4409</v>
      </c>
      <c r="B3116" s="3"/>
      <c r="C3116" s="4" t="s">
        <v>5549</v>
      </c>
      <c r="D3116" s="4" t="s">
        <v>4820</v>
      </c>
      <c r="E3116" s="5" t="s">
        <v>4821</v>
      </c>
      <c r="F3116" s="5" t="str">
        <f t="shared" si="48"/>
        <v>svenskafonster.se</v>
      </c>
      <c r="G3116" s="5" t="s">
        <v>4</v>
      </c>
      <c r="H3116" s="5" t="s">
        <v>5</v>
      </c>
      <c r="I3116" s="6">
        <v>45749</v>
      </c>
    </row>
    <row r="3117" spans="1:9" ht="13.5">
      <c r="A3117" s="2" t="s">
        <v>4135</v>
      </c>
      <c r="B3117" s="3"/>
      <c r="C3117" s="4" t="s">
        <v>5550</v>
      </c>
      <c r="D3117" s="4" t="s">
        <v>5551</v>
      </c>
      <c r="E3117" s="5" t="s">
        <v>4414</v>
      </c>
      <c r="F3117" s="5" t="str">
        <f t="shared" si="48"/>
        <v>aerius.se</v>
      </c>
      <c r="G3117" s="5" t="s">
        <v>4</v>
      </c>
      <c r="H3117" s="5" t="s">
        <v>5</v>
      </c>
      <c r="I3117" s="6">
        <v>45749</v>
      </c>
    </row>
    <row r="3118" spans="1:9" ht="13.5">
      <c r="A3118" s="2" t="s">
        <v>4135</v>
      </c>
      <c r="B3118" s="3"/>
      <c r="C3118" s="4" t="s">
        <v>5552</v>
      </c>
      <c r="D3118" s="4" t="s">
        <v>5553</v>
      </c>
      <c r="E3118" s="5" t="s">
        <v>5554</v>
      </c>
      <c r="F3118" s="5" t="str">
        <f t="shared" si="48"/>
        <v>aerius.se</v>
      </c>
      <c r="G3118" s="5" t="s">
        <v>4</v>
      </c>
      <c r="H3118" s="5" t="s">
        <v>5</v>
      </c>
      <c r="I3118" s="6">
        <v>45749</v>
      </c>
    </row>
    <row r="3119" spans="1:9" ht="13.5">
      <c r="A3119" s="2" t="s">
        <v>2127</v>
      </c>
      <c r="B3119" s="3"/>
      <c r="C3119" s="4" t="s">
        <v>5555</v>
      </c>
      <c r="D3119" s="4" t="s">
        <v>5319</v>
      </c>
      <c r="E3119" s="5" t="s">
        <v>5556</v>
      </c>
      <c r="F3119" s="5" t="str">
        <f t="shared" si="48"/>
        <v>startmotor.se</v>
      </c>
      <c r="G3119" s="5" t="s">
        <v>4</v>
      </c>
      <c r="H3119" s="5" t="s">
        <v>5</v>
      </c>
      <c r="I3119" s="6">
        <v>45749</v>
      </c>
    </row>
    <row r="3120" spans="1:9" ht="13.5">
      <c r="A3120" s="2" t="s">
        <v>5084</v>
      </c>
      <c r="B3120" s="3"/>
      <c r="C3120" s="4" t="s">
        <v>5557</v>
      </c>
      <c r="D3120" s="4" t="s">
        <v>5161</v>
      </c>
      <c r="E3120" s="5" t="s">
        <v>5162</v>
      </c>
      <c r="F3120" s="5" t="str">
        <f t="shared" si="48"/>
        <v>glassfactory.fi</v>
      </c>
      <c r="G3120" s="5" t="s">
        <v>4</v>
      </c>
      <c r="H3120" s="5" t="s">
        <v>5</v>
      </c>
      <c r="I3120" s="6">
        <v>45749</v>
      </c>
    </row>
    <row r="3121" spans="1:9" ht="13.5">
      <c r="A3121" s="2" t="s">
        <v>5084</v>
      </c>
      <c r="B3121" s="3"/>
      <c r="C3121" s="4" t="s">
        <v>5558</v>
      </c>
      <c r="D3121" s="4" t="s">
        <v>5161</v>
      </c>
      <c r="E3121" s="5" t="s">
        <v>5162</v>
      </c>
      <c r="F3121" s="5" t="str">
        <f t="shared" si="48"/>
        <v>glassfactory.fi</v>
      </c>
      <c r="G3121" s="5" t="s">
        <v>4</v>
      </c>
      <c r="H3121" s="5" t="s">
        <v>5</v>
      </c>
      <c r="I3121" s="6">
        <v>45749</v>
      </c>
    </row>
    <row r="3122" spans="1:9" ht="13.5">
      <c r="A3122" s="7" t="s">
        <v>5266</v>
      </c>
      <c r="B3122" s="3"/>
      <c r="C3122" s="4" t="s">
        <v>5559</v>
      </c>
      <c r="D3122" s="4" t="s">
        <v>5268</v>
      </c>
      <c r="E3122" s="5" t="s">
        <v>5560</v>
      </c>
      <c r="F3122" s="5" t="str">
        <f t="shared" si="48"/>
        <v>Tandea Haninge</v>
      </c>
      <c r="G3122" s="5" t="s">
        <v>4</v>
      </c>
      <c r="H3122" s="5" t="s">
        <v>5</v>
      </c>
      <c r="I3122" s="6">
        <v>45749</v>
      </c>
    </row>
    <row r="3123" spans="1:9" ht="13.5">
      <c r="A3123" s="2" t="s">
        <v>3128</v>
      </c>
      <c r="B3123" s="3"/>
      <c r="C3123" s="138" t="s">
        <v>5561</v>
      </c>
      <c r="D3123" s="138" t="s">
        <v>5154</v>
      </c>
      <c r="E3123" s="72" t="s">
        <v>5562</v>
      </c>
      <c r="F3123" s="5" t="str">
        <f t="shared" si="48"/>
        <v>bethard.com</v>
      </c>
      <c r="G3123" s="5" t="s">
        <v>4</v>
      </c>
      <c r="H3123" s="5" t="s">
        <v>5</v>
      </c>
      <c r="I3123" s="334">
        <v>45749</v>
      </c>
    </row>
    <row r="3124" spans="1:9" ht="13.5">
      <c r="A3124" s="2" t="s">
        <v>4558</v>
      </c>
      <c r="B3124" s="3"/>
      <c r="C3124" s="4" t="s">
        <v>5563</v>
      </c>
      <c r="D3124" s="4" t="s">
        <v>4813</v>
      </c>
      <c r="E3124" s="5" t="s">
        <v>4561</v>
      </c>
      <c r="F3124" s="5" t="str">
        <f t="shared" si="48"/>
        <v>mockfjards.se</v>
      </c>
      <c r="G3124" s="5" t="s">
        <v>4</v>
      </c>
      <c r="H3124" s="5" t="s">
        <v>5</v>
      </c>
      <c r="I3124" s="6">
        <v>45750</v>
      </c>
    </row>
    <row r="3125" spans="1:9" ht="13.5">
      <c r="A3125" s="2" t="s">
        <v>4558</v>
      </c>
      <c r="B3125" s="3"/>
      <c r="C3125" s="4" t="s">
        <v>5564</v>
      </c>
      <c r="D3125" s="4" t="s">
        <v>4813</v>
      </c>
      <c r="E3125" s="5" t="s">
        <v>2771</v>
      </c>
      <c r="F3125" s="5" t="str">
        <f t="shared" si="48"/>
        <v>mockfjards.se</v>
      </c>
      <c r="G3125" s="5" t="s">
        <v>4</v>
      </c>
      <c r="H3125" s="5" t="s">
        <v>5</v>
      </c>
      <c r="I3125" s="6">
        <v>45750</v>
      </c>
    </row>
    <row r="3126" spans="1:9" ht="13.5">
      <c r="A3126" s="2" t="s">
        <v>5038</v>
      </c>
      <c r="B3126" s="3"/>
      <c r="C3126" s="4" t="s">
        <v>5565</v>
      </c>
      <c r="D3126" s="4" t="s">
        <v>5038</v>
      </c>
      <c r="E3126" s="5" t="s">
        <v>5566</v>
      </c>
      <c r="F3126" s="5" t="str">
        <f t="shared" si="48"/>
        <v>flygbussarna.se</v>
      </c>
      <c r="G3126" s="5" t="s">
        <v>4</v>
      </c>
      <c r="H3126" s="5" t="s">
        <v>5</v>
      </c>
      <c r="I3126" s="6">
        <v>45751</v>
      </c>
    </row>
    <row r="3127" spans="1:9" ht="13.5">
      <c r="A3127" s="2" t="s">
        <v>3491</v>
      </c>
      <c r="B3127" s="3"/>
      <c r="C3127" s="4" t="s">
        <v>5567</v>
      </c>
      <c r="D3127" s="4" t="s">
        <v>5528</v>
      </c>
      <c r="E3127" s="5" t="s">
        <v>5529</v>
      </c>
      <c r="F3127" s="5" t="str">
        <f t="shared" si="48"/>
        <v>mynicco.com</v>
      </c>
      <c r="G3127" s="5" t="s">
        <v>4</v>
      </c>
      <c r="H3127" s="5" t="s">
        <v>345</v>
      </c>
      <c r="I3127" s="6">
        <v>45751</v>
      </c>
    </row>
    <row r="3128" spans="1:9" ht="13.5">
      <c r="A3128" s="2" t="s">
        <v>3885</v>
      </c>
      <c r="B3128" s="3"/>
      <c r="C3128" s="4" t="s">
        <v>5568</v>
      </c>
      <c r="D3128" s="4" t="s">
        <v>3931</v>
      </c>
      <c r="E3128" s="5" t="s">
        <v>4886</v>
      </c>
      <c r="F3128" s="5" t="str">
        <f t="shared" si="48"/>
        <v>chattanoogarehab.com</v>
      </c>
      <c r="G3128" s="5" t="s">
        <v>4</v>
      </c>
      <c r="H3128" s="5" t="s">
        <v>345</v>
      </c>
      <c r="I3128" s="6">
        <v>45751</v>
      </c>
    </row>
    <row r="3129" spans="1:9" ht="13.5">
      <c r="A3129" s="2" t="s">
        <v>4489</v>
      </c>
      <c r="B3129" s="3"/>
      <c r="C3129" s="4" t="s">
        <v>5569</v>
      </c>
      <c r="D3129" s="4" t="s">
        <v>4955</v>
      </c>
      <c r="E3129" s="5" t="s">
        <v>5259</v>
      </c>
      <c r="F3129" s="5" t="str">
        <f t="shared" si="48"/>
        <v>nordicknots.com</v>
      </c>
      <c r="G3129" s="5" t="s">
        <v>4</v>
      </c>
      <c r="H3129" s="5" t="s">
        <v>345</v>
      </c>
      <c r="I3129" s="6">
        <v>45751</v>
      </c>
    </row>
    <row r="3130" spans="1:9" ht="13.5">
      <c r="A3130" s="2" t="s">
        <v>4489</v>
      </c>
      <c r="B3130" s="3"/>
      <c r="C3130" s="4" t="s">
        <v>5570</v>
      </c>
      <c r="D3130" s="4" t="s">
        <v>4494</v>
      </c>
      <c r="E3130" s="5" t="s">
        <v>5571</v>
      </c>
      <c r="F3130" s="5" t="str">
        <f t="shared" si="48"/>
        <v>nordicknots.com</v>
      </c>
      <c r="G3130" s="5" t="s">
        <v>4</v>
      </c>
      <c r="H3130" s="5" t="s">
        <v>345</v>
      </c>
      <c r="I3130" s="6">
        <v>45751</v>
      </c>
    </row>
    <row r="3131" spans="1:9" ht="13.5">
      <c r="A3131" s="2" t="s">
        <v>4829</v>
      </c>
      <c r="B3131" s="3"/>
      <c r="C3131" s="4" t="s">
        <v>5572</v>
      </c>
      <c r="D3131" s="4" t="s">
        <v>4831</v>
      </c>
      <c r="E3131" s="5" t="s">
        <v>4832</v>
      </c>
      <c r="F3131" s="5" t="str">
        <f t="shared" si="48"/>
        <v>technobark.com</v>
      </c>
      <c r="G3131" s="5" t="s">
        <v>4</v>
      </c>
      <c r="H3131" s="5" t="s">
        <v>345</v>
      </c>
      <c r="I3131" s="6">
        <v>45751</v>
      </c>
    </row>
    <row r="3132" spans="1:9" ht="13.5">
      <c r="A3132" s="2" t="s">
        <v>1615</v>
      </c>
      <c r="B3132" s="3"/>
      <c r="C3132" s="4" t="s">
        <v>5573</v>
      </c>
      <c r="D3132" s="4" t="s">
        <v>1617</v>
      </c>
      <c r="E3132" s="5" t="s">
        <v>1619</v>
      </c>
      <c r="F3132" s="5" t="str">
        <f t="shared" si="48"/>
        <v>kamux.fi</v>
      </c>
      <c r="G3132" s="5" t="s">
        <v>4</v>
      </c>
      <c r="H3132" s="5" t="s">
        <v>1618</v>
      </c>
      <c r="I3132" s="6">
        <v>45751</v>
      </c>
    </row>
    <row r="3133" spans="1:9" ht="13.5">
      <c r="A3133" s="2" t="s">
        <v>4482</v>
      </c>
      <c r="B3133" s="3"/>
      <c r="C3133" s="4" t="s">
        <v>5574</v>
      </c>
      <c r="D3133" s="4" t="s">
        <v>4484</v>
      </c>
      <c r="E3133" s="5" t="s">
        <v>4485</v>
      </c>
      <c r="F3133" s="5" t="str">
        <f t="shared" si="48"/>
        <v>godies.fi</v>
      </c>
      <c r="G3133" s="5" t="s">
        <v>4</v>
      </c>
      <c r="H3133" s="5" t="s">
        <v>1618</v>
      </c>
      <c r="I3133" s="6">
        <v>45751</v>
      </c>
    </row>
    <row r="3134" spans="1:9" ht="13.5">
      <c r="A3134" s="2" t="s">
        <v>4482</v>
      </c>
      <c r="B3134" s="3"/>
      <c r="C3134" s="4" t="s">
        <v>5575</v>
      </c>
      <c r="D3134" s="4" t="s">
        <v>4487</v>
      </c>
      <c r="E3134" s="5" t="s">
        <v>4488</v>
      </c>
      <c r="F3134" s="5" t="str">
        <f t="shared" si="48"/>
        <v>godies.fi</v>
      </c>
      <c r="G3134" s="5" t="s">
        <v>4</v>
      </c>
      <c r="H3134" s="5" t="s">
        <v>1618</v>
      </c>
      <c r="I3134" s="6">
        <v>45751</v>
      </c>
    </row>
    <row r="3135" spans="1:9" ht="13.5">
      <c r="A3135" s="2" t="s">
        <v>3491</v>
      </c>
      <c r="B3135" s="3"/>
      <c r="C3135" s="4" t="s">
        <v>5576</v>
      </c>
      <c r="D3135" s="4" t="s">
        <v>3493</v>
      </c>
      <c r="E3135" s="5" t="s">
        <v>5577</v>
      </c>
      <c r="F3135" s="5" t="str">
        <f t="shared" si="48"/>
        <v>mynicco.com</v>
      </c>
      <c r="G3135" s="5" t="s">
        <v>4</v>
      </c>
      <c r="H3135" s="5" t="s">
        <v>345</v>
      </c>
      <c r="I3135" s="6">
        <v>45751</v>
      </c>
    </row>
    <row r="3136" spans="1:9" ht="13.5">
      <c r="A3136" s="7" t="s">
        <v>1910</v>
      </c>
      <c r="B3136" s="3"/>
      <c r="C3136" s="4" t="s">
        <v>5578</v>
      </c>
      <c r="D3136" s="4" t="s">
        <v>3472</v>
      </c>
      <c r="E3136" s="5" t="s">
        <v>2862</v>
      </c>
      <c r="F3136" s="5" t="str">
        <f t="shared" si="48"/>
        <v>kelleher-international</v>
      </c>
      <c r="G3136" s="5" t="s">
        <v>4</v>
      </c>
      <c r="H3136" s="5" t="s">
        <v>345</v>
      </c>
      <c r="I3136" s="6">
        <v>45751</v>
      </c>
    </row>
    <row r="3137" spans="1:9" ht="13.5">
      <c r="A3137" s="7" t="s">
        <v>4108</v>
      </c>
      <c r="B3137" s="3"/>
      <c r="C3137" s="4" t="s">
        <v>5579</v>
      </c>
      <c r="D3137" s="4" t="s">
        <v>4113</v>
      </c>
      <c r="E3137" s="5" t="s">
        <v>4111</v>
      </c>
      <c r="F3137" s="5" t="str">
        <f t="shared" si="48"/>
        <v>racha-organics</v>
      </c>
      <c r="G3137" s="5" t="s">
        <v>4</v>
      </c>
      <c r="H3137" s="5" t="s">
        <v>345</v>
      </c>
      <c r="I3137" s="6">
        <v>45751</v>
      </c>
    </row>
    <row r="3138" spans="1:9" ht="13.5">
      <c r="A3138" s="2" t="s">
        <v>3086</v>
      </c>
      <c r="B3138" s="3"/>
      <c r="C3138" s="4" t="s">
        <v>5580</v>
      </c>
      <c r="D3138" s="4" t="s">
        <v>3088</v>
      </c>
      <c r="E3138" s="5" t="s">
        <v>4618</v>
      </c>
      <c r="F3138" s="5" t="str">
        <f t="shared" si="48"/>
        <v>himala.ai</v>
      </c>
      <c r="G3138" s="5" t="s">
        <v>4</v>
      </c>
      <c r="H3138" s="5" t="s">
        <v>345</v>
      </c>
      <c r="I3138" s="6">
        <v>45751</v>
      </c>
    </row>
    <row r="3139" spans="1:9" ht="13.5">
      <c r="A3139" s="2" t="s">
        <v>4489</v>
      </c>
      <c r="B3139" s="3"/>
      <c r="C3139" s="4" t="s">
        <v>5581</v>
      </c>
      <c r="D3139" s="8" t="s">
        <v>5582</v>
      </c>
      <c r="E3139" s="5" t="s">
        <v>5571</v>
      </c>
      <c r="F3139" s="5" t="str">
        <f t="shared" ref="F3139:F3202" si="49">A3139</f>
        <v>nordicknots.com</v>
      </c>
      <c r="G3139" s="5" t="s">
        <v>4</v>
      </c>
      <c r="H3139" s="5" t="s">
        <v>345</v>
      </c>
      <c r="I3139" s="6">
        <v>45751</v>
      </c>
    </row>
    <row r="3140" spans="1:9" ht="13.5">
      <c r="A3140" s="2" t="s">
        <v>2549</v>
      </c>
      <c r="B3140" s="3"/>
      <c r="C3140" s="4" t="s">
        <v>5583</v>
      </c>
      <c r="D3140" s="4" t="s">
        <v>3204</v>
      </c>
      <c r="E3140" s="5" t="s">
        <v>3205</v>
      </c>
      <c r="F3140" s="5" t="str">
        <f t="shared" si="49"/>
        <v>purakliniken.se</v>
      </c>
      <c r="G3140" s="5" t="s">
        <v>4</v>
      </c>
      <c r="H3140" s="5" t="s">
        <v>5</v>
      </c>
      <c r="I3140" s="6">
        <v>45754</v>
      </c>
    </row>
    <row r="3141" spans="1:9" ht="13.5">
      <c r="A3141" s="2" t="s">
        <v>3058</v>
      </c>
      <c r="B3141" s="3"/>
      <c r="C3141" s="4" t="s">
        <v>5584</v>
      </c>
      <c r="D3141" s="4" t="s">
        <v>5128</v>
      </c>
      <c r="E3141" s="5" t="s">
        <v>5585</v>
      </c>
      <c r="F3141" s="5" t="str">
        <f t="shared" si="49"/>
        <v>rusta.se</v>
      </c>
      <c r="G3141" s="5" t="s">
        <v>4</v>
      </c>
      <c r="H3141" s="5" t="s">
        <v>5</v>
      </c>
      <c r="I3141" s="6">
        <v>45754</v>
      </c>
    </row>
    <row r="3142" spans="1:9" ht="13.5">
      <c r="A3142" s="2" t="s">
        <v>4558</v>
      </c>
      <c r="B3142" s="3"/>
      <c r="C3142" s="4" t="s">
        <v>5586</v>
      </c>
      <c r="D3142" s="4" t="s">
        <v>4813</v>
      </c>
      <c r="E3142" s="5" t="s">
        <v>4561</v>
      </c>
      <c r="F3142" s="5" t="str">
        <f t="shared" si="49"/>
        <v>mockfjards.se</v>
      </c>
      <c r="G3142" s="5" t="s">
        <v>4</v>
      </c>
      <c r="H3142" s="5" t="s">
        <v>5</v>
      </c>
      <c r="I3142" s="6">
        <v>45754</v>
      </c>
    </row>
    <row r="3143" spans="1:9" ht="13.5">
      <c r="A3143" s="2" t="s">
        <v>4558</v>
      </c>
      <c r="B3143" s="3"/>
      <c r="C3143" s="4" t="s">
        <v>5587</v>
      </c>
      <c r="D3143" s="4" t="s">
        <v>4813</v>
      </c>
      <c r="E3143" s="5" t="s">
        <v>2771</v>
      </c>
      <c r="F3143" s="5" t="str">
        <f t="shared" si="49"/>
        <v>mockfjards.se</v>
      </c>
      <c r="G3143" s="5" t="s">
        <v>4</v>
      </c>
      <c r="H3143" s="5" t="s">
        <v>5</v>
      </c>
      <c r="I3143" s="6">
        <v>45754</v>
      </c>
    </row>
    <row r="3144" spans="1:9" ht="13.5">
      <c r="A3144" s="7" t="s">
        <v>2281</v>
      </c>
      <c r="B3144" s="3"/>
      <c r="C3144" s="4" t="s">
        <v>5588</v>
      </c>
      <c r="D3144" s="4" t="s">
        <v>4946</v>
      </c>
      <c r="E3144" s="5" t="s">
        <v>4947</v>
      </c>
      <c r="F3144" s="5" t="str">
        <f t="shared" si="49"/>
        <v>tandläkare.se</v>
      </c>
      <c r="G3144" s="5" t="s">
        <v>4</v>
      </c>
      <c r="H3144" s="5" t="s">
        <v>5</v>
      </c>
      <c r="I3144" s="6">
        <v>45754</v>
      </c>
    </row>
    <row r="3145" spans="1:9" ht="13.5">
      <c r="A3145" s="2" t="s">
        <v>5589</v>
      </c>
      <c r="B3145" s="3"/>
      <c r="C3145" s="4" t="s">
        <v>5590</v>
      </c>
      <c r="D3145" s="4" t="s">
        <v>5591</v>
      </c>
      <c r="E3145" s="5" t="s">
        <v>5592</v>
      </c>
      <c r="F3145" s="5" t="str">
        <f t="shared" si="49"/>
        <v>dbet.com</v>
      </c>
      <c r="G3145" s="5" t="s">
        <v>4</v>
      </c>
      <c r="H3145" s="5" t="s">
        <v>5</v>
      </c>
      <c r="I3145" s="6">
        <v>45754</v>
      </c>
    </row>
    <row r="3146" spans="1:9" ht="13.5">
      <c r="A3146" s="2" t="s">
        <v>1318</v>
      </c>
      <c r="B3146" s="3"/>
      <c r="C3146" s="8" t="s">
        <v>5593</v>
      </c>
      <c r="D3146" s="8" t="s">
        <v>1318</v>
      </c>
      <c r="E3146" s="5" t="s">
        <v>2016</v>
      </c>
      <c r="F3146" s="5" t="str">
        <f t="shared" si="49"/>
        <v>spelklubben.se</v>
      </c>
      <c r="G3146" s="5" t="s">
        <v>34</v>
      </c>
      <c r="H3146" s="5" t="s">
        <v>5</v>
      </c>
      <c r="I3146" s="6">
        <v>45755</v>
      </c>
    </row>
    <row r="3147" spans="1:9" ht="13.5">
      <c r="A3147" s="2" t="s">
        <v>3761</v>
      </c>
      <c r="B3147" s="3"/>
      <c r="C3147" s="5" t="s">
        <v>5594</v>
      </c>
      <c r="D3147" s="5" t="s">
        <v>3846</v>
      </c>
      <c r="E3147" s="5" t="s">
        <v>5595</v>
      </c>
      <c r="F3147" s="5" t="str">
        <f t="shared" si="49"/>
        <v>hajper.com</v>
      </c>
      <c r="G3147" s="5" t="s">
        <v>4</v>
      </c>
      <c r="H3147" s="5" t="s">
        <v>5</v>
      </c>
      <c r="I3147" s="6">
        <v>45755</v>
      </c>
    </row>
    <row r="3148" spans="1:9" ht="13.5">
      <c r="A3148" s="2" t="s">
        <v>4409</v>
      </c>
      <c r="B3148" s="3"/>
      <c r="C3148" s="4" t="s">
        <v>5596</v>
      </c>
      <c r="D3148" s="4" t="s">
        <v>4532</v>
      </c>
      <c r="E3148" s="5" t="s">
        <v>4737</v>
      </c>
      <c r="F3148" s="5" t="str">
        <f t="shared" si="49"/>
        <v>svenskafonster.se</v>
      </c>
      <c r="G3148" s="5" t="s">
        <v>4</v>
      </c>
      <c r="H3148" s="5" t="s">
        <v>5</v>
      </c>
      <c r="I3148" s="6">
        <v>45756</v>
      </c>
    </row>
    <row r="3149" spans="1:9" ht="13.5">
      <c r="A3149" s="2" t="s">
        <v>435</v>
      </c>
      <c r="B3149" s="3"/>
      <c r="C3149" s="4" t="s">
        <v>5597</v>
      </c>
      <c r="D3149" s="4" t="s">
        <v>5490</v>
      </c>
      <c r="E3149" s="5" t="s">
        <v>839</v>
      </c>
      <c r="F3149" s="5" t="str">
        <f t="shared" si="49"/>
        <v>fairinvestments.se</v>
      </c>
      <c r="G3149" s="5" t="s">
        <v>4</v>
      </c>
      <c r="H3149" s="5" t="s">
        <v>5</v>
      </c>
      <c r="I3149" s="6">
        <v>45756</v>
      </c>
    </row>
    <row r="3150" spans="1:9" ht="13.5">
      <c r="A3150" s="2" t="s">
        <v>3580</v>
      </c>
      <c r="B3150" s="3"/>
      <c r="C3150" s="4" t="s">
        <v>5598</v>
      </c>
      <c r="D3150" s="4" t="s">
        <v>5404</v>
      </c>
      <c r="E3150" s="5" t="s">
        <v>4757</v>
      </c>
      <c r="F3150" s="5" t="str">
        <f t="shared" si="49"/>
        <v>kleer.se</v>
      </c>
      <c r="G3150" s="5" t="s">
        <v>4</v>
      </c>
      <c r="H3150" s="5" t="s">
        <v>5</v>
      </c>
      <c r="I3150" s="6">
        <v>45756</v>
      </c>
    </row>
    <row r="3151" spans="1:9" ht="13.5">
      <c r="A3151" s="2" t="s">
        <v>3743</v>
      </c>
      <c r="B3151" s="3"/>
      <c r="C3151" s="105" t="s">
        <v>5599</v>
      </c>
      <c r="D3151" s="4" t="s">
        <v>4383</v>
      </c>
      <c r="E3151" s="5" t="s">
        <v>4384</v>
      </c>
      <c r="F3151" s="5" t="str">
        <f t="shared" si="49"/>
        <v>acnespecialisten.se</v>
      </c>
      <c r="G3151" s="5" t="s">
        <v>4</v>
      </c>
      <c r="H3151" s="5" t="s">
        <v>5</v>
      </c>
      <c r="I3151" s="6">
        <v>45756</v>
      </c>
    </row>
    <row r="3152" spans="1:9" ht="14.25" customHeight="1">
      <c r="A3152" s="2" t="s">
        <v>4135</v>
      </c>
      <c r="B3152" s="3"/>
      <c r="C3152" s="105" t="s">
        <v>5600</v>
      </c>
      <c r="D3152" s="4" t="s">
        <v>4368</v>
      </c>
      <c r="E3152" s="5" t="s">
        <v>4369</v>
      </c>
      <c r="F3152" s="5" t="str">
        <f t="shared" si="49"/>
        <v>aerius.se</v>
      </c>
      <c r="G3152" s="5" t="s">
        <v>4</v>
      </c>
      <c r="H3152" s="5" t="s">
        <v>5</v>
      </c>
      <c r="I3152" s="6">
        <v>45756</v>
      </c>
    </row>
    <row r="3153" spans="1:9" ht="13.5">
      <c r="A3153" s="2" t="s">
        <v>171</v>
      </c>
      <c r="B3153" s="3"/>
      <c r="C3153" s="105" t="s">
        <v>5601</v>
      </c>
      <c r="D3153" s="4" t="s">
        <v>1095</v>
      </c>
      <c r="E3153" s="5" t="s">
        <v>1533</v>
      </c>
      <c r="F3153" s="5" t="str">
        <f t="shared" si="49"/>
        <v>arctic.se</v>
      </c>
      <c r="G3153" s="5" t="s">
        <v>4</v>
      </c>
      <c r="H3153" s="5" t="s">
        <v>5</v>
      </c>
      <c r="I3153" s="6">
        <v>45756</v>
      </c>
    </row>
    <row r="3154" spans="1:9" ht="13.5">
      <c r="A3154" s="2" t="s">
        <v>171</v>
      </c>
      <c r="B3154" s="3"/>
      <c r="C3154" s="105" t="s">
        <v>5602</v>
      </c>
      <c r="D3154" s="4" t="s">
        <v>1095</v>
      </c>
      <c r="E3154" s="5" t="s">
        <v>2856</v>
      </c>
      <c r="F3154" s="5" t="str">
        <f t="shared" si="49"/>
        <v>arctic.se</v>
      </c>
      <c r="G3154" s="5" t="s">
        <v>4</v>
      </c>
      <c r="H3154" s="5" t="s">
        <v>5</v>
      </c>
      <c r="I3154" s="6">
        <v>45756</v>
      </c>
    </row>
    <row r="3155" spans="1:9" ht="13.5">
      <c r="A3155" s="2" t="s">
        <v>4458</v>
      </c>
      <c r="B3155" s="3"/>
      <c r="C3155" s="105" t="s">
        <v>5603</v>
      </c>
      <c r="D3155" s="4" t="s">
        <v>4460</v>
      </c>
      <c r="E3155" s="5" t="s">
        <v>2234</v>
      </c>
      <c r="F3155" s="5" t="str">
        <f t="shared" si="49"/>
        <v>cdbilvardsprodukter.se</v>
      </c>
      <c r="G3155" s="5" t="s">
        <v>4</v>
      </c>
      <c r="H3155" s="5" t="s">
        <v>5</v>
      </c>
      <c r="I3155" s="6">
        <v>45756</v>
      </c>
    </row>
    <row r="3156" spans="1:9" ht="13.5">
      <c r="A3156" s="2" t="s">
        <v>4458</v>
      </c>
      <c r="B3156" s="3"/>
      <c r="C3156" s="105" t="s">
        <v>5604</v>
      </c>
      <c r="D3156" s="4" t="s">
        <v>4460</v>
      </c>
      <c r="E3156" s="5" t="s">
        <v>2234</v>
      </c>
      <c r="F3156" s="5" t="str">
        <f t="shared" si="49"/>
        <v>cdbilvardsprodukter.se</v>
      </c>
      <c r="G3156" s="5" t="s">
        <v>4</v>
      </c>
      <c r="H3156" s="5" t="s">
        <v>5</v>
      </c>
      <c r="I3156" s="6">
        <v>45756</v>
      </c>
    </row>
    <row r="3157" spans="1:9" ht="13.5">
      <c r="A3157" s="2" t="s">
        <v>3173</v>
      </c>
      <c r="B3157" s="3"/>
      <c r="C3157" s="105" t="s">
        <v>5605</v>
      </c>
      <c r="D3157" s="4" t="s">
        <v>3175</v>
      </c>
      <c r="E3157" s="5" t="s">
        <v>3217</v>
      </c>
      <c r="F3157" s="5" t="str">
        <f t="shared" si="49"/>
        <v>ekstromgaray.se</v>
      </c>
      <c r="G3157" s="5" t="s">
        <v>4</v>
      </c>
      <c r="H3157" s="5" t="s">
        <v>5</v>
      </c>
      <c r="I3157" s="6">
        <v>45756</v>
      </c>
    </row>
    <row r="3158" spans="1:9" ht="13.5">
      <c r="A3158" s="2" t="s">
        <v>435</v>
      </c>
      <c r="B3158" s="3"/>
      <c r="C3158" s="105" t="s">
        <v>5606</v>
      </c>
      <c r="D3158" s="4" t="s">
        <v>435</v>
      </c>
      <c r="E3158" s="5" t="s">
        <v>839</v>
      </c>
      <c r="F3158" s="5" t="str">
        <f t="shared" si="49"/>
        <v>fairinvestments.se</v>
      </c>
      <c r="G3158" s="5" t="s">
        <v>4</v>
      </c>
      <c r="H3158" s="5" t="s">
        <v>5</v>
      </c>
      <c r="I3158" s="6">
        <v>45756</v>
      </c>
    </row>
    <row r="3159" spans="1:9" ht="13.5">
      <c r="A3159" s="2" t="s">
        <v>435</v>
      </c>
      <c r="B3159" s="3"/>
      <c r="C3159" s="105" t="s">
        <v>5607</v>
      </c>
      <c r="D3159" s="4" t="s">
        <v>435</v>
      </c>
      <c r="E3159" s="5" t="s">
        <v>839</v>
      </c>
      <c r="F3159" s="5" t="str">
        <f t="shared" si="49"/>
        <v>fairinvestments.se</v>
      </c>
      <c r="G3159" s="5" t="s">
        <v>4</v>
      </c>
      <c r="H3159" s="5" t="s">
        <v>5</v>
      </c>
      <c r="I3159" s="6">
        <v>45756</v>
      </c>
    </row>
    <row r="3160" spans="1:9" ht="13.5">
      <c r="A3160" s="2" t="s">
        <v>435</v>
      </c>
      <c r="B3160" s="3"/>
      <c r="C3160" s="105" t="s">
        <v>5608</v>
      </c>
      <c r="D3160" s="4" t="s">
        <v>435</v>
      </c>
      <c r="E3160" s="5" t="s">
        <v>839</v>
      </c>
      <c r="F3160" s="5" t="str">
        <f t="shared" si="49"/>
        <v>fairinvestments.se</v>
      </c>
      <c r="G3160" s="5" t="s">
        <v>4</v>
      </c>
      <c r="H3160" s="5" t="s">
        <v>5</v>
      </c>
      <c r="I3160" s="6">
        <v>45756</v>
      </c>
    </row>
    <row r="3161" spans="1:9" ht="13.5">
      <c r="A3161" s="2" t="s">
        <v>435</v>
      </c>
      <c r="B3161" s="3"/>
      <c r="C3161" s="105" t="s">
        <v>5609</v>
      </c>
      <c r="D3161" s="4" t="s">
        <v>435</v>
      </c>
      <c r="E3161" s="5" t="s">
        <v>839</v>
      </c>
      <c r="F3161" s="5" t="str">
        <f t="shared" si="49"/>
        <v>fairinvestments.se</v>
      </c>
      <c r="G3161" s="5" t="s">
        <v>4</v>
      </c>
      <c r="H3161" s="5" t="s">
        <v>5</v>
      </c>
      <c r="I3161" s="6">
        <v>45756</v>
      </c>
    </row>
    <row r="3162" spans="1:9" ht="13.5">
      <c r="A3162" s="2" t="s">
        <v>308</v>
      </c>
      <c r="B3162" s="3"/>
      <c r="C3162" s="105" t="s">
        <v>5610</v>
      </c>
      <c r="D3162" s="4" t="s">
        <v>1395</v>
      </c>
      <c r="E3162" s="5" t="s">
        <v>2489</v>
      </c>
      <c r="F3162" s="5" t="str">
        <f t="shared" si="49"/>
        <v>lansfast.se</v>
      </c>
      <c r="G3162" s="5" t="s">
        <v>4</v>
      </c>
      <c r="H3162" s="5" t="s">
        <v>5</v>
      </c>
      <c r="I3162" s="6">
        <v>45756</v>
      </c>
    </row>
    <row r="3163" spans="1:9" ht="13.5">
      <c r="A3163" s="2" t="s">
        <v>308</v>
      </c>
      <c r="B3163" s="3"/>
      <c r="C3163" s="87" t="s">
        <v>5611</v>
      </c>
      <c r="D3163" s="4" t="s">
        <v>1395</v>
      </c>
      <c r="E3163" s="5" t="s">
        <v>2489</v>
      </c>
      <c r="F3163" s="5" t="str">
        <f t="shared" si="49"/>
        <v>lansfast.se</v>
      </c>
      <c r="G3163" s="5" t="s">
        <v>4</v>
      </c>
      <c r="H3163" s="5" t="s">
        <v>5</v>
      </c>
      <c r="I3163" s="6">
        <v>45756</v>
      </c>
    </row>
    <row r="3164" spans="1:9" ht="13.9">
      <c r="A3164" s="2" t="s">
        <v>4051</v>
      </c>
      <c r="B3164" s="3"/>
      <c r="C3164" s="335" t="s">
        <v>5612</v>
      </c>
      <c r="D3164" s="4" t="s">
        <v>4051</v>
      </c>
      <c r="E3164" s="9" t="s">
        <v>4051</v>
      </c>
      <c r="F3164" s="5" t="str">
        <f t="shared" si="49"/>
        <v>hund.se</v>
      </c>
      <c r="G3164" s="5" t="s">
        <v>4</v>
      </c>
      <c r="H3164" s="5" t="s">
        <v>5</v>
      </c>
      <c r="I3164" s="6">
        <v>45756</v>
      </c>
    </row>
    <row r="3165" spans="1:9" ht="13.5">
      <c r="A3165" s="2" t="s">
        <v>3580</v>
      </c>
      <c r="B3165" s="3"/>
      <c r="C3165" s="87" t="s">
        <v>5613</v>
      </c>
      <c r="D3165" s="4" t="s">
        <v>5312</v>
      </c>
      <c r="E3165" s="5" t="s">
        <v>5313</v>
      </c>
      <c r="F3165" s="5" t="str">
        <f t="shared" si="49"/>
        <v>kleer.se</v>
      </c>
      <c r="G3165" s="5" t="s">
        <v>4</v>
      </c>
      <c r="H3165" s="5" t="s">
        <v>5</v>
      </c>
      <c r="I3165" s="6">
        <v>45756</v>
      </c>
    </row>
    <row r="3166" spans="1:9" ht="13.5">
      <c r="A3166" s="2" t="s">
        <v>2549</v>
      </c>
      <c r="B3166" s="3"/>
      <c r="C3166" s="336" t="s">
        <v>5614</v>
      </c>
      <c r="D3166" s="4" t="s">
        <v>3204</v>
      </c>
      <c r="E3166" s="5" t="s">
        <v>3205</v>
      </c>
      <c r="F3166" s="5" t="str">
        <f t="shared" si="49"/>
        <v>purakliniken.se</v>
      </c>
      <c r="G3166" s="5" t="s">
        <v>4</v>
      </c>
      <c r="H3166" s="5" t="s">
        <v>5</v>
      </c>
      <c r="I3166" s="6">
        <v>45756</v>
      </c>
    </row>
    <row r="3167" spans="1:9" ht="13.5">
      <c r="A3167" s="2" t="s">
        <v>3058</v>
      </c>
      <c r="B3167" s="3"/>
      <c r="C3167" s="87" t="s">
        <v>5615</v>
      </c>
      <c r="D3167" s="4" t="s">
        <v>3063</v>
      </c>
      <c r="E3167" s="5" t="s">
        <v>3064</v>
      </c>
      <c r="F3167" s="5" t="str">
        <f t="shared" si="49"/>
        <v>rusta.se</v>
      </c>
      <c r="G3167" s="5" t="s">
        <v>4</v>
      </c>
      <c r="H3167" s="5" t="s">
        <v>5</v>
      </c>
      <c r="I3167" s="6">
        <v>45756</v>
      </c>
    </row>
    <row r="3168" spans="1:9" ht="13.5">
      <c r="A3168" s="2" t="s">
        <v>3058</v>
      </c>
      <c r="B3168" s="3"/>
      <c r="C3168" s="105" t="s">
        <v>5616</v>
      </c>
      <c r="D3168" s="4" t="s">
        <v>3060</v>
      </c>
      <c r="E3168" s="5" t="s">
        <v>3061</v>
      </c>
      <c r="F3168" s="5" t="str">
        <f t="shared" si="49"/>
        <v>rusta.se</v>
      </c>
      <c r="G3168" s="5" t="s">
        <v>4</v>
      </c>
      <c r="H3168" s="5" t="s">
        <v>5</v>
      </c>
      <c r="I3168" s="6">
        <v>45756</v>
      </c>
    </row>
    <row r="3169" spans="1:9" ht="13.5">
      <c r="A3169" s="2" t="s">
        <v>3058</v>
      </c>
      <c r="B3169" s="3"/>
      <c r="C3169" s="105" t="s">
        <v>5617</v>
      </c>
      <c r="D3169" s="4" t="s">
        <v>5034</v>
      </c>
      <c r="E3169" s="5" t="s">
        <v>14</v>
      </c>
      <c r="F3169" s="5" t="str">
        <f t="shared" si="49"/>
        <v>rusta.se</v>
      </c>
      <c r="G3169" s="5" t="s">
        <v>4</v>
      </c>
      <c r="H3169" s="5" t="s">
        <v>5</v>
      </c>
      <c r="I3169" s="6">
        <v>45756</v>
      </c>
    </row>
    <row r="3170" spans="1:9" ht="13.5">
      <c r="A3170" s="2" t="s">
        <v>2127</v>
      </c>
      <c r="B3170" s="3"/>
      <c r="C3170" s="105" t="s">
        <v>5618</v>
      </c>
      <c r="D3170" s="4" t="s">
        <v>5319</v>
      </c>
      <c r="E3170" s="5" t="s">
        <v>4999</v>
      </c>
      <c r="F3170" s="5" t="str">
        <f t="shared" si="49"/>
        <v>startmotor.se</v>
      </c>
      <c r="G3170" s="5" t="s">
        <v>4</v>
      </c>
      <c r="H3170" s="5" t="s">
        <v>5</v>
      </c>
      <c r="I3170" s="6">
        <v>45756</v>
      </c>
    </row>
    <row r="3171" spans="1:9" ht="13.5">
      <c r="A3171" s="2" t="s">
        <v>2127</v>
      </c>
      <c r="B3171" s="3"/>
      <c r="C3171" s="105" t="s">
        <v>5619</v>
      </c>
      <c r="D3171" s="4" t="s">
        <v>5321</v>
      </c>
      <c r="E3171" s="5" t="s">
        <v>5322</v>
      </c>
      <c r="F3171" s="5" t="str">
        <f t="shared" si="49"/>
        <v>startmotor.se</v>
      </c>
      <c r="G3171" s="5" t="s">
        <v>4</v>
      </c>
      <c r="H3171" s="5" t="s">
        <v>5</v>
      </c>
      <c r="I3171" s="6">
        <v>45756</v>
      </c>
    </row>
    <row r="3172" spans="1:9" ht="13.5">
      <c r="A3172" s="7" t="s">
        <v>3747</v>
      </c>
      <c r="B3172" s="3"/>
      <c r="C3172" s="105" t="s">
        <v>5620</v>
      </c>
      <c r="D3172" s="4" t="s">
        <v>3749</v>
      </c>
      <c r="E3172" s="5" t="s">
        <v>3750</v>
      </c>
      <c r="F3172" s="5" t="str">
        <f t="shared" si="49"/>
        <v>supernormal.health</v>
      </c>
      <c r="G3172" s="5" t="s">
        <v>4</v>
      </c>
      <c r="H3172" s="5" t="s">
        <v>5</v>
      </c>
      <c r="I3172" s="6">
        <v>45756</v>
      </c>
    </row>
    <row r="3173" spans="1:9" ht="13.5">
      <c r="A3173" s="2" t="s">
        <v>3824</v>
      </c>
      <c r="B3173" s="3"/>
      <c r="C3173" s="105" t="s">
        <v>5621</v>
      </c>
      <c r="D3173" s="4" t="s">
        <v>4358</v>
      </c>
      <c r="E3173" s="5" t="s">
        <v>5325</v>
      </c>
      <c r="F3173" s="5" t="str">
        <f t="shared" si="49"/>
        <v>swedenlongstay.se</v>
      </c>
      <c r="G3173" s="5" t="s">
        <v>4</v>
      </c>
      <c r="H3173" s="5" t="s">
        <v>5</v>
      </c>
      <c r="I3173" s="6">
        <v>45756</v>
      </c>
    </row>
    <row r="3174" spans="1:9" ht="13.5">
      <c r="A3174" s="2" t="s">
        <v>3824</v>
      </c>
      <c r="B3174" s="3"/>
      <c r="C3174" s="105" t="s">
        <v>5622</v>
      </c>
      <c r="D3174" s="4" t="s">
        <v>5327</v>
      </c>
      <c r="E3174" s="5" t="s">
        <v>5328</v>
      </c>
      <c r="F3174" s="5" t="str">
        <f t="shared" si="49"/>
        <v>swedenlongstay.se</v>
      </c>
      <c r="G3174" s="5" t="s">
        <v>4</v>
      </c>
      <c r="H3174" s="5" t="s">
        <v>5</v>
      </c>
      <c r="I3174" s="6">
        <v>45756</v>
      </c>
    </row>
    <row r="3175" spans="1:9" ht="13.5">
      <c r="A3175" s="7" t="s">
        <v>224</v>
      </c>
      <c r="B3175" s="3"/>
      <c r="C3175" s="105" t="s">
        <v>5623</v>
      </c>
      <c r="D3175" s="4" t="s">
        <v>461</v>
      </c>
      <c r="E3175" s="5" t="s">
        <v>1117</v>
      </c>
      <c r="F3175" s="5" t="str">
        <f t="shared" si="49"/>
        <v>swedoffice</v>
      </c>
      <c r="G3175" s="5" t="s">
        <v>4</v>
      </c>
      <c r="H3175" s="5" t="s">
        <v>5</v>
      </c>
      <c r="I3175" s="6">
        <v>45756</v>
      </c>
    </row>
    <row r="3176" spans="1:9" ht="13.5">
      <c r="A3176" s="7" t="s">
        <v>224</v>
      </c>
      <c r="B3176" s="3"/>
      <c r="C3176" s="105" t="s">
        <v>5624</v>
      </c>
      <c r="D3176" s="4" t="s">
        <v>226</v>
      </c>
      <c r="E3176" s="5" t="s">
        <v>368</v>
      </c>
      <c r="F3176" s="5" t="str">
        <f t="shared" si="49"/>
        <v>swedoffice</v>
      </c>
      <c r="G3176" s="5" t="s">
        <v>4</v>
      </c>
      <c r="H3176" s="5" t="s">
        <v>5</v>
      </c>
      <c r="I3176" s="6">
        <v>45756</v>
      </c>
    </row>
    <row r="3177" spans="1:9" ht="13.5">
      <c r="A3177" s="2" t="s">
        <v>2428</v>
      </c>
      <c r="B3177" s="3"/>
      <c r="C3177" s="105" t="s">
        <v>5625</v>
      </c>
      <c r="D3177" s="4" t="s">
        <v>5081</v>
      </c>
      <c r="E3177" s="5" t="s">
        <v>5331</v>
      </c>
      <c r="F3177" s="5" t="str">
        <f t="shared" si="49"/>
        <v>sakraror.se</v>
      </c>
      <c r="G3177" s="5" t="s">
        <v>4</v>
      </c>
      <c r="H3177" s="5" t="s">
        <v>5</v>
      </c>
      <c r="I3177" s="6">
        <v>45756</v>
      </c>
    </row>
    <row r="3178" spans="1:9" ht="13.5">
      <c r="A3178" s="2" t="s">
        <v>2428</v>
      </c>
      <c r="B3178" s="3"/>
      <c r="C3178" s="105" t="s">
        <v>5626</v>
      </c>
      <c r="D3178" s="4" t="s">
        <v>4762</v>
      </c>
      <c r="E3178" s="5" t="s">
        <v>3446</v>
      </c>
      <c r="F3178" s="5" t="str">
        <f t="shared" si="49"/>
        <v>sakraror.se</v>
      </c>
      <c r="G3178" s="5" t="s">
        <v>4</v>
      </c>
      <c r="H3178" s="5" t="s">
        <v>5</v>
      </c>
      <c r="I3178" s="6">
        <v>45756</v>
      </c>
    </row>
    <row r="3179" spans="1:9" ht="13.5">
      <c r="A3179" s="2" t="s">
        <v>325</v>
      </c>
      <c r="B3179" s="3"/>
      <c r="C3179" s="105" t="s">
        <v>5627</v>
      </c>
      <c r="D3179" s="4" t="s">
        <v>1244</v>
      </c>
      <c r="E3179" s="5" t="s">
        <v>463</v>
      </c>
      <c r="F3179" s="5" t="str">
        <f t="shared" si="49"/>
        <v>tiotak.se</v>
      </c>
      <c r="G3179" s="5" t="s">
        <v>4</v>
      </c>
      <c r="H3179" s="5" t="s">
        <v>5</v>
      </c>
      <c r="I3179" s="6">
        <v>45756</v>
      </c>
    </row>
    <row r="3180" spans="1:9" ht="13.5">
      <c r="A3180" s="2" t="s">
        <v>325</v>
      </c>
      <c r="B3180" s="3"/>
      <c r="C3180" s="105" t="s">
        <v>5628</v>
      </c>
      <c r="D3180" s="4" t="s">
        <v>873</v>
      </c>
      <c r="E3180" s="5" t="s">
        <v>2922</v>
      </c>
      <c r="F3180" s="5" t="str">
        <f t="shared" si="49"/>
        <v>tiotak.se</v>
      </c>
      <c r="G3180" s="5" t="s">
        <v>4</v>
      </c>
      <c r="H3180" s="5" t="s">
        <v>5</v>
      </c>
      <c r="I3180" s="6">
        <v>45756</v>
      </c>
    </row>
    <row r="3181" spans="1:9" ht="13.5">
      <c r="A3181" s="2" t="s">
        <v>4553</v>
      </c>
      <c r="B3181" s="3"/>
      <c r="C3181" s="105" t="s">
        <v>5629</v>
      </c>
      <c r="D3181" s="4" t="s">
        <v>4553</v>
      </c>
      <c r="E3181" s="5" t="s">
        <v>5335</v>
      </c>
      <c r="F3181" s="5" t="str">
        <f t="shared" si="49"/>
        <v>tkw.se</v>
      </c>
      <c r="G3181" s="5" t="s">
        <v>4</v>
      </c>
      <c r="H3181" s="5" t="s">
        <v>5</v>
      </c>
      <c r="I3181" s="6">
        <v>45756</v>
      </c>
    </row>
    <row r="3182" spans="1:9" ht="13.5">
      <c r="A3182" s="2" t="s">
        <v>4553</v>
      </c>
      <c r="B3182" s="3"/>
      <c r="C3182" s="105" t="s">
        <v>5630</v>
      </c>
      <c r="D3182" s="4" t="s">
        <v>4553</v>
      </c>
      <c r="E3182" s="5" t="s">
        <v>5335</v>
      </c>
      <c r="F3182" s="5" t="str">
        <f t="shared" si="49"/>
        <v>tkw.se</v>
      </c>
      <c r="G3182" s="5" t="s">
        <v>4</v>
      </c>
      <c r="H3182" s="5" t="s">
        <v>5</v>
      </c>
      <c r="I3182" s="6">
        <v>45756</v>
      </c>
    </row>
    <row r="3183" spans="1:9" ht="13.5">
      <c r="A3183" s="2" t="s">
        <v>535</v>
      </c>
      <c r="B3183" s="3"/>
      <c r="C3183" s="105" t="s">
        <v>5631</v>
      </c>
      <c r="D3183" s="4" t="s">
        <v>2806</v>
      </c>
      <c r="E3183" s="5" t="s">
        <v>2807</v>
      </c>
      <c r="F3183" s="5" t="str">
        <f t="shared" si="49"/>
        <v>tryggbil.se</v>
      </c>
      <c r="G3183" s="5" t="s">
        <v>4</v>
      </c>
      <c r="H3183" s="5" t="s">
        <v>5</v>
      </c>
      <c r="I3183" s="6">
        <v>45756</v>
      </c>
    </row>
    <row r="3184" spans="1:9" ht="13.5">
      <c r="A3184" s="2" t="s">
        <v>4055</v>
      </c>
      <c r="B3184" s="3"/>
      <c r="C3184" s="105" t="s">
        <v>5632</v>
      </c>
      <c r="D3184" s="4" t="s">
        <v>4057</v>
      </c>
      <c r="E3184" s="5" t="s">
        <v>4363</v>
      </c>
      <c r="F3184" s="5" t="str">
        <f t="shared" si="49"/>
        <v>skidvalla.se</v>
      </c>
      <c r="G3184" s="5" t="s">
        <v>4</v>
      </c>
      <c r="H3184" s="5" t="s">
        <v>5</v>
      </c>
      <c r="I3184" s="6">
        <v>45756</v>
      </c>
    </row>
    <row r="3185" spans="1:9" ht="13.5">
      <c r="A3185" s="7" t="s">
        <v>2281</v>
      </c>
      <c r="B3185" s="3"/>
      <c r="C3185" s="105" t="s">
        <v>5633</v>
      </c>
      <c r="D3185" s="4" t="s">
        <v>2283</v>
      </c>
      <c r="E3185" s="5" t="s">
        <v>963</v>
      </c>
      <c r="F3185" s="5" t="str">
        <f t="shared" si="49"/>
        <v>tandläkare.se</v>
      </c>
      <c r="G3185" s="5" t="s">
        <v>4</v>
      </c>
      <c r="H3185" s="5" t="s">
        <v>5</v>
      </c>
      <c r="I3185" s="6">
        <v>45756</v>
      </c>
    </row>
    <row r="3186" spans="1:9" ht="13.5">
      <c r="A3186" s="7" t="s">
        <v>2281</v>
      </c>
      <c r="B3186" s="3"/>
      <c r="C3186" s="105" t="s">
        <v>5634</v>
      </c>
      <c r="D3186" s="4" t="s">
        <v>5015</v>
      </c>
      <c r="E3186" s="5" t="s">
        <v>5016</v>
      </c>
      <c r="F3186" s="5" t="str">
        <f t="shared" si="49"/>
        <v>tandläkare.se</v>
      </c>
      <c r="G3186" s="5" t="s">
        <v>4</v>
      </c>
      <c r="H3186" s="5" t="s">
        <v>5</v>
      </c>
      <c r="I3186" s="6">
        <v>45756</v>
      </c>
    </row>
    <row r="3187" spans="1:9" ht="13.5">
      <c r="A3187" s="2" t="s">
        <v>5020</v>
      </c>
      <c r="B3187" s="3"/>
      <c r="C3187" s="105" t="s">
        <v>5635</v>
      </c>
      <c r="D3187" s="4" t="s">
        <v>5020</v>
      </c>
      <c r="E3187" s="5" t="s">
        <v>5022</v>
      </c>
      <c r="F3187" s="5" t="str">
        <f t="shared" si="49"/>
        <v>sesec.se</v>
      </c>
      <c r="G3187" s="5" t="s">
        <v>4</v>
      </c>
      <c r="H3187" s="5" t="s">
        <v>5</v>
      </c>
      <c r="I3187" s="6">
        <v>45756</v>
      </c>
    </row>
    <row r="3188" spans="1:9" ht="13.5">
      <c r="A3188" s="2" t="s">
        <v>3832</v>
      </c>
      <c r="B3188" s="3"/>
      <c r="C3188" s="105" t="s">
        <v>5636</v>
      </c>
      <c r="D3188" s="4" t="s">
        <v>3832</v>
      </c>
      <c r="E3188" s="5" t="s">
        <v>5024</v>
      </c>
      <c r="F3188" s="5" t="str">
        <f t="shared" si="49"/>
        <v>michaelofrisorerna.se</v>
      </c>
      <c r="G3188" s="5" t="s">
        <v>4</v>
      </c>
      <c r="H3188" s="5" t="s">
        <v>5</v>
      </c>
      <c r="I3188" s="6">
        <v>45756</v>
      </c>
    </row>
    <row r="3189" spans="1:9" ht="13.5">
      <c r="A3189" s="2" t="s">
        <v>5343</v>
      </c>
      <c r="B3189" s="3"/>
      <c r="C3189" s="105" t="s">
        <v>5637</v>
      </c>
      <c r="D3189" s="4" t="s">
        <v>5343</v>
      </c>
      <c r="E3189" s="5" t="s">
        <v>5345</v>
      </c>
      <c r="F3189" s="5" t="str">
        <f t="shared" si="49"/>
        <v>rbentreprenad.se</v>
      </c>
      <c r="G3189" s="5" t="s">
        <v>4</v>
      </c>
      <c r="H3189" s="5" t="s">
        <v>5</v>
      </c>
      <c r="I3189" s="6">
        <v>45756</v>
      </c>
    </row>
    <row r="3190" spans="1:9" ht="13.5">
      <c r="A3190" s="2" t="s">
        <v>5350</v>
      </c>
      <c r="B3190" s="3"/>
      <c r="C3190" s="105" t="s">
        <v>5638</v>
      </c>
      <c r="D3190" s="4" t="s">
        <v>5352</v>
      </c>
      <c r="E3190" s="5" t="s">
        <v>5353</v>
      </c>
      <c r="F3190" s="5" t="str">
        <f t="shared" si="49"/>
        <v>lilla-varlden.se</v>
      </c>
      <c r="G3190" s="5" t="s">
        <v>4</v>
      </c>
      <c r="H3190" s="5" t="s">
        <v>5</v>
      </c>
      <c r="I3190" s="6">
        <v>45756</v>
      </c>
    </row>
    <row r="3191" spans="1:9" ht="13.5">
      <c r="A3191" s="2" t="s">
        <v>846</v>
      </c>
      <c r="B3191" s="3"/>
      <c r="C3191" s="105" t="s">
        <v>5639</v>
      </c>
      <c r="D3191" s="4" t="s">
        <v>5211</v>
      </c>
      <c r="E3191" s="5" t="s">
        <v>5355</v>
      </c>
      <c r="F3191" s="5" t="str">
        <f t="shared" si="49"/>
        <v>tandea.se</v>
      </c>
      <c r="G3191" s="5" t="s">
        <v>4</v>
      </c>
      <c r="H3191" s="5" t="s">
        <v>5</v>
      </c>
      <c r="I3191" s="6">
        <v>45756</v>
      </c>
    </row>
    <row r="3192" spans="1:9" ht="13.5">
      <c r="A3192" s="7"/>
      <c r="B3192" s="3"/>
      <c r="C3192" s="105" t="s">
        <v>5640</v>
      </c>
      <c r="D3192" s="4" t="s">
        <v>5641</v>
      </c>
      <c r="E3192" s="5" t="s">
        <v>5642</v>
      </c>
      <c r="F3192" s="5">
        <f t="shared" si="49"/>
        <v>0</v>
      </c>
      <c r="G3192" s="5" t="s">
        <v>4</v>
      </c>
      <c r="H3192" s="5" t="s">
        <v>5</v>
      </c>
      <c r="I3192" s="6">
        <v>45756</v>
      </c>
    </row>
    <row r="3193" spans="1:9" ht="13.5">
      <c r="A3193" s="2" t="s">
        <v>4147</v>
      </c>
      <c r="B3193" s="3"/>
      <c r="C3193" s="4" t="s">
        <v>5643</v>
      </c>
      <c r="D3193" s="4" t="s">
        <v>5448</v>
      </c>
      <c r="E3193" s="5" t="s">
        <v>5449</v>
      </c>
      <c r="F3193" s="5" t="str">
        <f t="shared" si="49"/>
        <v>petster.se</v>
      </c>
      <c r="G3193" s="5" t="s">
        <v>4</v>
      </c>
      <c r="H3193" s="5" t="s">
        <v>5</v>
      </c>
      <c r="I3193" s="6">
        <v>45757</v>
      </c>
    </row>
    <row r="3194" spans="1:9" ht="13.5">
      <c r="A3194" s="2" t="s">
        <v>5589</v>
      </c>
      <c r="B3194" s="3"/>
      <c r="C3194" s="4" t="s">
        <v>5644</v>
      </c>
      <c r="D3194" s="4" t="s">
        <v>5591</v>
      </c>
      <c r="E3194" s="5" t="s">
        <v>5645</v>
      </c>
      <c r="F3194" s="5" t="str">
        <f t="shared" si="49"/>
        <v>dbet.com</v>
      </c>
      <c r="G3194" s="5" t="s">
        <v>4</v>
      </c>
      <c r="H3194" s="5" t="s">
        <v>5</v>
      </c>
      <c r="I3194" s="6">
        <v>45758</v>
      </c>
    </row>
    <row r="3195" spans="1:9" ht="13.5">
      <c r="A3195" s="2" t="s">
        <v>5589</v>
      </c>
      <c r="B3195" s="3"/>
      <c r="C3195" s="4" t="s">
        <v>5646</v>
      </c>
      <c r="D3195" s="4" t="s">
        <v>5647</v>
      </c>
      <c r="E3195" s="5" t="s">
        <v>5648</v>
      </c>
      <c r="F3195" s="5" t="str">
        <f t="shared" si="49"/>
        <v>dbet.com</v>
      </c>
      <c r="G3195" s="5" t="s">
        <v>4</v>
      </c>
      <c r="H3195" s="5" t="s">
        <v>5</v>
      </c>
      <c r="I3195" s="6">
        <v>45758</v>
      </c>
    </row>
    <row r="3196" spans="1:9" ht="13.5">
      <c r="A3196" s="7" t="s">
        <v>5649</v>
      </c>
      <c r="B3196" s="3"/>
      <c r="C3196" s="4" t="s">
        <v>5650</v>
      </c>
      <c r="D3196" s="138" t="s">
        <v>5651</v>
      </c>
      <c r="E3196" s="5" t="s">
        <v>5652</v>
      </c>
      <c r="F3196" s="5" t="str">
        <f t="shared" si="49"/>
        <v>Invozio</v>
      </c>
      <c r="G3196" s="5" t="s">
        <v>4</v>
      </c>
      <c r="H3196" s="5" t="s">
        <v>5</v>
      </c>
      <c r="I3196" s="6">
        <v>45758</v>
      </c>
    </row>
    <row r="3197" spans="1:9" ht="13.5">
      <c r="A3197" s="7" t="s">
        <v>5649</v>
      </c>
      <c r="B3197" s="3"/>
      <c r="C3197" s="4" t="s">
        <v>5653</v>
      </c>
      <c r="D3197" s="4" t="s">
        <v>5651</v>
      </c>
      <c r="E3197" s="5" t="s">
        <v>5649</v>
      </c>
      <c r="F3197" s="5" t="str">
        <f t="shared" si="49"/>
        <v>Invozio</v>
      </c>
      <c r="G3197" s="5" t="s">
        <v>4</v>
      </c>
      <c r="H3197" s="5" t="s">
        <v>5</v>
      </c>
      <c r="I3197" s="6">
        <v>45758</v>
      </c>
    </row>
    <row r="3198" spans="1:9" ht="13.5">
      <c r="A3198" s="7" t="s">
        <v>5649</v>
      </c>
      <c r="B3198" s="3"/>
      <c r="C3198" s="4" t="s">
        <v>5654</v>
      </c>
      <c r="D3198" s="4" t="s">
        <v>5651</v>
      </c>
      <c r="E3198" s="5" t="s">
        <v>5652</v>
      </c>
      <c r="F3198" s="5" t="str">
        <f t="shared" si="49"/>
        <v>Invozio</v>
      </c>
      <c r="G3198" s="5" t="s">
        <v>4</v>
      </c>
      <c r="H3198" s="5" t="s">
        <v>5</v>
      </c>
      <c r="I3198" s="6">
        <v>45758</v>
      </c>
    </row>
    <row r="3199" spans="1:9" ht="13.5">
      <c r="A3199" s="7" t="s">
        <v>5649</v>
      </c>
      <c r="B3199" s="3"/>
      <c r="C3199" s="4" t="s">
        <v>5655</v>
      </c>
      <c r="D3199" s="4" t="s">
        <v>5651</v>
      </c>
      <c r="E3199" s="5" t="s">
        <v>5656</v>
      </c>
      <c r="F3199" s="5" t="str">
        <f t="shared" si="49"/>
        <v>Invozio</v>
      </c>
      <c r="G3199" s="5" t="s">
        <v>4</v>
      </c>
      <c r="H3199" s="5" t="s">
        <v>5</v>
      </c>
      <c r="I3199" s="6">
        <v>45758</v>
      </c>
    </row>
    <row r="3200" spans="1:9" ht="13.5">
      <c r="A3200" s="2" t="s">
        <v>5589</v>
      </c>
      <c r="B3200" s="3"/>
      <c r="C3200" s="4" t="s">
        <v>5657</v>
      </c>
      <c r="D3200" s="4" t="s">
        <v>5658</v>
      </c>
      <c r="E3200" s="5" t="s">
        <v>5659</v>
      </c>
      <c r="F3200" s="5" t="str">
        <f t="shared" si="49"/>
        <v>dbet.com</v>
      </c>
      <c r="G3200" s="5" t="s">
        <v>4</v>
      </c>
      <c r="H3200" s="5" t="s">
        <v>5</v>
      </c>
      <c r="I3200" s="6">
        <v>45758</v>
      </c>
    </row>
    <row r="3201" spans="1:9" ht="13.5">
      <c r="A3201" s="7" t="s">
        <v>5649</v>
      </c>
      <c r="B3201" s="3"/>
      <c r="C3201" s="4" t="s">
        <v>5660</v>
      </c>
      <c r="D3201" s="8" t="s">
        <v>5661</v>
      </c>
      <c r="E3201" s="5" t="s">
        <v>5649</v>
      </c>
      <c r="F3201" s="5" t="str">
        <f t="shared" si="49"/>
        <v>Invozio</v>
      </c>
      <c r="G3201" s="5" t="s">
        <v>4</v>
      </c>
      <c r="H3201" s="5" t="s">
        <v>5</v>
      </c>
      <c r="I3201" s="6">
        <v>45758</v>
      </c>
    </row>
    <row r="3202" spans="1:9" ht="13.5">
      <c r="A3202" s="2" t="s">
        <v>3743</v>
      </c>
      <c r="B3202" s="3"/>
      <c r="C3202" s="4" t="s">
        <v>5662</v>
      </c>
      <c r="D3202" s="4" t="s">
        <v>3743</v>
      </c>
      <c r="E3202" s="9" t="s">
        <v>3743</v>
      </c>
      <c r="F3202" s="5" t="str">
        <f t="shared" si="49"/>
        <v>acnespecialisten.se</v>
      </c>
      <c r="G3202" s="5" t="s">
        <v>4</v>
      </c>
      <c r="H3202" s="5" t="s">
        <v>5</v>
      </c>
      <c r="I3202" s="6">
        <v>45762</v>
      </c>
    </row>
    <row r="3203" spans="1:9" ht="13.5">
      <c r="A3203" s="2" t="s">
        <v>1318</v>
      </c>
      <c r="B3203" s="3"/>
      <c r="C3203" s="4" t="s">
        <v>5663</v>
      </c>
      <c r="D3203" s="4" t="s">
        <v>2654</v>
      </c>
      <c r="E3203" s="5" t="s">
        <v>5664</v>
      </c>
      <c r="F3203" s="5" t="str">
        <f t="shared" ref="F3203:F3266" si="50">A3203</f>
        <v>spelklubben.se</v>
      </c>
      <c r="G3203" s="5" t="s">
        <v>2360</v>
      </c>
      <c r="H3203" s="5" t="s">
        <v>5</v>
      </c>
      <c r="I3203" s="6">
        <v>45763</v>
      </c>
    </row>
    <row r="3204" spans="1:9" ht="13.5">
      <c r="A3204" s="2" t="s">
        <v>1318</v>
      </c>
      <c r="B3204" s="3"/>
      <c r="C3204" s="4" t="s">
        <v>5665</v>
      </c>
      <c r="D3204" s="4" t="s">
        <v>1942</v>
      </c>
      <c r="E3204" s="5" t="s">
        <v>3035</v>
      </c>
      <c r="F3204" s="5" t="str">
        <f t="shared" si="50"/>
        <v>spelklubben.se</v>
      </c>
      <c r="G3204" s="5" t="s">
        <v>2360</v>
      </c>
      <c r="H3204" s="5" t="s">
        <v>5</v>
      </c>
      <c r="I3204" s="6">
        <v>45763</v>
      </c>
    </row>
    <row r="3205" spans="1:9" ht="13.5">
      <c r="A3205" s="2" t="s">
        <v>1318</v>
      </c>
      <c r="B3205" s="3"/>
      <c r="C3205" s="4" t="s">
        <v>5666</v>
      </c>
      <c r="D3205" s="4" t="s">
        <v>2644</v>
      </c>
      <c r="E3205" s="5" t="s">
        <v>5667</v>
      </c>
      <c r="F3205" s="5" t="str">
        <f t="shared" si="50"/>
        <v>spelklubben.se</v>
      </c>
      <c r="G3205" s="5" t="s">
        <v>2360</v>
      </c>
      <c r="H3205" s="5" t="s">
        <v>5</v>
      </c>
      <c r="I3205" s="6">
        <v>45763</v>
      </c>
    </row>
    <row r="3206" spans="1:9" ht="13.5">
      <c r="A3206" s="2" t="s">
        <v>1318</v>
      </c>
      <c r="B3206" s="3"/>
      <c r="C3206" s="4" t="s">
        <v>5668</v>
      </c>
      <c r="D3206" s="8" t="s">
        <v>5669</v>
      </c>
      <c r="E3206" s="5" t="s">
        <v>3131</v>
      </c>
      <c r="F3206" s="5" t="str">
        <f t="shared" si="50"/>
        <v>spelklubben.se</v>
      </c>
      <c r="G3206" s="5" t="s">
        <v>2360</v>
      </c>
      <c r="H3206" s="5" t="s">
        <v>5</v>
      </c>
      <c r="I3206" s="6">
        <v>45763</v>
      </c>
    </row>
    <row r="3207" spans="1:9" ht="13.5">
      <c r="A3207" s="2" t="s">
        <v>5589</v>
      </c>
      <c r="B3207" s="3"/>
      <c r="C3207" s="4" t="s">
        <v>5670</v>
      </c>
      <c r="D3207" s="4" t="s">
        <v>5647</v>
      </c>
      <c r="E3207" s="5" t="s">
        <v>5671</v>
      </c>
      <c r="F3207" s="5" t="str">
        <f t="shared" si="50"/>
        <v>dbet.com</v>
      </c>
      <c r="G3207" s="5" t="s">
        <v>4</v>
      </c>
      <c r="H3207" s="5" t="s">
        <v>5</v>
      </c>
      <c r="I3207" s="6">
        <v>45765</v>
      </c>
    </row>
    <row r="3208" spans="1:9" ht="13.5">
      <c r="A3208" s="2" t="s">
        <v>2999</v>
      </c>
      <c r="B3208" s="3"/>
      <c r="C3208" s="8" t="s">
        <v>5672</v>
      </c>
      <c r="D3208" s="8" t="s">
        <v>5499</v>
      </c>
      <c r="E3208" s="5" t="s">
        <v>5673</v>
      </c>
      <c r="F3208" s="5" t="str">
        <f t="shared" si="50"/>
        <v>nettotobak.com</v>
      </c>
      <c r="G3208" s="5" t="s">
        <v>4</v>
      </c>
      <c r="H3208" s="5" t="s">
        <v>5</v>
      </c>
      <c r="I3208" s="6">
        <v>45766</v>
      </c>
    </row>
    <row r="3209" spans="1:9" ht="13.5">
      <c r="A3209" s="2" t="s">
        <v>3128</v>
      </c>
      <c r="B3209" s="3"/>
      <c r="C3209" s="4" t="s">
        <v>5674</v>
      </c>
      <c r="D3209" s="8" t="s">
        <v>3130</v>
      </c>
      <c r="E3209" s="5" t="s">
        <v>4440</v>
      </c>
      <c r="F3209" s="5" t="str">
        <f t="shared" si="50"/>
        <v>bethard.com</v>
      </c>
      <c r="G3209" s="5" t="s">
        <v>4</v>
      </c>
      <c r="H3209" s="5" t="s">
        <v>5</v>
      </c>
      <c r="I3209" s="6">
        <v>45769</v>
      </c>
    </row>
    <row r="3210" spans="1:9" ht="13.5">
      <c r="A3210" s="2" t="s">
        <v>2836</v>
      </c>
      <c r="B3210" s="3"/>
      <c r="C3210" s="4" t="s">
        <v>5675</v>
      </c>
      <c r="D3210" s="4" t="s">
        <v>3102</v>
      </c>
      <c r="E3210" s="5" t="s">
        <v>5511</v>
      </c>
      <c r="F3210" s="5" t="str">
        <f t="shared" si="50"/>
        <v>cherry.com</v>
      </c>
      <c r="G3210" s="5" t="s">
        <v>4</v>
      </c>
      <c r="H3210" s="5" t="s">
        <v>5</v>
      </c>
      <c r="I3210" s="6">
        <v>45770</v>
      </c>
    </row>
    <row r="3211" spans="1:9" ht="13.5">
      <c r="A3211" s="2" t="s">
        <v>2836</v>
      </c>
      <c r="B3211" s="3"/>
      <c r="C3211" s="4" t="s">
        <v>5676</v>
      </c>
      <c r="D3211" s="4" t="s">
        <v>2967</v>
      </c>
      <c r="E3211" s="5" t="s">
        <v>2970</v>
      </c>
      <c r="F3211" s="5" t="str">
        <f t="shared" si="50"/>
        <v>cherry.com</v>
      </c>
      <c r="G3211" s="5" t="s">
        <v>4</v>
      </c>
      <c r="H3211" s="5" t="s">
        <v>5</v>
      </c>
      <c r="I3211" s="6">
        <v>45770</v>
      </c>
    </row>
    <row r="3212" spans="1:9" ht="13.5">
      <c r="A3212" s="2" t="s">
        <v>3058</v>
      </c>
      <c r="B3212" s="3"/>
      <c r="C3212" s="4" t="s">
        <v>5677</v>
      </c>
      <c r="D3212" s="4" t="s">
        <v>4537</v>
      </c>
      <c r="E3212" s="5" t="s">
        <v>5678</v>
      </c>
      <c r="F3212" s="5" t="str">
        <f t="shared" si="50"/>
        <v>rusta.se</v>
      </c>
      <c r="G3212" s="5" t="s">
        <v>4</v>
      </c>
      <c r="H3212" s="5" t="s">
        <v>5</v>
      </c>
      <c r="I3212" s="6">
        <v>45770</v>
      </c>
    </row>
    <row r="3213" spans="1:9" ht="13.5">
      <c r="A3213" s="2" t="s">
        <v>3128</v>
      </c>
      <c r="B3213" s="3"/>
      <c r="C3213" s="4" t="s">
        <v>5679</v>
      </c>
      <c r="D3213" s="9" t="s">
        <v>3130</v>
      </c>
      <c r="E3213" s="72" t="s">
        <v>5680</v>
      </c>
      <c r="F3213" s="5" t="str">
        <f t="shared" si="50"/>
        <v>bethard.com</v>
      </c>
      <c r="G3213" s="5" t="s">
        <v>4</v>
      </c>
      <c r="H3213" s="5" t="s">
        <v>5</v>
      </c>
      <c r="I3213" s="6">
        <v>45771</v>
      </c>
    </row>
    <row r="3214" spans="1:9" ht="13.5">
      <c r="A3214" s="2" t="s">
        <v>5538</v>
      </c>
      <c r="B3214" s="3"/>
      <c r="C3214" s="4" t="s">
        <v>5681</v>
      </c>
      <c r="D3214" s="4" t="s">
        <v>5540</v>
      </c>
      <c r="E3214" s="5" t="s">
        <v>5682</v>
      </c>
      <c r="F3214" s="5" t="str">
        <f t="shared" si="50"/>
        <v>kruunukaluste.fi</v>
      </c>
      <c r="G3214" s="5" t="s">
        <v>4</v>
      </c>
      <c r="H3214" s="5" t="s">
        <v>1618</v>
      </c>
      <c r="I3214" s="6">
        <v>45771</v>
      </c>
    </row>
    <row r="3215" spans="1:9" ht="13.5">
      <c r="A3215" s="2" t="s">
        <v>5538</v>
      </c>
      <c r="B3215" s="3"/>
      <c r="C3215" s="4" t="s">
        <v>5683</v>
      </c>
      <c r="D3215" s="4" t="s">
        <v>5540</v>
      </c>
      <c r="E3215" s="5" t="s">
        <v>5546</v>
      </c>
      <c r="F3215" s="5" t="str">
        <f t="shared" si="50"/>
        <v>kruunukaluste.fi</v>
      </c>
      <c r="G3215" s="5" t="s">
        <v>4</v>
      </c>
      <c r="H3215" s="5" t="s">
        <v>1618</v>
      </c>
      <c r="I3215" s="6">
        <v>45771</v>
      </c>
    </row>
    <row r="3216" spans="1:9" ht="13.5">
      <c r="A3216" s="2" t="s">
        <v>2357</v>
      </c>
      <c r="B3216" s="3"/>
      <c r="C3216" s="4" t="s">
        <v>5684</v>
      </c>
      <c r="D3216" s="4" t="s">
        <v>5685</v>
      </c>
      <c r="E3216" s="5" t="s">
        <v>5686</v>
      </c>
      <c r="F3216" s="5" t="str">
        <f t="shared" si="50"/>
        <v>lsb.se</v>
      </c>
      <c r="G3216" s="5" t="s">
        <v>2360</v>
      </c>
      <c r="H3216" s="5" t="s">
        <v>5</v>
      </c>
      <c r="I3216" s="6">
        <v>45771</v>
      </c>
    </row>
    <row r="3217" spans="1:9" ht="13.5">
      <c r="A3217" s="2" t="s">
        <v>4135</v>
      </c>
      <c r="B3217" s="3"/>
      <c r="C3217" s="8" t="s">
        <v>5687</v>
      </c>
      <c r="D3217" s="8" t="s">
        <v>5551</v>
      </c>
      <c r="E3217" s="5" t="s">
        <v>5554</v>
      </c>
      <c r="F3217" s="5" t="str">
        <f t="shared" si="50"/>
        <v>aerius.se</v>
      </c>
      <c r="G3217" s="5" t="s">
        <v>4</v>
      </c>
      <c r="H3217" s="5" t="s">
        <v>5</v>
      </c>
      <c r="I3217" s="6">
        <v>45772</v>
      </c>
    </row>
    <row r="3218" spans="1:9" ht="13.5">
      <c r="A3218" s="2" t="s">
        <v>4135</v>
      </c>
      <c r="B3218" s="3"/>
      <c r="C3218" s="8" t="s">
        <v>5688</v>
      </c>
      <c r="D3218" s="8" t="s">
        <v>5689</v>
      </c>
      <c r="E3218" s="5" t="s">
        <v>5690</v>
      </c>
      <c r="F3218" s="5" t="str">
        <f t="shared" si="50"/>
        <v>aerius.se</v>
      </c>
      <c r="G3218" s="5" t="s">
        <v>4</v>
      </c>
      <c r="H3218" s="5" t="s">
        <v>5</v>
      </c>
      <c r="I3218" s="6">
        <v>45772</v>
      </c>
    </row>
    <row r="3219" spans="1:9" ht="13.5">
      <c r="A3219" s="2" t="s">
        <v>3173</v>
      </c>
      <c r="B3219" s="3"/>
      <c r="C3219" s="8" t="s">
        <v>5691</v>
      </c>
      <c r="D3219" s="8" t="s">
        <v>5271</v>
      </c>
      <c r="E3219" s="5" t="s">
        <v>4845</v>
      </c>
      <c r="F3219" s="5" t="str">
        <f t="shared" si="50"/>
        <v>ekstromgaray.se</v>
      </c>
      <c r="G3219" s="5" t="s">
        <v>4</v>
      </c>
      <c r="H3219" s="5" t="s">
        <v>5</v>
      </c>
      <c r="I3219" s="6">
        <v>45772</v>
      </c>
    </row>
    <row r="3220" spans="1:9" ht="13.5">
      <c r="A3220" s="7" t="s">
        <v>386</v>
      </c>
      <c r="B3220" s="3"/>
      <c r="C3220" s="8" t="s">
        <v>5692</v>
      </c>
      <c r="D3220" s="8" t="s">
        <v>5693</v>
      </c>
      <c r="E3220" s="5" t="s">
        <v>4759</v>
      </c>
      <c r="F3220" s="5" t="str">
        <f t="shared" si="50"/>
        <v>pontech</v>
      </c>
      <c r="G3220" s="5" t="s">
        <v>4</v>
      </c>
      <c r="H3220" s="5" t="s">
        <v>5</v>
      </c>
      <c r="I3220" s="6">
        <v>45772</v>
      </c>
    </row>
    <row r="3221" spans="1:9" ht="13.5">
      <c r="A3221" s="7" t="s">
        <v>386</v>
      </c>
      <c r="B3221" s="3"/>
      <c r="C3221" s="8" t="s">
        <v>5694</v>
      </c>
      <c r="D3221" s="8" t="s">
        <v>452</v>
      </c>
      <c r="E3221" s="5" t="s">
        <v>1360</v>
      </c>
      <c r="F3221" s="5" t="str">
        <f t="shared" si="50"/>
        <v>pontech</v>
      </c>
      <c r="G3221" s="5" t="s">
        <v>4</v>
      </c>
      <c r="H3221" s="5" t="s">
        <v>5</v>
      </c>
      <c r="I3221" s="6">
        <v>45772</v>
      </c>
    </row>
    <row r="3222" spans="1:9" ht="13.5">
      <c r="A3222" s="2" t="s">
        <v>3058</v>
      </c>
      <c r="B3222" s="3"/>
      <c r="C3222" s="8" t="s">
        <v>5695</v>
      </c>
      <c r="D3222" s="8" t="s">
        <v>4972</v>
      </c>
      <c r="E3222" s="5" t="s">
        <v>3185</v>
      </c>
      <c r="F3222" s="5" t="str">
        <f t="shared" si="50"/>
        <v>rusta.se</v>
      </c>
      <c r="G3222" s="5" t="s">
        <v>4</v>
      </c>
      <c r="H3222" s="5" t="s">
        <v>5</v>
      </c>
      <c r="I3222" s="6">
        <v>45772</v>
      </c>
    </row>
    <row r="3223" spans="1:9" ht="13.5">
      <c r="A3223" s="2" t="s">
        <v>2127</v>
      </c>
      <c r="B3223" s="3"/>
      <c r="C3223" s="8" t="s">
        <v>5695</v>
      </c>
      <c r="D3223" s="8" t="s">
        <v>5321</v>
      </c>
      <c r="E3223" s="5" t="s">
        <v>5322</v>
      </c>
      <c r="F3223" s="5" t="str">
        <f t="shared" si="50"/>
        <v>startmotor.se</v>
      </c>
      <c r="G3223" s="5" t="s">
        <v>4</v>
      </c>
      <c r="H3223" s="5" t="s">
        <v>5</v>
      </c>
      <c r="I3223" s="6">
        <v>45772</v>
      </c>
    </row>
    <row r="3224" spans="1:9" ht="13.5">
      <c r="A3224" s="7" t="s">
        <v>224</v>
      </c>
      <c r="B3224" s="3"/>
      <c r="C3224" s="8" t="s">
        <v>5696</v>
      </c>
      <c r="D3224" s="8" t="s">
        <v>337</v>
      </c>
      <c r="E3224" s="5" t="s">
        <v>338</v>
      </c>
      <c r="F3224" s="5" t="str">
        <f t="shared" si="50"/>
        <v>swedoffice</v>
      </c>
      <c r="G3224" s="5" t="s">
        <v>4</v>
      </c>
      <c r="H3224" s="5" t="s">
        <v>5</v>
      </c>
      <c r="I3224" s="6">
        <v>45772</v>
      </c>
    </row>
    <row r="3225" spans="1:9" ht="13.5">
      <c r="A3225" s="7" t="s">
        <v>3921</v>
      </c>
      <c r="B3225" s="3"/>
      <c r="C3225" s="5" t="s">
        <v>5697</v>
      </c>
      <c r="D3225" s="5" t="s">
        <v>5052</v>
      </c>
      <c r="E3225" s="5" t="s">
        <v>4638</v>
      </c>
      <c r="F3225" s="5" t="str">
        <f t="shared" si="50"/>
        <v>svenskalasjouren.se</v>
      </c>
      <c r="G3225" s="5" t="s">
        <v>4</v>
      </c>
      <c r="H3225" s="5" t="s">
        <v>5</v>
      </c>
      <c r="I3225" s="6">
        <v>45772</v>
      </c>
    </row>
    <row r="3226" spans="1:9" ht="13.5">
      <c r="A3226" s="7" t="s">
        <v>1559</v>
      </c>
      <c r="B3226" s="3"/>
      <c r="C3226" s="5" t="s">
        <v>5698</v>
      </c>
      <c r="D3226" s="5" t="s">
        <v>5055</v>
      </c>
      <c r="E3226" s="5" t="s">
        <v>5503</v>
      </c>
      <c r="F3226" s="5" t="str">
        <f t="shared" si="50"/>
        <v>rorjour247.se</v>
      </c>
      <c r="G3226" s="5" t="s">
        <v>4</v>
      </c>
      <c r="H3226" s="5" t="s">
        <v>5</v>
      </c>
      <c r="I3226" s="6">
        <v>45772</v>
      </c>
    </row>
    <row r="3227" spans="1:9" ht="13.5">
      <c r="A3227" s="7" t="s">
        <v>1559</v>
      </c>
      <c r="B3227" s="3"/>
      <c r="C3227" s="5" t="s">
        <v>5699</v>
      </c>
      <c r="D3227" s="5" t="s">
        <v>5055</v>
      </c>
      <c r="E3227" s="5" t="s">
        <v>5507</v>
      </c>
      <c r="F3227" s="5" t="str">
        <f t="shared" si="50"/>
        <v>rorjour247.se</v>
      </c>
      <c r="G3227" s="5" t="s">
        <v>4</v>
      </c>
      <c r="H3227" s="5" t="s">
        <v>5</v>
      </c>
      <c r="I3227" s="6">
        <v>45772</v>
      </c>
    </row>
    <row r="3228" spans="1:9" ht="13.5">
      <c r="A3228" s="2" t="s">
        <v>4051</v>
      </c>
      <c r="B3228" s="3"/>
      <c r="C3228" s="4" t="s">
        <v>5700</v>
      </c>
      <c r="D3228" s="4" t="s">
        <v>5701</v>
      </c>
      <c r="E3228" s="5" t="s">
        <v>5702</v>
      </c>
      <c r="F3228" s="5" t="str">
        <f t="shared" si="50"/>
        <v>hund.se</v>
      </c>
      <c r="G3228" s="5" t="s">
        <v>4</v>
      </c>
      <c r="H3228" s="5" t="s">
        <v>5</v>
      </c>
      <c r="I3228" s="6">
        <v>45775</v>
      </c>
    </row>
    <row r="3229" spans="1:9" ht="13.5">
      <c r="A3229" s="7" t="s">
        <v>3747</v>
      </c>
      <c r="B3229" s="3"/>
      <c r="C3229" s="4" t="s">
        <v>5703</v>
      </c>
      <c r="D3229" s="5" t="s">
        <v>5480</v>
      </c>
      <c r="E3229" s="5" t="s">
        <v>4907</v>
      </c>
      <c r="F3229" s="5" t="str">
        <f t="shared" si="50"/>
        <v>supernormal.health</v>
      </c>
      <c r="G3229" s="5" t="s">
        <v>4</v>
      </c>
      <c r="H3229" s="5" t="s">
        <v>5</v>
      </c>
      <c r="I3229" s="6">
        <v>45775</v>
      </c>
    </row>
    <row r="3230" spans="1:9" ht="13.5">
      <c r="A3230" s="2" t="s">
        <v>5704</v>
      </c>
      <c r="B3230" s="3"/>
      <c r="C3230" s="4" t="s">
        <v>5705</v>
      </c>
      <c r="D3230" s="4" t="s">
        <v>5706</v>
      </c>
      <c r="E3230" s="5" t="s">
        <v>5707</v>
      </c>
      <c r="F3230" s="5" t="str">
        <f t="shared" si="50"/>
        <v>ekonomico.se</v>
      </c>
      <c r="G3230" s="5" t="s">
        <v>4</v>
      </c>
      <c r="H3230" s="5" t="s">
        <v>5</v>
      </c>
      <c r="I3230" s="6">
        <v>45775</v>
      </c>
    </row>
    <row r="3231" spans="1:9" ht="13.5">
      <c r="A3231" s="2" t="s">
        <v>5350</v>
      </c>
      <c r="B3231" s="3"/>
      <c r="C3231" s="4" t="s">
        <v>5708</v>
      </c>
      <c r="D3231" s="4" t="s">
        <v>5536</v>
      </c>
      <c r="E3231" s="5" t="s">
        <v>5709</v>
      </c>
      <c r="F3231" s="5" t="str">
        <f t="shared" si="50"/>
        <v>lilla-varlden.se</v>
      </c>
      <c r="G3231" s="5" t="s">
        <v>4</v>
      </c>
      <c r="H3231" s="5" t="s">
        <v>5</v>
      </c>
      <c r="I3231" s="6">
        <v>45775</v>
      </c>
    </row>
    <row r="3232" spans="1:9" ht="13.5">
      <c r="A3232" s="7"/>
      <c r="B3232" s="3"/>
      <c r="C3232" s="4" t="s">
        <v>5710</v>
      </c>
      <c r="D3232" s="4" t="s">
        <v>5711</v>
      </c>
      <c r="E3232" s="5" t="s">
        <v>5712</v>
      </c>
      <c r="F3232" s="5">
        <f t="shared" si="50"/>
        <v>0</v>
      </c>
      <c r="G3232" s="5" t="s">
        <v>4</v>
      </c>
      <c r="H3232" s="5" t="s">
        <v>5</v>
      </c>
      <c r="I3232" s="6">
        <v>45775</v>
      </c>
    </row>
    <row r="3233" spans="1:9" ht="13.5">
      <c r="A3233" s="2" t="s">
        <v>5084</v>
      </c>
      <c r="B3233" s="3"/>
      <c r="C3233" s="4" t="s">
        <v>5713</v>
      </c>
      <c r="D3233" s="4" t="s">
        <v>5161</v>
      </c>
      <c r="E3233" s="5" t="s">
        <v>5162</v>
      </c>
      <c r="F3233" s="5" t="str">
        <f t="shared" si="50"/>
        <v>glassfactory.fi</v>
      </c>
      <c r="G3233" s="5" t="s">
        <v>4</v>
      </c>
      <c r="H3233" s="5" t="s">
        <v>5</v>
      </c>
      <c r="I3233" s="6">
        <v>45775</v>
      </c>
    </row>
    <row r="3234" spans="1:9" ht="13.5">
      <c r="A3234" s="2" t="s">
        <v>2357</v>
      </c>
      <c r="B3234" s="3"/>
      <c r="C3234" s="4" t="s">
        <v>5714</v>
      </c>
      <c r="D3234" s="4" t="s">
        <v>5685</v>
      </c>
      <c r="E3234" s="5" t="s">
        <v>5686</v>
      </c>
      <c r="F3234" s="5" t="str">
        <f t="shared" si="50"/>
        <v>lsb.se</v>
      </c>
      <c r="G3234" s="5" t="s">
        <v>4</v>
      </c>
      <c r="H3234" s="5" t="s">
        <v>5</v>
      </c>
      <c r="I3234" s="6">
        <v>45775</v>
      </c>
    </row>
    <row r="3235" spans="1:9" ht="13.5">
      <c r="A3235" s="2" t="s">
        <v>5715</v>
      </c>
      <c r="B3235" s="3"/>
      <c r="C3235" s="4" t="s">
        <v>5716</v>
      </c>
      <c r="D3235" s="4" t="s">
        <v>5717</v>
      </c>
      <c r="E3235" s="5" t="s">
        <v>5718</v>
      </c>
      <c r="F3235" s="5" t="str">
        <f t="shared" si="50"/>
        <v>Minifinder.se</v>
      </c>
      <c r="G3235" s="5" t="s">
        <v>4</v>
      </c>
      <c r="H3235" s="5" t="s">
        <v>5</v>
      </c>
      <c r="I3235" s="6">
        <v>45775</v>
      </c>
    </row>
    <row r="3236" spans="1:9" ht="13.5">
      <c r="A3236" s="2" t="s">
        <v>5715</v>
      </c>
      <c r="B3236" s="3"/>
      <c r="C3236" s="4" t="s">
        <v>5719</v>
      </c>
      <c r="D3236" s="8" t="s">
        <v>5717</v>
      </c>
      <c r="E3236" s="5" t="s">
        <v>5720</v>
      </c>
      <c r="F3236" s="5" t="str">
        <f t="shared" si="50"/>
        <v>Minifinder.se</v>
      </c>
      <c r="G3236" s="5" t="s">
        <v>4</v>
      </c>
      <c r="H3236" s="5" t="s">
        <v>5</v>
      </c>
      <c r="I3236" s="6">
        <v>45775</v>
      </c>
    </row>
    <row r="3237" spans="1:9" ht="13.5">
      <c r="A3237" s="2" t="s">
        <v>2357</v>
      </c>
      <c r="B3237" s="3"/>
      <c r="C3237" s="4" t="s">
        <v>5721</v>
      </c>
      <c r="D3237" s="4" t="s">
        <v>5685</v>
      </c>
      <c r="E3237" s="5" t="s">
        <v>5722</v>
      </c>
      <c r="F3237" s="5" t="str">
        <f t="shared" si="50"/>
        <v>lsb.se</v>
      </c>
      <c r="G3237" s="5" t="s">
        <v>4</v>
      </c>
      <c r="H3237" s="5" t="s">
        <v>5</v>
      </c>
      <c r="I3237" s="6">
        <v>45775</v>
      </c>
    </row>
    <row r="3238" spans="1:9" ht="13.5">
      <c r="A3238" s="2" t="s">
        <v>2357</v>
      </c>
      <c r="B3238" s="3"/>
      <c r="C3238" s="4" t="s">
        <v>5723</v>
      </c>
      <c r="D3238" s="4" t="s">
        <v>5685</v>
      </c>
      <c r="E3238" s="5" t="s">
        <v>5722</v>
      </c>
      <c r="F3238" s="5" t="str">
        <f t="shared" si="50"/>
        <v>lsb.se</v>
      </c>
      <c r="G3238" s="5" t="s">
        <v>4</v>
      </c>
      <c r="H3238" s="5" t="s">
        <v>5</v>
      </c>
      <c r="I3238" s="6">
        <v>45775</v>
      </c>
    </row>
    <row r="3239" spans="1:9" ht="13.5">
      <c r="A3239" s="2" t="s">
        <v>2127</v>
      </c>
      <c r="B3239" s="3"/>
      <c r="C3239" s="4" t="s">
        <v>5724</v>
      </c>
      <c r="D3239" s="4" t="s">
        <v>5725</v>
      </c>
      <c r="E3239" s="5" t="s">
        <v>4999</v>
      </c>
      <c r="F3239" s="5" t="str">
        <f t="shared" si="50"/>
        <v>startmotor.se</v>
      </c>
      <c r="G3239" s="5" t="s">
        <v>4</v>
      </c>
      <c r="H3239" s="5" t="s">
        <v>5</v>
      </c>
      <c r="I3239" s="6">
        <v>45775</v>
      </c>
    </row>
    <row r="3240" spans="1:9" ht="13.5">
      <c r="A3240" s="2" t="s">
        <v>4147</v>
      </c>
      <c r="B3240" s="3"/>
      <c r="C3240" s="4" t="s">
        <v>5726</v>
      </c>
      <c r="D3240" s="8" t="s">
        <v>5448</v>
      </c>
      <c r="E3240" s="5" t="s">
        <v>5449</v>
      </c>
      <c r="F3240" s="5" t="str">
        <f t="shared" si="50"/>
        <v>petster.se</v>
      </c>
      <c r="G3240" s="5" t="s">
        <v>4</v>
      </c>
      <c r="H3240" s="5" t="s">
        <v>5</v>
      </c>
      <c r="I3240" s="6">
        <v>45775</v>
      </c>
    </row>
    <row r="3241" spans="1:9" ht="13.5">
      <c r="A3241" s="2" t="s">
        <v>2549</v>
      </c>
      <c r="B3241" s="3"/>
      <c r="C3241" s="4" t="s">
        <v>5727</v>
      </c>
      <c r="D3241" s="4" t="s">
        <v>5131</v>
      </c>
      <c r="E3241" s="5" t="s">
        <v>5728</v>
      </c>
      <c r="F3241" s="5" t="str">
        <f t="shared" si="50"/>
        <v>purakliniken.se</v>
      </c>
      <c r="G3241" s="5" t="s">
        <v>4</v>
      </c>
      <c r="H3241" s="5" t="s">
        <v>5</v>
      </c>
      <c r="I3241" s="6">
        <v>45775</v>
      </c>
    </row>
    <row r="3242" spans="1:9" ht="13.5">
      <c r="A3242" s="2" t="s">
        <v>3058</v>
      </c>
      <c r="B3242" s="3"/>
      <c r="C3242" s="4" t="s">
        <v>5729</v>
      </c>
      <c r="D3242" s="4" t="s">
        <v>5034</v>
      </c>
      <c r="E3242" s="5" t="s">
        <v>5395</v>
      </c>
      <c r="F3242" s="5" t="str">
        <f t="shared" si="50"/>
        <v>rusta.se</v>
      </c>
      <c r="G3242" s="5" t="s">
        <v>4</v>
      </c>
      <c r="H3242" s="5" t="s">
        <v>5</v>
      </c>
      <c r="I3242" s="6">
        <v>45775</v>
      </c>
    </row>
    <row r="3243" spans="1:9" ht="13.5">
      <c r="A3243" s="2" t="s">
        <v>171</v>
      </c>
      <c r="B3243" s="3"/>
      <c r="C3243" s="4" t="s">
        <v>5730</v>
      </c>
      <c r="D3243" s="4" t="s">
        <v>2959</v>
      </c>
      <c r="E3243" s="5" t="s">
        <v>4601</v>
      </c>
      <c r="F3243" s="5" t="str">
        <f t="shared" si="50"/>
        <v>arctic.se</v>
      </c>
      <c r="G3243" s="5" t="s">
        <v>4</v>
      </c>
      <c r="H3243" s="5" t="s">
        <v>5</v>
      </c>
      <c r="I3243" s="6">
        <v>45775</v>
      </c>
    </row>
    <row r="3244" spans="1:9" ht="13.5">
      <c r="A3244" s="2" t="s">
        <v>5374</v>
      </c>
      <c r="B3244" s="3"/>
      <c r="C3244" s="4" t="s">
        <v>5731</v>
      </c>
      <c r="D3244" s="4" t="s">
        <v>5379</v>
      </c>
      <c r="E3244" s="5" t="s">
        <v>5380</v>
      </c>
      <c r="F3244" s="5" t="str">
        <f t="shared" si="50"/>
        <v>willabgarden.de</v>
      </c>
      <c r="G3244" s="5" t="s">
        <v>4</v>
      </c>
      <c r="H3244" s="5" t="s">
        <v>2355</v>
      </c>
      <c r="I3244" s="6">
        <v>45775</v>
      </c>
    </row>
    <row r="3245" spans="1:9" ht="13.5">
      <c r="A3245" s="2" t="s">
        <v>3491</v>
      </c>
      <c r="B3245" s="3"/>
      <c r="C3245" s="4" t="s">
        <v>5732</v>
      </c>
      <c r="D3245" s="4" t="s">
        <v>3493</v>
      </c>
      <c r="E3245" s="5" t="s">
        <v>5577</v>
      </c>
      <c r="F3245" s="5" t="str">
        <f t="shared" si="50"/>
        <v>mynicco.com</v>
      </c>
      <c r="G3245" s="5" t="s">
        <v>4</v>
      </c>
      <c r="H3245" s="5" t="s">
        <v>345</v>
      </c>
      <c r="I3245" s="6">
        <v>45775</v>
      </c>
    </row>
    <row r="3246" spans="1:9" ht="13.5">
      <c r="A3246" s="2" t="s">
        <v>3491</v>
      </c>
      <c r="B3246" s="3"/>
      <c r="C3246" s="4" t="s">
        <v>5733</v>
      </c>
      <c r="D3246" s="4" t="s">
        <v>5528</v>
      </c>
      <c r="E3246" s="5" t="s">
        <v>5529</v>
      </c>
      <c r="F3246" s="5" t="str">
        <f t="shared" si="50"/>
        <v>mynicco.com</v>
      </c>
      <c r="G3246" s="5" t="s">
        <v>4</v>
      </c>
      <c r="H3246" s="5" t="s">
        <v>345</v>
      </c>
      <c r="I3246" s="6">
        <v>45775</v>
      </c>
    </row>
    <row r="3247" spans="1:9" ht="13.5">
      <c r="A3247" s="2" t="s">
        <v>3491</v>
      </c>
      <c r="B3247" s="3"/>
      <c r="C3247" s="4" t="s">
        <v>5734</v>
      </c>
      <c r="D3247" s="4" t="s">
        <v>5528</v>
      </c>
      <c r="E3247" s="5" t="s">
        <v>5529</v>
      </c>
      <c r="F3247" s="5" t="str">
        <f t="shared" si="50"/>
        <v>mynicco.com</v>
      </c>
      <c r="G3247" s="5" t="s">
        <v>4</v>
      </c>
      <c r="H3247" s="5" t="s">
        <v>345</v>
      </c>
      <c r="I3247" s="6">
        <v>45775</v>
      </c>
    </row>
    <row r="3248" spans="1:9" ht="13.5">
      <c r="A3248" s="2" t="s">
        <v>3491</v>
      </c>
      <c r="B3248" s="3"/>
      <c r="C3248" s="4" t="s">
        <v>5735</v>
      </c>
      <c r="D3248" s="4" t="s">
        <v>5528</v>
      </c>
      <c r="E3248" s="5" t="s">
        <v>5529</v>
      </c>
      <c r="F3248" s="5" t="str">
        <f t="shared" si="50"/>
        <v>mynicco.com</v>
      </c>
      <c r="G3248" s="5" t="s">
        <v>4</v>
      </c>
      <c r="H3248" s="5" t="s">
        <v>345</v>
      </c>
      <c r="I3248" s="6">
        <v>45775</v>
      </c>
    </row>
    <row r="3249" spans="1:9" ht="13.5">
      <c r="A3249" s="7" t="s">
        <v>1559</v>
      </c>
      <c r="B3249" s="3"/>
      <c r="C3249" s="5" t="s">
        <v>5736</v>
      </c>
      <c r="D3249" s="5" t="s">
        <v>5505</v>
      </c>
      <c r="E3249" s="5" t="s">
        <v>4778</v>
      </c>
      <c r="F3249" s="5" t="str">
        <f t="shared" si="50"/>
        <v>rorjour247.se</v>
      </c>
      <c r="G3249" s="5" t="s">
        <v>4</v>
      </c>
      <c r="H3249" s="5" t="s">
        <v>5</v>
      </c>
      <c r="I3249" s="6">
        <v>45775</v>
      </c>
    </row>
    <row r="3250" spans="1:9" ht="13.5">
      <c r="A3250" s="7" t="s">
        <v>3921</v>
      </c>
      <c r="B3250" s="3"/>
      <c r="C3250" s="5" t="s">
        <v>5737</v>
      </c>
      <c r="D3250" s="5" t="s">
        <v>5052</v>
      </c>
      <c r="E3250" s="5" t="s">
        <v>5253</v>
      </c>
      <c r="F3250" s="5" t="str">
        <f t="shared" si="50"/>
        <v>svenskalasjouren.se</v>
      </c>
      <c r="G3250" s="5" t="s">
        <v>4</v>
      </c>
      <c r="H3250" s="5" t="s">
        <v>5</v>
      </c>
      <c r="I3250" s="6">
        <v>45775</v>
      </c>
    </row>
    <row r="3251" spans="1:9" ht="13.5">
      <c r="A3251" s="2" t="s">
        <v>5038</v>
      </c>
      <c r="B3251" s="3"/>
      <c r="C3251" s="4" t="s">
        <v>5738</v>
      </c>
      <c r="D3251" s="4" t="s">
        <v>5739</v>
      </c>
      <c r="E3251" s="5" t="s">
        <v>5566</v>
      </c>
      <c r="F3251" s="5" t="str">
        <f t="shared" si="50"/>
        <v>flygbussarna.se</v>
      </c>
      <c r="G3251" s="5" t="s">
        <v>4</v>
      </c>
      <c r="H3251" s="5" t="s">
        <v>5</v>
      </c>
      <c r="I3251" s="6">
        <v>45776</v>
      </c>
    </row>
    <row r="3252" spans="1:9" ht="13.5">
      <c r="A3252" s="2" t="s">
        <v>5202</v>
      </c>
      <c r="B3252" s="3"/>
      <c r="C3252" s="4" t="s">
        <v>5740</v>
      </c>
      <c r="D3252" s="4" t="s">
        <v>5741</v>
      </c>
      <c r="E3252" s="5" t="s">
        <v>5399</v>
      </c>
      <c r="F3252" s="5" t="str">
        <f t="shared" si="50"/>
        <v>bus4you.se</v>
      </c>
      <c r="G3252" s="5" t="s">
        <v>4</v>
      </c>
      <c r="H3252" s="5" t="s">
        <v>5</v>
      </c>
      <c r="I3252" s="6">
        <v>45776</v>
      </c>
    </row>
    <row r="3253" spans="1:9" ht="13.5">
      <c r="A3253" s="2" t="s">
        <v>5084</v>
      </c>
      <c r="B3253" s="3"/>
      <c r="C3253" s="4" t="s">
        <v>5742</v>
      </c>
      <c r="D3253" s="5" t="s">
        <v>5161</v>
      </c>
      <c r="E3253" s="5" t="s">
        <v>5162</v>
      </c>
      <c r="F3253" s="5" t="str">
        <f t="shared" si="50"/>
        <v>glassfactory.fi</v>
      </c>
      <c r="G3253" s="5" t="s">
        <v>4</v>
      </c>
      <c r="H3253" s="5" t="s">
        <v>5</v>
      </c>
      <c r="I3253" s="6">
        <v>45776</v>
      </c>
    </row>
    <row r="3254" spans="1:9" ht="13.5">
      <c r="A3254" s="2" t="s">
        <v>5191</v>
      </c>
      <c r="B3254" s="3"/>
      <c r="C3254" s="4" t="s">
        <v>5743</v>
      </c>
      <c r="D3254" s="4" t="s">
        <v>5456</v>
      </c>
      <c r="E3254" s="5" t="s">
        <v>5457</v>
      </c>
      <c r="F3254" s="5" t="str">
        <f t="shared" si="50"/>
        <v>bergetsro.se</v>
      </c>
      <c r="G3254" s="5" t="s">
        <v>4</v>
      </c>
      <c r="H3254" s="5" t="s">
        <v>5</v>
      </c>
      <c r="I3254" s="6">
        <v>45776</v>
      </c>
    </row>
    <row r="3255" spans="1:9" ht="13.5">
      <c r="A3255" s="2" t="s">
        <v>4041</v>
      </c>
      <c r="B3255" s="3"/>
      <c r="C3255" s="4" t="s">
        <v>5744</v>
      </c>
      <c r="D3255" s="4" t="s">
        <v>4847</v>
      </c>
      <c r="E3255" s="5" t="s">
        <v>4515</v>
      </c>
      <c r="F3255" s="5" t="str">
        <f t="shared" si="50"/>
        <v>cateringfabriken.se</v>
      </c>
      <c r="G3255" s="5" t="s">
        <v>4</v>
      </c>
      <c r="H3255" s="5" t="s">
        <v>5</v>
      </c>
      <c r="I3255" s="6">
        <v>45776</v>
      </c>
    </row>
    <row r="3256" spans="1:9" ht="13.5">
      <c r="A3256" s="2" t="s">
        <v>3885</v>
      </c>
      <c r="B3256" s="3"/>
      <c r="C3256" s="4" t="s">
        <v>5745</v>
      </c>
      <c r="D3256" s="4" t="s">
        <v>5746</v>
      </c>
      <c r="E3256" s="5" t="s">
        <v>5747</v>
      </c>
      <c r="F3256" s="5" t="str">
        <f t="shared" si="50"/>
        <v>chattanoogarehab.com</v>
      </c>
      <c r="G3256" s="5" t="s">
        <v>4</v>
      </c>
      <c r="H3256" s="5" t="s">
        <v>345</v>
      </c>
      <c r="I3256" s="6">
        <v>45776</v>
      </c>
    </row>
    <row r="3257" spans="1:9" ht="13.5">
      <c r="A3257" s="2" t="s">
        <v>4771</v>
      </c>
      <c r="B3257" s="3"/>
      <c r="C3257" s="5" t="s">
        <v>5748</v>
      </c>
      <c r="D3257" s="5" t="s">
        <v>5288</v>
      </c>
      <c r="E3257" s="5" t="s">
        <v>5749</v>
      </c>
      <c r="F3257" s="5" t="str">
        <f t="shared" si="50"/>
        <v>dryft.se</v>
      </c>
      <c r="G3257" s="5" t="s">
        <v>4</v>
      </c>
      <c r="H3257" s="5" t="s">
        <v>5</v>
      </c>
      <c r="I3257" s="6">
        <v>45776</v>
      </c>
    </row>
    <row r="3258" spans="1:9" ht="13.5">
      <c r="A3258" s="2" t="s">
        <v>4409</v>
      </c>
      <c r="B3258" s="3"/>
      <c r="C3258" s="4" t="s">
        <v>5750</v>
      </c>
      <c r="D3258" s="4" t="s">
        <v>5751</v>
      </c>
      <c r="E3258" s="5" t="s">
        <v>5752</v>
      </c>
      <c r="F3258" s="5" t="str">
        <f t="shared" si="50"/>
        <v>svenskafonster.se</v>
      </c>
      <c r="G3258" s="5" t="s">
        <v>4</v>
      </c>
      <c r="H3258" s="5" t="s">
        <v>5</v>
      </c>
      <c r="I3258" s="6">
        <v>45776</v>
      </c>
    </row>
    <row r="3259" spans="1:9" ht="13.5">
      <c r="A3259" s="2" t="s">
        <v>435</v>
      </c>
      <c r="B3259" s="3"/>
      <c r="C3259" s="4" t="s">
        <v>5753</v>
      </c>
      <c r="D3259" s="5" t="s">
        <v>3779</v>
      </c>
      <c r="E3259" s="5" t="s">
        <v>839</v>
      </c>
      <c r="F3259" s="5" t="str">
        <f t="shared" si="50"/>
        <v>fairinvestments.se</v>
      </c>
      <c r="G3259" s="5" t="s">
        <v>4</v>
      </c>
      <c r="H3259" s="5" t="s">
        <v>5</v>
      </c>
      <c r="I3259" s="6">
        <v>45776</v>
      </c>
    </row>
    <row r="3260" spans="1:9" ht="13.5">
      <c r="A3260" s="2" t="s">
        <v>435</v>
      </c>
      <c r="B3260" s="3"/>
      <c r="C3260" s="4" t="s">
        <v>5754</v>
      </c>
      <c r="D3260" s="5" t="s">
        <v>1734</v>
      </c>
      <c r="E3260" s="5" t="s">
        <v>839</v>
      </c>
      <c r="F3260" s="5" t="str">
        <f t="shared" si="50"/>
        <v>fairinvestments.se</v>
      </c>
      <c r="G3260" s="5" t="s">
        <v>4</v>
      </c>
      <c r="H3260" s="5" t="s">
        <v>5</v>
      </c>
      <c r="I3260" s="6">
        <v>45776</v>
      </c>
    </row>
    <row r="3261" spans="1:9" ht="13.5">
      <c r="A3261" s="2" t="s">
        <v>4051</v>
      </c>
      <c r="B3261" s="3"/>
      <c r="C3261" s="4" t="s">
        <v>5755</v>
      </c>
      <c r="D3261" s="5" t="s">
        <v>5756</v>
      </c>
      <c r="E3261" s="5" t="s">
        <v>5757</v>
      </c>
      <c r="F3261" s="5" t="str">
        <f t="shared" si="50"/>
        <v>hund.se</v>
      </c>
      <c r="G3261" s="5" t="s">
        <v>4</v>
      </c>
      <c r="H3261" s="5" t="s">
        <v>5</v>
      </c>
      <c r="I3261" s="6">
        <v>45776</v>
      </c>
    </row>
    <row r="3262" spans="1:9" ht="13.5">
      <c r="A3262" s="2" t="s">
        <v>3743</v>
      </c>
      <c r="B3262" s="3"/>
      <c r="C3262" s="4" t="s">
        <v>5758</v>
      </c>
      <c r="D3262" s="5" t="s">
        <v>4383</v>
      </c>
      <c r="E3262" s="5" t="s">
        <v>4384</v>
      </c>
      <c r="F3262" s="5" t="str">
        <f t="shared" si="50"/>
        <v>acnespecialisten.se</v>
      </c>
      <c r="G3262" s="5" t="s">
        <v>4</v>
      </c>
      <c r="H3262" s="5" t="s">
        <v>5</v>
      </c>
      <c r="I3262" s="6">
        <v>45776</v>
      </c>
    </row>
    <row r="3263" spans="1:9" ht="13.5">
      <c r="A3263" s="2" t="s">
        <v>5715</v>
      </c>
      <c r="B3263" s="3"/>
      <c r="C3263" s="4" t="s">
        <v>5759</v>
      </c>
      <c r="D3263" s="8" t="s">
        <v>5717</v>
      </c>
      <c r="E3263" s="5" t="s">
        <v>5718</v>
      </c>
      <c r="F3263" s="5" t="str">
        <f t="shared" si="50"/>
        <v>Minifinder.se</v>
      </c>
      <c r="G3263" s="5" t="s">
        <v>4</v>
      </c>
      <c r="H3263" s="5" t="s">
        <v>5</v>
      </c>
      <c r="I3263" s="6">
        <v>45776</v>
      </c>
    </row>
    <row r="3264" spans="1:9" ht="13.5">
      <c r="A3264" s="7" t="s">
        <v>5361</v>
      </c>
      <c r="B3264" s="3"/>
      <c r="C3264" s="4" t="s">
        <v>5760</v>
      </c>
      <c r="D3264" s="4" t="s">
        <v>5436</v>
      </c>
      <c r="E3264" s="5" t="s">
        <v>5761</v>
      </c>
      <c r="F3264" s="5" t="str">
        <f t="shared" si="50"/>
        <v>Leaptodigital</v>
      </c>
      <c r="G3264" s="5" t="s">
        <v>4</v>
      </c>
      <c r="H3264" s="5" t="s">
        <v>345</v>
      </c>
      <c r="I3264" s="6">
        <v>45776</v>
      </c>
    </row>
    <row r="3265" spans="1:9" ht="13.5">
      <c r="A3265" s="7" t="s">
        <v>5361</v>
      </c>
      <c r="B3265" s="3"/>
      <c r="C3265" s="4" t="s">
        <v>5762</v>
      </c>
      <c r="D3265" s="4" t="s">
        <v>5436</v>
      </c>
      <c r="E3265" s="5" t="s">
        <v>5763</v>
      </c>
      <c r="F3265" s="5" t="str">
        <f t="shared" si="50"/>
        <v>Leaptodigital</v>
      </c>
      <c r="G3265" s="5" t="s">
        <v>4</v>
      </c>
      <c r="H3265" s="5" t="s">
        <v>345</v>
      </c>
      <c r="I3265" s="6">
        <v>45776</v>
      </c>
    </row>
    <row r="3266" spans="1:9" ht="13.5">
      <c r="A3266" s="7" t="s">
        <v>3921</v>
      </c>
      <c r="B3266" s="3"/>
      <c r="C3266" s="5" t="s">
        <v>5764</v>
      </c>
      <c r="D3266" s="5" t="s">
        <v>5425</v>
      </c>
      <c r="E3266" s="5" t="s">
        <v>4640</v>
      </c>
      <c r="F3266" s="5" t="str">
        <f t="shared" si="50"/>
        <v>svenskalasjouren.se</v>
      </c>
      <c r="G3266" s="5" t="s">
        <v>4</v>
      </c>
      <c r="H3266" s="5" t="s">
        <v>5</v>
      </c>
      <c r="I3266" s="6">
        <v>45776</v>
      </c>
    </row>
    <row r="3267" spans="1:9" ht="13.5">
      <c r="A3267" s="2" t="s">
        <v>4558</v>
      </c>
      <c r="B3267" s="3"/>
      <c r="C3267" s="4" t="s">
        <v>5765</v>
      </c>
      <c r="D3267" s="4" t="s">
        <v>5766</v>
      </c>
      <c r="E3267" s="5" t="s">
        <v>5767</v>
      </c>
      <c r="F3267" s="5" t="str">
        <f t="shared" ref="F3267:F3330" si="51">A3267</f>
        <v>mockfjards.se</v>
      </c>
      <c r="G3267" s="5" t="s">
        <v>4</v>
      </c>
      <c r="H3267" s="5" t="s">
        <v>5</v>
      </c>
      <c r="I3267" s="6">
        <v>45777</v>
      </c>
    </row>
    <row r="3268" spans="1:9" ht="13.5">
      <c r="A3268" s="2" t="s">
        <v>5768</v>
      </c>
      <c r="B3268" s="3"/>
      <c r="C3268" s="4" t="s">
        <v>5769</v>
      </c>
      <c r="D3268" s="4" t="s">
        <v>5770</v>
      </c>
      <c r="E3268" s="5" t="s">
        <v>5771</v>
      </c>
      <c r="F3268" s="5" t="str">
        <f t="shared" si="51"/>
        <v>gonorthshop.com</v>
      </c>
      <c r="G3268" s="5" t="s">
        <v>4</v>
      </c>
      <c r="H3268" s="5" t="s">
        <v>345</v>
      </c>
      <c r="I3268" s="6">
        <v>45777</v>
      </c>
    </row>
    <row r="3269" spans="1:9" ht="13.5">
      <c r="A3269" s="2" t="s">
        <v>5768</v>
      </c>
      <c r="B3269" s="3"/>
      <c r="C3269" s="4" t="s">
        <v>5772</v>
      </c>
      <c r="D3269" s="4" t="s">
        <v>5768</v>
      </c>
      <c r="E3269" s="5" t="s">
        <v>5773</v>
      </c>
      <c r="F3269" s="5" t="str">
        <f t="shared" si="51"/>
        <v>gonorthshop.com</v>
      </c>
      <c r="G3269" s="5" t="s">
        <v>4</v>
      </c>
      <c r="H3269" s="5" t="s">
        <v>345</v>
      </c>
      <c r="I3269" s="6">
        <v>45777</v>
      </c>
    </row>
    <row r="3270" spans="1:9" ht="13.5">
      <c r="A3270" s="2" t="s">
        <v>3491</v>
      </c>
      <c r="B3270" s="3"/>
      <c r="C3270" s="4" t="s">
        <v>5774</v>
      </c>
      <c r="D3270" s="4" t="s">
        <v>3493</v>
      </c>
      <c r="E3270" s="5" t="s">
        <v>3494</v>
      </c>
      <c r="F3270" s="5" t="str">
        <f t="shared" si="51"/>
        <v>mynicco.com</v>
      </c>
      <c r="G3270" s="5" t="s">
        <v>4</v>
      </c>
      <c r="H3270" s="5" t="s">
        <v>345</v>
      </c>
      <c r="I3270" s="6">
        <v>45777</v>
      </c>
    </row>
    <row r="3271" spans="1:9" ht="13.5">
      <c r="A3271" s="7" t="s">
        <v>1910</v>
      </c>
      <c r="B3271" s="3"/>
      <c r="C3271" s="4" t="s">
        <v>5775</v>
      </c>
      <c r="D3271" s="4" t="s">
        <v>3470</v>
      </c>
      <c r="E3271" s="5" t="s">
        <v>4094</v>
      </c>
      <c r="F3271" s="5" t="str">
        <f t="shared" si="51"/>
        <v>kelleher-international</v>
      </c>
      <c r="G3271" s="5" t="s">
        <v>4</v>
      </c>
      <c r="H3271" s="5" t="s">
        <v>345</v>
      </c>
      <c r="I3271" s="6">
        <v>45777</v>
      </c>
    </row>
    <row r="3272" spans="1:9" ht="13.5">
      <c r="A3272" s="7" t="s">
        <v>1910</v>
      </c>
      <c r="B3272" s="3"/>
      <c r="C3272" s="4" t="s">
        <v>5776</v>
      </c>
      <c r="D3272" s="4" t="s">
        <v>3472</v>
      </c>
      <c r="E3272" s="5" t="s">
        <v>2862</v>
      </c>
      <c r="F3272" s="5" t="str">
        <f t="shared" si="51"/>
        <v>kelleher-international</v>
      </c>
      <c r="G3272" s="5" t="s">
        <v>4</v>
      </c>
      <c r="H3272" s="5" t="s">
        <v>345</v>
      </c>
      <c r="I3272" s="6">
        <v>45777</v>
      </c>
    </row>
    <row r="3273" spans="1:9" ht="13.5">
      <c r="A3273" s="2" t="s">
        <v>723</v>
      </c>
      <c r="B3273" s="3"/>
      <c r="C3273" s="4" t="s">
        <v>5777</v>
      </c>
      <c r="D3273" s="4" t="s">
        <v>725</v>
      </c>
      <c r="E3273" s="5" t="s">
        <v>3941</v>
      </c>
      <c r="F3273" s="5" t="str">
        <f t="shared" si="51"/>
        <v>aretrotale.com</v>
      </c>
      <c r="G3273" s="5" t="s">
        <v>4</v>
      </c>
      <c r="H3273" s="5" t="s">
        <v>345</v>
      </c>
      <c r="I3273" s="6">
        <v>45777</v>
      </c>
    </row>
    <row r="3274" spans="1:9" ht="13.5">
      <c r="A3274" s="2" t="s">
        <v>171</v>
      </c>
      <c r="B3274" s="3"/>
      <c r="C3274" s="4" t="s">
        <v>5778</v>
      </c>
      <c r="D3274" s="4" t="s">
        <v>2959</v>
      </c>
      <c r="E3274" s="5" t="s">
        <v>4601</v>
      </c>
      <c r="F3274" s="5" t="str">
        <f t="shared" si="51"/>
        <v>arctic.se</v>
      </c>
      <c r="G3274" s="5" t="s">
        <v>4</v>
      </c>
      <c r="H3274" s="5" t="s">
        <v>2355</v>
      </c>
      <c r="I3274" s="6">
        <v>45777</v>
      </c>
    </row>
    <row r="3275" spans="1:9" ht="13.5">
      <c r="A3275" s="2" t="s">
        <v>3186</v>
      </c>
      <c r="B3275" s="3"/>
      <c r="C3275" s="4" t="s">
        <v>5779</v>
      </c>
      <c r="D3275" s="4" t="s">
        <v>4207</v>
      </c>
      <c r="E3275" s="5" t="s">
        <v>4811</v>
      </c>
      <c r="F3275" s="5" t="str">
        <f t="shared" si="51"/>
        <v>myownwater.com</v>
      </c>
      <c r="G3275" s="5" t="s">
        <v>4</v>
      </c>
      <c r="H3275" s="5" t="s">
        <v>345</v>
      </c>
      <c r="I3275" s="6">
        <v>45777</v>
      </c>
    </row>
    <row r="3276" spans="1:9" ht="13.5">
      <c r="A3276" s="2" t="s">
        <v>3186</v>
      </c>
      <c r="B3276" s="3"/>
      <c r="C3276" s="4" t="s">
        <v>5780</v>
      </c>
      <c r="D3276" s="4" t="s">
        <v>4207</v>
      </c>
      <c r="E3276" s="5" t="s">
        <v>5781</v>
      </c>
      <c r="F3276" s="5" t="str">
        <f t="shared" si="51"/>
        <v>myownwater.com</v>
      </c>
      <c r="G3276" s="5" t="s">
        <v>4</v>
      </c>
      <c r="H3276" s="5" t="s">
        <v>345</v>
      </c>
      <c r="I3276" s="6">
        <v>45777</v>
      </c>
    </row>
    <row r="3277" spans="1:9" ht="13.5">
      <c r="A3277" s="2" t="s">
        <v>4829</v>
      </c>
      <c r="B3277" s="3"/>
      <c r="C3277" s="4" t="s">
        <v>5782</v>
      </c>
      <c r="D3277" s="4" t="s">
        <v>5101</v>
      </c>
      <c r="E3277" s="5" t="s">
        <v>5459</v>
      </c>
      <c r="F3277" s="5" t="str">
        <f t="shared" si="51"/>
        <v>technobark.com</v>
      </c>
      <c r="G3277" s="5" t="s">
        <v>4</v>
      </c>
      <c r="H3277" s="5" t="s">
        <v>345</v>
      </c>
      <c r="I3277" s="6">
        <v>45777</v>
      </c>
    </row>
    <row r="3278" spans="1:9" ht="13.5">
      <c r="A3278" s="2" t="s">
        <v>4829</v>
      </c>
      <c r="B3278" s="3"/>
      <c r="C3278" s="4" t="s">
        <v>5783</v>
      </c>
      <c r="D3278" s="4" t="s">
        <v>4934</v>
      </c>
      <c r="E3278" s="5" t="s">
        <v>5784</v>
      </c>
      <c r="F3278" s="5" t="str">
        <f t="shared" si="51"/>
        <v>technobark.com</v>
      </c>
      <c r="G3278" s="5" t="s">
        <v>4</v>
      </c>
      <c r="H3278" s="5" t="s">
        <v>345</v>
      </c>
      <c r="I3278" s="6">
        <v>45777</v>
      </c>
    </row>
    <row r="3279" spans="1:9" ht="13.5">
      <c r="A3279" s="2" t="s">
        <v>1993</v>
      </c>
      <c r="B3279" s="3"/>
      <c r="C3279" s="4" t="s">
        <v>5785</v>
      </c>
      <c r="D3279" s="4" t="s">
        <v>5226</v>
      </c>
      <c r="E3279" s="5" t="s">
        <v>5786</v>
      </c>
      <c r="F3279" s="5" t="str">
        <f t="shared" si="51"/>
        <v>filippa-k.com/se/sv/</v>
      </c>
      <c r="G3279" s="5" t="s">
        <v>4</v>
      </c>
      <c r="H3279" s="5" t="s">
        <v>2355</v>
      </c>
      <c r="I3279" s="6">
        <v>45777</v>
      </c>
    </row>
    <row r="3280" spans="1:9" ht="13.5">
      <c r="A3280" s="2" t="s">
        <v>5374</v>
      </c>
      <c r="B3280" s="3"/>
      <c r="C3280" s="4" t="s">
        <v>5787</v>
      </c>
      <c r="D3280" s="4" t="s">
        <v>5376</v>
      </c>
      <c r="E3280" s="5" t="s">
        <v>5377</v>
      </c>
      <c r="F3280" s="5" t="str">
        <f t="shared" si="51"/>
        <v>willabgarden.de</v>
      </c>
      <c r="G3280" s="5" t="s">
        <v>4</v>
      </c>
      <c r="H3280" s="5" t="s">
        <v>2355</v>
      </c>
      <c r="I3280" s="6">
        <v>45777</v>
      </c>
    </row>
    <row r="3281" spans="1:9" ht="13.5">
      <c r="A3281" s="2" t="s">
        <v>5374</v>
      </c>
      <c r="B3281" s="3"/>
      <c r="C3281" s="4" t="s">
        <v>5788</v>
      </c>
      <c r="D3281" s="4" t="s">
        <v>5379</v>
      </c>
      <c r="E3281" s="5" t="s">
        <v>5380</v>
      </c>
      <c r="F3281" s="5" t="str">
        <f t="shared" si="51"/>
        <v>willabgarden.de</v>
      </c>
      <c r="G3281" s="5" t="s">
        <v>4</v>
      </c>
      <c r="H3281" s="5" t="s">
        <v>2355</v>
      </c>
      <c r="I3281" s="6">
        <v>45777</v>
      </c>
    </row>
    <row r="3282" spans="1:9" ht="13.5">
      <c r="A3282" s="2" t="s">
        <v>4219</v>
      </c>
      <c r="B3282" s="3"/>
      <c r="C3282" s="4" t="s">
        <v>5789</v>
      </c>
      <c r="D3282" s="4" t="s">
        <v>4224</v>
      </c>
      <c r="E3282" s="5" t="s">
        <v>5790</v>
      </c>
      <c r="F3282" s="5" t="str">
        <f t="shared" si="51"/>
        <v>clearfuze.com</v>
      </c>
      <c r="G3282" s="5" t="s">
        <v>4</v>
      </c>
      <c r="H3282" s="5" t="s">
        <v>345</v>
      </c>
      <c r="I3282" s="6">
        <v>45777</v>
      </c>
    </row>
    <row r="3283" spans="1:9" ht="13.5">
      <c r="A3283" s="7" t="s">
        <v>5266</v>
      </c>
      <c r="B3283" s="3"/>
      <c r="C3283" s="4" t="s">
        <v>5791</v>
      </c>
      <c r="D3283" s="4" t="s">
        <v>5268</v>
      </c>
      <c r="E3283" s="5" t="s">
        <v>5792</v>
      </c>
      <c r="F3283" s="5" t="str">
        <f t="shared" si="51"/>
        <v>Tandea Haninge</v>
      </c>
      <c r="G3283" s="5" t="s">
        <v>4</v>
      </c>
      <c r="H3283" s="5" t="s">
        <v>5</v>
      </c>
      <c r="I3283" s="6">
        <v>45777</v>
      </c>
    </row>
    <row r="3284" spans="1:9" ht="13.5">
      <c r="A3284" s="2" t="s">
        <v>1318</v>
      </c>
      <c r="B3284" s="3"/>
      <c r="C3284" s="4" t="s">
        <v>5088</v>
      </c>
      <c r="D3284" s="4" t="s">
        <v>1870</v>
      </c>
      <c r="E3284" s="5" t="s">
        <v>5089</v>
      </c>
      <c r="F3284" s="5" t="str">
        <f t="shared" si="51"/>
        <v>spelklubben.se</v>
      </c>
      <c r="G3284" s="5" t="s">
        <v>4</v>
      </c>
      <c r="H3284" s="5" t="s">
        <v>5</v>
      </c>
      <c r="I3284" s="6">
        <v>45777</v>
      </c>
    </row>
    <row r="3285" spans="1:9" ht="13.5">
      <c r="A3285" s="2" t="s">
        <v>2999</v>
      </c>
      <c r="B3285" s="3"/>
      <c r="C3285" s="8" t="s">
        <v>5793</v>
      </c>
      <c r="D3285" s="8" t="s">
        <v>5168</v>
      </c>
      <c r="E3285" s="5" t="s">
        <v>5169</v>
      </c>
      <c r="F3285" s="5" t="str">
        <f t="shared" si="51"/>
        <v>nettotobak.com</v>
      </c>
      <c r="G3285" s="5" t="s">
        <v>4</v>
      </c>
      <c r="H3285" s="5" t="s">
        <v>5</v>
      </c>
      <c r="I3285" s="6">
        <v>45777</v>
      </c>
    </row>
    <row r="3286" spans="1:9" ht="13.5">
      <c r="A3286" s="2" t="s">
        <v>2999</v>
      </c>
      <c r="B3286" s="3"/>
      <c r="C3286" s="8" t="s">
        <v>5794</v>
      </c>
      <c r="D3286" s="8" t="s">
        <v>2999</v>
      </c>
      <c r="E3286" s="5" t="s">
        <v>3233</v>
      </c>
      <c r="F3286" s="5" t="str">
        <f t="shared" si="51"/>
        <v>nettotobak.com</v>
      </c>
      <c r="G3286" s="5" t="s">
        <v>4</v>
      </c>
      <c r="H3286" s="5" t="s">
        <v>5</v>
      </c>
      <c r="I3286" s="6">
        <v>45777</v>
      </c>
    </row>
    <row r="3287" spans="1:9" ht="13.5">
      <c r="A3287" s="2" t="s">
        <v>3761</v>
      </c>
      <c r="B3287" s="3"/>
      <c r="C3287" s="5" t="s">
        <v>5091</v>
      </c>
      <c r="D3287" s="5" t="s">
        <v>5049</v>
      </c>
      <c r="E3287" s="5" t="s">
        <v>5795</v>
      </c>
      <c r="F3287" s="5" t="str">
        <f t="shared" si="51"/>
        <v>hajper.com</v>
      </c>
      <c r="G3287" s="5" t="s">
        <v>4</v>
      </c>
      <c r="H3287" s="5" t="s">
        <v>5</v>
      </c>
      <c r="I3287" s="6">
        <v>45777</v>
      </c>
    </row>
    <row r="3288" spans="1:9" ht="13.5">
      <c r="A3288" s="2" t="s">
        <v>435</v>
      </c>
      <c r="B3288" s="3"/>
      <c r="C3288" s="4" t="s">
        <v>5796</v>
      </c>
      <c r="D3288" s="4" t="s">
        <v>3779</v>
      </c>
      <c r="E3288" s="5" t="s">
        <v>839</v>
      </c>
      <c r="F3288" s="5" t="str">
        <f t="shared" si="51"/>
        <v>fairinvestments.se</v>
      </c>
      <c r="G3288" s="5" t="s">
        <v>4</v>
      </c>
      <c r="H3288" s="5" t="s">
        <v>5</v>
      </c>
      <c r="I3288" s="6">
        <v>45777</v>
      </c>
    </row>
    <row r="3289" spans="1:9" ht="13.5">
      <c r="A3289" s="2" t="s">
        <v>435</v>
      </c>
      <c r="B3289" s="3"/>
      <c r="C3289" s="4" t="s">
        <v>5797</v>
      </c>
      <c r="D3289" s="4" t="s">
        <v>5798</v>
      </c>
      <c r="E3289" s="5" t="s">
        <v>839</v>
      </c>
      <c r="F3289" s="5" t="str">
        <f t="shared" si="51"/>
        <v>fairinvestments.se</v>
      </c>
      <c r="G3289" s="5" t="s">
        <v>4</v>
      </c>
      <c r="H3289" s="5" t="s">
        <v>5</v>
      </c>
      <c r="I3289" s="6">
        <v>45777</v>
      </c>
    </row>
    <row r="3290" spans="1:9" ht="13.5">
      <c r="A3290" s="2" t="s">
        <v>3058</v>
      </c>
      <c r="B3290" s="3"/>
      <c r="C3290" s="4" t="s">
        <v>5799</v>
      </c>
      <c r="D3290" s="4" t="s">
        <v>4972</v>
      </c>
      <c r="E3290" s="5" t="s">
        <v>3185</v>
      </c>
      <c r="F3290" s="5" t="str">
        <f t="shared" si="51"/>
        <v>rusta.se</v>
      </c>
      <c r="G3290" s="5" t="s">
        <v>4</v>
      </c>
      <c r="H3290" s="5" t="s">
        <v>5</v>
      </c>
      <c r="I3290" s="6">
        <v>45777</v>
      </c>
    </row>
    <row r="3291" spans="1:9" ht="13.5">
      <c r="A3291" s="2" t="s">
        <v>3058</v>
      </c>
      <c r="B3291" s="3"/>
      <c r="C3291" s="4" t="s">
        <v>5800</v>
      </c>
      <c r="D3291" s="4" t="s">
        <v>5128</v>
      </c>
      <c r="E3291" s="5" t="s">
        <v>5585</v>
      </c>
      <c r="F3291" s="5" t="str">
        <f t="shared" si="51"/>
        <v>rusta.se</v>
      </c>
      <c r="G3291" s="5" t="s">
        <v>4</v>
      </c>
      <c r="H3291" s="5" t="s">
        <v>5</v>
      </c>
      <c r="I3291" s="6">
        <v>45777</v>
      </c>
    </row>
    <row r="3292" spans="1:9" ht="13.5">
      <c r="A3292" s="2" t="s">
        <v>5084</v>
      </c>
      <c r="B3292" s="3"/>
      <c r="C3292" s="4" t="s">
        <v>5801</v>
      </c>
      <c r="D3292" s="4" t="s">
        <v>5086</v>
      </c>
      <c r="E3292" s="5" t="s">
        <v>5802</v>
      </c>
      <c r="F3292" s="5" t="str">
        <f t="shared" si="51"/>
        <v>glassfactory.fi</v>
      </c>
      <c r="G3292" s="5" t="s">
        <v>4</v>
      </c>
      <c r="H3292" s="5" t="s">
        <v>5</v>
      </c>
      <c r="I3292" s="6">
        <v>45777</v>
      </c>
    </row>
    <row r="3293" spans="1:9" ht="13.5">
      <c r="A3293" s="2" t="s">
        <v>4489</v>
      </c>
      <c r="B3293" s="3"/>
      <c r="C3293" s="4" t="s">
        <v>5803</v>
      </c>
      <c r="D3293" s="4" t="s">
        <v>4494</v>
      </c>
      <c r="E3293" s="5" t="s">
        <v>5571</v>
      </c>
      <c r="F3293" s="5" t="str">
        <f t="shared" si="51"/>
        <v>nordicknots.com</v>
      </c>
      <c r="G3293" s="5" t="s">
        <v>4</v>
      </c>
      <c r="H3293" s="5" t="s">
        <v>345</v>
      </c>
      <c r="I3293" s="6">
        <v>45778</v>
      </c>
    </row>
    <row r="3294" spans="1:9" ht="13.5">
      <c r="A3294" s="2" t="s">
        <v>3086</v>
      </c>
      <c r="B3294" s="3"/>
      <c r="C3294" s="4" t="s">
        <v>5804</v>
      </c>
      <c r="D3294" s="8" t="s">
        <v>5805</v>
      </c>
      <c r="E3294" s="5" t="s">
        <v>5806</v>
      </c>
      <c r="F3294" s="5" t="str">
        <f t="shared" si="51"/>
        <v>himala.ai</v>
      </c>
      <c r="G3294" s="5" t="s">
        <v>4</v>
      </c>
      <c r="H3294" s="5" t="s">
        <v>345</v>
      </c>
      <c r="I3294" s="6">
        <v>45778</v>
      </c>
    </row>
    <row r="3295" spans="1:9" ht="13.5">
      <c r="A3295" s="7" t="s">
        <v>2281</v>
      </c>
      <c r="B3295" s="3"/>
      <c r="C3295" s="4" t="s">
        <v>5807</v>
      </c>
      <c r="D3295" s="4" t="s">
        <v>2283</v>
      </c>
      <c r="E3295" s="5" t="s">
        <v>2284</v>
      </c>
      <c r="F3295" s="5" t="str">
        <f t="shared" si="51"/>
        <v>tandläkare.se</v>
      </c>
      <c r="G3295" s="5" t="s">
        <v>4</v>
      </c>
      <c r="H3295" s="5" t="s">
        <v>5</v>
      </c>
      <c r="I3295" s="6">
        <v>45779</v>
      </c>
    </row>
    <row r="3296" spans="1:9" ht="13.5">
      <c r="A3296" s="2" t="s">
        <v>3580</v>
      </c>
      <c r="B3296" s="3"/>
      <c r="C3296" s="4" t="s">
        <v>5808</v>
      </c>
      <c r="D3296" s="4" t="s">
        <v>5312</v>
      </c>
      <c r="E3296" s="5" t="s">
        <v>5313</v>
      </c>
      <c r="F3296" s="5" t="str">
        <f t="shared" si="51"/>
        <v>kleer.se</v>
      </c>
      <c r="G3296" s="5" t="s">
        <v>4</v>
      </c>
      <c r="H3296" s="5" t="s">
        <v>5</v>
      </c>
      <c r="I3296" s="6">
        <v>45780</v>
      </c>
    </row>
    <row r="3297" spans="1:9" ht="13.5">
      <c r="A3297" s="7" t="s">
        <v>5266</v>
      </c>
      <c r="B3297" s="3"/>
      <c r="C3297" s="4" t="s">
        <v>5791</v>
      </c>
      <c r="D3297" s="4" t="s">
        <v>5268</v>
      </c>
      <c r="E3297" s="5" t="s">
        <v>5792</v>
      </c>
      <c r="F3297" s="5" t="str">
        <f t="shared" si="51"/>
        <v>Tandea Haninge</v>
      </c>
      <c r="G3297" s="5" t="s">
        <v>4</v>
      </c>
      <c r="H3297" s="5" t="s">
        <v>5</v>
      </c>
      <c r="I3297" s="6">
        <v>45780</v>
      </c>
    </row>
    <row r="3298" spans="1:9" ht="13.5">
      <c r="A3298" s="7" t="s">
        <v>5649</v>
      </c>
      <c r="B3298" s="3"/>
      <c r="C3298" s="4" t="s">
        <v>5809</v>
      </c>
      <c r="D3298" s="4" t="s">
        <v>5810</v>
      </c>
      <c r="E3298" s="5" t="s">
        <v>5811</v>
      </c>
      <c r="F3298" s="5" t="str">
        <f t="shared" si="51"/>
        <v>Invozio</v>
      </c>
      <c r="G3298" s="5" t="s">
        <v>4</v>
      </c>
      <c r="H3298" s="5" t="s">
        <v>5</v>
      </c>
      <c r="I3298" s="6">
        <v>45780</v>
      </c>
    </row>
    <row r="3299" spans="1:9" ht="13.5">
      <c r="A3299" s="7" t="s">
        <v>3419</v>
      </c>
      <c r="B3299" s="3"/>
      <c r="C3299" s="4" t="s">
        <v>5812</v>
      </c>
      <c r="D3299" s="4" t="s">
        <v>5813</v>
      </c>
      <c r="E3299" s="5" t="s">
        <v>5814</v>
      </c>
      <c r="F3299" s="5" t="str">
        <f t="shared" si="51"/>
        <v>zmarta</v>
      </c>
      <c r="G3299" s="5" t="s">
        <v>4</v>
      </c>
      <c r="H3299" s="5" t="s">
        <v>1618</v>
      </c>
      <c r="I3299" s="6">
        <v>45781</v>
      </c>
    </row>
    <row r="3300" spans="1:9" ht="13.5">
      <c r="A3300" s="7" t="s">
        <v>3419</v>
      </c>
      <c r="B3300" s="3"/>
      <c r="C3300" s="4" t="s">
        <v>5815</v>
      </c>
      <c r="D3300" s="4" t="s">
        <v>5816</v>
      </c>
      <c r="E3300" s="5" t="s">
        <v>5817</v>
      </c>
      <c r="F3300" s="5" t="str">
        <f t="shared" si="51"/>
        <v>zmarta</v>
      </c>
      <c r="G3300" s="5" t="s">
        <v>4</v>
      </c>
      <c r="H3300" s="5" t="s">
        <v>1618</v>
      </c>
      <c r="I3300" s="6">
        <v>45781</v>
      </c>
    </row>
    <row r="3301" spans="1:9" ht="13.5">
      <c r="A3301" s="7" t="s">
        <v>3419</v>
      </c>
      <c r="B3301" s="3"/>
      <c r="C3301" s="4" t="s">
        <v>5818</v>
      </c>
      <c r="D3301" s="4" t="s">
        <v>5816</v>
      </c>
      <c r="E3301" s="5" t="s">
        <v>5819</v>
      </c>
      <c r="F3301" s="5" t="str">
        <f t="shared" si="51"/>
        <v>zmarta</v>
      </c>
      <c r="G3301" s="5" t="s">
        <v>4</v>
      </c>
      <c r="H3301" s="5" t="s">
        <v>1618</v>
      </c>
      <c r="I3301" s="6">
        <v>45781</v>
      </c>
    </row>
    <row r="3302" spans="1:9" ht="13.5">
      <c r="A3302" s="2" t="s">
        <v>4482</v>
      </c>
      <c r="B3302" s="3"/>
      <c r="C3302" s="4" t="s">
        <v>5820</v>
      </c>
      <c r="D3302" s="4" t="s">
        <v>4484</v>
      </c>
      <c r="E3302" s="5" t="s">
        <v>4485</v>
      </c>
      <c r="F3302" s="5" t="str">
        <f t="shared" si="51"/>
        <v>godies.fi</v>
      </c>
      <c r="G3302" s="5" t="s">
        <v>4</v>
      </c>
      <c r="H3302" s="5" t="s">
        <v>1618</v>
      </c>
      <c r="I3302" s="6">
        <v>45781</v>
      </c>
    </row>
    <row r="3303" spans="1:9" ht="13.5">
      <c r="A3303" s="2" t="s">
        <v>4482</v>
      </c>
      <c r="B3303" s="3"/>
      <c r="C3303" s="4" t="s">
        <v>5821</v>
      </c>
      <c r="D3303" s="4" t="s">
        <v>4487</v>
      </c>
      <c r="E3303" s="5" t="s">
        <v>4488</v>
      </c>
      <c r="F3303" s="5" t="str">
        <f t="shared" si="51"/>
        <v>godies.fi</v>
      </c>
      <c r="G3303" s="5" t="s">
        <v>4</v>
      </c>
      <c r="H3303" s="5" t="s">
        <v>1618</v>
      </c>
      <c r="I3303" s="6">
        <v>45781</v>
      </c>
    </row>
    <row r="3304" spans="1:9" ht="13.5">
      <c r="A3304" s="7" t="s">
        <v>5361</v>
      </c>
      <c r="B3304" s="3"/>
      <c r="C3304" s="4" t="s">
        <v>5822</v>
      </c>
      <c r="D3304" s="4" t="s">
        <v>5436</v>
      </c>
      <c r="E3304" s="5" t="s">
        <v>5823</v>
      </c>
      <c r="F3304" s="5" t="str">
        <f t="shared" si="51"/>
        <v>Leaptodigital</v>
      </c>
      <c r="G3304" s="5" t="s">
        <v>4</v>
      </c>
      <c r="H3304" s="5" t="s">
        <v>345</v>
      </c>
      <c r="I3304" s="6">
        <v>45782</v>
      </c>
    </row>
    <row r="3305" spans="1:9" ht="13.5">
      <c r="A3305" s="7" t="s">
        <v>5361</v>
      </c>
      <c r="B3305" s="3"/>
      <c r="C3305" s="4" t="s">
        <v>5824</v>
      </c>
      <c r="D3305" s="4" t="s">
        <v>5436</v>
      </c>
      <c r="E3305" s="5" t="s">
        <v>5763</v>
      </c>
      <c r="F3305" s="5" t="str">
        <f t="shared" si="51"/>
        <v>Leaptodigital</v>
      </c>
      <c r="G3305" s="5" t="s">
        <v>4</v>
      </c>
      <c r="H3305" s="5" t="s">
        <v>345</v>
      </c>
      <c r="I3305" s="6">
        <v>45782</v>
      </c>
    </row>
    <row r="3306" spans="1:9" ht="13.5">
      <c r="A3306" s="2" t="s">
        <v>3761</v>
      </c>
      <c r="B3306" s="3"/>
      <c r="C3306" s="4" t="s">
        <v>5825</v>
      </c>
      <c r="D3306" s="4" t="s">
        <v>3908</v>
      </c>
      <c r="E3306" s="5" t="s">
        <v>5826</v>
      </c>
      <c r="F3306" s="5" t="str">
        <f t="shared" si="51"/>
        <v>hajper.com</v>
      </c>
      <c r="G3306" s="5" t="s">
        <v>4</v>
      </c>
      <c r="H3306" s="5" t="s">
        <v>5</v>
      </c>
      <c r="I3306" s="6">
        <v>45783</v>
      </c>
    </row>
    <row r="3307" spans="1:9" ht="13.5">
      <c r="A3307" s="7" t="s">
        <v>3419</v>
      </c>
      <c r="B3307" s="3"/>
      <c r="C3307" s="4" t="s">
        <v>5827</v>
      </c>
      <c r="D3307" s="8" t="s">
        <v>5828</v>
      </c>
      <c r="E3307" s="5" t="s">
        <v>5829</v>
      </c>
      <c r="F3307" s="5" t="str">
        <f t="shared" si="51"/>
        <v>zmarta</v>
      </c>
      <c r="G3307" s="5" t="s">
        <v>4</v>
      </c>
      <c r="H3307" s="5" t="s">
        <v>5</v>
      </c>
      <c r="I3307" s="6">
        <v>45783</v>
      </c>
    </row>
    <row r="3308" spans="1:9" ht="13.5">
      <c r="A3308" s="2" t="s">
        <v>3682</v>
      </c>
      <c r="B3308" s="3"/>
      <c r="C3308" s="4" t="s">
        <v>5830</v>
      </c>
      <c r="D3308" s="8" t="s">
        <v>5831</v>
      </c>
      <c r="E3308" s="5" t="s">
        <v>5832</v>
      </c>
      <c r="F3308" s="5" t="str">
        <f t="shared" si="51"/>
        <v>upplevelse.com</v>
      </c>
      <c r="G3308" s="5" t="s">
        <v>4</v>
      </c>
      <c r="H3308" s="5" t="s">
        <v>5</v>
      </c>
      <c r="I3308" s="6">
        <v>45783</v>
      </c>
    </row>
    <row r="3309" spans="1:9" ht="13.5">
      <c r="A3309" s="7" t="s">
        <v>5649</v>
      </c>
      <c r="B3309" s="3"/>
      <c r="C3309" s="4" t="s">
        <v>5833</v>
      </c>
      <c r="D3309" s="4" t="s">
        <v>5834</v>
      </c>
      <c r="E3309" s="5" t="s">
        <v>5835</v>
      </c>
      <c r="F3309" s="5" t="str">
        <f t="shared" si="51"/>
        <v>Invozio</v>
      </c>
      <c r="G3309" s="5" t="s">
        <v>4</v>
      </c>
      <c r="H3309" s="5" t="s">
        <v>5</v>
      </c>
      <c r="I3309" s="6">
        <v>45783</v>
      </c>
    </row>
    <row r="3310" spans="1:9" ht="13.5">
      <c r="A3310" s="2" t="s">
        <v>1318</v>
      </c>
      <c r="B3310" s="3"/>
      <c r="C3310" s="4" t="s">
        <v>5836</v>
      </c>
      <c r="D3310" s="4" t="s">
        <v>1320</v>
      </c>
      <c r="E3310" s="5" t="s">
        <v>5837</v>
      </c>
      <c r="F3310" s="5" t="str">
        <f t="shared" si="51"/>
        <v>spelklubben.se</v>
      </c>
      <c r="G3310" s="5" t="s">
        <v>4</v>
      </c>
      <c r="H3310" s="5" t="s">
        <v>5</v>
      </c>
      <c r="I3310" s="6">
        <v>45783</v>
      </c>
    </row>
    <row r="3311" spans="1:9" ht="13.5">
      <c r="A3311" s="2" t="s">
        <v>4558</v>
      </c>
      <c r="B3311" s="3"/>
      <c r="C3311" s="4" t="s">
        <v>5838</v>
      </c>
      <c r="D3311" s="4" t="s">
        <v>5839</v>
      </c>
      <c r="E3311" s="5" t="s">
        <v>5840</v>
      </c>
      <c r="F3311" s="5" t="str">
        <f t="shared" si="51"/>
        <v>mockfjards.se</v>
      </c>
      <c r="G3311" s="5" t="s">
        <v>4</v>
      </c>
      <c r="H3311" s="5" t="s">
        <v>5</v>
      </c>
      <c r="I3311" s="6">
        <v>45783</v>
      </c>
    </row>
    <row r="3312" spans="1:9" ht="13.5">
      <c r="A3312" s="2" t="s">
        <v>2836</v>
      </c>
      <c r="B3312" s="3"/>
      <c r="C3312" s="4" t="s">
        <v>5841</v>
      </c>
      <c r="D3312" s="4" t="s">
        <v>5842</v>
      </c>
      <c r="E3312" s="5" t="s">
        <v>5843</v>
      </c>
      <c r="F3312" s="5" t="str">
        <f t="shared" si="51"/>
        <v>cherry.com</v>
      </c>
      <c r="G3312" s="5" t="s">
        <v>4</v>
      </c>
      <c r="H3312" s="5" t="s">
        <v>5</v>
      </c>
      <c r="I3312" s="6">
        <v>45783</v>
      </c>
    </row>
    <row r="3313" spans="1:9" ht="13.5">
      <c r="A3313" s="2" t="s">
        <v>4409</v>
      </c>
      <c r="B3313" s="3"/>
      <c r="C3313" s="4" t="s">
        <v>5844</v>
      </c>
      <c r="D3313" s="4" t="s">
        <v>4585</v>
      </c>
      <c r="E3313" s="5" t="s">
        <v>5845</v>
      </c>
      <c r="F3313" s="5" t="str">
        <f t="shared" si="51"/>
        <v>svenskafonster.se</v>
      </c>
      <c r="G3313" s="5" t="s">
        <v>4</v>
      </c>
      <c r="H3313" s="5" t="s">
        <v>5</v>
      </c>
      <c r="I3313" s="6">
        <v>45783</v>
      </c>
    </row>
    <row r="3314" spans="1:9" ht="13.5">
      <c r="A3314" s="2" t="s">
        <v>2357</v>
      </c>
      <c r="B3314" s="3"/>
      <c r="C3314" s="4" t="s">
        <v>5846</v>
      </c>
      <c r="D3314" s="4" t="s">
        <v>5847</v>
      </c>
      <c r="E3314" s="5" t="s">
        <v>4400</v>
      </c>
      <c r="F3314" s="5" t="str">
        <f t="shared" si="51"/>
        <v>lsb.se</v>
      </c>
      <c r="G3314" s="5" t="s">
        <v>4</v>
      </c>
      <c r="H3314" s="5" t="s">
        <v>5</v>
      </c>
      <c r="I3314" s="6">
        <v>45783</v>
      </c>
    </row>
    <row r="3315" spans="1:9" ht="13.5">
      <c r="A3315" s="2" t="s">
        <v>3186</v>
      </c>
      <c r="B3315" s="3"/>
      <c r="C3315" s="4" t="s">
        <v>5848</v>
      </c>
      <c r="D3315" s="4" t="s">
        <v>4904</v>
      </c>
      <c r="E3315" s="5" t="s">
        <v>3468</v>
      </c>
      <c r="F3315" s="5" t="str">
        <f t="shared" si="51"/>
        <v>myownwater.com</v>
      </c>
      <c r="G3315" s="5" t="s">
        <v>4</v>
      </c>
      <c r="H3315" s="5" t="s">
        <v>345</v>
      </c>
      <c r="I3315" s="6">
        <v>45784</v>
      </c>
    </row>
    <row r="3316" spans="1:9" ht="13.5">
      <c r="A3316" s="2" t="s">
        <v>2348</v>
      </c>
      <c r="B3316" s="3"/>
      <c r="C3316" s="4" t="s">
        <v>5849</v>
      </c>
      <c r="D3316" s="4" t="s">
        <v>2350</v>
      </c>
      <c r="E3316" s="5" t="s">
        <v>4719</v>
      </c>
      <c r="F3316" s="5" t="str">
        <f t="shared" si="51"/>
        <v>mobot.com</v>
      </c>
      <c r="G3316" s="5" t="s">
        <v>4</v>
      </c>
      <c r="H3316" s="5" t="s">
        <v>345</v>
      </c>
      <c r="I3316" s="6">
        <v>45784</v>
      </c>
    </row>
    <row r="3317" spans="1:9" ht="13.5">
      <c r="A3317" s="2" t="s">
        <v>4829</v>
      </c>
      <c r="B3317" s="3"/>
      <c r="C3317" s="4" t="s">
        <v>5850</v>
      </c>
      <c r="D3317" s="4" t="s">
        <v>4831</v>
      </c>
      <c r="E3317" s="5" t="s">
        <v>4832</v>
      </c>
      <c r="F3317" s="5" t="str">
        <f t="shared" si="51"/>
        <v>technobark.com</v>
      </c>
      <c r="G3317" s="5" t="s">
        <v>4</v>
      </c>
      <c r="H3317" s="5" t="s">
        <v>345</v>
      </c>
      <c r="I3317" s="6">
        <v>45784</v>
      </c>
    </row>
    <row r="3318" spans="1:9" ht="13.5">
      <c r="A3318" s="2" t="s">
        <v>4219</v>
      </c>
      <c r="B3318" s="3"/>
      <c r="C3318" s="4" t="s">
        <v>5851</v>
      </c>
      <c r="D3318" s="4" t="s">
        <v>4224</v>
      </c>
      <c r="E3318" s="5" t="s">
        <v>5516</v>
      </c>
      <c r="F3318" s="5" t="str">
        <f t="shared" si="51"/>
        <v>clearfuze.com</v>
      </c>
      <c r="G3318" s="5" t="s">
        <v>4</v>
      </c>
      <c r="H3318" s="5" t="s">
        <v>345</v>
      </c>
      <c r="I3318" s="6">
        <v>45784</v>
      </c>
    </row>
    <row r="3319" spans="1:9" ht="13.5">
      <c r="A3319" s="2" t="s">
        <v>5768</v>
      </c>
      <c r="B3319" s="3"/>
      <c r="C3319" s="4" t="s">
        <v>5852</v>
      </c>
      <c r="D3319" s="4" t="s">
        <v>5853</v>
      </c>
      <c r="E3319" s="5" t="s">
        <v>5854</v>
      </c>
      <c r="F3319" s="5" t="str">
        <f t="shared" si="51"/>
        <v>gonorthshop.com</v>
      </c>
      <c r="G3319" s="5" t="s">
        <v>4</v>
      </c>
      <c r="H3319" s="5" t="s">
        <v>345</v>
      </c>
      <c r="I3319" s="6">
        <v>45784</v>
      </c>
    </row>
    <row r="3320" spans="1:9" ht="13.5">
      <c r="A3320" s="2" t="s">
        <v>3128</v>
      </c>
      <c r="B3320" s="3"/>
      <c r="C3320" s="4" t="s">
        <v>5855</v>
      </c>
      <c r="D3320" s="4" t="s">
        <v>5154</v>
      </c>
      <c r="E3320" s="5" t="s">
        <v>5856</v>
      </c>
      <c r="F3320" s="5" t="str">
        <f t="shared" si="51"/>
        <v>bethard.com</v>
      </c>
      <c r="G3320" s="5" t="s">
        <v>4</v>
      </c>
      <c r="H3320" s="5" t="s">
        <v>5</v>
      </c>
      <c r="I3320" s="6">
        <v>45784</v>
      </c>
    </row>
    <row r="3321" spans="1:9" ht="13.5">
      <c r="A3321" s="2" t="s">
        <v>3058</v>
      </c>
      <c r="B3321" s="3"/>
      <c r="C3321" s="4" t="s">
        <v>5857</v>
      </c>
      <c r="D3321" s="4" t="s">
        <v>5128</v>
      </c>
      <c r="E3321" s="5" t="s">
        <v>5585</v>
      </c>
      <c r="F3321" s="5" t="str">
        <f t="shared" si="51"/>
        <v>rusta.se</v>
      </c>
      <c r="G3321" s="5" t="s">
        <v>4</v>
      </c>
      <c r="H3321" s="5" t="s">
        <v>5</v>
      </c>
      <c r="I3321" s="6">
        <v>45784</v>
      </c>
    </row>
    <row r="3322" spans="1:9" ht="13.5">
      <c r="A3322" s="2" t="s">
        <v>2428</v>
      </c>
      <c r="B3322" s="3"/>
      <c r="C3322" s="4" t="s">
        <v>5858</v>
      </c>
      <c r="D3322" s="4" t="s">
        <v>4762</v>
      </c>
      <c r="E3322" s="5" t="s">
        <v>1940</v>
      </c>
      <c r="F3322" s="5" t="str">
        <f t="shared" si="51"/>
        <v>sakraror.se</v>
      </c>
      <c r="G3322" s="5" t="s">
        <v>4</v>
      </c>
      <c r="H3322" s="5" t="s">
        <v>5</v>
      </c>
      <c r="I3322" s="6">
        <v>45784</v>
      </c>
    </row>
    <row r="3323" spans="1:9" ht="13.5">
      <c r="A3323" s="2" t="s">
        <v>4147</v>
      </c>
      <c r="B3323" s="3"/>
      <c r="C3323" s="4" t="s">
        <v>5859</v>
      </c>
      <c r="D3323" s="4" t="s">
        <v>5448</v>
      </c>
      <c r="E3323" s="5" t="s">
        <v>5449</v>
      </c>
      <c r="F3323" s="5" t="str">
        <f t="shared" si="51"/>
        <v>petster.se</v>
      </c>
      <c r="G3323" s="5" t="s">
        <v>4</v>
      </c>
      <c r="H3323" s="5" t="s">
        <v>5</v>
      </c>
      <c r="I3323" s="6">
        <v>45784</v>
      </c>
    </row>
    <row r="3324" spans="1:9" ht="13.5">
      <c r="A3324" s="2" t="s">
        <v>4558</v>
      </c>
      <c r="B3324" s="3"/>
      <c r="C3324" s="4" t="s">
        <v>5860</v>
      </c>
      <c r="D3324" s="4" t="s">
        <v>5766</v>
      </c>
      <c r="E3324" s="10" t="s">
        <v>5767</v>
      </c>
      <c r="F3324" s="5" t="str">
        <f t="shared" si="51"/>
        <v>mockfjards.se</v>
      </c>
      <c r="G3324" s="5" t="s">
        <v>4</v>
      </c>
      <c r="H3324" s="5" t="s">
        <v>5</v>
      </c>
      <c r="I3324" s="6">
        <v>45786</v>
      </c>
    </row>
    <row r="3325" spans="1:9" ht="13.5">
      <c r="A3325" s="2" t="s">
        <v>4771</v>
      </c>
      <c r="B3325" s="3"/>
      <c r="C3325" s="4" t="s">
        <v>5861</v>
      </c>
      <c r="D3325" s="4" t="s">
        <v>5862</v>
      </c>
      <c r="E3325" s="5" t="s">
        <v>5863</v>
      </c>
      <c r="F3325" s="5" t="str">
        <f t="shared" si="51"/>
        <v>dryft.se</v>
      </c>
      <c r="G3325" s="5" t="s">
        <v>4</v>
      </c>
      <c r="H3325" s="5" t="s">
        <v>5</v>
      </c>
      <c r="I3325" s="6">
        <v>45786</v>
      </c>
    </row>
    <row r="3326" spans="1:9" ht="13.5">
      <c r="A3326" s="2" t="s">
        <v>5020</v>
      </c>
      <c r="B3326" s="3"/>
      <c r="C3326" s="4" t="s">
        <v>5864</v>
      </c>
      <c r="D3326" s="4" t="s">
        <v>5865</v>
      </c>
      <c r="E3326" s="5" t="s">
        <v>5866</v>
      </c>
      <c r="F3326" s="5" t="str">
        <f t="shared" si="51"/>
        <v>sesec.se</v>
      </c>
      <c r="G3326" s="5" t="s">
        <v>4</v>
      </c>
      <c r="H3326" s="5" t="s">
        <v>5</v>
      </c>
      <c r="I3326" s="6">
        <v>45786</v>
      </c>
    </row>
    <row r="3327" spans="1:9" ht="13.5">
      <c r="A3327" s="2" t="s">
        <v>3128</v>
      </c>
      <c r="B3327" s="3"/>
      <c r="C3327" s="4" t="s">
        <v>5867</v>
      </c>
      <c r="D3327" s="4" t="s">
        <v>3130</v>
      </c>
      <c r="E3327" s="5" t="s">
        <v>2840</v>
      </c>
      <c r="F3327" s="5" t="str">
        <f t="shared" si="51"/>
        <v>bethard.com</v>
      </c>
      <c r="G3327" s="5" t="s">
        <v>4</v>
      </c>
      <c r="H3327" s="5" t="s">
        <v>5</v>
      </c>
      <c r="I3327" s="6">
        <v>45789</v>
      </c>
    </row>
    <row r="3328" spans="1:9" ht="13.5">
      <c r="A3328" s="2" t="s">
        <v>3832</v>
      </c>
      <c r="B3328" s="3"/>
      <c r="C3328" s="4" t="s">
        <v>5868</v>
      </c>
      <c r="D3328" s="4" t="s">
        <v>3832</v>
      </c>
      <c r="E3328" s="5" t="s">
        <v>4852</v>
      </c>
      <c r="F3328" s="5" t="str">
        <f t="shared" si="51"/>
        <v>michaelofrisorerna.se</v>
      </c>
      <c r="G3328" s="5" t="s">
        <v>4</v>
      </c>
      <c r="H3328" s="5" t="s">
        <v>5</v>
      </c>
      <c r="I3328" s="6">
        <v>45789</v>
      </c>
    </row>
    <row r="3329" spans="1:9" ht="13.5">
      <c r="A3329" s="2" t="s">
        <v>3058</v>
      </c>
      <c r="B3329" s="3"/>
      <c r="C3329" s="4" t="s">
        <v>5869</v>
      </c>
      <c r="D3329" s="4" t="s">
        <v>5034</v>
      </c>
      <c r="E3329" s="5" t="s">
        <v>179</v>
      </c>
      <c r="F3329" s="5" t="str">
        <f t="shared" si="51"/>
        <v>rusta.se</v>
      </c>
      <c r="G3329" s="5" t="s">
        <v>4</v>
      </c>
      <c r="H3329" s="5" t="s">
        <v>5</v>
      </c>
      <c r="I3329" s="6">
        <v>45789</v>
      </c>
    </row>
    <row r="3330" spans="1:9" ht="13.5">
      <c r="A3330" s="2" t="s">
        <v>1318</v>
      </c>
      <c r="B3330" s="3"/>
      <c r="C3330" s="8" t="s">
        <v>5870</v>
      </c>
      <c r="D3330" s="8" t="s">
        <v>1318</v>
      </c>
      <c r="E3330" s="5" t="s">
        <v>5871</v>
      </c>
      <c r="F3330" s="5" t="str">
        <f t="shared" si="51"/>
        <v>spelklubben.se</v>
      </c>
      <c r="G3330" s="5" t="s">
        <v>4</v>
      </c>
      <c r="H3330" s="5" t="s">
        <v>5</v>
      </c>
      <c r="I3330" s="6">
        <v>45789</v>
      </c>
    </row>
    <row r="3331" spans="1:9" ht="13.5">
      <c r="A3331" s="2" t="s">
        <v>2357</v>
      </c>
      <c r="B3331" s="3"/>
      <c r="C3331" s="8" t="s">
        <v>5872</v>
      </c>
      <c r="D3331" s="4" t="s">
        <v>5685</v>
      </c>
      <c r="E3331" s="5" t="s">
        <v>5686</v>
      </c>
      <c r="F3331" s="5" t="str">
        <f t="shared" ref="F3331:F3394" si="52">A3331</f>
        <v>lsb.se</v>
      </c>
      <c r="G3331" s="5" t="s">
        <v>2360</v>
      </c>
      <c r="H3331" s="5" t="s">
        <v>5</v>
      </c>
      <c r="I3331" s="6">
        <v>45791</v>
      </c>
    </row>
    <row r="3332" spans="1:9" ht="13.5">
      <c r="A3332" s="7" t="s">
        <v>5361</v>
      </c>
      <c r="B3332" s="3"/>
      <c r="C3332" s="4" t="s">
        <v>5873</v>
      </c>
      <c r="D3332" s="4" t="s">
        <v>5436</v>
      </c>
      <c r="E3332" s="5" t="s">
        <v>5874</v>
      </c>
      <c r="F3332" s="5" t="str">
        <f t="shared" si="52"/>
        <v>Leaptodigital</v>
      </c>
      <c r="G3332" s="5" t="s">
        <v>4</v>
      </c>
      <c r="H3332" s="5" t="s">
        <v>345</v>
      </c>
      <c r="I3332" s="6">
        <v>45791</v>
      </c>
    </row>
    <row r="3333" spans="1:9" ht="13.5">
      <c r="A3333" s="2" t="s">
        <v>4558</v>
      </c>
      <c r="B3333" s="3"/>
      <c r="C3333" s="4" t="s">
        <v>5875</v>
      </c>
      <c r="D3333" s="4" t="s">
        <v>5766</v>
      </c>
      <c r="E3333" s="5" t="s">
        <v>5767</v>
      </c>
      <c r="F3333" s="5" t="str">
        <f t="shared" si="52"/>
        <v>mockfjards.se</v>
      </c>
      <c r="G3333" s="5" t="s">
        <v>4</v>
      </c>
      <c r="H3333" s="5" t="s">
        <v>5</v>
      </c>
      <c r="I3333" s="6">
        <v>45791</v>
      </c>
    </row>
    <row r="3334" spans="1:9" ht="13.5">
      <c r="A3334" s="2" t="s">
        <v>4771</v>
      </c>
      <c r="B3334" s="3"/>
      <c r="C3334" s="4" t="s">
        <v>5876</v>
      </c>
      <c r="D3334" s="4" t="s">
        <v>5451</v>
      </c>
      <c r="E3334" s="5" t="s">
        <v>5452</v>
      </c>
      <c r="F3334" s="5" t="str">
        <f t="shared" si="52"/>
        <v>dryft.se</v>
      </c>
      <c r="G3334" s="5" t="s">
        <v>4</v>
      </c>
      <c r="H3334" s="5" t="s">
        <v>5</v>
      </c>
      <c r="I3334" s="6">
        <v>45791</v>
      </c>
    </row>
    <row r="3335" spans="1:9" ht="13.5">
      <c r="A3335" s="2" t="s">
        <v>3086</v>
      </c>
      <c r="B3335" s="3"/>
      <c r="C3335" s="4" t="s">
        <v>5877</v>
      </c>
      <c r="D3335" s="8" t="s">
        <v>3088</v>
      </c>
      <c r="E3335" s="5" t="s">
        <v>5543</v>
      </c>
      <c r="F3335" s="5" t="str">
        <f t="shared" si="52"/>
        <v>himala.ai</v>
      </c>
      <c r="G3335" s="5" t="s">
        <v>4</v>
      </c>
      <c r="H3335" s="5" t="s">
        <v>345</v>
      </c>
      <c r="I3335" s="6">
        <v>45791</v>
      </c>
    </row>
    <row r="3336" spans="1:9" ht="13.5">
      <c r="A3336" s="2" t="s">
        <v>3086</v>
      </c>
      <c r="B3336" s="3"/>
      <c r="C3336" s="4" t="s">
        <v>5878</v>
      </c>
      <c r="D3336" s="4" t="s">
        <v>3088</v>
      </c>
      <c r="E3336" s="5" t="s">
        <v>3089</v>
      </c>
      <c r="F3336" s="5" t="str">
        <f t="shared" si="52"/>
        <v>himala.ai</v>
      </c>
      <c r="G3336" s="5" t="s">
        <v>4</v>
      </c>
      <c r="H3336" s="5" t="s">
        <v>345</v>
      </c>
      <c r="I3336" s="6">
        <v>45791</v>
      </c>
    </row>
    <row r="3337" spans="1:9" ht="13.5">
      <c r="A3337" s="2" t="s">
        <v>5879</v>
      </c>
      <c r="B3337" s="3"/>
      <c r="C3337" s="4" t="s">
        <v>5880</v>
      </c>
      <c r="D3337" s="4" t="s">
        <v>5881</v>
      </c>
      <c r="E3337" s="5" t="s">
        <v>5882</v>
      </c>
      <c r="F3337" s="5" t="str">
        <f t="shared" si="52"/>
        <v>stockholms-rorvvs.se</v>
      </c>
      <c r="G3337" s="5" t="s">
        <v>4</v>
      </c>
      <c r="H3337" s="5" t="s">
        <v>5</v>
      </c>
      <c r="I3337" s="6">
        <v>45793</v>
      </c>
    </row>
    <row r="3338" spans="1:9" ht="13.5">
      <c r="A3338" s="2" t="s">
        <v>1318</v>
      </c>
      <c r="B3338" s="3"/>
      <c r="C3338" s="4" t="s">
        <v>5883</v>
      </c>
      <c r="D3338" s="4" t="s">
        <v>1870</v>
      </c>
      <c r="E3338" s="5" t="s">
        <v>2165</v>
      </c>
      <c r="F3338" s="5" t="str">
        <f t="shared" si="52"/>
        <v>spelklubben.se</v>
      </c>
      <c r="G3338" s="5" t="s">
        <v>4</v>
      </c>
      <c r="H3338" s="5" t="s">
        <v>5</v>
      </c>
      <c r="I3338" s="6">
        <v>45796</v>
      </c>
    </row>
    <row r="3339" spans="1:9" ht="13.5">
      <c r="A3339" s="2" t="s">
        <v>3885</v>
      </c>
      <c r="B3339" s="3"/>
      <c r="C3339" s="8" t="s">
        <v>5884</v>
      </c>
      <c r="D3339" s="8" t="s">
        <v>5885</v>
      </c>
      <c r="E3339" s="5" t="s">
        <v>5886</v>
      </c>
      <c r="F3339" s="5" t="str">
        <f t="shared" si="52"/>
        <v>chattanoogarehab.com</v>
      </c>
      <c r="G3339" s="5" t="s">
        <v>4</v>
      </c>
      <c r="H3339" s="5" t="s">
        <v>345</v>
      </c>
      <c r="I3339" s="6">
        <v>45796</v>
      </c>
    </row>
    <row r="3340" spans="1:9" ht="13.5">
      <c r="A3340" s="7" t="s">
        <v>5361</v>
      </c>
      <c r="B3340" s="3"/>
      <c r="C3340" s="4" t="s">
        <v>5887</v>
      </c>
      <c r="D3340" s="8" t="s">
        <v>5436</v>
      </c>
      <c r="E3340" s="5" t="s">
        <v>5437</v>
      </c>
      <c r="F3340" s="5" t="str">
        <f t="shared" si="52"/>
        <v>Leaptodigital</v>
      </c>
      <c r="G3340" s="5" t="s">
        <v>4</v>
      </c>
      <c r="H3340" s="5" t="s">
        <v>345</v>
      </c>
      <c r="I3340" s="6">
        <v>45796</v>
      </c>
    </row>
    <row r="3341" spans="1:9" ht="13.5">
      <c r="A3341" s="2" t="s">
        <v>2999</v>
      </c>
      <c r="B3341" s="3"/>
      <c r="C3341" s="4" t="s">
        <v>5888</v>
      </c>
      <c r="D3341" s="4" t="s">
        <v>4916</v>
      </c>
      <c r="E3341" s="5" t="s">
        <v>4958</v>
      </c>
      <c r="F3341" s="5" t="str">
        <f t="shared" si="52"/>
        <v>nettotobak.com</v>
      </c>
      <c r="G3341" s="5" t="s">
        <v>4</v>
      </c>
      <c r="H3341" s="5" t="s">
        <v>5</v>
      </c>
      <c r="I3341" s="6">
        <v>45796</v>
      </c>
    </row>
    <row r="3342" spans="1:9" ht="13.5">
      <c r="A3342" s="2" t="s">
        <v>3491</v>
      </c>
      <c r="B3342" s="3"/>
      <c r="C3342" s="4" t="s">
        <v>5889</v>
      </c>
      <c r="D3342" s="4" t="s">
        <v>5528</v>
      </c>
      <c r="E3342" s="5" t="s">
        <v>5529</v>
      </c>
      <c r="F3342" s="5" t="str">
        <f t="shared" si="52"/>
        <v>mynicco.com</v>
      </c>
      <c r="G3342" s="5" t="s">
        <v>4</v>
      </c>
      <c r="H3342" s="5" t="s">
        <v>345</v>
      </c>
      <c r="I3342" s="6">
        <v>45799</v>
      </c>
    </row>
    <row r="3343" spans="1:9" ht="13.5">
      <c r="A3343" s="2" t="s">
        <v>5890</v>
      </c>
      <c r="B3343" s="3"/>
      <c r="C3343" s="4" t="s">
        <v>5891</v>
      </c>
      <c r="D3343" s="4" t="s">
        <v>5892</v>
      </c>
      <c r="E3343" s="5" t="s">
        <v>5893</v>
      </c>
      <c r="F3343" s="5" t="str">
        <f t="shared" si="52"/>
        <v>yourgild.com</v>
      </c>
      <c r="G3343" s="5" t="s">
        <v>4</v>
      </c>
      <c r="H3343" s="5" t="s">
        <v>345</v>
      </c>
      <c r="I3343" s="6">
        <v>45799</v>
      </c>
    </row>
    <row r="3344" spans="1:9" ht="13.5">
      <c r="A3344" s="2" t="s">
        <v>1318</v>
      </c>
      <c r="B3344" s="3"/>
      <c r="C3344" s="8" t="s">
        <v>5894</v>
      </c>
      <c r="D3344" s="4" t="s">
        <v>1320</v>
      </c>
      <c r="E3344" s="5" t="s">
        <v>2016</v>
      </c>
      <c r="F3344" s="5" t="str">
        <f t="shared" si="52"/>
        <v>spelklubben.se</v>
      </c>
      <c r="G3344" s="5" t="s">
        <v>4</v>
      </c>
      <c r="H3344" s="5" t="s">
        <v>5</v>
      </c>
      <c r="I3344" s="6">
        <v>45799</v>
      </c>
    </row>
    <row r="3345" spans="1:9" ht="13.5">
      <c r="A3345" s="2" t="s">
        <v>5890</v>
      </c>
      <c r="B3345" s="3"/>
      <c r="C3345" s="4" t="s">
        <v>5895</v>
      </c>
      <c r="D3345" s="4" t="s">
        <v>5896</v>
      </c>
      <c r="E3345" s="22" t="s">
        <v>5897</v>
      </c>
      <c r="F3345" s="5" t="str">
        <f t="shared" si="52"/>
        <v>yourgild.com</v>
      </c>
      <c r="G3345" s="5" t="s">
        <v>4</v>
      </c>
      <c r="H3345" s="5" t="s">
        <v>345</v>
      </c>
      <c r="I3345" s="6">
        <v>45800</v>
      </c>
    </row>
    <row r="3346" spans="1:9" ht="13.5">
      <c r="A3346" s="2" t="s">
        <v>3491</v>
      </c>
      <c r="B3346" s="3"/>
      <c r="C3346" s="4" t="s">
        <v>5898</v>
      </c>
      <c r="D3346" s="4" t="s">
        <v>3493</v>
      </c>
      <c r="E3346" s="5" t="s">
        <v>3494</v>
      </c>
      <c r="F3346" s="5" t="str">
        <f t="shared" si="52"/>
        <v>mynicco.com</v>
      </c>
      <c r="G3346" s="5" t="s">
        <v>4</v>
      </c>
      <c r="H3346" s="5" t="s">
        <v>345</v>
      </c>
      <c r="I3346" s="6">
        <v>45800</v>
      </c>
    </row>
    <row r="3347" spans="1:9" ht="13.5">
      <c r="A3347" s="2" t="s">
        <v>3491</v>
      </c>
      <c r="B3347" s="3"/>
      <c r="C3347" s="4" t="s">
        <v>5899</v>
      </c>
      <c r="D3347" s="4" t="s">
        <v>3493</v>
      </c>
      <c r="E3347" s="5" t="s">
        <v>5577</v>
      </c>
      <c r="F3347" s="5" t="str">
        <f t="shared" si="52"/>
        <v>mynicco.com</v>
      </c>
      <c r="G3347" s="5" t="s">
        <v>4</v>
      </c>
      <c r="H3347" s="5" t="s">
        <v>345</v>
      </c>
      <c r="I3347" s="6">
        <v>45800</v>
      </c>
    </row>
    <row r="3348" spans="1:9" ht="13.5">
      <c r="A3348" s="2" t="s">
        <v>3491</v>
      </c>
      <c r="B3348" s="3"/>
      <c r="C3348" s="4" t="s">
        <v>5900</v>
      </c>
      <c r="D3348" s="4" t="s">
        <v>3493</v>
      </c>
      <c r="E3348" s="5" t="s">
        <v>3494</v>
      </c>
      <c r="F3348" s="5" t="str">
        <f t="shared" si="52"/>
        <v>mynicco.com</v>
      </c>
      <c r="G3348" s="5" t="s">
        <v>4</v>
      </c>
      <c r="H3348" s="5" t="s">
        <v>345</v>
      </c>
      <c r="I3348" s="6">
        <v>45800</v>
      </c>
    </row>
    <row r="3349" spans="1:9" ht="13.5">
      <c r="A3349" s="2" t="s">
        <v>3491</v>
      </c>
      <c r="B3349" s="3"/>
      <c r="C3349" s="4" t="s">
        <v>5901</v>
      </c>
      <c r="D3349" s="4" t="s">
        <v>3493</v>
      </c>
      <c r="E3349" s="5" t="s">
        <v>3494</v>
      </c>
      <c r="F3349" s="5" t="str">
        <f t="shared" si="52"/>
        <v>mynicco.com</v>
      </c>
      <c r="G3349" s="5" t="s">
        <v>4</v>
      </c>
      <c r="H3349" s="5" t="s">
        <v>345</v>
      </c>
      <c r="I3349" s="6">
        <v>45800</v>
      </c>
    </row>
    <row r="3350" spans="1:9" ht="13.5">
      <c r="A3350" s="7" t="s">
        <v>1910</v>
      </c>
      <c r="B3350" s="3"/>
      <c r="C3350" s="4" t="s">
        <v>5902</v>
      </c>
      <c r="D3350" s="4" t="s">
        <v>1912</v>
      </c>
      <c r="E3350" s="5" t="s">
        <v>4094</v>
      </c>
      <c r="F3350" s="5" t="str">
        <f t="shared" si="52"/>
        <v>kelleher-international</v>
      </c>
      <c r="G3350" s="5" t="s">
        <v>4</v>
      </c>
      <c r="H3350" s="5" t="s">
        <v>345</v>
      </c>
      <c r="I3350" s="6">
        <v>45800</v>
      </c>
    </row>
    <row r="3351" spans="1:9" ht="13.5">
      <c r="A3351" s="7" t="s">
        <v>1910</v>
      </c>
      <c r="B3351" s="3"/>
      <c r="C3351" s="4" t="s">
        <v>5903</v>
      </c>
      <c r="D3351" s="4" t="s">
        <v>3472</v>
      </c>
      <c r="E3351" s="5" t="s">
        <v>2862</v>
      </c>
      <c r="F3351" s="5" t="str">
        <f t="shared" si="52"/>
        <v>kelleher-international</v>
      </c>
      <c r="G3351" s="5" t="s">
        <v>4</v>
      </c>
      <c r="H3351" s="5" t="s">
        <v>345</v>
      </c>
      <c r="I3351" s="6">
        <v>45800</v>
      </c>
    </row>
    <row r="3352" spans="1:9" ht="13.5">
      <c r="A3352" s="2" t="s">
        <v>723</v>
      </c>
      <c r="B3352" s="3"/>
      <c r="C3352" s="4" t="s">
        <v>5904</v>
      </c>
      <c r="D3352" s="4" t="s">
        <v>725</v>
      </c>
      <c r="E3352" s="5" t="s">
        <v>3941</v>
      </c>
      <c r="F3352" s="5" t="str">
        <f t="shared" si="52"/>
        <v>aretrotale.com</v>
      </c>
      <c r="G3352" s="5" t="s">
        <v>4</v>
      </c>
      <c r="H3352" s="5" t="s">
        <v>3496</v>
      </c>
      <c r="I3352" s="6">
        <v>45800</v>
      </c>
    </row>
    <row r="3353" spans="1:9" ht="13.5">
      <c r="A3353" s="2" t="s">
        <v>3186</v>
      </c>
      <c r="B3353" s="3"/>
      <c r="C3353" s="4" t="s">
        <v>5905</v>
      </c>
      <c r="D3353" s="4" t="s">
        <v>4904</v>
      </c>
      <c r="E3353" s="5" t="s">
        <v>3468</v>
      </c>
      <c r="F3353" s="5" t="str">
        <f t="shared" si="52"/>
        <v>myownwater.com</v>
      </c>
      <c r="G3353" s="5" t="s">
        <v>4</v>
      </c>
      <c r="H3353" s="5" t="s">
        <v>345</v>
      </c>
      <c r="I3353" s="6">
        <v>45800</v>
      </c>
    </row>
    <row r="3354" spans="1:9" ht="13.5">
      <c r="A3354" s="2" t="s">
        <v>3186</v>
      </c>
      <c r="B3354" s="3"/>
      <c r="C3354" s="4" t="s">
        <v>5906</v>
      </c>
      <c r="D3354" s="4" t="s">
        <v>4207</v>
      </c>
      <c r="E3354" s="5" t="s">
        <v>4811</v>
      </c>
      <c r="F3354" s="5" t="str">
        <f t="shared" si="52"/>
        <v>myownwater.com</v>
      </c>
      <c r="G3354" s="5" t="s">
        <v>4</v>
      </c>
      <c r="H3354" s="5" t="s">
        <v>345</v>
      </c>
      <c r="I3354" s="6">
        <v>45800</v>
      </c>
    </row>
    <row r="3355" spans="1:9" ht="13.5">
      <c r="A3355" s="2" t="s">
        <v>3186</v>
      </c>
      <c r="B3355" s="3"/>
      <c r="C3355" s="4" t="s">
        <v>5907</v>
      </c>
      <c r="D3355" s="4" t="s">
        <v>4207</v>
      </c>
      <c r="E3355" s="5" t="s">
        <v>5781</v>
      </c>
      <c r="F3355" s="5" t="str">
        <f t="shared" si="52"/>
        <v>myownwater.com</v>
      </c>
      <c r="G3355" s="5" t="s">
        <v>4</v>
      </c>
      <c r="H3355" s="5" t="s">
        <v>345</v>
      </c>
      <c r="I3355" s="6">
        <v>45800</v>
      </c>
    </row>
    <row r="3356" spans="1:9" ht="13.5">
      <c r="A3356" s="2" t="s">
        <v>2348</v>
      </c>
      <c r="B3356" s="3"/>
      <c r="C3356" s="4" t="s">
        <v>5908</v>
      </c>
      <c r="D3356" s="4" t="s">
        <v>5909</v>
      </c>
      <c r="E3356" s="5" t="s">
        <v>4719</v>
      </c>
      <c r="F3356" s="5" t="str">
        <f t="shared" si="52"/>
        <v>mobot.com</v>
      </c>
      <c r="G3356" s="5" t="s">
        <v>4</v>
      </c>
      <c r="H3356" s="5" t="s">
        <v>345</v>
      </c>
      <c r="I3356" s="6">
        <v>45800</v>
      </c>
    </row>
    <row r="3357" spans="1:9" ht="13.5">
      <c r="A3357" s="2" t="s">
        <v>2352</v>
      </c>
      <c r="B3357" s="3"/>
      <c r="C3357" s="4" t="s">
        <v>5910</v>
      </c>
      <c r="D3357" s="4" t="s">
        <v>2354</v>
      </c>
      <c r="E3357" s="5" t="s">
        <v>2356</v>
      </c>
      <c r="F3357" s="5" t="str">
        <f t="shared" si="52"/>
        <v>seniorrabatt.se</v>
      </c>
      <c r="G3357" s="5" t="s">
        <v>4</v>
      </c>
      <c r="H3357" s="5" t="s">
        <v>3496</v>
      </c>
      <c r="I3357" s="6">
        <v>45800</v>
      </c>
    </row>
    <row r="3358" spans="1:9" ht="13.5">
      <c r="A3358" s="2" t="s">
        <v>4829</v>
      </c>
      <c r="B3358" s="3"/>
      <c r="C3358" s="4" t="s">
        <v>5911</v>
      </c>
      <c r="D3358" s="4" t="s">
        <v>4831</v>
      </c>
      <c r="E3358" s="5" t="s">
        <v>4832</v>
      </c>
      <c r="F3358" s="5" t="str">
        <f t="shared" si="52"/>
        <v>technobark.com</v>
      </c>
      <c r="G3358" s="5" t="s">
        <v>4</v>
      </c>
      <c r="H3358" s="5" t="s">
        <v>345</v>
      </c>
      <c r="I3358" s="6">
        <v>45800</v>
      </c>
    </row>
    <row r="3359" spans="1:9" ht="13.5">
      <c r="A3359" s="2" t="s">
        <v>4829</v>
      </c>
      <c r="B3359" s="3"/>
      <c r="C3359" s="4" t="s">
        <v>5912</v>
      </c>
      <c r="D3359" s="4" t="s">
        <v>5101</v>
      </c>
      <c r="E3359" s="5" t="s">
        <v>5459</v>
      </c>
      <c r="F3359" s="5" t="str">
        <f t="shared" si="52"/>
        <v>technobark.com</v>
      </c>
      <c r="G3359" s="5" t="s">
        <v>4</v>
      </c>
      <c r="H3359" s="5" t="s">
        <v>345</v>
      </c>
      <c r="I3359" s="6">
        <v>45800</v>
      </c>
    </row>
    <row r="3360" spans="1:9" ht="13.5">
      <c r="A3360" s="2" t="s">
        <v>4829</v>
      </c>
      <c r="B3360" s="3"/>
      <c r="C3360" s="4" t="s">
        <v>5913</v>
      </c>
      <c r="D3360" s="4" t="s">
        <v>4934</v>
      </c>
      <c r="E3360" s="5" t="s">
        <v>5784</v>
      </c>
      <c r="F3360" s="5" t="str">
        <f t="shared" si="52"/>
        <v>technobark.com</v>
      </c>
      <c r="G3360" s="5" t="s">
        <v>4</v>
      </c>
      <c r="H3360" s="5" t="s">
        <v>345</v>
      </c>
      <c r="I3360" s="6">
        <v>45800</v>
      </c>
    </row>
    <row r="3361" spans="1:9" ht="13.5">
      <c r="A3361" s="2" t="s">
        <v>5374</v>
      </c>
      <c r="B3361" s="3"/>
      <c r="C3361" s="4" t="s">
        <v>5914</v>
      </c>
      <c r="D3361" s="4" t="s">
        <v>5379</v>
      </c>
      <c r="E3361" s="5" t="s">
        <v>5380</v>
      </c>
      <c r="F3361" s="5" t="str">
        <f t="shared" si="52"/>
        <v>willabgarden.de</v>
      </c>
      <c r="G3361" s="5" t="s">
        <v>4</v>
      </c>
      <c r="H3361" s="5" t="s">
        <v>2355</v>
      </c>
      <c r="I3361" s="6">
        <v>45800</v>
      </c>
    </row>
    <row r="3362" spans="1:9" ht="13.5">
      <c r="A3362" s="2" t="s">
        <v>5768</v>
      </c>
      <c r="B3362" s="3"/>
      <c r="C3362" s="4" t="s">
        <v>5915</v>
      </c>
      <c r="D3362" s="4" t="s">
        <v>5853</v>
      </c>
      <c r="E3362" s="5" t="s">
        <v>5854</v>
      </c>
      <c r="F3362" s="5" t="str">
        <f t="shared" si="52"/>
        <v>gonorthshop.com</v>
      </c>
      <c r="G3362" s="5" t="s">
        <v>4</v>
      </c>
      <c r="H3362" s="5" t="s">
        <v>345</v>
      </c>
      <c r="I3362" s="6">
        <v>45800</v>
      </c>
    </row>
    <row r="3363" spans="1:9" ht="13.5">
      <c r="A3363" s="2" t="s">
        <v>5768</v>
      </c>
      <c r="B3363" s="3"/>
      <c r="C3363" s="4" t="s">
        <v>5916</v>
      </c>
      <c r="D3363" s="4" t="s">
        <v>5770</v>
      </c>
      <c r="E3363" s="5" t="s">
        <v>5771</v>
      </c>
      <c r="F3363" s="5" t="str">
        <f t="shared" si="52"/>
        <v>gonorthshop.com</v>
      </c>
      <c r="G3363" s="5" t="s">
        <v>4</v>
      </c>
      <c r="H3363" s="5" t="s">
        <v>345</v>
      </c>
      <c r="I3363" s="6">
        <v>45800</v>
      </c>
    </row>
    <row r="3364" spans="1:9" ht="13.5">
      <c r="A3364" s="2" t="s">
        <v>5768</v>
      </c>
      <c r="B3364" s="3"/>
      <c r="C3364" s="4" t="s">
        <v>5917</v>
      </c>
      <c r="D3364" s="4" t="s">
        <v>5918</v>
      </c>
      <c r="E3364" s="5" t="s">
        <v>5773</v>
      </c>
      <c r="F3364" s="5" t="str">
        <f t="shared" si="52"/>
        <v>gonorthshop.com</v>
      </c>
      <c r="G3364" s="5" t="s">
        <v>4</v>
      </c>
      <c r="H3364" s="5" t="s">
        <v>345</v>
      </c>
      <c r="I3364" s="6">
        <v>45800</v>
      </c>
    </row>
    <row r="3365" spans="1:9" ht="13.5">
      <c r="A3365" s="2" t="s">
        <v>3743</v>
      </c>
      <c r="B3365" s="3"/>
      <c r="C3365" s="138" t="s">
        <v>5919</v>
      </c>
      <c r="D3365" s="4" t="s">
        <v>4383</v>
      </c>
      <c r="E3365" s="5" t="s">
        <v>4384</v>
      </c>
      <c r="F3365" s="5" t="str">
        <f t="shared" si="52"/>
        <v>acnespecialisten.se</v>
      </c>
      <c r="G3365" s="5" t="s">
        <v>4</v>
      </c>
      <c r="H3365" s="5" t="s">
        <v>5</v>
      </c>
      <c r="I3365" s="6">
        <v>45800</v>
      </c>
    </row>
    <row r="3366" spans="1:9" ht="13.5">
      <c r="A3366" s="2" t="s">
        <v>4135</v>
      </c>
      <c r="B3366" s="3"/>
      <c r="C3366" s="138" t="s">
        <v>5920</v>
      </c>
      <c r="D3366" s="4" t="s">
        <v>4368</v>
      </c>
      <c r="E3366" s="5" t="s">
        <v>4369</v>
      </c>
      <c r="F3366" s="5" t="str">
        <f t="shared" si="52"/>
        <v>aerius.se</v>
      </c>
      <c r="G3366" s="5" t="s">
        <v>4</v>
      </c>
      <c r="H3366" s="5" t="s">
        <v>5</v>
      </c>
      <c r="I3366" s="6">
        <v>45800</v>
      </c>
    </row>
    <row r="3367" spans="1:9" ht="13.5">
      <c r="A3367" s="2" t="s">
        <v>171</v>
      </c>
      <c r="B3367" s="3"/>
      <c r="C3367" s="138" t="s">
        <v>5921</v>
      </c>
      <c r="D3367" s="4" t="s">
        <v>1095</v>
      </c>
      <c r="E3367" s="5" t="s">
        <v>1533</v>
      </c>
      <c r="F3367" s="5" t="str">
        <f t="shared" si="52"/>
        <v>arctic.se</v>
      </c>
      <c r="G3367" s="5" t="s">
        <v>4</v>
      </c>
      <c r="H3367" s="5" t="s">
        <v>5</v>
      </c>
      <c r="I3367" s="6">
        <v>45800</v>
      </c>
    </row>
    <row r="3368" spans="1:9" ht="13.5">
      <c r="A3368" s="2" t="s">
        <v>171</v>
      </c>
      <c r="B3368" s="3"/>
      <c r="C3368" s="138" t="s">
        <v>5922</v>
      </c>
      <c r="D3368" s="4" t="s">
        <v>1095</v>
      </c>
      <c r="E3368" s="5" t="s">
        <v>2856</v>
      </c>
      <c r="F3368" s="5" t="str">
        <f t="shared" si="52"/>
        <v>arctic.se</v>
      </c>
      <c r="G3368" s="5" t="s">
        <v>4</v>
      </c>
      <c r="H3368" s="5" t="s">
        <v>5</v>
      </c>
      <c r="I3368" s="6">
        <v>45800</v>
      </c>
    </row>
    <row r="3369" spans="1:9" ht="13.5">
      <c r="A3369" s="2" t="s">
        <v>4458</v>
      </c>
      <c r="B3369" s="3"/>
      <c r="C3369" s="138" t="s">
        <v>5923</v>
      </c>
      <c r="D3369" s="4" t="s">
        <v>4460</v>
      </c>
      <c r="E3369" s="5" t="s">
        <v>2234</v>
      </c>
      <c r="F3369" s="5" t="str">
        <f t="shared" si="52"/>
        <v>cdbilvardsprodukter.se</v>
      </c>
      <c r="G3369" s="5" t="s">
        <v>4</v>
      </c>
      <c r="H3369" s="5" t="s">
        <v>5</v>
      </c>
      <c r="I3369" s="6">
        <v>45800</v>
      </c>
    </row>
    <row r="3370" spans="1:9" ht="13.5">
      <c r="A3370" s="2" t="s">
        <v>4458</v>
      </c>
      <c r="B3370" s="3"/>
      <c r="C3370" s="138" t="s">
        <v>5924</v>
      </c>
      <c r="D3370" s="4" t="s">
        <v>4460</v>
      </c>
      <c r="E3370" s="5" t="s">
        <v>2234</v>
      </c>
      <c r="F3370" s="5" t="str">
        <f t="shared" si="52"/>
        <v>cdbilvardsprodukter.se</v>
      </c>
      <c r="G3370" s="5" t="s">
        <v>4</v>
      </c>
      <c r="H3370" s="5" t="s">
        <v>5</v>
      </c>
      <c r="I3370" s="6">
        <v>45800</v>
      </c>
    </row>
    <row r="3371" spans="1:9" ht="13.5">
      <c r="A3371" s="2" t="s">
        <v>3173</v>
      </c>
      <c r="B3371" s="3"/>
      <c r="C3371" s="138" t="s">
        <v>5925</v>
      </c>
      <c r="D3371" s="4" t="s">
        <v>3175</v>
      </c>
      <c r="E3371" s="5" t="s">
        <v>3217</v>
      </c>
      <c r="F3371" s="5" t="str">
        <f t="shared" si="52"/>
        <v>ekstromgaray.se</v>
      </c>
      <c r="G3371" s="5" t="s">
        <v>4</v>
      </c>
      <c r="H3371" s="5" t="s">
        <v>5</v>
      </c>
      <c r="I3371" s="6">
        <v>45800</v>
      </c>
    </row>
    <row r="3372" spans="1:9" ht="13.5">
      <c r="A3372" s="2" t="s">
        <v>435</v>
      </c>
      <c r="B3372" s="3"/>
      <c r="C3372" s="138" t="s">
        <v>5926</v>
      </c>
      <c r="D3372" s="4" t="s">
        <v>435</v>
      </c>
      <c r="E3372" s="5" t="s">
        <v>839</v>
      </c>
      <c r="F3372" s="5" t="str">
        <f t="shared" si="52"/>
        <v>fairinvestments.se</v>
      </c>
      <c r="G3372" s="5" t="s">
        <v>4</v>
      </c>
      <c r="H3372" s="5" t="s">
        <v>5</v>
      </c>
      <c r="I3372" s="6">
        <v>45800</v>
      </c>
    </row>
    <row r="3373" spans="1:9" ht="13.5">
      <c r="A3373" s="2" t="s">
        <v>435</v>
      </c>
      <c r="B3373" s="3"/>
      <c r="C3373" s="138" t="s">
        <v>5927</v>
      </c>
      <c r="D3373" s="4" t="s">
        <v>435</v>
      </c>
      <c r="E3373" s="5" t="s">
        <v>839</v>
      </c>
      <c r="F3373" s="5" t="str">
        <f t="shared" si="52"/>
        <v>fairinvestments.se</v>
      </c>
      <c r="G3373" s="5" t="s">
        <v>4</v>
      </c>
      <c r="H3373" s="5" t="s">
        <v>5</v>
      </c>
      <c r="I3373" s="6">
        <v>45800</v>
      </c>
    </row>
    <row r="3374" spans="1:9" ht="13.5">
      <c r="A3374" s="2" t="s">
        <v>435</v>
      </c>
      <c r="B3374" s="3"/>
      <c r="C3374" s="138" t="s">
        <v>5928</v>
      </c>
      <c r="D3374" s="4" t="s">
        <v>435</v>
      </c>
      <c r="E3374" s="5" t="s">
        <v>839</v>
      </c>
      <c r="F3374" s="5" t="str">
        <f t="shared" si="52"/>
        <v>fairinvestments.se</v>
      </c>
      <c r="G3374" s="5" t="s">
        <v>4</v>
      </c>
      <c r="H3374" s="5" t="s">
        <v>5</v>
      </c>
      <c r="I3374" s="6">
        <v>45800</v>
      </c>
    </row>
    <row r="3375" spans="1:9" ht="13.5">
      <c r="A3375" s="2" t="s">
        <v>435</v>
      </c>
      <c r="B3375" s="3"/>
      <c r="C3375" s="138" t="s">
        <v>5929</v>
      </c>
      <c r="D3375" s="4" t="s">
        <v>435</v>
      </c>
      <c r="E3375" s="5" t="s">
        <v>839</v>
      </c>
      <c r="F3375" s="5" t="str">
        <f t="shared" si="52"/>
        <v>fairinvestments.se</v>
      </c>
      <c r="G3375" s="5" t="s">
        <v>4</v>
      </c>
      <c r="H3375" s="5" t="s">
        <v>5</v>
      </c>
      <c r="I3375" s="6">
        <v>45800</v>
      </c>
    </row>
    <row r="3376" spans="1:9" ht="13.5">
      <c r="A3376" s="2" t="s">
        <v>308</v>
      </c>
      <c r="B3376" s="3"/>
      <c r="C3376" s="138" t="s">
        <v>5930</v>
      </c>
      <c r="D3376" s="4" t="s">
        <v>1395</v>
      </c>
      <c r="E3376" s="5" t="s">
        <v>2489</v>
      </c>
      <c r="F3376" s="5" t="str">
        <f t="shared" si="52"/>
        <v>lansfast.se</v>
      </c>
      <c r="G3376" s="5" t="s">
        <v>4</v>
      </c>
      <c r="H3376" s="5" t="s">
        <v>5</v>
      </c>
      <c r="I3376" s="6">
        <v>45800</v>
      </c>
    </row>
    <row r="3377" spans="1:9" ht="13.5">
      <c r="A3377" s="2" t="s">
        <v>308</v>
      </c>
      <c r="B3377" s="3"/>
      <c r="C3377" s="138" t="s">
        <v>5931</v>
      </c>
      <c r="D3377" s="4" t="s">
        <v>1395</v>
      </c>
      <c r="E3377" s="5" t="s">
        <v>2489</v>
      </c>
      <c r="F3377" s="5" t="str">
        <f t="shared" si="52"/>
        <v>lansfast.se</v>
      </c>
      <c r="G3377" s="5" t="s">
        <v>4</v>
      </c>
      <c r="H3377" s="5" t="s">
        <v>5</v>
      </c>
      <c r="I3377" s="6">
        <v>45800</v>
      </c>
    </row>
    <row r="3378" spans="1:9" ht="13.5">
      <c r="A3378" s="2" t="s">
        <v>4051</v>
      </c>
      <c r="B3378" s="3"/>
      <c r="C3378" s="138" t="s">
        <v>5932</v>
      </c>
      <c r="D3378" s="4" t="s">
        <v>4051</v>
      </c>
      <c r="E3378" s="9" t="s">
        <v>4051</v>
      </c>
      <c r="F3378" s="5" t="str">
        <f t="shared" si="52"/>
        <v>hund.se</v>
      </c>
      <c r="G3378" s="5" t="s">
        <v>4</v>
      </c>
      <c r="H3378" s="5" t="s">
        <v>5</v>
      </c>
      <c r="I3378" s="6">
        <v>45800</v>
      </c>
    </row>
    <row r="3379" spans="1:9" ht="13.5">
      <c r="A3379" s="2" t="s">
        <v>3580</v>
      </c>
      <c r="B3379" s="3"/>
      <c r="C3379" s="138" t="s">
        <v>5933</v>
      </c>
      <c r="D3379" s="4" t="s">
        <v>5312</v>
      </c>
      <c r="E3379" s="5" t="s">
        <v>5313</v>
      </c>
      <c r="F3379" s="5" t="str">
        <f t="shared" si="52"/>
        <v>kleer.se</v>
      </c>
      <c r="G3379" s="5" t="s">
        <v>4</v>
      </c>
      <c r="H3379" s="5" t="s">
        <v>5</v>
      </c>
      <c r="I3379" s="6">
        <v>45800</v>
      </c>
    </row>
    <row r="3380" spans="1:9" ht="13.5">
      <c r="A3380" s="2" t="s">
        <v>2549</v>
      </c>
      <c r="B3380" s="3"/>
      <c r="C3380" s="138" t="s">
        <v>5934</v>
      </c>
      <c r="D3380" s="4" t="s">
        <v>3204</v>
      </c>
      <c r="E3380" s="5" t="s">
        <v>3205</v>
      </c>
      <c r="F3380" s="5" t="str">
        <f t="shared" si="52"/>
        <v>purakliniken.se</v>
      </c>
      <c r="G3380" s="5" t="s">
        <v>4</v>
      </c>
      <c r="H3380" s="5" t="s">
        <v>5</v>
      </c>
      <c r="I3380" s="6">
        <v>45800</v>
      </c>
    </row>
    <row r="3381" spans="1:9" ht="13.5">
      <c r="A3381" s="2" t="s">
        <v>3058</v>
      </c>
      <c r="B3381" s="3"/>
      <c r="C3381" s="138" t="s">
        <v>5935</v>
      </c>
      <c r="D3381" s="4" t="s">
        <v>3063</v>
      </c>
      <c r="E3381" s="5" t="s">
        <v>3064</v>
      </c>
      <c r="F3381" s="5" t="str">
        <f t="shared" si="52"/>
        <v>rusta.se</v>
      </c>
      <c r="G3381" s="5" t="s">
        <v>4</v>
      </c>
      <c r="H3381" s="5" t="s">
        <v>5</v>
      </c>
      <c r="I3381" s="6">
        <v>45800</v>
      </c>
    </row>
    <row r="3382" spans="1:9" ht="13.5">
      <c r="A3382" s="2" t="s">
        <v>3058</v>
      </c>
      <c r="B3382" s="3"/>
      <c r="C3382" s="138" t="s">
        <v>5936</v>
      </c>
      <c r="D3382" s="4" t="s">
        <v>3060</v>
      </c>
      <c r="E3382" s="5" t="s">
        <v>3061</v>
      </c>
      <c r="F3382" s="5" t="str">
        <f t="shared" si="52"/>
        <v>rusta.se</v>
      </c>
      <c r="G3382" s="5" t="s">
        <v>4</v>
      </c>
      <c r="H3382" s="5" t="s">
        <v>5</v>
      </c>
      <c r="I3382" s="6">
        <v>45800</v>
      </c>
    </row>
    <row r="3383" spans="1:9" ht="13.5">
      <c r="A3383" s="2" t="s">
        <v>3058</v>
      </c>
      <c r="B3383" s="3"/>
      <c r="C3383" s="138" t="s">
        <v>5937</v>
      </c>
      <c r="D3383" s="4" t="s">
        <v>5034</v>
      </c>
      <c r="E3383" s="5" t="s">
        <v>14</v>
      </c>
      <c r="F3383" s="5" t="str">
        <f t="shared" si="52"/>
        <v>rusta.se</v>
      </c>
      <c r="G3383" s="5" t="s">
        <v>4</v>
      </c>
      <c r="H3383" s="5" t="s">
        <v>5</v>
      </c>
      <c r="I3383" s="6">
        <v>45800</v>
      </c>
    </row>
    <row r="3384" spans="1:9" ht="13.5">
      <c r="A3384" s="2" t="s">
        <v>2127</v>
      </c>
      <c r="B3384" s="3"/>
      <c r="C3384" s="138" t="s">
        <v>5938</v>
      </c>
      <c r="D3384" s="4" t="s">
        <v>5319</v>
      </c>
      <c r="E3384" s="5" t="s">
        <v>4999</v>
      </c>
      <c r="F3384" s="5" t="str">
        <f t="shared" si="52"/>
        <v>startmotor.se</v>
      </c>
      <c r="G3384" s="5" t="s">
        <v>4</v>
      </c>
      <c r="H3384" s="5" t="s">
        <v>5</v>
      </c>
      <c r="I3384" s="6">
        <v>45800</v>
      </c>
    </row>
    <row r="3385" spans="1:9" ht="13.5">
      <c r="A3385" s="2" t="s">
        <v>2127</v>
      </c>
      <c r="B3385" s="3"/>
      <c r="C3385" s="138" t="s">
        <v>5939</v>
      </c>
      <c r="D3385" s="4" t="s">
        <v>5321</v>
      </c>
      <c r="E3385" s="5" t="s">
        <v>5322</v>
      </c>
      <c r="F3385" s="5" t="str">
        <f t="shared" si="52"/>
        <v>startmotor.se</v>
      </c>
      <c r="G3385" s="5" t="s">
        <v>4</v>
      </c>
      <c r="H3385" s="5" t="s">
        <v>5</v>
      </c>
      <c r="I3385" s="6">
        <v>45800</v>
      </c>
    </row>
    <row r="3386" spans="1:9" ht="13.5">
      <c r="A3386" s="7" t="s">
        <v>3747</v>
      </c>
      <c r="B3386" s="3"/>
      <c r="C3386" s="138" t="s">
        <v>5940</v>
      </c>
      <c r="D3386" s="4" t="s">
        <v>3749</v>
      </c>
      <c r="E3386" s="5" t="s">
        <v>3750</v>
      </c>
      <c r="F3386" s="5" t="str">
        <f t="shared" si="52"/>
        <v>supernormal.health</v>
      </c>
      <c r="G3386" s="5" t="s">
        <v>4</v>
      </c>
      <c r="H3386" s="5" t="s">
        <v>5</v>
      </c>
      <c r="I3386" s="6">
        <v>45800</v>
      </c>
    </row>
    <row r="3387" spans="1:9" ht="13.5">
      <c r="A3387" s="2" t="s">
        <v>3824</v>
      </c>
      <c r="B3387" s="3"/>
      <c r="C3387" s="138" t="s">
        <v>5941</v>
      </c>
      <c r="D3387" s="4" t="s">
        <v>4358</v>
      </c>
      <c r="E3387" s="5" t="s">
        <v>5325</v>
      </c>
      <c r="F3387" s="5" t="str">
        <f t="shared" si="52"/>
        <v>swedenlongstay.se</v>
      </c>
      <c r="G3387" s="5" t="s">
        <v>4</v>
      </c>
      <c r="H3387" s="5" t="s">
        <v>5</v>
      </c>
      <c r="I3387" s="6">
        <v>45800</v>
      </c>
    </row>
    <row r="3388" spans="1:9" ht="13.5">
      <c r="A3388" s="2" t="s">
        <v>3824</v>
      </c>
      <c r="B3388" s="3"/>
      <c r="C3388" s="138" t="s">
        <v>5942</v>
      </c>
      <c r="D3388" s="4" t="s">
        <v>5327</v>
      </c>
      <c r="E3388" s="5" t="s">
        <v>5328</v>
      </c>
      <c r="F3388" s="5" t="str">
        <f t="shared" si="52"/>
        <v>swedenlongstay.se</v>
      </c>
      <c r="G3388" s="5" t="s">
        <v>4</v>
      </c>
      <c r="H3388" s="5" t="s">
        <v>5</v>
      </c>
      <c r="I3388" s="6">
        <v>45800</v>
      </c>
    </row>
    <row r="3389" spans="1:9" ht="13.5">
      <c r="A3389" s="7" t="s">
        <v>224</v>
      </c>
      <c r="B3389" s="3"/>
      <c r="C3389" s="138" t="s">
        <v>5943</v>
      </c>
      <c r="D3389" s="4" t="s">
        <v>461</v>
      </c>
      <c r="E3389" s="5" t="s">
        <v>1117</v>
      </c>
      <c r="F3389" s="5" t="str">
        <f t="shared" si="52"/>
        <v>swedoffice</v>
      </c>
      <c r="G3389" s="5" t="s">
        <v>4</v>
      </c>
      <c r="H3389" s="5" t="s">
        <v>5</v>
      </c>
      <c r="I3389" s="6">
        <v>45800</v>
      </c>
    </row>
    <row r="3390" spans="1:9" ht="13.5">
      <c r="A3390" s="7" t="s">
        <v>224</v>
      </c>
      <c r="B3390" s="3"/>
      <c r="C3390" s="138" t="s">
        <v>5944</v>
      </c>
      <c r="D3390" s="4" t="s">
        <v>226</v>
      </c>
      <c r="E3390" s="5" t="s">
        <v>368</v>
      </c>
      <c r="F3390" s="5" t="str">
        <f t="shared" si="52"/>
        <v>swedoffice</v>
      </c>
      <c r="G3390" s="5" t="s">
        <v>4</v>
      </c>
      <c r="H3390" s="5" t="s">
        <v>5</v>
      </c>
      <c r="I3390" s="6">
        <v>45800</v>
      </c>
    </row>
    <row r="3391" spans="1:9" ht="13.5">
      <c r="A3391" s="2" t="s">
        <v>2428</v>
      </c>
      <c r="B3391" s="3"/>
      <c r="C3391" s="138" t="s">
        <v>5945</v>
      </c>
      <c r="D3391" s="4" t="s">
        <v>5081</v>
      </c>
      <c r="E3391" s="5" t="s">
        <v>5331</v>
      </c>
      <c r="F3391" s="5" t="str">
        <f t="shared" si="52"/>
        <v>sakraror.se</v>
      </c>
      <c r="G3391" s="5" t="s">
        <v>4</v>
      </c>
      <c r="H3391" s="5" t="s">
        <v>5</v>
      </c>
      <c r="I3391" s="6">
        <v>45800</v>
      </c>
    </row>
    <row r="3392" spans="1:9" ht="13.5">
      <c r="A3392" s="2" t="s">
        <v>2428</v>
      </c>
      <c r="B3392" s="3"/>
      <c r="C3392" s="138" t="s">
        <v>5946</v>
      </c>
      <c r="D3392" s="4" t="s">
        <v>4762</v>
      </c>
      <c r="E3392" s="5" t="s">
        <v>5947</v>
      </c>
      <c r="F3392" s="5" t="str">
        <f t="shared" si="52"/>
        <v>sakraror.se</v>
      </c>
      <c r="G3392" s="5" t="s">
        <v>4</v>
      </c>
      <c r="H3392" s="5" t="s">
        <v>5</v>
      </c>
      <c r="I3392" s="6">
        <v>45800</v>
      </c>
    </row>
    <row r="3393" spans="1:9" ht="13.5">
      <c r="A3393" s="2" t="s">
        <v>325</v>
      </c>
      <c r="B3393" s="3"/>
      <c r="C3393" s="138" t="s">
        <v>5948</v>
      </c>
      <c r="D3393" s="4" t="s">
        <v>1244</v>
      </c>
      <c r="E3393" s="5" t="s">
        <v>463</v>
      </c>
      <c r="F3393" s="5" t="str">
        <f t="shared" si="52"/>
        <v>tiotak.se</v>
      </c>
      <c r="G3393" s="5" t="s">
        <v>4</v>
      </c>
      <c r="H3393" s="5" t="s">
        <v>5</v>
      </c>
      <c r="I3393" s="6">
        <v>45800</v>
      </c>
    </row>
    <row r="3394" spans="1:9" ht="13.5">
      <c r="A3394" s="2" t="s">
        <v>325</v>
      </c>
      <c r="B3394" s="3"/>
      <c r="C3394" s="138" t="s">
        <v>5949</v>
      </c>
      <c r="D3394" s="4" t="s">
        <v>873</v>
      </c>
      <c r="E3394" s="5" t="s">
        <v>2922</v>
      </c>
      <c r="F3394" s="5" t="str">
        <f t="shared" si="52"/>
        <v>tiotak.se</v>
      </c>
      <c r="G3394" s="5" t="s">
        <v>4</v>
      </c>
      <c r="H3394" s="5" t="s">
        <v>5</v>
      </c>
      <c r="I3394" s="6">
        <v>45800</v>
      </c>
    </row>
    <row r="3395" spans="1:9" ht="13.5">
      <c r="A3395" s="2" t="s">
        <v>4553</v>
      </c>
      <c r="B3395" s="3"/>
      <c r="C3395" s="138" t="s">
        <v>5950</v>
      </c>
      <c r="D3395" s="4" t="s">
        <v>4553</v>
      </c>
      <c r="E3395" s="5" t="s">
        <v>5335</v>
      </c>
      <c r="F3395" s="5" t="str">
        <f t="shared" ref="F3395:F3458" si="53">A3395</f>
        <v>tkw.se</v>
      </c>
      <c r="G3395" s="5" t="s">
        <v>4</v>
      </c>
      <c r="H3395" s="5" t="s">
        <v>5</v>
      </c>
      <c r="I3395" s="6">
        <v>45800</v>
      </c>
    </row>
    <row r="3396" spans="1:9" ht="13.5">
      <c r="A3396" s="2" t="s">
        <v>4553</v>
      </c>
      <c r="B3396" s="3"/>
      <c r="C3396" s="138" t="s">
        <v>5951</v>
      </c>
      <c r="D3396" s="4" t="s">
        <v>4553</v>
      </c>
      <c r="E3396" s="5" t="s">
        <v>5335</v>
      </c>
      <c r="F3396" s="5" t="str">
        <f t="shared" si="53"/>
        <v>tkw.se</v>
      </c>
      <c r="G3396" s="5" t="s">
        <v>4</v>
      </c>
      <c r="H3396" s="5" t="s">
        <v>5</v>
      </c>
      <c r="I3396" s="6">
        <v>45800</v>
      </c>
    </row>
    <row r="3397" spans="1:9" ht="13.5">
      <c r="A3397" s="2" t="s">
        <v>535</v>
      </c>
      <c r="B3397" s="3"/>
      <c r="C3397" s="138" t="s">
        <v>5952</v>
      </c>
      <c r="D3397" s="4" t="s">
        <v>2806</v>
      </c>
      <c r="E3397" s="5" t="s">
        <v>2807</v>
      </c>
      <c r="F3397" s="5" t="str">
        <f t="shared" si="53"/>
        <v>tryggbil.se</v>
      </c>
      <c r="G3397" s="5" t="s">
        <v>4</v>
      </c>
      <c r="H3397" s="5" t="s">
        <v>5</v>
      </c>
      <c r="I3397" s="6">
        <v>45800</v>
      </c>
    </row>
    <row r="3398" spans="1:9" ht="13.5">
      <c r="A3398" s="2" t="s">
        <v>4055</v>
      </c>
      <c r="B3398" s="3"/>
      <c r="C3398" s="138" t="s">
        <v>5953</v>
      </c>
      <c r="D3398" s="4" t="s">
        <v>4057</v>
      </c>
      <c r="E3398" s="5" t="s">
        <v>4363</v>
      </c>
      <c r="F3398" s="5" t="str">
        <f t="shared" si="53"/>
        <v>skidvalla.se</v>
      </c>
      <c r="G3398" s="5" t="s">
        <v>4</v>
      </c>
      <c r="H3398" s="5" t="s">
        <v>5</v>
      </c>
      <c r="I3398" s="6">
        <v>45800</v>
      </c>
    </row>
    <row r="3399" spans="1:9" ht="13.5">
      <c r="A3399" s="7" t="s">
        <v>2281</v>
      </c>
      <c r="B3399" s="3"/>
      <c r="C3399" s="138" t="s">
        <v>5954</v>
      </c>
      <c r="D3399" s="4" t="s">
        <v>2283</v>
      </c>
      <c r="E3399" s="5" t="s">
        <v>963</v>
      </c>
      <c r="F3399" s="5" t="str">
        <f t="shared" si="53"/>
        <v>tandläkare.se</v>
      </c>
      <c r="G3399" s="5" t="s">
        <v>4</v>
      </c>
      <c r="H3399" s="5" t="s">
        <v>5</v>
      </c>
      <c r="I3399" s="6">
        <v>45800</v>
      </c>
    </row>
    <row r="3400" spans="1:9" ht="13.5">
      <c r="A3400" s="7" t="s">
        <v>2281</v>
      </c>
      <c r="B3400" s="3"/>
      <c r="C3400" s="138" t="s">
        <v>5955</v>
      </c>
      <c r="D3400" s="4" t="s">
        <v>5015</v>
      </c>
      <c r="E3400" s="5" t="s">
        <v>5016</v>
      </c>
      <c r="F3400" s="5" t="str">
        <f t="shared" si="53"/>
        <v>tandläkare.se</v>
      </c>
      <c r="G3400" s="5" t="s">
        <v>4</v>
      </c>
      <c r="H3400" s="5" t="s">
        <v>5</v>
      </c>
      <c r="I3400" s="6">
        <v>45800</v>
      </c>
    </row>
    <row r="3401" spans="1:9" ht="13.5">
      <c r="A3401" s="2" t="s">
        <v>5020</v>
      </c>
      <c r="B3401" s="3"/>
      <c r="C3401" s="138" t="s">
        <v>5956</v>
      </c>
      <c r="D3401" s="4" t="s">
        <v>5020</v>
      </c>
      <c r="E3401" s="5" t="s">
        <v>5022</v>
      </c>
      <c r="F3401" s="5" t="str">
        <f t="shared" si="53"/>
        <v>sesec.se</v>
      </c>
      <c r="G3401" s="5" t="s">
        <v>4</v>
      </c>
      <c r="H3401" s="5" t="s">
        <v>5</v>
      </c>
      <c r="I3401" s="6">
        <v>45800</v>
      </c>
    </row>
    <row r="3402" spans="1:9" ht="13.5">
      <c r="A3402" s="2" t="s">
        <v>3832</v>
      </c>
      <c r="B3402" s="3"/>
      <c r="C3402" s="138" t="s">
        <v>5957</v>
      </c>
      <c r="D3402" s="4" t="s">
        <v>3832</v>
      </c>
      <c r="E3402" s="5" t="s">
        <v>5024</v>
      </c>
      <c r="F3402" s="5" t="str">
        <f t="shared" si="53"/>
        <v>michaelofrisorerna.se</v>
      </c>
      <c r="G3402" s="5" t="s">
        <v>4</v>
      </c>
      <c r="H3402" s="5" t="s">
        <v>5</v>
      </c>
      <c r="I3402" s="6">
        <v>45800</v>
      </c>
    </row>
    <row r="3403" spans="1:9" ht="13.5">
      <c r="A3403" s="2" t="s">
        <v>5343</v>
      </c>
      <c r="B3403" s="3"/>
      <c r="C3403" s="138" t="s">
        <v>5958</v>
      </c>
      <c r="D3403" s="4" t="s">
        <v>5343</v>
      </c>
      <c r="E3403" s="5" t="s">
        <v>5345</v>
      </c>
      <c r="F3403" s="5" t="str">
        <f t="shared" si="53"/>
        <v>rbentreprenad.se</v>
      </c>
      <c r="G3403" s="5" t="s">
        <v>4</v>
      </c>
      <c r="H3403" s="5" t="s">
        <v>5</v>
      </c>
      <c r="I3403" s="6">
        <v>45800</v>
      </c>
    </row>
    <row r="3404" spans="1:9" ht="13.5">
      <c r="A3404" s="2" t="s">
        <v>5350</v>
      </c>
      <c r="B3404" s="3"/>
      <c r="C3404" s="138" t="s">
        <v>5959</v>
      </c>
      <c r="D3404" s="4" t="s">
        <v>5352</v>
      </c>
      <c r="E3404" s="5" t="s">
        <v>5353</v>
      </c>
      <c r="F3404" s="5" t="str">
        <f t="shared" si="53"/>
        <v>lilla-varlden.se</v>
      </c>
      <c r="G3404" s="5" t="s">
        <v>4</v>
      </c>
      <c r="H3404" s="5" t="s">
        <v>5</v>
      </c>
      <c r="I3404" s="6">
        <v>45800</v>
      </c>
    </row>
    <row r="3405" spans="1:9" ht="13.5">
      <c r="A3405" s="2" t="s">
        <v>846</v>
      </c>
      <c r="B3405" s="3"/>
      <c r="C3405" s="138" t="s">
        <v>5960</v>
      </c>
      <c r="D3405" s="4" t="s">
        <v>5211</v>
      </c>
      <c r="E3405" s="5" t="s">
        <v>5355</v>
      </c>
      <c r="F3405" s="5" t="str">
        <f t="shared" si="53"/>
        <v>tandea.se</v>
      </c>
      <c r="G3405" s="5" t="s">
        <v>4</v>
      </c>
      <c r="H3405" s="5" t="s">
        <v>5</v>
      </c>
      <c r="I3405" s="6">
        <v>45800</v>
      </c>
    </row>
    <row r="3406" spans="1:9" ht="13.5">
      <c r="A3406" s="7" t="s">
        <v>5961</v>
      </c>
      <c r="B3406" s="3"/>
      <c r="C3406" s="138" t="s">
        <v>5962</v>
      </c>
      <c r="D3406" s="4" t="s">
        <v>5641</v>
      </c>
      <c r="E3406" s="5" t="s">
        <v>5642</v>
      </c>
      <c r="F3406" s="5" t="str">
        <f t="shared" si="53"/>
        <v>Sahlsten Skincare</v>
      </c>
      <c r="G3406" s="5" t="s">
        <v>4</v>
      </c>
      <c r="H3406" s="5" t="s">
        <v>5</v>
      </c>
      <c r="I3406" s="6">
        <v>45800</v>
      </c>
    </row>
    <row r="3407" spans="1:9" ht="13.5">
      <c r="A3407" s="7" t="s">
        <v>5649</v>
      </c>
      <c r="B3407" s="3"/>
      <c r="C3407" s="4" t="s">
        <v>5963</v>
      </c>
      <c r="D3407" s="4" t="s">
        <v>5964</v>
      </c>
      <c r="E3407" s="5" t="s">
        <v>5965</v>
      </c>
      <c r="F3407" s="5" t="str">
        <f t="shared" si="53"/>
        <v>Invozio</v>
      </c>
      <c r="G3407" s="5" t="s">
        <v>4</v>
      </c>
      <c r="H3407" s="5" t="s">
        <v>5</v>
      </c>
      <c r="I3407" s="6">
        <v>45800</v>
      </c>
    </row>
    <row r="3408" spans="1:9" ht="13.5">
      <c r="A3408" s="2" t="s">
        <v>1318</v>
      </c>
      <c r="B3408" s="3"/>
      <c r="C3408" s="138" t="s">
        <v>5966</v>
      </c>
      <c r="D3408" s="4" t="s">
        <v>2644</v>
      </c>
      <c r="E3408" s="5" t="s">
        <v>5967</v>
      </c>
      <c r="F3408" s="5" t="str">
        <f t="shared" si="53"/>
        <v>spelklubben.se</v>
      </c>
      <c r="G3408" s="5" t="s">
        <v>4</v>
      </c>
      <c r="H3408" s="5" t="s">
        <v>5</v>
      </c>
      <c r="I3408" s="6">
        <v>45800</v>
      </c>
    </row>
    <row r="3409" spans="1:9" ht="13.5">
      <c r="A3409" s="2" t="s">
        <v>3921</v>
      </c>
      <c r="B3409" s="3"/>
      <c r="C3409" s="138" t="s">
        <v>5968</v>
      </c>
      <c r="D3409" s="4" t="s">
        <v>5969</v>
      </c>
      <c r="E3409" s="5" t="s">
        <v>5970</v>
      </c>
      <c r="F3409" s="5" t="str">
        <f t="shared" si="53"/>
        <v>svenskalasjouren.se</v>
      </c>
      <c r="G3409" s="5" t="s">
        <v>4</v>
      </c>
      <c r="H3409" s="5" t="s">
        <v>5</v>
      </c>
      <c r="I3409" s="6">
        <v>45803</v>
      </c>
    </row>
    <row r="3410" spans="1:9" ht="13.5">
      <c r="A3410" s="2" t="s">
        <v>3921</v>
      </c>
      <c r="B3410" s="3"/>
      <c r="C3410" s="4" t="s">
        <v>5971</v>
      </c>
      <c r="D3410" s="4" t="s">
        <v>5972</v>
      </c>
      <c r="E3410" s="5" t="s">
        <v>5973</v>
      </c>
      <c r="F3410" s="5" t="str">
        <f t="shared" si="53"/>
        <v>svenskalasjouren.se</v>
      </c>
      <c r="G3410" s="5" t="s">
        <v>4</v>
      </c>
      <c r="H3410" s="5" t="s">
        <v>5</v>
      </c>
      <c r="I3410" s="6">
        <v>45803</v>
      </c>
    </row>
    <row r="3411" spans="1:9" ht="13.5">
      <c r="A3411" s="2" t="s">
        <v>3921</v>
      </c>
      <c r="B3411" s="3"/>
      <c r="C3411" s="4" t="s">
        <v>5974</v>
      </c>
      <c r="D3411" s="4" t="s">
        <v>5975</v>
      </c>
      <c r="E3411" s="5" t="s">
        <v>5976</v>
      </c>
      <c r="F3411" s="5" t="str">
        <f t="shared" si="53"/>
        <v>svenskalasjouren.se</v>
      </c>
      <c r="G3411" s="5" t="s">
        <v>4</v>
      </c>
      <c r="H3411" s="5" t="s">
        <v>5</v>
      </c>
      <c r="I3411" s="6">
        <v>45803</v>
      </c>
    </row>
    <row r="3412" spans="1:9" ht="13.5">
      <c r="A3412" s="2" t="s">
        <v>2357</v>
      </c>
      <c r="B3412" s="3"/>
      <c r="C3412" s="4" t="s">
        <v>5977</v>
      </c>
      <c r="D3412" s="4" t="s">
        <v>5978</v>
      </c>
      <c r="E3412" s="5" t="s">
        <v>5979</v>
      </c>
      <c r="F3412" s="5" t="str">
        <f t="shared" si="53"/>
        <v>lsb.se</v>
      </c>
      <c r="G3412" s="5" t="s">
        <v>4</v>
      </c>
      <c r="H3412" s="5" t="s">
        <v>5</v>
      </c>
      <c r="I3412" s="6">
        <v>45803</v>
      </c>
    </row>
    <row r="3413" spans="1:9" ht="13.5">
      <c r="A3413" s="2" t="s">
        <v>4041</v>
      </c>
      <c r="B3413" s="3"/>
      <c r="C3413" s="138" t="s">
        <v>5980</v>
      </c>
      <c r="D3413" s="4" t="s">
        <v>4043</v>
      </c>
      <c r="E3413" s="5" t="s">
        <v>5981</v>
      </c>
      <c r="F3413" s="5" t="str">
        <f t="shared" si="53"/>
        <v>cateringfabriken.se</v>
      </c>
      <c r="G3413" s="5" t="s">
        <v>4</v>
      </c>
      <c r="H3413" s="5" t="s">
        <v>5</v>
      </c>
      <c r="I3413" s="6">
        <v>45803</v>
      </c>
    </row>
    <row r="3414" spans="1:9" ht="13.5">
      <c r="A3414" s="2" t="s">
        <v>3761</v>
      </c>
      <c r="B3414" s="3"/>
      <c r="C3414" s="4" t="s">
        <v>5982</v>
      </c>
      <c r="D3414" s="4" t="s">
        <v>3846</v>
      </c>
      <c r="E3414" s="5" t="s">
        <v>5983</v>
      </c>
      <c r="F3414" s="5" t="str">
        <f t="shared" si="53"/>
        <v>hajper.com</v>
      </c>
      <c r="G3414" s="5" t="s">
        <v>4</v>
      </c>
      <c r="H3414" s="5" t="s">
        <v>5</v>
      </c>
      <c r="I3414" s="6">
        <v>45803</v>
      </c>
    </row>
    <row r="3415" spans="1:9" ht="13.5">
      <c r="A3415" s="2" t="s">
        <v>3921</v>
      </c>
      <c r="B3415" s="3"/>
      <c r="C3415" s="8" t="s">
        <v>5984</v>
      </c>
      <c r="D3415" s="8" t="s">
        <v>5969</v>
      </c>
      <c r="E3415" s="5" t="s">
        <v>5970</v>
      </c>
      <c r="F3415" s="5" t="str">
        <f t="shared" si="53"/>
        <v>svenskalasjouren.se</v>
      </c>
      <c r="G3415" s="5" t="s">
        <v>4</v>
      </c>
      <c r="H3415" s="5" t="s">
        <v>5</v>
      </c>
      <c r="I3415" s="6">
        <v>45803</v>
      </c>
    </row>
    <row r="3416" spans="1:9" ht="13.5">
      <c r="A3416" s="2" t="s">
        <v>2357</v>
      </c>
      <c r="B3416" s="3"/>
      <c r="C3416" s="8" t="s">
        <v>5985</v>
      </c>
      <c r="D3416" s="8" t="s">
        <v>5847</v>
      </c>
      <c r="E3416" s="5" t="s">
        <v>5986</v>
      </c>
      <c r="F3416" s="5" t="str">
        <f t="shared" si="53"/>
        <v>lsb.se</v>
      </c>
      <c r="G3416" s="5" t="s">
        <v>4</v>
      </c>
      <c r="H3416" s="5" t="s">
        <v>5</v>
      </c>
      <c r="I3416" s="6">
        <v>45803</v>
      </c>
    </row>
    <row r="3417" spans="1:9" ht="13.5">
      <c r="A3417" s="2" t="s">
        <v>2357</v>
      </c>
      <c r="B3417" s="3"/>
      <c r="C3417" s="8" t="s">
        <v>5987</v>
      </c>
      <c r="D3417" s="8" t="s">
        <v>5988</v>
      </c>
      <c r="E3417" s="5" t="s">
        <v>5989</v>
      </c>
      <c r="F3417" s="5" t="str">
        <f t="shared" si="53"/>
        <v>lsb.se</v>
      </c>
      <c r="G3417" s="5" t="s">
        <v>4</v>
      </c>
      <c r="H3417" s="5" t="s">
        <v>5</v>
      </c>
      <c r="I3417" s="6">
        <v>45803</v>
      </c>
    </row>
    <row r="3418" spans="1:9" ht="13.5">
      <c r="A3418" s="2" t="s">
        <v>3058</v>
      </c>
      <c r="B3418" s="3"/>
      <c r="C3418" s="4" t="s">
        <v>5990</v>
      </c>
      <c r="D3418" s="4" t="s">
        <v>5034</v>
      </c>
      <c r="E3418" s="5" t="s">
        <v>5991</v>
      </c>
      <c r="F3418" s="5" t="str">
        <f t="shared" si="53"/>
        <v>rusta.se</v>
      </c>
      <c r="G3418" s="5" t="s">
        <v>4</v>
      </c>
      <c r="H3418" s="5" t="s">
        <v>5</v>
      </c>
      <c r="I3418" s="6">
        <v>45804</v>
      </c>
    </row>
    <row r="3419" spans="1:9" ht="13.5">
      <c r="A3419" s="7" t="s">
        <v>3747</v>
      </c>
      <c r="B3419" s="3"/>
      <c r="C3419" s="4" t="s">
        <v>5992</v>
      </c>
      <c r="D3419" s="4" t="s">
        <v>5993</v>
      </c>
      <c r="E3419" s="5" t="s">
        <v>5994</v>
      </c>
      <c r="F3419" s="5" t="str">
        <f t="shared" si="53"/>
        <v>supernormal.health</v>
      </c>
      <c r="G3419" s="5" t="s">
        <v>4</v>
      </c>
      <c r="H3419" s="5" t="s">
        <v>5</v>
      </c>
      <c r="I3419" s="6">
        <v>45804</v>
      </c>
    </row>
    <row r="3420" spans="1:9" ht="13.5">
      <c r="A3420" s="7" t="s">
        <v>224</v>
      </c>
      <c r="B3420" s="3"/>
      <c r="C3420" s="4" t="s">
        <v>5995</v>
      </c>
      <c r="D3420" s="4" t="s">
        <v>337</v>
      </c>
      <c r="E3420" s="5" t="s">
        <v>338</v>
      </c>
      <c r="F3420" s="5" t="str">
        <f t="shared" si="53"/>
        <v>swedoffice</v>
      </c>
      <c r="G3420" s="5" t="s">
        <v>4</v>
      </c>
      <c r="H3420" s="5" t="s">
        <v>5</v>
      </c>
      <c r="I3420" s="6">
        <v>45804</v>
      </c>
    </row>
    <row r="3421" spans="1:9" ht="13.5">
      <c r="A3421" s="2" t="s">
        <v>5715</v>
      </c>
      <c r="B3421" s="3"/>
      <c r="C3421" s="138" t="s">
        <v>5996</v>
      </c>
      <c r="D3421" s="4" t="s">
        <v>5717</v>
      </c>
      <c r="E3421" s="5" t="s">
        <v>5718</v>
      </c>
      <c r="F3421" s="5" t="str">
        <f t="shared" si="53"/>
        <v>Minifinder.se</v>
      </c>
      <c r="G3421" s="5" t="s">
        <v>4</v>
      </c>
      <c r="H3421" s="5" t="s">
        <v>5</v>
      </c>
      <c r="I3421" s="6">
        <v>45804</v>
      </c>
    </row>
    <row r="3422" spans="1:9" ht="13.5">
      <c r="A3422" s="2" t="s">
        <v>5715</v>
      </c>
      <c r="B3422" s="3"/>
      <c r="C3422" s="4" t="s">
        <v>5997</v>
      </c>
      <c r="D3422" s="4" t="s">
        <v>5717</v>
      </c>
      <c r="E3422" s="5" t="s">
        <v>5998</v>
      </c>
      <c r="F3422" s="5" t="str">
        <f t="shared" si="53"/>
        <v>Minifinder.se</v>
      </c>
      <c r="G3422" s="5" t="s">
        <v>4</v>
      </c>
      <c r="H3422" s="5" t="s">
        <v>5</v>
      </c>
      <c r="I3422" s="6">
        <v>45804</v>
      </c>
    </row>
    <row r="3423" spans="1:9" ht="13.5">
      <c r="A3423" s="2" t="s">
        <v>3128</v>
      </c>
      <c r="B3423" s="3"/>
      <c r="C3423" s="4" t="s">
        <v>5999</v>
      </c>
      <c r="D3423" s="4" t="s">
        <v>3130</v>
      </c>
      <c r="E3423" s="5" t="s">
        <v>6000</v>
      </c>
      <c r="F3423" s="5" t="str">
        <f t="shared" si="53"/>
        <v>bethard.com</v>
      </c>
      <c r="G3423" s="5" t="s">
        <v>4</v>
      </c>
      <c r="H3423" s="5" t="s">
        <v>5</v>
      </c>
      <c r="I3423" s="6">
        <v>45804</v>
      </c>
    </row>
    <row r="3424" spans="1:9" ht="13.5">
      <c r="A3424" s="2" t="s">
        <v>2836</v>
      </c>
      <c r="B3424" s="3"/>
      <c r="C3424" s="4" t="s">
        <v>6001</v>
      </c>
      <c r="D3424" s="4" t="s">
        <v>3006</v>
      </c>
      <c r="E3424" s="5" t="s">
        <v>3618</v>
      </c>
      <c r="F3424" s="5" t="str">
        <f t="shared" si="53"/>
        <v>cherry.com</v>
      </c>
      <c r="G3424" s="5" t="s">
        <v>4</v>
      </c>
      <c r="H3424" s="5" t="s">
        <v>5</v>
      </c>
      <c r="I3424" s="6">
        <v>45804</v>
      </c>
    </row>
    <row r="3425" spans="1:9" ht="13.5">
      <c r="A3425" s="7" t="s">
        <v>3419</v>
      </c>
      <c r="B3425" s="3"/>
      <c r="C3425" s="5" t="s">
        <v>6002</v>
      </c>
      <c r="D3425" s="4" t="s">
        <v>6003</v>
      </c>
      <c r="E3425" s="5" t="s">
        <v>6004</v>
      </c>
      <c r="F3425" s="5" t="str">
        <f t="shared" si="53"/>
        <v>zmarta</v>
      </c>
      <c r="G3425" s="5" t="s">
        <v>4</v>
      </c>
      <c r="H3425" s="5" t="s">
        <v>5</v>
      </c>
      <c r="I3425" s="6">
        <v>45804</v>
      </c>
    </row>
    <row r="3426" spans="1:9" ht="13.5">
      <c r="A3426" s="7" t="s">
        <v>3419</v>
      </c>
      <c r="B3426" s="3"/>
      <c r="C3426" s="4" t="s">
        <v>6005</v>
      </c>
      <c r="D3426" s="4" t="s">
        <v>3407</v>
      </c>
      <c r="E3426" s="5" t="s">
        <v>6006</v>
      </c>
      <c r="F3426" s="5" t="str">
        <f t="shared" si="53"/>
        <v>zmarta</v>
      </c>
      <c r="G3426" s="5" t="s">
        <v>4</v>
      </c>
      <c r="H3426" s="5" t="s">
        <v>5</v>
      </c>
      <c r="I3426" s="6">
        <v>45804</v>
      </c>
    </row>
    <row r="3427" spans="1:9" ht="13.5">
      <c r="A3427" s="2" t="s">
        <v>5589</v>
      </c>
      <c r="B3427" s="3"/>
      <c r="C3427" s="4" t="s">
        <v>6007</v>
      </c>
      <c r="D3427" s="4" t="s">
        <v>5647</v>
      </c>
      <c r="E3427" s="5" t="s">
        <v>6008</v>
      </c>
      <c r="F3427" s="5" t="str">
        <f t="shared" si="53"/>
        <v>dbet.com</v>
      </c>
      <c r="G3427" s="5" t="s">
        <v>4</v>
      </c>
      <c r="H3427" s="5" t="s">
        <v>5</v>
      </c>
      <c r="I3427" s="6">
        <v>45804</v>
      </c>
    </row>
    <row r="3428" spans="1:9" ht="13.5">
      <c r="A3428" s="2" t="s">
        <v>5589</v>
      </c>
      <c r="B3428" s="3"/>
      <c r="C3428" s="4" t="s">
        <v>6009</v>
      </c>
      <c r="D3428" s="4" t="s">
        <v>5658</v>
      </c>
      <c r="E3428" s="5" t="s">
        <v>6010</v>
      </c>
      <c r="F3428" s="5" t="str">
        <f t="shared" si="53"/>
        <v>dbet.com</v>
      </c>
      <c r="G3428" s="5" t="s">
        <v>4</v>
      </c>
      <c r="H3428" s="5" t="s">
        <v>5</v>
      </c>
      <c r="I3428" s="6">
        <v>45804</v>
      </c>
    </row>
    <row r="3429" spans="1:9" ht="13.5">
      <c r="A3429" s="2" t="s">
        <v>3090</v>
      </c>
      <c r="B3429" s="3"/>
      <c r="C3429" s="4" t="s">
        <v>6011</v>
      </c>
      <c r="D3429" s="4" t="s">
        <v>6012</v>
      </c>
      <c r="E3429" s="5" t="s">
        <v>6013</v>
      </c>
      <c r="F3429" s="5" t="str">
        <f t="shared" si="53"/>
        <v>videoslots.com</v>
      </c>
      <c r="G3429" s="5" t="s">
        <v>4</v>
      </c>
      <c r="H3429" s="5" t="s">
        <v>5</v>
      </c>
      <c r="I3429" s="6">
        <v>45804</v>
      </c>
    </row>
    <row r="3430" spans="1:9" ht="13.5">
      <c r="A3430" s="2" t="s">
        <v>6014</v>
      </c>
      <c r="B3430" s="3"/>
      <c r="C3430" s="4" t="s">
        <v>6015</v>
      </c>
      <c r="D3430" s="4" t="s">
        <v>6016</v>
      </c>
      <c r="E3430" s="5" t="s">
        <v>6017</v>
      </c>
      <c r="F3430" s="5" t="str">
        <f t="shared" si="53"/>
        <v>kungaslottet.se</v>
      </c>
      <c r="G3430" s="5" t="s">
        <v>4</v>
      </c>
      <c r="H3430" s="5" t="s">
        <v>5</v>
      </c>
      <c r="I3430" s="6">
        <v>45804</v>
      </c>
    </row>
    <row r="3431" spans="1:9" ht="13.5">
      <c r="A3431" s="2" t="s">
        <v>6014</v>
      </c>
      <c r="B3431" s="3"/>
      <c r="C3431" s="4" t="s">
        <v>6018</v>
      </c>
      <c r="D3431" s="4" t="s">
        <v>6019</v>
      </c>
      <c r="E3431" s="5" t="s">
        <v>6020</v>
      </c>
      <c r="F3431" s="5" t="str">
        <f t="shared" si="53"/>
        <v>kungaslottet.se</v>
      </c>
      <c r="G3431" s="5" t="s">
        <v>4</v>
      </c>
      <c r="H3431" s="5" t="s">
        <v>5</v>
      </c>
      <c r="I3431" s="6">
        <v>45804</v>
      </c>
    </row>
    <row r="3432" spans="1:9" ht="13.5">
      <c r="A3432" s="2" t="s">
        <v>6021</v>
      </c>
      <c r="B3432" s="3"/>
      <c r="C3432" s="4" t="s">
        <v>6022</v>
      </c>
      <c r="D3432" s="4" t="s">
        <v>6023</v>
      </c>
      <c r="E3432" s="5" t="s">
        <v>6024</v>
      </c>
      <c r="F3432" s="5" t="str">
        <f t="shared" si="53"/>
        <v>mrvegas.com</v>
      </c>
      <c r="G3432" s="5" t="s">
        <v>4</v>
      </c>
      <c r="H3432" s="5" t="s">
        <v>3496</v>
      </c>
      <c r="I3432" s="6">
        <v>45804</v>
      </c>
    </row>
    <row r="3433" spans="1:9" ht="13.5">
      <c r="A3433" s="2" t="s">
        <v>6025</v>
      </c>
      <c r="B3433" s="3"/>
      <c r="C3433" s="4" t="s">
        <v>6026</v>
      </c>
      <c r="D3433" s="4" t="s">
        <v>6027</v>
      </c>
      <c r="E3433" s="5" t="s">
        <v>6028</v>
      </c>
      <c r="F3433" s="5" t="str">
        <f t="shared" si="53"/>
        <v>megariches.com</v>
      </c>
      <c r="G3433" s="5" t="s">
        <v>4</v>
      </c>
      <c r="H3433" s="5" t="s">
        <v>3496</v>
      </c>
      <c r="I3433" s="6">
        <v>45804</v>
      </c>
    </row>
    <row r="3434" spans="1:9" ht="13.5">
      <c r="A3434" s="2" t="s">
        <v>3128</v>
      </c>
      <c r="B3434" s="3"/>
      <c r="C3434" s="4" t="s">
        <v>6029</v>
      </c>
      <c r="D3434" s="4" t="s">
        <v>3130</v>
      </c>
      <c r="E3434" s="5" t="s">
        <v>6030</v>
      </c>
      <c r="F3434" s="5" t="str">
        <f t="shared" si="53"/>
        <v>bethard.com</v>
      </c>
      <c r="G3434" s="5" t="s">
        <v>4</v>
      </c>
      <c r="H3434" s="5" t="s">
        <v>5</v>
      </c>
      <c r="I3434" s="6">
        <v>45804</v>
      </c>
    </row>
    <row r="3435" spans="1:9" ht="13.5">
      <c r="A3435" s="2" t="s">
        <v>3743</v>
      </c>
      <c r="B3435" s="3"/>
      <c r="C3435" s="4" t="s">
        <v>6031</v>
      </c>
      <c r="D3435" s="4" t="s">
        <v>6032</v>
      </c>
      <c r="E3435" s="5" t="s">
        <v>6033</v>
      </c>
      <c r="F3435" s="5" t="str">
        <f t="shared" si="53"/>
        <v>acnespecialisten.se</v>
      </c>
      <c r="G3435" s="5" t="s">
        <v>4</v>
      </c>
      <c r="H3435" s="5" t="s">
        <v>5</v>
      </c>
      <c r="I3435" s="6">
        <v>45804</v>
      </c>
    </row>
    <row r="3436" spans="1:9" ht="13.5">
      <c r="A3436" s="7" t="s">
        <v>5649</v>
      </c>
      <c r="B3436" s="3"/>
      <c r="C3436" s="4" t="s">
        <v>6034</v>
      </c>
      <c r="D3436" s="4" t="s">
        <v>6035</v>
      </c>
      <c r="E3436" s="5" t="s">
        <v>5656</v>
      </c>
      <c r="F3436" s="5" t="str">
        <f t="shared" si="53"/>
        <v>Invozio</v>
      </c>
      <c r="G3436" s="5" t="s">
        <v>4</v>
      </c>
      <c r="H3436" s="5" t="s">
        <v>5</v>
      </c>
      <c r="I3436" s="6">
        <v>45804</v>
      </c>
    </row>
    <row r="3437" spans="1:9" ht="13.5">
      <c r="A3437" s="2" t="s">
        <v>2357</v>
      </c>
      <c r="B3437" s="3"/>
      <c r="C3437" s="4" t="s">
        <v>6036</v>
      </c>
      <c r="D3437" s="4" t="s">
        <v>5685</v>
      </c>
      <c r="E3437" s="22" t="s">
        <v>2357</v>
      </c>
      <c r="F3437" s="5" t="str">
        <f t="shared" si="53"/>
        <v>lsb.se</v>
      </c>
      <c r="G3437" s="5" t="s">
        <v>4</v>
      </c>
      <c r="H3437" s="5" t="s">
        <v>5</v>
      </c>
      <c r="I3437" s="6">
        <v>45804</v>
      </c>
    </row>
    <row r="3438" spans="1:9" ht="13.5">
      <c r="A3438" s="2" t="s">
        <v>2357</v>
      </c>
      <c r="B3438" s="3"/>
      <c r="C3438" s="4" t="s">
        <v>6037</v>
      </c>
      <c r="D3438" s="4" t="s">
        <v>6038</v>
      </c>
      <c r="E3438" s="5" t="s">
        <v>4306</v>
      </c>
      <c r="F3438" s="5" t="str">
        <f t="shared" si="53"/>
        <v>lsb.se</v>
      </c>
      <c r="G3438" s="5" t="s">
        <v>4</v>
      </c>
      <c r="H3438" s="5" t="s">
        <v>5</v>
      </c>
      <c r="I3438" s="6">
        <v>45804</v>
      </c>
    </row>
    <row r="3439" spans="1:9" ht="13.5">
      <c r="A3439" s="2" t="s">
        <v>5890</v>
      </c>
      <c r="B3439" s="3"/>
      <c r="C3439" s="4" t="s">
        <v>6039</v>
      </c>
      <c r="D3439" s="8" t="s">
        <v>6040</v>
      </c>
      <c r="E3439" s="5" t="s">
        <v>6041</v>
      </c>
      <c r="F3439" s="5" t="str">
        <f t="shared" si="53"/>
        <v>yourgild.com</v>
      </c>
      <c r="G3439" s="5" t="s">
        <v>4</v>
      </c>
      <c r="H3439" s="5" t="s">
        <v>345</v>
      </c>
      <c r="I3439" s="6">
        <v>45805</v>
      </c>
    </row>
    <row r="3440" spans="1:9" ht="13.5">
      <c r="A3440" s="2" t="s">
        <v>1318</v>
      </c>
      <c r="B3440" s="3"/>
      <c r="C3440" s="4" t="s">
        <v>6042</v>
      </c>
      <c r="D3440" s="4" t="s">
        <v>1320</v>
      </c>
      <c r="E3440" s="5" t="s">
        <v>2016</v>
      </c>
      <c r="F3440" s="5" t="str">
        <f t="shared" si="53"/>
        <v>spelklubben.se</v>
      </c>
      <c r="G3440" s="5" t="s">
        <v>4</v>
      </c>
      <c r="H3440" s="5" t="s">
        <v>5</v>
      </c>
      <c r="I3440" s="6">
        <v>45805</v>
      </c>
    </row>
    <row r="3441" spans="1:9" ht="13.5">
      <c r="A3441" s="2" t="s">
        <v>2999</v>
      </c>
      <c r="B3441" s="3"/>
      <c r="C3441" s="8" t="s">
        <v>6043</v>
      </c>
      <c r="D3441" s="8" t="s">
        <v>3009</v>
      </c>
      <c r="E3441" s="5" t="s">
        <v>3233</v>
      </c>
      <c r="F3441" s="5" t="str">
        <f t="shared" si="53"/>
        <v>nettotobak.com</v>
      </c>
      <c r="G3441" s="5" t="s">
        <v>4</v>
      </c>
      <c r="H3441" s="5" t="s">
        <v>5</v>
      </c>
      <c r="I3441" s="6">
        <v>45805</v>
      </c>
    </row>
    <row r="3442" spans="1:9" ht="13.5">
      <c r="A3442" s="2" t="s">
        <v>3173</v>
      </c>
      <c r="B3442" s="3"/>
      <c r="C3442" s="8" t="s">
        <v>6044</v>
      </c>
      <c r="D3442" s="8" t="s">
        <v>3458</v>
      </c>
      <c r="E3442" s="5" t="s">
        <v>3217</v>
      </c>
      <c r="F3442" s="5" t="str">
        <f t="shared" si="53"/>
        <v>ekstromgaray.se</v>
      </c>
      <c r="G3442" s="5" t="s">
        <v>4</v>
      </c>
      <c r="H3442" s="5" t="s">
        <v>5</v>
      </c>
      <c r="I3442" s="6">
        <v>45805</v>
      </c>
    </row>
    <row r="3443" spans="1:9" ht="13.5">
      <c r="A3443" s="2" t="s">
        <v>5084</v>
      </c>
      <c r="B3443" s="3"/>
      <c r="C3443" s="8" t="s">
        <v>6045</v>
      </c>
      <c r="D3443" s="8" t="s">
        <v>6046</v>
      </c>
      <c r="E3443" s="5" t="s">
        <v>5802</v>
      </c>
      <c r="F3443" s="5" t="str">
        <f t="shared" si="53"/>
        <v>glassfactory.fi</v>
      </c>
      <c r="G3443" s="5" t="s">
        <v>4</v>
      </c>
      <c r="H3443" s="5" t="s">
        <v>5</v>
      </c>
      <c r="I3443" s="6">
        <v>45805</v>
      </c>
    </row>
    <row r="3444" spans="1:9" ht="13.5">
      <c r="A3444" s="2" t="s">
        <v>3058</v>
      </c>
      <c r="B3444" s="3"/>
      <c r="C3444" s="8" t="s">
        <v>6047</v>
      </c>
      <c r="D3444" s="8" t="s">
        <v>4537</v>
      </c>
      <c r="E3444" s="5" t="s">
        <v>5585</v>
      </c>
      <c r="F3444" s="5" t="str">
        <f t="shared" si="53"/>
        <v>rusta.se</v>
      </c>
      <c r="G3444" s="5" t="s">
        <v>4</v>
      </c>
      <c r="H3444" s="5" t="s">
        <v>5</v>
      </c>
      <c r="I3444" s="6">
        <v>45805</v>
      </c>
    </row>
    <row r="3445" spans="1:9" ht="13.5">
      <c r="A3445" s="7" t="s">
        <v>5266</v>
      </c>
      <c r="B3445" s="3"/>
      <c r="C3445" s="8" t="s">
        <v>6048</v>
      </c>
      <c r="D3445" s="8" t="s">
        <v>5268</v>
      </c>
      <c r="E3445" s="5" t="s">
        <v>6049</v>
      </c>
      <c r="F3445" s="5" t="str">
        <f t="shared" si="53"/>
        <v>Tandea Haninge</v>
      </c>
      <c r="G3445" s="5" t="s">
        <v>4</v>
      </c>
      <c r="H3445" s="5" t="s">
        <v>5</v>
      </c>
      <c r="I3445" s="6">
        <v>45805</v>
      </c>
    </row>
    <row r="3446" spans="1:9" ht="13.5">
      <c r="A3446" s="2" t="s">
        <v>3090</v>
      </c>
      <c r="B3446" s="3"/>
      <c r="C3446" s="4" t="s">
        <v>6050</v>
      </c>
      <c r="D3446" s="4" t="s">
        <v>6051</v>
      </c>
      <c r="E3446" s="5" t="s">
        <v>6052</v>
      </c>
      <c r="F3446" s="5" t="str">
        <f t="shared" si="53"/>
        <v>videoslots.com</v>
      </c>
      <c r="G3446" s="5" t="s">
        <v>4</v>
      </c>
      <c r="H3446" s="5" t="s">
        <v>3496</v>
      </c>
      <c r="I3446" s="6">
        <v>45806</v>
      </c>
    </row>
    <row r="3447" spans="1:9" ht="13.5">
      <c r="A3447" s="2" t="s">
        <v>6025</v>
      </c>
      <c r="B3447" s="3"/>
      <c r="C3447" s="4" t="s">
        <v>6053</v>
      </c>
      <c r="D3447" s="4" t="s">
        <v>6027</v>
      </c>
      <c r="E3447" s="5" t="s">
        <v>6054</v>
      </c>
      <c r="F3447" s="5" t="str">
        <f t="shared" si="53"/>
        <v>megariches.com</v>
      </c>
      <c r="G3447" s="5" t="s">
        <v>4</v>
      </c>
      <c r="H3447" s="5" t="s">
        <v>3496</v>
      </c>
      <c r="I3447" s="6">
        <v>45806</v>
      </c>
    </row>
    <row r="3448" spans="1:9" ht="13.5">
      <c r="A3448" s="2" t="s">
        <v>6021</v>
      </c>
      <c r="B3448" s="3"/>
      <c r="C3448" s="4" t="s">
        <v>6055</v>
      </c>
      <c r="D3448" s="4" t="s">
        <v>6056</v>
      </c>
      <c r="E3448" s="5" t="s">
        <v>6057</v>
      </c>
      <c r="F3448" s="5" t="str">
        <f t="shared" si="53"/>
        <v>mrvegas.com</v>
      </c>
      <c r="G3448" s="5" t="s">
        <v>4</v>
      </c>
      <c r="H3448" s="5" t="s">
        <v>3496</v>
      </c>
      <c r="I3448" s="6">
        <v>45806</v>
      </c>
    </row>
    <row r="3449" spans="1:9" ht="13.5">
      <c r="A3449" s="2" t="s">
        <v>4409</v>
      </c>
      <c r="B3449" s="3"/>
      <c r="C3449" s="8" t="s">
        <v>6058</v>
      </c>
      <c r="D3449" s="8" t="s">
        <v>5119</v>
      </c>
      <c r="E3449" s="5" t="s">
        <v>5767</v>
      </c>
      <c r="F3449" s="5" t="str">
        <f t="shared" si="53"/>
        <v>svenskafonster.se</v>
      </c>
      <c r="G3449" s="5" t="s">
        <v>4</v>
      </c>
      <c r="H3449" s="5" t="s">
        <v>5</v>
      </c>
      <c r="I3449" s="6">
        <v>45806</v>
      </c>
    </row>
    <row r="3450" spans="1:9" ht="13.5">
      <c r="A3450" s="2" t="s">
        <v>2357</v>
      </c>
      <c r="B3450" s="3"/>
      <c r="C3450" s="8" t="s">
        <v>6059</v>
      </c>
      <c r="D3450" s="8" t="s">
        <v>5685</v>
      </c>
      <c r="E3450" s="5" t="s">
        <v>6060</v>
      </c>
      <c r="F3450" s="5" t="str">
        <f t="shared" si="53"/>
        <v>lsb.se</v>
      </c>
      <c r="G3450" s="5" t="s">
        <v>4</v>
      </c>
      <c r="H3450" s="5" t="s">
        <v>5</v>
      </c>
      <c r="I3450" s="6">
        <v>45806</v>
      </c>
    </row>
    <row r="3451" spans="1:9" ht="13.5">
      <c r="A3451" s="2" t="s">
        <v>2999</v>
      </c>
      <c r="B3451" s="3"/>
      <c r="C3451" s="8" t="s">
        <v>6061</v>
      </c>
      <c r="D3451" s="8" t="s">
        <v>4916</v>
      </c>
      <c r="E3451" s="5" t="s">
        <v>4958</v>
      </c>
      <c r="F3451" s="5" t="str">
        <f t="shared" si="53"/>
        <v>nettotobak.com</v>
      </c>
      <c r="G3451" s="5" t="s">
        <v>4</v>
      </c>
      <c r="H3451" s="5" t="s">
        <v>5</v>
      </c>
      <c r="I3451" s="6">
        <v>45806</v>
      </c>
    </row>
    <row r="3452" spans="1:9" ht="13.5">
      <c r="A3452" s="2" t="s">
        <v>6025</v>
      </c>
      <c r="B3452" s="3"/>
      <c r="C3452" s="4" t="s">
        <v>6062</v>
      </c>
      <c r="D3452" s="4" t="s">
        <v>6063</v>
      </c>
      <c r="E3452" s="5" t="s">
        <v>6064</v>
      </c>
      <c r="F3452" s="5" t="str">
        <f t="shared" si="53"/>
        <v>megariches.com</v>
      </c>
      <c r="G3452" s="5" t="s">
        <v>4</v>
      </c>
      <c r="H3452" s="5" t="s">
        <v>3496</v>
      </c>
      <c r="I3452" s="6">
        <v>45807</v>
      </c>
    </row>
    <row r="3453" spans="1:9" ht="13.5">
      <c r="A3453" s="2" t="s">
        <v>6021</v>
      </c>
      <c r="B3453" s="3"/>
      <c r="C3453" s="4" t="s">
        <v>6065</v>
      </c>
      <c r="D3453" s="4" t="s">
        <v>6066</v>
      </c>
      <c r="E3453" s="5" t="s">
        <v>6067</v>
      </c>
      <c r="F3453" s="5" t="str">
        <f t="shared" si="53"/>
        <v>mrvegas.com</v>
      </c>
      <c r="G3453" s="5" t="s">
        <v>4</v>
      </c>
      <c r="H3453" s="5" t="s">
        <v>3496</v>
      </c>
      <c r="I3453" s="6">
        <v>45807</v>
      </c>
    </row>
    <row r="3454" spans="1:9" ht="13.5">
      <c r="A3454" s="7" t="s">
        <v>2281</v>
      </c>
      <c r="B3454" s="3"/>
      <c r="C3454" s="4" t="s">
        <v>6068</v>
      </c>
      <c r="D3454" s="4" t="s">
        <v>2283</v>
      </c>
      <c r="E3454" s="72" t="s">
        <v>6069</v>
      </c>
      <c r="F3454" s="5" t="str">
        <f t="shared" si="53"/>
        <v>tandläkare.se</v>
      </c>
      <c r="G3454" s="5" t="s">
        <v>4</v>
      </c>
      <c r="H3454" s="5" t="s">
        <v>5</v>
      </c>
      <c r="I3454" s="6">
        <v>45807</v>
      </c>
    </row>
    <row r="3455" spans="1:9" ht="13.5">
      <c r="A3455" s="2" t="s">
        <v>1318</v>
      </c>
      <c r="B3455" s="3"/>
      <c r="C3455" s="4" t="s">
        <v>6070</v>
      </c>
      <c r="D3455" s="4" t="s">
        <v>1320</v>
      </c>
      <c r="E3455" s="5" t="s">
        <v>2016</v>
      </c>
      <c r="F3455" s="5" t="str">
        <f t="shared" si="53"/>
        <v>spelklubben.se</v>
      </c>
      <c r="G3455" s="5" t="s">
        <v>4</v>
      </c>
      <c r="H3455" s="5" t="s">
        <v>5</v>
      </c>
      <c r="I3455" s="6">
        <v>45807</v>
      </c>
    </row>
    <row r="3456" spans="1:9" ht="13.5">
      <c r="A3456" s="2" t="s">
        <v>3761</v>
      </c>
      <c r="B3456" s="3"/>
      <c r="C3456" s="4" t="s">
        <v>6071</v>
      </c>
      <c r="D3456" s="4" t="s">
        <v>6072</v>
      </c>
      <c r="E3456" s="5" t="s">
        <v>6073</v>
      </c>
      <c r="F3456" s="5" t="str">
        <f t="shared" si="53"/>
        <v>hajper.com</v>
      </c>
      <c r="G3456" s="5" t="s">
        <v>4</v>
      </c>
      <c r="H3456" s="5" t="s">
        <v>5</v>
      </c>
      <c r="I3456" s="6">
        <v>45807</v>
      </c>
    </row>
    <row r="3457" spans="1:9" ht="13.5">
      <c r="A3457" s="7" t="s">
        <v>5361</v>
      </c>
      <c r="B3457" s="3"/>
      <c r="C3457" s="9" t="s">
        <v>6074</v>
      </c>
      <c r="D3457" s="4" t="s">
        <v>5436</v>
      </c>
      <c r="E3457" s="5" t="s">
        <v>6075</v>
      </c>
      <c r="F3457" s="5" t="str">
        <f t="shared" si="53"/>
        <v>Leaptodigital</v>
      </c>
      <c r="G3457" s="5" t="s">
        <v>4</v>
      </c>
      <c r="H3457" s="5" t="s">
        <v>345</v>
      </c>
      <c r="I3457" s="6">
        <v>45807</v>
      </c>
    </row>
    <row r="3458" spans="1:9" ht="13.5">
      <c r="A3458" s="2" t="s">
        <v>2549</v>
      </c>
      <c r="B3458" s="3"/>
      <c r="C3458" s="4" t="s">
        <v>6076</v>
      </c>
      <c r="D3458" s="4" t="s">
        <v>2612</v>
      </c>
      <c r="E3458" s="5" t="s">
        <v>4856</v>
      </c>
      <c r="F3458" s="5" t="str">
        <f t="shared" si="53"/>
        <v>purakliniken.se</v>
      </c>
      <c r="G3458" s="5" t="s">
        <v>4</v>
      </c>
      <c r="H3458" s="5" t="s">
        <v>5</v>
      </c>
      <c r="I3458" s="6">
        <v>45807</v>
      </c>
    </row>
    <row r="3459" spans="1:9" ht="13.5">
      <c r="A3459" s="2" t="s">
        <v>2549</v>
      </c>
      <c r="B3459" s="3"/>
      <c r="C3459" s="4" t="s">
        <v>6077</v>
      </c>
      <c r="D3459" s="4" t="s">
        <v>5131</v>
      </c>
      <c r="E3459" s="5" t="s">
        <v>5132</v>
      </c>
      <c r="F3459" s="5" t="str">
        <f t="shared" ref="F3459:F3522" si="54">A3459</f>
        <v>purakliniken.se</v>
      </c>
      <c r="G3459" s="5" t="s">
        <v>4</v>
      </c>
      <c r="H3459" s="5" t="s">
        <v>5</v>
      </c>
      <c r="I3459" s="6">
        <v>45807</v>
      </c>
    </row>
    <row r="3460" spans="1:9" ht="13.5">
      <c r="A3460" s="2" t="s">
        <v>2999</v>
      </c>
      <c r="B3460" s="3"/>
      <c r="C3460" s="4" t="s">
        <v>6078</v>
      </c>
      <c r="D3460" s="4" t="s">
        <v>5168</v>
      </c>
      <c r="E3460" s="5" t="s">
        <v>5169</v>
      </c>
      <c r="F3460" s="5" t="str">
        <f t="shared" si="54"/>
        <v>nettotobak.com</v>
      </c>
      <c r="G3460" s="5" t="s">
        <v>4</v>
      </c>
      <c r="H3460" s="5" t="s">
        <v>5</v>
      </c>
      <c r="I3460" s="6">
        <v>45807</v>
      </c>
    </row>
    <row r="3461" spans="1:9" ht="13.5">
      <c r="A3461" s="2" t="s">
        <v>3682</v>
      </c>
      <c r="B3461" s="3"/>
      <c r="C3461" s="4" t="s">
        <v>6079</v>
      </c>
      <c r="D3461" s="4" t="s">
        <v>4977</v>
      </c>
      <c r="E3461" s="9" t="s">
        <v>3685</v>
      </c>
      <c r="F3461" s="5" t="str">
        <f t="shared" si="54"/>
        <v>upplevelse.com</v>
      </c>
      <c r="G3461" s="5" t="s">
        <v>4</v>
      </c>
      <c r="H3461" s="5" t="s">
        <v>5</v>
      </c>
      <c r="I3461" s="6">
        <v>45807</v>
      </c>
    </row>
    <row r="3462" spans="1:9" ht="13.5">
      <c r="A3462" s="2" t="s">
        <v>3682</v>
      </c>
      <c r="B3462" s="3"/>
      <c r="C3462" s="4" t="s">
        <v>6080</v>
      </c>
      <c r="D3462" s="4" t="s">
        <v>4072</v>
      </c>
      <c r="E3462" s="5" t="s">
        <v>4510</v>
      </c>
      <c r="F3462" s="5" t="str">
        <f t="shared" si="54"/>
        <v>upplevelse.com</v>
      </c>
      <c r="G3462" s="5" t="s">
        <v>4</v>
      </c>
      <c r="H3462" s="5" t="s">
        <v>5</v>
      </c>
      <c r="I3462" s="6">
        <v>45807</v>
      </c>
    </row>
    <row r="3463" spans="1:9" ht="13.5">
      <c r="A3463" s="2" t="s">
        <v>846</v>
      </c>
      <c r="B3463" s="3"/>
      <c r="C3463" s="4" t="s">
        <v>6081</v>
      </c>
      <c r="D3463" s="138" t="s">
        <v>4817</v>
      </c>
      <c r="E3463" s="5" t="s">
        <v>6082</v>
      </c>
      <c r="F3463" s="5" t="str">
        <f t="shared" si="54"/>
        <v>tandea.se</v>
      </c>
      <c r="G3463" s="5" t="s">
        <v>4</v>
      </c>
      <c r="H3463" s="5" t="s">
        <v>5</v>
      </c>
      <c r="I3463" s="6">
        <v>45807</v>
      </c>
    </row>
    <row r="3464" spans="1:9" ht="13.5">
      <c r="A3464" s="2" t="s">
        <v>3580</v>
      </c>
      <c r="B3464" s="3"/>
      <c r="C3464" s="4" t="s">
        <v>6083</v>
      </c>
      <c r="D3464" s="4" t="s">
        <v>5312</v>
      </c>
      <c r="E3464" s="5" t="s">
        <v>6084</v>
      </c>
      <c r="F3464" s="5" t="str">
        <f t="shared" si="54"/>
        <v>kleer.se</v>
      </c>
      <c r="G3464" s="5" t="s">
        <v>4</v>
      </c>
      <c r="H3464" s="5" t="s">
        <v>5</v>
      </c>
      <c r="I3464" s="6">
        <v>45807</v>
      </c>
    </row>
    <row r="3465" spans="1:9" ht="13.5">
      <c r="A3465" s="2" t="s">
        <v>703</v>
      </c>
      <c r="B3465" s="3"/>
      <c r="C3465" s="4" t="s">
        <v>6085</v>
      </c>
      <c r="D3465" s="4" t="s">
        <v>735</v>
      </c>
      <c r="E3465" s="5" t="s">
        <v>6086</v>
      </c>
      <c r="F3465" s="5" t="str">
        <f t="shared" si="54"/>
        <v>distansinstitutet.se</v>
      </c>
      <c r="G3465" s="5" t="s">
        <v>4</v>
      </c>
      <c r="H3465" s="5" t="s">
        <v>5</v>
      </c>
      <c r="I3465" s="6">
        <v>45807</v>
      </c>
    </row>
    <row r="3466" spans="1:9" ht="13.5">
      <c r="A3466" s="2" t="s">
        <v>3090</v>
      </c>
      <c r="B3466" s="3"/>
      <c r="C3466" s="4" t="s">
        <v>6087</v>
      </c>
      <c r="D3466" s="4" t="s">
        <v>6088</v>
      </c>
      <c r="E3466" s="5" t="s">
        <v>6089</v>
      </c>
      <c r="F3466" s="5" t="str">
        <f t="shared" si="54"/>
        <v>videoslots.com</v>
      </c>
      <c r="G3466" s="5" t="s">
        <v>4</v>
      </c>
      <c r="H3466" s="5" t="s">
        <v>5</v>
      </c>
      <c r="I3466" s="6">
        <v>45807</v>
      </c>
    </row>
    <row r="3467" spans="1:9" ht="13.5">
      <c r="A3467" s="7" t="s">
        <v>5649</v>
      </c>
      <c r="B3467" s="3"/>
      <c r="C3467" s="4" t="s">
        <v>6090</v>
      </c>
      <c r="D3467" s="138" t="s">
        <v>6091</v>
      </c>
      <c r="E3467" s="5" t="s">
        <v>6092</v>
      </c>
      <c r="F3467" s="5" t="str">
        <f t="shared" si="54"/>
        <v>Invozio</v>
      </c>
      <c r="G3467" s="5" t="s">
        <v>4</v>
      </c>
      <c r="H3467" s="5" t="s">
        <v>5</v>
      </c>
      <c r="I3467" s="6">
        <v>45807</v>
      </c>
    </row>
    <row r="3468" spans="1:9" ht="13.5">
      <c r="A3468" s="2" t="s">
        <v>3128</v>
      </c>
      <c r="B3468" s="3"/>
      <c r="C3468" s="4" t="s">
        <v>6090</v>
      </c>
      <c r="D3468" s="4" t="s">
        <v>3130</v>
      </c>
      <c r="E3468" s="5" t="s">
        <v>6093</v>
      </c>
      <c r="F3468" s="5" t="str">
        <f t="shared" si="54"/>
        <v>bethard.com</v>
      </c>
      <c r="G3468" s="5" t="s">
        <v>4</v>
      </c>
      <c r="H3468" s="5" t="s">
        <v>5</v>
      </c>
      <c r="I3468" s="6">
        <v>45807</v>
      </c>
    </row>
    <row r="3469" spans="1:9" ht="13.5">
      <c r="A3469" s="2" t="s">
        <v>4489</v>
      </c>
      <c r="B3469" s="3"/>
      <c r="C3469" s="4" t="s">
        <v>6094</v>
      </c>
      <c r="D3469" s="4" t="s">
        <v>6095</v>
      </c>
      <c r="E3469" s="5" t="s">
        <v>6096</v>
      </c>
      <c r="F3469" s="5" t="str">
        <f t="shared" si="54"/>
        <v>nordicknots.com</v>
      </c>
      <c r="G3469" s="5" t="s">
        <v>4</v>
      </c>
      <c r="H3469" s="5" t="s">
        <v>345</v>
      </c>
      <c r="I3469" s="6">
        <v>45807</v>
      </c>
    </row>
    <row r="3470" spans="1:9" ht="13.5">
      <c r="A3470" s="2" t="s">
        <v>2836</v>
      </c>
      <c r="B3470" s="3"/>
      <c r="C3470" s="4" t="s">
        <v>6097</v>
      </c>
      <c r="D3470" s="4" t="s">
        <v>3146</v>
      </c>
      <c r="E3470" s="5" t="s">
        <v>6098</v>
      </c>
      <c r="F3470" s="5" t="str">
        <f t="shared" si="54"/>
        <v>cherry.com</v>
      </c>
      <c r="G3470" s="5" t="s">
        <v>4</v>
      </c>
      <c r="H3470" s="5" t="s">
        <v>5</v>
      </c>
      <c r="I3470" s="6">
        <v>45807</v>
      </c>
    </row>
    <row r="3471" spans="1:9" ht="13.5">
      <c r="A3471" s="2" t="s">
        <v>1318</v>
      </c>
      <c r="B3471" s="3"/>
      <c r="C3471" s="4" t="s">
        <v>6099</v>
      </c>
      <c r="D3471" s="4" t="s">
        <v>3977</v>
      </c>
      <c r="E3471" s="5" t="s">
        <v>6100</v>
      </c>
      <c r="F3471" s="5" t="str">
        <f t="shared" si="54"/>
        <v>spelklubben.se</v>
      </c>
      <c r="G3471" s="5" t="s">
        <v>4</v>
      </c>
      <c r="H3471" s="5" t="s">
        <v>5</v>
      </c>
      <c r="I3471" s="6">
        <v>45807</v>
      </c>
    </row>
    <row r="3472" spans="1:9" ht="13.5">
      <c r="A3472" s="2" t="s">
        <v>171</v>
      </c>
      <c r="B3472" s="3"/>
      <c r="C3472" s="4" t="s">
        <v>6101</v>
      </c>
      <c r="D3472" s="4" t="s">
        <v>1708</v>
      </c>
      <c r="E3472" s="5" t="s">
        <v>4601</v>
      </c>
      <c r="F3472" s="5" t="str">
        <f t="shared" si="54"/>
        <v>arctic.se</v>
      </c>
      <c r="G3472" s="5" t="s">
        <v>4</v>
      </c>
      <c r="H3472" s="5" t="s">
        <v>2355</v>
      </c>
      <c r="I3472" s="6">
        <v>45807</v>
      </c>
    </row>
    <row r="3473" spans="1:9" ht="13.5">
      <c r="A3473" s="2" t="s">
        <v>1993</v>
      </c>
      <c r="B3473" s="3"/>
      <c r="C3473" s="4" t="s">
        <v>6102</v>
      </c>
      <c r="D3473" s="4" t="s">
        <v>5226</v>
      </c>
      <c r="E3473" s="5" t="s">
        <v>5786</v>
      </c>
      <c r="F3473" s="5" t="str">
        <f t="shared" si="54"/>
        <v>filippa-k.com/se/sv/</v>
      </c>
      <c r="G3473" s="5" t="s">
        <v>4</v>
      </c>
      <c r="H3473" s="5" t="s">
        <v>2355</v>
      </c>
      <c r="I3473" s="6">
        <v>45807</v>
      </c>
    </row>
    <row r="3474" spans="1:9" ht="13.5">
      <c r="A3474" s="2" t="s">
        <v>5374</v>
      </c>
      <c r="B3474" s="3"/>
      <c r="C3474" s="4" t="s">
        <v>6103</v>
      </c>
      <c r="D3474" s="4" t="s">
        <v>5376</v>
      </c>
      <c r="E3474" s="5" t="s">
        <v>5377</v>
      </c>
      <c r="F3474" s="5" t="str">
        <f t="shared" si="54"/>
        <v>willabgarden.de</v>
      </c>
      <c r="G3474" s="5" t="s">
        <v>4</v>
      </c>
      <c r="H3474" s="5" t="s">
        <v>2355</v>
      </c>
      <c r="I3474" s="6">
        <v>45807</v>
      </c>
    </row>
    <row r="3475" spans="1:9" ht="13.5">
      <c r="A3475" s="2" t="s">
        <v>5374</v>
      </c>
      <c r="B3475" s="3"/>
      <c r="C3475" s="4" t="s">
        <v>6104</v>
      </c>
      <c r="D3475" s="4" t="s">
        <v>5379</v>
      </c>
      <c r="E3475" s="5" t="s">
        <v>5380</v>
      </c>
      <c r="F3475" s="5" t="str">
        <f t="shared" si="54"/>
        <v>willabgarden.de</v>
      </c>
      <c r="G3475" s="5" t="s">
        <v>4</v>
      </c>
      <c r="H3475" s="5" t="s">
        <v>2355</v>
      </c>
      <c r="I3475" s="6">
        <v>45807</v>
      </c>
    </row>
    <row r="3476" spans="1:9" ht="13.5">
      <c r="A3476" s="2" t="s">
        <v>3761</v>
      </c>
      <c r="B3476" s="3"/>
      <c r="C3476" s="4" t="s">
        <v>6105</v>
      </c>
      <c r="D3476" s="4" t="s">
        <v>3908</v>
      </c>
      <c r="E3476" s="5" t="s">
        <v>6106</v>
      </c>
      <c r="F3476" s="5" t="str">
        <f t="shared" si="54"/>
        <v>hajper.com</v>
      </c>
      <c r="G3476" s="5" t="s">
        <v>4</v>
      </c>
      <c r="H3476" s="5" t="s">
        <v>5</v>
      </c>
      <c r="I3476" s="6">
        <v>45807</v>
      </c>
    </row>
    <row r="3477" spans="1:9" ht="13.5">
      <c r="A3477" s="2" t="s">
        <v>3682</v>
      </c>
      <c r="B3477" s="3"/>
      <c r="C3477" s="4" t="s">
        <v>6107</v>
      </c>
      <c r="D3477" s="4" t="s">
        <v>5419</v>
      </c>
      <c r="E3477" s="5" t="s">
        <v>6108</v>
      </c>
      <c r="F3477" s="5" t="str">
        <f t="shared" si="54"/>
        <v>upplevelse.com</v>
      </c>
      <c r="G3477" s="5" t="s">
        <v>4</v>
      </c>
      <c r="H3477" s="5" t="s">
        <v>5</v>
      </c>
      <c r="I3477" s="6">
        <v>45807</v>
      </c>
    </row>
    <row r="3478" spans="1:9" ht="13.5">
      <c r="A3478" s="2" t="s">
        <v>5589</v>
      </c>
      <c r="B3478" s="3"/>
      <c r="C3478" s="4" t="s">
        <v>6109</v>
      </c>
      <c r="D3478" s="4" t="s">
        <v>5647</v>
      </c>
      <c r="E3478" s="5" t="s">
        <v>6110</v>
      </c>
      <c r="F3478" s="5" t="str">
        <f t="shared" si="54"/>
        <v>dbet.com</v>
      </c>
      <c r="G3478" s="5" t="s">
        <v>4</v>
      </c>
      <c r="H3478" s="5" t="s">
        <v>5</v>
      </c>
      <c r="I3478" s="6">
        <v>45807</v>
      </c>
    </row>
    <row r="3479" spans="1:9" ht="13.5">
      <c r="A3479" s="7"/>
      <c r="B3479" s="3"/>
      <c r="C3479" s="4" t="s">
        <v>6111</v>
      </c>
      <c r="D3479" s="4" t="s">
        <v>6112</v>
      </c>
      <c r="E3479" s="5" t="s">
        <v>6113</v>
      </c>
      <c r="F3479" s="5">
        <f t="shared" si="54"/>
        <v>0</v>
      </c>
      <c r="G3479" s="5" t="s">
        <v>4</v>
      </c>
      <c r="H3479" s="5" t="s">
        <v>5</v>
      </c>
      <c r="I3479" s="6">
        <v>45807</v>
      </c>
    </row>
    <row r="3480" spans="1:9" ht="13.5">
      <c r="A3480" s="2" t="s">
        <v>4558</v>
      </c>
      <c r="B3480" s="3"/>
      <c r="C3480" s="4" t="s">
        <v>6114</v>
      </c>
      <c r="D3480" s="4" t="s">
        <v>5766</v>
      </c>
      <c r="E3480" s="5" t="s">
        <v>5767</v>
      </c>
      <c r="F3480" s="5" t="str">
        <f t="shared" si="54"/>
        <v>mockfjards.se</v>
      </c>
      <c r="G3480" s="5" t="s">
        <v>4</v>
      </c>
      <c r="H3480" s="5" t="s">
        <v>5</v>
      </c>
      <c r="I3480" s="6">
        <v>45807</v>
      </c>
    </row>
    <row r="3481" spans="1:9" ht="13.5">
      <c r="A3481" s="2" t="s">
        <v>3761</v>
      </c>
      <c r="B3481" s="3"/>
      <c r="C3481" s="4" t="s">
        <v>6115</v>
      </c>
      <c r="D3481" s="4" t="s">
        <v>3908</v>
      </c>
      <c r="E3481" s="22" t="s">
        <v>6116</v>
      </c>
      <c r="F3481" s="5" t="str">
        <f t="shared" si="54"/>
        <v>hajper.com</v>
      </c>
      <c r="G3481" s="5" t="s">
        <v>4</v>
      </c>
      <c r="H3481" s="5" t="s">
        <v>5</v>
      </c>
      <c r="I3481" s="6">
        <v>45807</v>
      </c>
    </row>
    <row r="3482" spans="1:9" ht="13.5">
      <c r="A3482" s="2" t="s">
        <v>4147</v>
      </c>
      <c r="B3482" s="3"/>
      <c r="C3482" s="8" t="s">
        <v>6117</v>
      </c>
      <c r="D3482" s="8" t="s">
        <v>5448</v>
      </c>
      <c r="E3482" s="5" t="s">
        <v>5449</v>
      </c>
      <c r="F3482" s="5" t="str">
        <f t="shared" si="54"/>
        <v>petster.se</v>
      </c>
      <c r="G3482" s="5" t="s">
        <v>4</v>
      </c>
      <c r="H3482" s="5" t="s">
        <v>5</v>
      </c>
      <c r="I3482" s="6">
        <v>45807</v>
      </c>
    </row>
    <row r="3483" spans="1:9" ht="13.5">
      <c r="A3483" s="2" t="s">
        <v>4409</v>
      </c>
      <c r="B3483" s="3"/>
      <c r="C3483" s="8" t="s">
        <v>6118</v>
      </c>
      <c r="D3483" s="8" t="s">
        <v>4585</v>
      </c>
      <c r="E3483" s="5" t="s">
        <v>5845</v>
      </c>
      <c r="F3483" s="5" t="str">
        <f t="shared" si="54"/>
        <v>svenskafonster.se</v>
      </c>
      <c r="G3483" s="5" t="s">
        <v>4</v>
      </c>
      <c r="H3483" s="5" t="s">
        <v>5</v>
      </c>
      <c r="I3483" s="6">
        <v>45807</v>
      </c>
    </row>
    <row r="3484" spans="1:9" ht="13.5">
      <c r="A3484" s="2" t="s">
        <v>4147</v>
      </c>
      <c r="B3484" s="3"/>
      <c r="C3484" s="4" t="s">
        <v>6119</v>
      </c>
      <c r="D3484" s="4" t="s">
        <v>5448</v>
      </c>
      <c r="E3484" s="5" t="s">
        <v>5449</v>
      </c>
      <c r="F3484" s="5" t="str">
        <f t="shared" si="54"/>
        <v>petster.se</v>
      </c>
      <c r="G3484" s="5" t="s">
        <v>4</v>
      </c>
      <c r="H3484" s="5" t="s">
        <v>5</v>
      </c>
      <c r="I3484" s="6">
        <v>45808</v>
      </c>
    </row>
    <row r="3485" spans="1:9" ht="13.5">
      <c r="A3485" s="2" t="s">
        <v>3058</v>
      </c>
      <c r="B3485" s="3"/>
      <c r="C3485" s="4" t="s">
        <v>6120</v>
      </c>
      <c r="D3485" s="4" t="s">
        <v>4133</v>
      </c>
      <c r="E3485" s="5" t="s">
        <v>3064</v>
      </c>
      <c r="F3485" s="5" t="str">
        <f t="shared" si="54"/>
        <v>rusta.se</v>
      </c>
      <c r="G3485" s="5" t="s">
        <v>4</v>
      </c>
      <c r="H3485" s="5" t="s">
        <v>5</v>
      </c>
      <c r="I3485" s="6">
        <v>45808</v>
      </c>
    </row>
    <row r="3486" spans="1:9" ht="13.5">
      <c r="A3486" s="2" t="s">
        <v>6121</v>
      </c>
      <c r="B3486" s="3"/>
      <c r="C3486" s="4" t="s">
        <v>6122</v>
      </c>
      <c r="D3486" s="4" t="s">
        <v>6121</v>
      </c>
      <c r="E3486" s="5" t="s">
        <v>6123</v>
      </c>
      <c r="F3486" s="5" t="str">
        <f t="shared" si="54"/>
        <v>maklarringen.se</v>
      </c>
      <c r="G3486" s="5" t="s">
        <v>4</v>
      </c>
      <c r="H3486" s="5" t="s">
        <v>5</v>
      </c>
      <c r="I3486" s="6">
        <v>45808</v>
      </c>
    </row>
    <row r="3487" spans="1:9" ht="13.5">
      <c r="A3487" s="2" t="s">
        <v>6014</v>
      </c>
      <c r="B3487" s="3"/>
      <c r="C3487" s="4" t="s">
        <v>6124</v>
      </c>
      <c r="D3487" s="4" t="s">
        <v>6125</v>
      </c>
      <c r="E3487" s="5" t="s">
        <v>6126</v>
      </c>
      <c r="F3487" s="5" t="str">
        <f t="shared" si="54"/>
        <v>kungaslottet.se</v>
      </c>
      <c r="G3487" s="5" t="s">
        <v>4</v>
      </c>
      <c r="H3487" s="5" t="s">
        <v>5</v>
      </c>
      <c r="I3487" s="6">
        <v>45808</v>
      </c>
    </row>
    <row r="3488" spans="1:9" ht="13.5">
      <c r="A3488" s="2" t="s">
        <v>6127</v>
      </c>
      <c r="B3488" s="3"/>
      <c r="C3488" s="4" t="s">
        <v>6128</v>
      </c>
      <c r="D3488" s="4" t="s">
        <v>6129</v>
      </c>
      <c r="E3488" s="5" t="s">
        <v>6130</v>
      </c>
      <c r="F3488" s="5" t="str">
        <f t="shared" si="54"/>
        <v>indoorprofessional.se</v>
      </c>
      <c r="G3488" s="5" t="s">
        <v>4</v>
      </c>
      <c r="H3488" s="5" t="s">
        <v>5</v>
      </c>
      <c r="I3488" s="6">
        <v>45808</v>
      </c>
    </row>
    <row r="3489" spans="1:9" ht="13.5">
      <c r="A3489" s="2" t="s">
        <v>2357</v>
      </c>
      <c r="B3489" s="3"/>
      <c r="C3489" s="4" t="s">
        <v>6131</v>
      </c>
      <c r="D3489" s="4" t="s">
        <v>5685</v>
      </c>
      <c r="E3489" s="5" t="s">
        <v>5722</v>
      </c>
      <c r="F3489" s="5" t="str">
        <f t="shared" si="54"/>
        <v>lsb.se</v>
      </c>
      <c r="G3489" s="5" t="s">
        <v>4</v>
      </c>
      <c r="H3489" s="5" t="s">
        <v>5</v>
      </c>
      <c r="I3489" s="6">
        <v>45808</v>
      </c>
    </row>
    <row r="3490" spans="1:9" ht="13.5">
      <c r="A3490" s="7" t="s">
        <v>3419</v>
      </c>
      <c r="B3490" s="3"/>
      <c r="C3490" s="4" t="s">
        <v>6132</v>
      </c>
      <c r="D3490" s="4" t="s">
        <v>4961</v>
      </c>
      <c r="E3490" s="5" t="s">
        <v>6133</v>
      </c>
      <c r="F3490" s="5" t="str">
        <f t="shared" si="54"/>
        <v>zmarta</v>
      </c>
      <c r="G3490" s="5" t="s">
        <v>4</v>
      </c>
      <c r="H3490" s="5" t="s">
        <v>5</v>
      </c>
      <c r="I3490" s="6">
        <v>45808</v>
      </c>
    </row>
    <row r="3491" spans="1:9" ht="13.5">
      <c r="A3491" s="2" t="s">
        <v>6121</v>
      </c>
      <c r="B3491" s="3"/>
      <c r="C3491" s="4" t="s">
        <v>6134</v>
      </c>
      <c r="D3491" s="4" t="s">
        <v>6121</v>
      </c>
      <c r="E3491" s="5" t="s">
        <v>6135</v>
      </c>
      <c r="F3491" s="5" t="str">
        <f t="shared" si="54"/>
        <v>maklarringen.se</v>
      </c>
      <c r="G3491" s="5" t="s">
        <v>4</v>
      </c>
      <c r="H3491" s="5" t="s">
        <v>5</v>
      </c>
      <c r="I3491" s="6">
        <v>45808</v>
      </c>
    </row>
    <row r="3492" spans="1:9" ht="13.5">
      <c r="A3492" s="7" t="s">
        <v>5649</v>
      </c>
      <c r="B3492" s="3"/>
      <c r="C3492" s="4" t="s">
        <v>6136</v>
      </c>
      <c r="D3492" s="4" t="s">
        <v>6137</v>
      </c>
      <c r="E3492" s="5" t="s">
        <v>6138</v>
      </c>
      <c r="F3492" s="5" t="str">
        <f t="shared" si="54"/>
        <v>Invozio</v>
      </c>
      <c r="G3492" s="5" t="s">
        <v>4</v>
      </c>
      <c r="H3492" s="5" t="s">
        <v>5</v>
      </c>
      <c r="I3492" s="6">
        <v>45808</v>
      </c>
    </row>
    <row r="3493" spans="1:9" ht="13.5">
      <c r="A3493" s="2" t="s">
        <v>3090</v>
      </c>
      <c r="B3493" s="3"/>
      <c r="C3493" s="4" t="s">
        <v>6139</v>
      </c>
      <c r="D3493" s="4" t="s">
        <v>6088</v>
      </c>
      <c r="E3493" s="5" t="s">
        <v>6140</v>
      </c>
      <c r="F3493" s="5" t="str">
        <f t="shared" si="54"/>
        <v>videoslots.com</v>
      </c>
      <c r="G3493" s="5" t="s">
        <v>4</v>
      </c>
      <c r="H3493" s="5" t="s">
        <v>5</v>
      </c>
      <c r="I3493" s="6">
        <v>45808</v>
      </c>
    </row>
    <row r="3494" spans="1:9" ht="13.5">
      <c r="A3494" s="2" t="s">
        <v>3761</v>
      </c>
      <c r="B3494" s="3"/>
      <c r="C3494" s="4" t="s">
        <v>6141</v>
      </c>
      <c r="D3494" s="4" t="s">
        <v>6142</v>
      </c>
      <c r="E3494" s="5" t="s">
        <v>3035</v>
      </c>
      <c r="F3494" s="5" t="str">
        <f t="shared" si="54"/>
        <v>hajper.com</v>
      </c>
      <c r="G3494" s="5" t="s">
        <v>4</v>
      </c>
      <c r="H3494" s="5" t="s">
        <v>5</v>
      </c>
      <c r="I3494" s="6">
        <v>45808</v>
      </c>
    </row>
    <row r="3495" spans="1:9" ht="13.5">
      <c r="A3495" s="2" t="s">
        <v>5589</v>
      </c>
      <c r="B3495" s="3"/>
      <c r="C3495" s="4" t="s">
        <v>6143</v>
      </c>
      <c r="D3495" s="4" t="s">
        <v>5658</v>
      </c>
      <c r="E3495" s="5" t="s">
        <v>6144</v>
      </c>
      <c r="F3495" s="5" t="str">
        <f t="shared" si="54"/>
        <v>dbet.com</v>
      </c>
      <c r="G3495" s="5" t="s">
        <v>4</v>
      </c>
      <c r="H3495" s="5" t="s">
        <v>5</v>
      </c>
      <c r="I3495" s="6">
        <v>45808</v>
      </c>
    </row>
    <row r="3496" spans="1:9" ht="13.5">
      <c r="A3496" s="2" t="s">
        <v>435</v>
      </c>
      <c r="B3496" s="3"/>
      <c r="C3496" s="4" t="s">
        <v>6145</v>
      </c>
      <c r="D3496" s="4" t="s">
        <v>435</v>
      </c>
      <c r="E3496" s="5" t="s">
        <v>839</v>
      </c>
      <c r="F3496" s="5" t="str">
        <f t="shared" si="54"/>
        <v>fairinvestments.se</v>
      </c>
      <c r="G3496" s="5" t="s">
        <v>4</v>
      </c>
      <c r="H3496" s="5" t="s">
        <v>5</v>
      </c>
      <c r="I3496" s="6">
        <v>45808</v>
      </c>
    </row>
    <row r="3497" spans="1:9" ht="13.5">
      <c r="A3497" s="2" t="s">
        <v>4051</v>
      </c>
      <c r="B3497" s="3"/>
      <c r="C3497" s="4" t="s">
        <v>6146</v>
      </c>
      <c r="D3497" s="4" t="s">
        <v>5701</v>
      </c>
      <c r="E3497" s="5" t="s">
        <v>4315</v>
      </c>
      <c r="F3497" s="5" t="str">
        <f t="shared" si="54"/>
        <v>hund.se</v>
      </c>
      <c r="G3497" s="5" t="s">
        <v>4</v>
      </c>
      <c r="H3497" s="5" t="s">
        <v>5</v>
      </c>
      <c r="I3497" s="6">
        <v>45808</v>
      </c>
    </row>
    <row r="3498" spans="1:9" ht="13.5">
      <c r="A3498" s="2" t="s">
        <v>3580</v>
      </c>
      <c r="B3498" s="3"/>
      <c r="C3498" s="4" t="s">
        <v>6147</v>
      </c>
      <c r="D3498" s="4" t="s">
        <v>4756</v>
      </c>
      <c r="E3498" s="5" t="s">
        <v>4570</v>
      </c>
      <c r="F3498" s="5" t="str">
        <f t="shared" si="54"/>
        <v>kleer.se</v>
      </c>
      <c r="G3498" s="5" t="s">
        <v>4</v>
      </c>
      <c r="H3498" s="5" t="s">
        <v>5</v>
      </c>
      <c r="I3498" s="6">
        <v>45808</v>
      </c>
    </row>
    <row r="3499" spans="1:9" ht="13.5">
      <c r="A3499" s="2" t="s">
        <v>3058</v>
      </c>
      <c r="B3499" s="3"/>
      <c r="C3499" s="4" t="s">
        <v>6148</v>
      </c>
      <c r="D3499" s="4" t="s">
        <v>4537</v>
      </c>
      <c r="E3499" s="5" t="s">
        <v>3061</v>
      </c>
      <c r="F3499" s="5" t="str">
        <f t="shared" si="54"/>
        <v>rusta.se</v>
      </c>
      <c r="G3499" s="5" t="s">
        <v>4</v>
      </c>
      <c r="H3499" s="5" t="s">
        <v>5</v>
      </c>
      <c r="I3499" s="6">
        <v>45808</v>
      </c>
    </row>
    <row r="3500" spans="1:9" ht="13.5">
      <c r="A3500" s="2" t="s">
        <v>3682</v>
      </c>
      <c r="B3500" s="3"/>
      <c r="C3500" s="4" t="s">
        <v>6149</v>
      </c>
      <c r="D3500" s="4" t="s">
        <v>4977</v>
      </c>
      <c r="E3500" s="5" t="s">
        <v>6150</v>
      </c>
      <c r="F3500" s="5" t="str">
        <f t="shared" si="54"/>
        <v>upplevelse.com</v>
      </c>
      <c r="G3500" s="5" t="s">
        <v>4</v>
      </c>
      <c r="H3500" s="5" t="s">
        <v>5</v>
      </c>
      <c r="I3500" s="6">
        <v>45808</v>
      </c>
    </row>
    <row r="3501" spans="1:9" ht="13.5">
      <c r="A3501" s="2" t="s">
        <v>5020</v>
      </c>
      <c r="B3501" s="3"/>
      <c r="C3501" s="4" t="s">
        <v>6151</v>
      </c>
      <c r="D3501" s="4" t="s">
        <v>5865</v>
      </c>
      <c r="E3501" s="5" t="s">
        <v>5866</v>
      </c>
      <c r="F3501" s="5" t="str">
        <f t="shared" si="54"/>
        <v>sesec.se</v>
      </c>
      <c r="G3501" s="5" t="s">
        <v>4</v>
      </c>
      <c r="H3501" s="5" t="s">
        <v>5</v>
      </c>
      <c r="I3501" s="6">
        <v>45808</v>
      </c>
    </row>
    <row r="3502" spans="1:9" ht="13.5">
      <c r="A3502" s="2" t="s">
        <v>5589</v>
      </c>
      <c r="B3502" s="3"/>
      <c r="C3502" s="4" t="s">
        <v>6152</v>
      </c>
      <c r="D3502" s="5" t="s">
        <v>6153</v>
      </c>
      <c r="E3502" s="5" t="s">
        <v>6154</v>
      </c>
      <c r="F3502" s="5" t="str">
        <f t="shared" si="54"/>
        <v>dbet.com</v>
      </c>
      <c r="G3502" s="5" t="s">
        <v>4</v>
      </c>
      <c r="H3502" s="5" t="s">
        <v>5</v>
      </c>
      <c r="I3502" s="6">
        <v>45808</v>
      </c>
    </row>
    <row r="3503" spans="1:9" ht="13.5">
      <c r="A3503" s="2" t="s">
        <v>6014</v>
      </c>
      <c r="B3503" s="3"/>
      <c r="C3503" s="4" t="s">
        <v>6155</v>
      </c>
      <c r="D3503" s="4" t="s">
        <v>6019</v>
      </c>
      <c r="E3503" s="5" t="s">
        <v>6156</v>
      </c>
      <c r="F3503" s="5" t="str">
        <f t="shared" si="54"/>
        <v>kungaslottet.se</v>
      </c>
      <c r="G3503" s="5" t="s">
        <v>4</v>
      </c>
      <c r="H3503" s="5" t="s">
        <v>5</v>
      </c>
      <c r="I3503" s="6">
        <v>45808</v>
      </c>
    </row>
    <row r="3504" spans="1:9" ht="13.5">
      <c r="A3504" s="2" t="s">
        <v>435</v>
      </c>
      <c r="B3504" s="3"/>
      <c r="C3504" s="4" t="s">
        <v>6157</v>
      </c>
      <c r="D3504" s="4" t="s">
        <v>3779</v>
      </c>
      <c r="E3504" s="5" t="s">
        <v>839</v>
      </c>
      <c r="F3504" s="5" t="str">
        <f t="shared" si="54"/>
        <v>fairinvestments.se</v>
      </c>
      <c r="G3504" s="5" t="s">
        <v>4</v>
      </c>
      <c r="H3504" s="5" t="s">
        <v>5</v>
      </c>
      <c r="I3504" s="6">
        <v>45808</v>
      </c>
    </row>
    <row r="3505" spans="1:9" ht="13.5">
      <c r="A3505" s="2" t="s">
        <v>3921</v>
      </c>
      <c r="B3505" s="3"/>
      <c r="C3505" s="4" t="s">
        <v>6158</v>
      </c>
      <c r="D3505" s="4" t="s">
        <v>6159</v>
      </c>
      <c r="E3505" s="5" t="s">
        <v>6160</v>
      </c>
      <c r="F3505" s="5" t="str">
        <f t="shared" si="54"/>
        <v>svenskalasjouren.se</v>
      </c>
      <c r="G3505" s="5" t="s">
        <v>4</v>
      </c>
      <c r="H3505" s="5" t="s">
        <v>5</v>
      </c>
      <c r="I3505" s="6">
        <v>45808</v>
      </c>
    </row>
    <row r="3506" spans="1:9" ht="13.5">
      <c r="A3506" s="2" t="s">
        <v>3921</v>
      </c>
      <c r="B3506" s="3"/>
      <c r="C3506" s="4" t="s">
        <v>6161</v>
      </c>
      <c r="D3506" s="4" t="s">
        <v>5969</v>
      </c>
      <c r="E3506" s="5" t="s">
        <v>6162</v>
      </c>
      <c r="F3506" s="5" t="str">
        <f t="shared" si="54"/>
        <v>svenskalasjouren.se</v>
      </c>
      <c r="G3506" s="5" t="s">
        <v>4</v>
      </c>
      <c r="H3506" s="5" t="s">
        <v>5</v>
      </c>
      <c r="I3506" s="6">
        <v>45808</v>
      </c>
    </row>
    <row r="3507" spans="1:9" ht="13.5">
      <c r="A3507" s="2" t="s">
        <v>3921</v>
      </c>
      <c r="B3507" s="3"/>
      <c r="C3507" s="4" t="s">
        <v>6163</v>
      </c>
      <c r="D3507" s="4" t="s">
        <v>5975</v>
      </c>
      <c r="E3507" s="5" t="s">
        <v>6164</v>
      </c>
      <c r="F3507" s="5" t="str">
        <f t="shared" si="54"/>
        <v>svenskalasjouren.se</v>
      </c>
      <c r="G3507" s="5" t="s">
        <v>4</v>
      </c>
      <c r="H3507" s="5" t="s">
        <v>5</v>
      </c>
      <c r="I3507" s="6">
        <v>45808</v>
      </c>
    </row>
    <row r="3508" spans="1:9" ht="13.5">
      <c r="A3508" s="2" t="s">
        <v>4051</v>
      </c>
      <c r="B3508" s="3"/>
      <c r="C3508" s="4" t="s">
        <v>6165</v>
      </c>
      <c r="D3508" s="4" t="s">
        <v>5108</v>
      </c>
      <c r="E3508" s="5" t="s">
        <v>4129</v>
      </c>
      <c r="F3508" s="5" t="str">
        <f t="shared" si="54"/>
        <v>hund.se</v>
      </c>
      <c r="G3508" s="5" t="s">
        <v>4</v>
      </c>
      <c r="H3508" s="5" t="s">
        <v>5</v>
      </c>
      <c r="I3508" s="6">
        <v>45808</v>
      </c>
    </row>
    <row r="3509" spans="1:9" ht="13.5">
      <c r="A3509" s="2" t="s">
        <v>2999</v>
      </c>
      <c r="B3509" s="3"/>
      <c r="C3509" s="4" t="s">
        <v>6166</v>
      </c>
      <c r="D3509" s="4" t="s">
        <v>5499</v>
      </c>
      <c r="E3509" s="5" t="s">
        <v>5673</v>
      </c>
      <c r="F3509" s="5" t="str">
        <f t="shared" si="54"/>
        <v>nettotobak.com</v>
      </c>
      <c r="G3509" s="5" t="s">
        <v>4</v>
      </c>
      <c r="H3509" s="5" t="s">
        <v>5</v>
      </c>
      <c r="I3509" s="6">
        <v>45808</v>
      </c>
    </row>
    <row r="3510" spans="1:9" ht="13.5">
      <c r="A3510" s="2" t="s">
        <v>4409</v>
      </c>
      <c r="B3510" s="3"/>
      <c r="C3510" s="4" t="s">
        <v>6167</v>
      </c>
      <c r="D3510" s="4" t="s">
        <v>5119</v>
      </c>
      <c r="E3510" s="5" t="s">
        <v>6168</v>
      </c>
      <c r="F3510" s="5" t="str">
        <f t="shared" si="54"/>
        <v>svenskafonster.se</v>
      </c>
      <c r="G3510" s="5" t="s">
        <v>4</v>
      </c>
      <c r="H3510" s="5" t="s">
        <v>5</v>
      </c>
      <c r="I3510" s="6">
        <v>45808</v>
      </c>
    </row>
    <row r="3511" spans="1:9" ht="13.5">
      <c r="A3511" s="2" t="s">
        <v>4409</v>
      </c>
      <c r="B3511" s="3"/>
      <c r="C3511" s="4" t="s">
        <v>6169</v>
      </c>
      <c r="D3511" s="4" t="s">
        <v>5751</v>
      </c>
      <c r="E3511" s="5" t="s">
        <v>4873</v>
      </c>
      <c r="F3511" s="5" t="str">
        <f t="shared" si="54"/>
        <v>svenskafonster.se</v>
      </c>
      <c r="G3511" s="5" t="s">
        <v>4</v>
      </c>
      <c r="H3511" s="5" t="s">
        <v>5</v>
      </c>
      <c r="I3511" s="6">
        <v>45808</v>
      </c>
    </row>
    <row r="3512" spans="1:9" ht="13.5">
      <c r="A3512" s="2" t="s">
        <v>4558</v>
      </c>
      <c r="B3512" s="3"/>
      <c r="C3512" s="4" t="s">
        <v>6170</v>
      </c>
      <c r="D3512" s="4" t="s">
        <v>5766</v>
      </c>
      <c r="E3512" s="5" t="s">
        <v>5767</v>
      </c>
      <c r="F3512" s="5" t="str">
        <f t="shared" si="54"/>
        <v>mockfjards.se</v>
      </c>
      <c r="G3512" s="5" t="s">
        <v>4</v>
      </c>
      <c r="H3512" s="5" t="s">
        <v>5</v>
      </c>
      <c r="I3512" s="6">
        <v>45808</v>
      </c>
    </row>
    <row r="3513" spans="1:9" ht="13.5">
      <c r="A3513" s="7" t="s">
        <v>2281</v>
      </c>
      <c r="B3513" s="3"/>
      <c r="C3513" s="4" t="s">
        <v>6171</v>
      </c>
      <c r="D3513" s="4" t="s">
        <v>2283</v>
      </c>
      <c r="E3513" s="5" t="s">
        <v>2151</v>
      </c>
      <c r="F3513" s="5" t="str">
        <f t="shared" si="54"/>
        <v>tandläkare.se</v>
      </c>
      <c r="G3513" s="5" t="s">
        <v>4</v>
      </c>
      <c r="H3513" s="5" t="s">
        <v>5</v>
      </c>
      <c r="I3513" s="6">
        <v>45808</v>
      </c>
    </row>
    <row r="3514" spans="1:9" ht="13.5">
      <c r="A3514" s="7" t="s">
        <v>5649</v>
      </c>
      <c r="B3514" s="3"/>
      <c r="C3514" s="4" t="s">
        <v>6172</v>
      </c>
      <c r="D3514" s="4" t="s">
        <v>6173</v>
      </c>
      <c r="E3514" s="5" t="s">
        <v>6174</v>
      </c>
      <c r="F3514" s="5" t="str">
        <f t="shared" si="54"/>
        <v>Invozio</v>
      </c>
      <c r="G3514" s="5" t="s">
        <v>4</v>
      </c>
      <c r="H3514" s="5" t="s">
        <v>5</v>
      </c>
      <c r="I3514" s="6">
        <v>45808</v>
      </c>
    </row>
    <row r="3515" spans="1:9" ht="13.5">
      <c r="A3515" s="2" t="s">
        <v>1318</v>
      </c>
      <c r="B3515" s="3"/>
      <c r="C3515" s="4" t="s">
        <v>6175</v>
      </c>
      <c r="D3515" s="4" t="s">
        <v>6176</v>
      </c>
      <c r="E3515" s="5" t="s">
        <v>2016</v>
      </c>
      <c r="F3515" s="5" t="str">
        <f t="shared" si="54"/>
        <v>spelklubben.se</v>
      </c>
      <c r="G3515" s="5" t="s">
        <v>4</v>
      </c>
      <c r="H3515" s="5" t="s">
        <v>5</v>
      </c>
      <c r="I3515" s="6">
        <v>45808</v>
      </c>
    </row>
    <row r="3516" spans="1:9" ht="13.5">
      <c r="A3516" s="2" t="s">
        <v>4558</v>
      </c>
      <c r="B3516" s="3"/>
      <c r="C3516" s="8" t="s">
        <v>6177</v>
      </c>
      <c r="D3516" s="8" t="s">
        <v>4813</v>
      </c>
      <c r="E3516" s="5" t="s">
        <v>4561</v>
      </c>
      <c r="F3516" s="5" t="str">
        <f t="shared" si="54"/>
        <v>mockfjards.se</v>
      </c>
      <c r="G3516" s="5" t="s">
        <v>4</v>
      </c>
      <c r="H3516" s="5" t="s">
        <v>5</v>
      </c>
      <c r="I3516" s="6">
        <v>45808</v>
      </c>
    </row>
    <row r="3517" spans="1:9" ht="13.5">
      <c r="A3517" s="2" t="s">
        <v>2999</v>
      </c>
      <c r="B3517" s="3"/>
      <c r="C3517" s="8" t="s">
        <v>6178</v>
      </c>
      <c r="D3517" s="4" t="s">
        <v>6179</v>
      </c>
      <c r="E3517" s="5" t="s">
        <v>5497</v>
      </c>
      <c r="F3517" s="5" t="str">
        <f t="shared" si="54"/>
        <v>nettotobak.com</v>
      </c>
      <c r="G3517" s="5" t="s">
        <v>4</v>
      </c>
      <c r="H3517" s="5" t="s">
        <v>5</v>
      </c>
      <c r="I3517" s="6">
        <v>45808</v>
      </c>
    </row>
    <row r="3518" spans="1:9" ht="13.5">
      <c r="A3518" s="2" t="s">
        <v>6021</v>
      </c>
      <c r="B3518" s="3"/>
      <c r="C3518" s="4" t="s">
        <v>6180</v>
      </c>
      <c r="D3518" s="4" t="s">
        <v>6056</v>
      </c>
      <c r="E3518" s="5" t="s">
        <v>6181</v>
      </c>
      <c r="F3518" s="5" t="str">
        <f t="shared" si="54"/>
        <v>mrvegas.com</v>
      </c>
      <c r="G3518" s="5" t="s">
        <v>4</v>
      </c>
      <c r="H3518" s="5" t="s">
        <v>3496</v>
      </c>
      <c r="I3518" s="6">
        <v>45810</v>
      </c>
    </row>
    <row r="3519" spans="1:9" ht="13.5">
      <c r="A3519" s="2" t="s">
        <v>2357</v>
      </c>
      <c r="B3519" s="3"/>
      <c r="C3519" s="4" t="s">
        <v>6182</v>
      </c>
      <c r="D3519" s="4" t="s">
        <v>5847</v>
      </c>
      <c r="E3519" s="5" t="s">
        <v>6183</v>
      </c>
      <c r="F3519" s="5" t="str">
        <f t="shared" si="54"/>
        <v>lsb.se</v>
      </c>
      <c r="G3519" s="5" t="s">
        <v>4</v>
      </c>
      <c r="H3519" s="5" t="s">
        <v>5</v>
      </c>
      <c r="I3519" s="6">
        <v>45810</v>
      </c>
    </row>
    <row r="3520" spans="1:9" ht="13.5">
      <c r="A3520" s="2" t="s">
        <v>1318</v>
      </c>
      <c r="B3520" s="3"/>
      <c r="C3520" s="4" t="s">
        <v>6184</v>
      </c>
      <c r="D3520" s="4" t="s">
        <v>6185</v>
      </c>
      <c r="E3520" s="5" t="s">
        <v>6186</v>
      </c>
      <c r="F3520" s="5" t="str">
        <f t="shared" si="54"/>
        <v>spelklubben.se</v>
      </c>
      <c r="G3520" s="5" t="s">
        <v>4</v>
      </c>
      <c r="H3520" s="5" t="s">
        <v>5</v>
      </c>
      <c r="I3520" s="6">
        <v>45810</v>
      </c>
    </row>
    <row r="3521" spans="1:9" ht="13.5">
      <c r="A3521" s="2" t="s">
        <v>4135</v>
      </c>
      <c r="B3521" s="3"/>
      <c r="C3521" s="4" t="s">
        <v>6187</v>
      </c>
      <c r="D3521" s="4" t="s">
        <v>6188</v>
      </c>
      <c r="E3521" s="5" t="s">
        <v>6189</v>
      </c>
      <c r="F3521" s="5" t="str">
        <f t="shared" si="54"/>
        <v>aerius.se</v>
      </c>
      <c r="G3521" s="5" t="s">
        <v>4</v>
      </c>
      <c r="H3521" s="5" t="s">
        <v>5</v>
      </c>
      <c r="I3521" s="6">
        <v>45810</v>
      </c>
    </row>
    <row r="3522" spans="1:9" ht="13.5">
      <c r="A3522" s="2" t="s">
        <v>3832</v>
      </c>
      <c r="B3522" s="3"/>
      <c r="C3522" s="4" t="s">
        <v>6190</v>
      </c>
      <c r="D3522" s="4" t="s">
        <v>6191</v>
      </c>
      <c r="E3522" s="5" t="s">
        <v>4852</v>
      </c>
      <c r="F3522" s="5" t="str">
        <f t="shared" si="54"/>
        <v>michaelofrisorerna.se</v>
      </c>
      <c r="G3522" s="5" t="s">
        <v>4</v>
      </c>
      <c r="H3522" s="5" t="s">
        <v>5</v>
      </c>
      <c r="I3522" s="6">
        <v>45810</v>
      </c>
    </row>
    <row r="3523" spans="1:9" ht="13.5">
      <c r="A3523" s="7" t="s">
        <v>386</v>
      </c>
      <c r="B3523" s="3"/>
      <c r="C3523" s="4" t="s">
        <v>6192</v>
      </c>
      <c r="D3523" s="4" t="s">
        <v>599</v>
      </c>
      <c r="E3523" s="5" t="s">
        <v>389</v>
      </c>
      <c r="F3523" s="5" t="str">
        <f t="shared" ref="F3523:F3586" si="55">A3523</f>
        <v>pontech</v>
      </c>
      <c r="G3523" s="5" t="s">
        <v>4</v>
      </c>
      <c r="H3523" s="5" t="s">
        <v>5</v>
      </c>
      <c r="I3523" s="6">
        <v>45810</v>
      </c>
    </row>
    <row r="3524" spans="1:9" ht="13.5">
      <c r="A3524" s="7" t="s">
        <v>386</v>
      </c>
      <c r="B3524" s="3"/>
      <c r="C3524" s="4" t="s">
        <v>6193</v>
      </c>
      <c r="D3524" s="4" t="s">
        <v>599</v>
      </c>
      <c r="E3524" s="5" t="s">
        <v>453</v>
      </c>
      <c r="F3524" s="5" t="str">
        <f t="shared" si="55"/>
        <v>pontech</v>
      </c>
      <c r="G3524" s="5" t="s">
        <v>4</v>
      </c>
      <c r="H3524" s="5" t="s">
        <v>5</v>
      </c>
      <c r="I3524" s="6">
        <v>45810</v>
      </c>
    </row>
    <row r="3525" spans="1:9" ht="13.5">
      <c r="A3525" s="2" t="s">
        <v>2127</v>
      </c>
      <c r="B3525" s="3"/>
      <c r="C3525" s="4" t="s">
        <v>6194</v>
      </c>
      <c r="D3525" s="4" t="s">
        <v>6195</v>
      </c>
      <c r="E3525" s="5" t="s">
        <v>6196</v>
      </c>
      <c r="F3525" s="5" t="str">
        <f t="shared" si="55"/>
        <v>startmotor.se</v>
      </c>
      <c r="G3525" s="5" t="s">
        <v>4</v>
      </c>
      <c r="H3525" s="5" t="s">
        <v>5</v>
      </c>
      <c r="I3525" s="6">
        <v>45810</v>
      </c>
    </row>
    <row r="3526" spans="1:9" ht="13.5">
      <c r="A3526" s="2" t="s">
        <v>2127</v>
      </c>
      <c r="B3526" s="3"/>
      <c r="C3526" s="4" t="s">
        <v>6197</v>
      </c>
      <c r="D3526" s="4" t="s">
        <v>5725</v>
      </c>
      <c r="E3526" s="5" t="s">
        <v>4999</v>
      </c>
      <c r="F3526" s="5" t="str">
        <f t="shared" si="55"/>
        <v>startmotor.se</v>
      </c>
      <c r="G3526" s="5" t="s">
        <v>4</v>
      </c>
      <c r="H3526" s="5" t="s">
        <v>5</v>
      </c>
      <c r="I3526" s="6">
        <v>45810</v>
      </c>
    </row>
    <row r="3527" spans="1:9" ht="13.5">
      <c r="A3527" s="2" t="s">
        <v>2428</v>
      </c>
      <c r="B3527" s="3"/>
      <c r="C3527" s="4" t="s">
        <v>6198</v>
      </c>
      <c r="D3527" s="4" t="s">
        <v>2430</v>
      </c>
      <c r="E3527" s="5" t="s">
        <v>5947</v>
      </c>
      <c r="F3527" s="5" t="str">
        <f t="shared" si="55"/>
        <v>sakraror.se</v>
      </c>
      <c r="G3527" s="5" t="s">
        <v>4</v>
      </c>
      <c r="H3527" s="5" t="s">
        <v>5</v>
      </c>
      <c r="I3527" s="6">
        <v>45810</v>
      </c>
    </row>
    <row r="3528" spans="1:9" ht="13.5">
      <c r="A3528" s="2" t="s">
        <v>4409</v>
      </c>
      <c r="B3528" s="3"/>
      <c r="C3528" s="4" t="s">
        <v>6199</v>
      </c>
      <c r="D3528" s="4" t="s">
        <v>5444</v>
      </c>
      <c r="E3528" s="5" t="s">
        <v>4412</v>
      </c>
      <c r="F3528" s="5" t="str">
        <f t="shared" si="55"/>
        <v>svenskafonster.se</v>
      </c>
      <c r="G3528" s="5" t="s">
        <v>4</v>
      </c>
      <c r="H3528" s="5" t="s">
        <v>5</v>
      </c>
      <c r="I3528" s="6">
        <v>45810</v>
      </c>
    </row>
    <row r="3529" spans="1:9" ht="13.5">
      <c r="A3529" s="2" t="s">
        <v>4558</v>
      </c>
      <c r="B3529" s="3"/>
      <c r="C3529" s="4" t="s">
        <v>6200</v>
      </c>
      <c r="D3529" s="4" t="s">
        <v>4558</v>
      </c>
      <c r="E3529" s="5" t="s">
        <v>4566</v>
      </c>
      <c r="F3529" s="5" t="str">
        <f t="shared" si="55"/>
        <v>mockfjards.se</v>
      </c>
      <c r="G3529" s="5" t="s">
        <v>4</v>
      </c>
      <c r="H3529" s="5" t="s">
        <v>5</v>
      </c>
      <c r="I3529" s="6">
        <v>45810</v>
      </c>
    </row>
    <row r="3530" spans="1:9" ht="13.5">
      <c r="A3530" s="2" t="s">
        <v>4558</v>
      </c>
      <c r="B3530" s="3"/>
      <c r="C3530" s="4" t="s">
        <v>6201</v>
      </c>
      <c r="D3530" s="4" t="s">
        <v>4813</v>
      </c>
      <c r="E3530" s="5" t="s">
        <v>4862</v>
      </c>
      <c r="F3530" s="5" t="str">
        <f t="shared" si="55"/>
        <v>mockfjards.se</v>
      </c>
      <c r="G3530" s="5" t="s">
        <v>4</v>
      </c>
      <c r="H3530" s="5" t="s">
        <v>5</v>
      </c>
      <c r="I3530" s="6">
        <v>45810</v>
      </c>
    </row>
    <row r="3531" spans="1:9" ht="13.5">
      <c r="A3531" s="2" t="s">
        <v>5350</v>
      </c>
      <c r="B3531" s="3"/>
      <c r="C3531" s="4" t="s">
        <v>6202</v>
      </c>
      <c r="D3531" s="4" t="s">
        <v>5536</v>
      </c>
      <c r="E3531" s="5" t="s">
        <v>5537</v>
      </c>
      <c r="F3531" s="5" t="str">
        <f t="shared" si="55"/>
        <v>lilla-varlden.se</v>
      </c>
      <c r="G3531" s="5" t="s">
        <v>4</v>
      </c>
      <c r="H3531" s="5" t="s">
        <v>5</v>
      </c>
      <c r="I3531" s="6">
        <v>45810</v>
      </c>
    </row>
    <row r="3532" spans="1:9" ht="13.5">
      <c r="A3532" s="2" t="s">
        <v>5084</v>
      </c>
      <c r="B3532" s="3"/>
      <c r="C3532" s="4" t="s">
        <v>6203</v>
      </c>
      <c r="D3532" s="4" t="s">
        <v>6204</v>
      </c>
      <c r="E3532" s="5" t="s">
        <v>5162</v>
      </c>
      <c r="F3532" s="5" t="str">
        <f t="shared" si="55"/>
        <v>glassfactory.fi</v>
      </c>
      <c r="G3532" s="5" t="s">
        <v>4</v>
      </c>
      <c r="H3532" s="5" t="s">
        <v>5</v>
      </c>
      <c r="I3532" s="6">
        <v>45810</v>
      </c>
    </row>
    <row r="3533" spans="1:9" ht="13.5">
      <c r="A3533" s="2" t="s">
        <v>5191</v>
      </c>
      <c r="B3533" s="3"/>
      <c r="C3533" s="4" t="s">
        <v>6205</v>
      </c>
      <c r="D3533" s="4" t="s">
        <v>5456</v>
      </c>
      <c r="E3533" s="5" t="s">
        <v>5457</v>
      </c>
      <c r="F3533" s="5" t="str">
        <f t="shared" si="55"/>
        <v>bergetsro.se</v>
      </c>
      <c r="G3533" s="5" t="s">
        <v>4</v>
      </c>
      <c r="H3533" s="5" t="s">
        <v>5</v>
      </c>
      <c r="I3533" s="6">
        <v>45810</v>
      </c>
    </row>
    <row r="3534" spans="1:9" ht="13.5">
      <c r="A3534" s="2" t="s">
        <v>2357</v>
      </c>
      <c r="B3534" s="3"/>
      <c r="C3534" s="4" t="s">
        <v>6206</v>
      </c>
      <c r="D3534" s="4" t="s">
        <v>5847</v>
      </c>
      <c r="E3534" s="5" t="s">
        <v>6207</v>
      </c>
      <c r="F3534" s="5" t="str">
        <f t="shared" si="55"/>
        <v>lsb.se</v>
      </c>
      <c r="G3534" s="5" t="s">
        <v>4</v>
      </c>
      <c r="H3534" s="5" t="s">
        <v>5</v>
      </c>
      <c r="I3534" s="6">
        <v>45810</v>
      </c>
    </row>
    <row r="3535" spans="1:9" ht="13.5">
      <c r="A3535" s="2" t="s">
        <v>3921</v>
      </c>
      <c r="B3535" s="3"/>
      <c r="C3535" s="8" t="s">
        <v>6208</v>
      </c>
      <c r="D3535" s="8" t="s">
        <v>5975</v>
      </c>
      <c r="E3535" s="5" t="s">
        <v>6164</v>
      </c>
      <c r="F3535" s="5" t="str">
        <f t="shared" si="55"/>
        <v>svenskalasjouren.se</v>
      </c>
      <c r="G3535" s="5" t="s">
        <v>4</v>
      </c>
      <c r="H3535" s="5" t="s">
        <v>5</v>
      </c>
      <c r="I3535" s="6">
        <v>45810</v>
      </c>
    </row>
    <row r="3536" spans="1:9" ht="13.5">
      <c r="A3536" s="2" t="s">
        <v>3921</v>
      </c>
      <c r="B3536" s="3"/>
      <c r="C3536" s="8" t="s">
        <v>6209</v>
      </c>
      <c r="D3536" s="8" t="s">
        <v>5975</v>
      </c>
      <c r="E3536" s="5" t="s">
        <v>5976</v>
      </c>
      <c r="F3536" s="5" t="str">
        <f t="shared" si="55"/>
        <v>svenskalasjouren.se</v>
      </c>
      <c r="G3536" s="5" t="s">
        <v>4</v>
      </c>
      <c r="H3536" s="5" t="s">
        <v>5</v>
      </c>
      <c r="I3536" s="6">
        <v>45810</v>
      </c>
    </row>
    <row r="3537" spans="1:9" ht="13.5">
      <c r="A3537" s="2" t="s">
        <v>5715</v>
      </c>
      <c r="B3537" s="3"/>
      <c r="C3537" s="8" t="s">
        <v>6210</v>
      </c>
      <c r="D3537" s="8" t="s">
        <v>6211</v>
      </c>
      <c r="E3537" s="5" t="s">
        <v>6212</v>
      </c>
      <c r="F3537" s="5" t="str">
        <f t="shared" si="55"/>
        <v>Minifinder.se</v>
      </c>
      <c r="G3537" s="5" t="s">
        <v>4</v>
      </c>
      <c r="H3537" s="5" t="s">
        <v>5</v>
      </c>
      <c r="I3537" s="6">
        <v>45810</v>
      </c>
    </row>
    <row r="3538" spans="1:9" ht="13.5">
      <c r="A3538" s="2" t="s">
        <v>3090</v>
      </c>
      <c r="B3538" s="3"/>
      <c r="C3538" s="4" t="s">
        <v>6213</v>
      </c>
      <c r="D3538" s="4" t="s">
        <v>3095</v>
      </c>
      <c r="E3538" s="5" t="s">
        <v>6214</v>
      </c>
      <c r="F3538" s="5" t="str">
        <f t="shared" si="55"/>
        <v>videoslots.com</v>
      </c>
      <c r="G3538" s="5" t="s">
        <v>4</v>
      </c>
      <c r="H3538" s="5" t="s">
        <v>3496</v>
      </c>
      <c r="I3538" s="6">
        <v>45811</v>
      </c>
    </row>
    <row r="3539" spans="1:9" ht="13.5">
      <c r="A3539" s="2" t="s">
        <v>1318</v>
      </c>
      <c r="B3539" s="3"/>
      <c r="C3539" s="4" t="s">
        <v>6215</v>
      </c>
      <c r="D3539" s="4" t="s">
        <v>1942</v>
      </c>
      <c r="E3539" s="5" t="s">
        <v>5201</v>
      </c>
      <c r="F3539" s="5" t="str">
        <f t="shared" si="55"/>
        <v>spelklubben.se</v>
      </c>
      <c r="G3539" s="5" t="s">
        <v>4</v>
      </c>
      <c r="H3539" s="5" t="s">
        <v>5</v>
      </c>
      <c r="I3539" s="6">
        <v>45811</v>
      </c>
    </row>
    <row r="3540" spans="1:9" ht="13.5">
      <c r="A3540" s="2" t="s">
        <v>5084</v>
      </c>
      <c r="B3540" s="3"/>
      <c r="C3540" s="4" t="s">
        <v>6216</v>
      </c>
      <c r="D3540" s="4" t="s">
        <v>6204</v>
      </c>
      <c r="E3540" s="5" t="s">
        <v>5162</v>
      </c>
      <c r="F3540" s="5" t="str">
        <f t="shared" si="55"/>
        <v>glassfactory.fi</v>
      </c>
      <c r="G3540" s="5" t="s">
        <v>4</v>
      </c>
      <c r="H3540" s="5" t="s">
        <v>5</v>
      </c>
      <c r="I3540" s="6">
        <v>45811</v>
      </c>
    </row>
    <row r="3541" spans="1:9" ht="13.5">
      <c r="A3541" s="2" t="s">
        <v>5715</v>
      </c>
      <c r="B3541" s="3"/>
      <c r="C3541" s="4" t="s">
        <v>6217</v>
      </c>
      <c r="D3541" s="4" t="s">
        <v>6218</v>
      </c>
      <c r="E3541" s="5" t="s">
        <v>5718</v>
      </c>
      <c r="F3541" s="5" t="str">
        <f t="shared" si="55"/>
        <v>Minifinder.se</v>
      </c>
      <c r="G3541" s="5" t="s">
        <v>4</v>
      </c>
      <c r="H3541" s="5" t="s">
        <v>5</v>
      </c>
      <c r="I3541" s="6">
        <v>45811</v>
      </c>
    </row>
    <row r="3542" spans="1:9" ht="13.5">
      <c r="A3542" s="7" t="s">
        <v>5649</v>
      </c>
      <c r="B3542" s="3"/>
      <c r="C3542" s="4" t="s">
        <v>6219</v>
      </c>
      <c r="D3542" s="4" t="s">
        <v>5810</v>
      </c>
      <c r="E3542" s="5" t="s">
        <v>5811</v>
      </c>
      <c r="F3542" s="5" t="str">
        <f t="shared" si="55"/>
        <v>Invozio</v>
      </c>
      <c r="G3542" s="5" t="s">
        <v>4</v>
      </c>
      <c r="H3542" s="5" t="s">
        <v>5</v>
      </c>
      <c r="I3542" s="6">
        <v>45811</v>
      </c>
    </row>
    <row r="3543" spans="1:9" ht="13.5">
      <c r="A3543" s="2" t="s">
        <v>6021</v>
      </c>
      <c r="B3543" s="3"/>
      <c r="C3543" s="4" t="s">
        <v>6220</v>
      </c>
      <c r="D3543" s="4" t="s">
        <v>6221</v>
      </c>
      <c r="E3543" s="5" t="s">
        <v>6222</v>
      </c>
      <c r="F3543" s="5" t="str">
        <f t="shared" si="55"/>
        <v>mrvegas.com</v>
      </c>
      <c r="G3543" s="5" t="s">
        <v>4</v>
      </c>
      <c r="H3543" s="5" t="s">
        <v>3496</v>
      </c>
      <c r="I3543" s="6">
        <v>45811</v>
      </c>
    </row>
    <row r="3544" spans="1:9" ht="13.5">
      <c r="A3544" s="2" t="s">
        <v>3058</v>
      </c>
      <c r="B3544" s="3"/>
      <c r="C3544" s="8" t="s">
        <v>6223</v>
      </c>
      <c r="D3544" s="8" t="s">
        <v>4537</v>
      </c>
      <c r="E3544" s="5" t="s">
        <v>3209</v>
      </c>
      <c r="F3544" s="5" t="str">
        <f t="shared" si="55"/>
        <v>rusta.se</v>
      </c>
      <c r="G3544" s="5" t="s">
        <v>4</v>
      </c>
      <c r="H3544" s="5" t="s">
        <v>5</v>
      </c>
      <c r="I3544" s="6">
        <v>45811</v>
      </c>
    </row>
    <row r="3545" spans="1:9" ht="13.5">
      <c r="A3545" s="2" t="s">
        <v>2428</v>
      </c>
      <c r="B3545" s="3"/>
      <c r="C3545" s="8" t="s">
        <v>6224</v>
      </c>
      <c r="D3545" s="8" t="s">
        <v>2430</v>
      </c>
      <c r="E3545" s="5" t="s">
        <v>2610</v>
      </c>
      <c r="F3545" s="5" t="str">
        <f t="shared" si="55"/>
        <v>sakraror.se</v>
      </c>
      <c r="G3545" s="5" t="s">
        <v>4</v>
      </c>
      <c r="H3545" s="5" t="s">
        <v>5</v>
      </c>
      <c r="I3545" s="6">
        <v>45811</v>
      </c>
    </row>
    <row r="3546" spans="1:9" ht="13.5">
      <c r="A3546" s="2" t="s">
        <v>6225</v>
      </c>
      <c r="B3546" s="3"/>
      <c r="C3546" s="8" t="s">
        <v>6226</v>
      </c>
      <c r="D3546" s="8" t="s">
        <v>6227</v>
      </c>
      <c r="E3546" s="5" t="s">
        <v>6228</v>
      </c>
      <c r="F3546" s="5" t="str">
        <f t="shared" si="55"/>
        <v>4him4her.com</v>
      </c>
      <c r="G3546" s="5" t="s">
        <v>4</v>
      </c>
      <c r="H3546" s="5" t="s">
        <v>5</v>
      </c>
      <c r="I3546" s="6">
        <v>45811</v>
      </c>
    </row>
    <row r="3547" spans="1:9" ht="13.5">
      <c r="A3547" s="2" t="s">
        <v>6121</v>
      </c>
      <c r="B3547" s="3"/>
      <c r="C3547" s="8" t="s">
        <v>6229</v>
      </c>
      <c r="D3547" s="8" t="s">
        <v>6230</v>
      </c>
      <c r="E3547" s="5" t="s">
        <v>6231</v>
      </c>
      <c r="F3547" s="5" t="str">
        <f t="shared" si="55"/>
        <v>maklarringen.se</v>
      </c>
      <c r="G3547" s="5" t="s">
        <v>4</v>
      </c>
      <c r="H3547" s="5" t="s">
        <v>5</v>
      </c>
      <c r="I3547" s="6">
        <v>45811</v>
      </c>
    </row>
    <row r="3548" spans="1:9" ht="13.5">
      <c r="A3548" s="2" t="s">
        <v>3682</v>
      </c>
      <c r="B3548" s="3"/>
      <c r="C3548" s="4" t="s">
        <v>6232</v>
      </c>
      <c r="D3548" s="4" t="s">
        <v>4970</v>
      </c>
      <c r="E3548" s="5" t="s">
        <v>4510</v>
      </c>
      <c r="F3548" s="5" t="str">
        <f t="shared" si="55"/>
        <v>upplevelse.com</v>
      </c>
      <c r="G3548" s="5" t="s">
        <v>4</v>
      </c>
      <c r="H3548" s="5" t="s">
        <v>5</v>
      </c>
      <c r="I3548" s="6">
        <v>45812</v>
      </c>
    </row>
    <row r="3549" spans="1:9" ht="13.5">
      <c r="A3549" s="7" t="s">
        <v>5649</v>
      </c>
      <c r="B3549" s="3"/>
      <c r="C3549" s="4" t="s">
        <v>6233</v>
      </c>
      <c r="D3549" s="4" t="s">
        <v>5810</v>
      </c>
      <c r="E3549" s="5" t="s">
        <v>5656</v>
      </c>
      <c r="F3549" s="5" t="str">
        <f t="shared" si="55"/>
        <v>Invozio</v>
      </c>
      <c r="G3549" s="5" t="s">
        <v>4</v>
      </c>
      <c r="H3549" s="5" t="s">
        <v>5</v>
      </c>
      <c r="I3549" s="6">
        <v>45812</v>
      </c>
    </row>
    <row r="3550" spans="1:9" ht="13.5">
      <c r="A3550" s="2" t="s">
        <v>4489</v>
      </c>
      <c r="B3550" s="3"/>
      <c r="C3550" s="4" t="s">
        <v>6234</v>
      </c>
      <c r="D3550" s="4" t="s">
        <v>6235</v>
      </c>
      <c r="E3550" s="5" t="s">
        <v>4724</v>
      </c>
      <c r="F3550" s="5" t="str">
        <f t="shared" si="55"/>
        <v>nordicknots.com</v>
      </c>
      <c r="G3550" s="5" t="s">
        <v>4</v>
      </c>
      <c r="H3550" s="5" t="s">
        <v>345</v>
      </c>
      <c r="I3550" s="6">
        <v>45813</v>
      </c>
    </row>
    <row r="3551" spans="1:9" ht="13.5">
      <c r="A3551" s="2" t="s">
        <v>1318</v>
      </c>
      <c r="B3551" s="3"/>
      <c r="C3551" s="8" t="s">
        <v>6236</v>
      </c>
      <c r="D3551" s="4" t="s">
        <v>1942</v>
      </c>
      <c r="E3551" s="5" t="s">
        <v>1876</v>
      </c>
      <c r="F3551" s="5" t="str">
        <f t="shared" si="55"/>
        <v>spelklubben.se</v>
      </c>
      <c r="G3551" s="5" t="s">
        <v>34</v>
      </c>
      <c r="H3551" s="5" t="s">
        <v>5</v>
      </c>
      <c r="I3551" s="6">
        <v>45813</v>
      </c>
    </row>
    <row r="3552" spans="1:9" ht="13.5">
      <c r="A3552" s="2" t="s">
        <v>6014</v>
      </c>
      <c r="B3552" s="3"/>
      <c r="C3552" s="4" t="s">
        <v>6237</v>
      </c>
      <c r="D3552" s="4" t="s">
        <v>6019</v>
      </c>
      <c r="E3552" s="5" t="s">
        <v>6238</v>
      </c>
      <c r="F3552" s="5" t="str">
        <f t="shared" si="55"/>
        <v>kungaslottet.se</v>
      </c>
      <c r="G3552" s="5" t="s">
        <v>4</v>
      </c>
      <c r="H3552" s="5" t="s">
        <v>5</v>
      </c>
      <c r="I3552" s="6">
        <v>45814</v>
      </c>
    </row>
    <row r="3553" spans="1:9" ht="13.5">
      <c r="A3553" s="2" t="s">
        <v>4489</v>
      </c>
      <c r="B3553" s="3"/>
      <c r="C3553" s="4" t="s">
        <v>6239</v>
      </c>
      <c r="D3553" s="4" t="s">
        <v>4494</v>
      </c>
      <c r="E3553" s="5" t="s">
        <v>5571</v>
      </c>
      <c r="F3553" s="5" t="str">
        <f t="shared" si="55"/>
        <v>nordicknots.com</v>
      </c>
      <c r="G3553" s="5" t="s">
        <v>4</v>
      </c>
      <c r="H3553" s="5" t="s">
        <v>345</v>
      </c>
      <c r="I3553" s="6">
        <v>45814</v>
      </c>
    </row>
    <row r="3554" spans="1:9" ht="13.5">
      <c r="A3554" s="2" t="s">
        <v>4489</v>
      </c>
      <c r="B3554" s="3"/>
      <c r="C3554" s="4" t="s">
        <v>6240</v>
      </c>
      <c r="D3554" s="4" t="s">
        <v>6241</v>
      </c>
      <c r="E3554" s="5" t="s">
        <v>6242</v>
      </c>
      <c r="F3554" s="5" t="str">
        <f t="shared" si="55"/>
        <v>nordicknots.com</v>
      </c>
      <c r="G3554" s="5" t="s">
        <v>4</v>
      </c>
      <c r="H3554" s="5" t="s">
        <v>345</v>
      </c>
      <c r="I3554" s="6">
        <v>45814</v>
      </c>
    </row>
    <row r="3555" spans="1:9" ht="13.5">
      <c r="A3555" s="2" t="s">
        <v>5890</v>
      </c>
      <c r="B3555" s="3"/>
      <c r="C3555" s="4" t="s">
        <v>6243</v>
      </c>
      <c r="D3555" s="4" t="s">
        <v>5892</v>
      </c>
      <c r="E3555" s="5" t="s">
        <v>5893</v>
      </c>
      <c r="F3555" s="5" t="str">
        <f t="shared" si="55"/>
        <v>yourgild.com</v>
      </c>
      <c r="G3555" s="5" t="s">
        <v>4</v>
      </c>
      <c r="H3555" s="5" t="s">
        <v>345</v>
      </c>
      <c r="I3555" s="6">
        <v>45814</v>
      </c>
    </row>
    <row r="3556" spans="1:9" ht="13.5">
      <c r="A3556" s="2" t="s">
        <v>6021</v>
      </c>
      <c r="B3556" s="3"/>
      <c r="C3556" s="4" t="s">
        <v>6244</v>
      </c>
      <c r="D3556" s="4" t="s">
        <v>6023</v>
      </c>
      <c r="E3556" s="5" t="s">
        <v>6245</v>
      </c>
      <c r="F3556" s="5" t="str">
        <f t="shared" si="55"/>
        <v>mrvegas.com</v>
      </c>
      <c r="G3556" s="5" t="s">
        <v>4</v>
      </c>
      <c r="H3556" s="5" t="s">
        <v>3496</v>
      </c>
      <c r="I3556" s="6">
        <v>45817</v>
      </c>
    </row>
    <row r="3557" spans="1:9" ht="13.5">
      <c r="A3557" s="2" t="s">
        <v>1318</v>
      </c>
      <c r="B3557" s="3"/>
      <c r="C3557" s="8" t="s">
        <v>6246</v>
      </c>
      <c r="D3557" s="4" t="s">
        <v>1942</v>
      </c>
      <c r="E3557" s="5" t="s">
        <v>6247</v>
      </c>
      <c r="F3557" s="5" t="str">
        <f t="shared" si="55"/>
        <v>spelklubben.se</v>
      </c>
      <c r="G3557" s="5" t="s">
        <v>4</v>
      </c>
      <c r="H3557" s="5" t="s">
        <v>5</v>
      </c>
      <c r="I3557" s="6">
        <v>45817</v>
      </c>
    </row>
    <row r="3558" spans="1:9" ht="13.5">
      <c r="A3558" s="2" t="s">
        <v>3885</v>
      </c>
      <c r="B3558" s="3"/>
      <c r="C3558" s="4" t="s">
        <v>6248</v>
      </c>
      <c r="D3558" s="4" t="s">
        <v>6249</v>
      </c>
      <c r="E3558" s="5" t="s">
        <v>6250</v>
      </c>
      <c r="F3558" s="5" t="str">
        <f t="shared" si="55"/>
        <v>chattanoogarehab.com</v>
      </c>
      <c r="G3558" s="5" t="s">
        <v>4</v>
      </c>
      <c r="H3558" s="5" t="s">
        <v>345</v>
      </c>
      <c r="I3558" s="6">
        <v>45818</v>
      </c>
    </row>
    <row r="3559" spans="1:9" ht="13.5">
      <c r="A3559" s="2" t="s">
        <v>2127</v>
      </c>
      <c r="B3559" s="3"/>
      <c r="C3559" s="8" t="s">
        <v>6251</v>
      </c>
      <c r="D3559" s="8" t="s">
        <v>6195</v>
      </c>
      <c r="E3559" s="5" t="s">
        <v>4997</v>
      </c>
      <c r="F3559" s="5" t="str">
        <f t="shared" si="55"/>
        <v>startmotor.se</v>
      </c>
      <c r="G3559" s="5" t="s">
        <v>4</v>
      </c>
      <c r="H3559" s="5" t="s">
        <v>5</v>
      </c>
      <c r="I3559" s="6">
        <v>45818</v>
      </c>
    </row>
    <row r="3560" spans="1:9" ht="13.5">
      <c r="A3560" s="2" t="s">
        <v>6252</v>
      </c>
      <c r="B3560" s="3"/>
      <c r="C3560" s="4" t="s">
        <v>6253</v>
      </c>
      <c r="D3560" s="4" t="s">
        <v>6254</v>
      </c>
      <c r="E3560" s="5" t="s">
        <v>6255</v>
      </c>
      <c r="F3560" s="5" t="str">
        <f t="shared" si="55"/>
        <v>turner.fi</v>
      </c>
      <c r="G3560" s="5" t="s">
        <v>4</v>
      </c>
      <c r="H3560" s="5" t="s">
        <v>1618</v>
      </c>
      <c r="I3560" s="6">
        <v>45819</v>
      </c>
    </row>
    <row r="3561" spans="1:9" ht="13.5">
      <c r="A3561" s="2" t="s">
        <v>6252</v>
      </c>
      <c r="B3561" s="3"/>
      <c r="C3561" s="4" t="s">
        <v>6256</v>
      </c>
      <c r="D3561" s="4" t="s">
        <v>6257</v>
      </c>
      <c r="E3561" s="5" t="s">
        <v>6258</v>
      </c>
      <c r="F3561" s="5" t="str">
        <f t="shared" si="55"/>
        <v>turner.fi</v>
      </c>
      <c r="G3561" s="5" t="s">
        <v>4</v>
      </c>
      <c r="H3561" s="5" t="s">
        <v>1618</v>
      </c>
      <c r="I3561" s="6">
        <v>45819</v>
      </c>
    </row>
    <row r="3562" spans="1:9" ht="13.5">
      <c r="A3562" s="2" t="s">
        <v>6121</v>
      </c>
      <c r="B3562" s="3"/>
      <c r="C3562" s="8" t="s">
        <v>6259</v>
      </c>
      <c r="D3562" s="8" t="s">
        <v>6260</v>
      </c>
      <c r="E3562" s="5" t="s">
        <v>6123</v>
      </c>
      <c r="F3562" s="5" t="str">
        <f t="shared" si="55"/>
        <v>maklarringen.se</v>
      </c>
      <c r="G3562" s="5" t="s">
        <v>4</v>
      </c>
      <c r="H3562" s="5" t="s">
        <v>5</v>
      </c>
      <c r="I3562" s="6">
        <v>45819</v>
      </c>
    </row>
    <row r="3563" spans="1:9" ht="13.5">
      <c r="A3563" s="2" t="s">
        <v>6252</v>
      </c>
      <c r="B3563" s="3"/>
      <c r="C3563" s="4" t="s">
        <v>6261</v>
      </c>
      <c r="D3563" s="4" t="s">
        <v>6257</v>
      </c>
      <c r="E3563" s="5" t="s">
        <v>6258</v>
      </c>
      <c r="F3563" s="5" t="str">
        <f t="shared" si="55"/>
        <v>turner.fi</v>
      </c>
      <c r="G3563" s="5" t="s">
        <v>4</v>
      </c>
      <c r="H3563" s="5" t="s">
        <v>1618</v>
      </c>
      <c r="I3563" s="6">
        <v>45820</v>
      </c>
    </row>
    <row r="3564" spans="1:9" ht="13.5">
      <c r="A3564" s="2" t="s">
        <v>6262</v>
      </c>
      <c r="B3564" s="3"/>
      <c r="C3564" s="4" t="s">
        <v>6263</v>
      </c>
      <c r="D3564" s="4" t="s">
        <v>6264</v>
      </c>
      <c r="E3564" s="5" t="s">
        <v>6265</v>
      </c>
      <c r="F3564" s="5" t="str">
        <f t="shared" si="55"/>
        <v>joinstriveon.com</v>
      </c>
      <c r="G3564" s="5" t="s">
        <v>4</v>
      </c>
      <c r="H3564" s="5" t="s">
        <v>345</v>
      </c>
      <c r="I3564" s="6">
        <v>45821</v>
      </c>
    </row>
    <row r="3565" spans="1:9" ht="13.5">
      <c r="A3565" s="2" t="s">
        <v>3086</v>
      </c>
      <c r="B3565" s="3"/>
      <c r="C3565" s="4" t="s">
        <v>6266</v>
      </c>
      <c r="D3565" s="4" t="s">
        <v>3088</v>
      </c>
      <c r="E3565" s="5" t="s">
        <v>4616</v>
      </c>
      <c r="F3565" s="5" t="str">
        <f t="shared" si="55"/>
        <v>himala.ai</v>
      </c>
      <c r="G3565" s="5" t="s">
        <v>4</v>
      </c>
      <c r="H3565" s="5" t="s">
        <v>345</v>
      </c>
      <c r="I3565" s="6">
        <v>45821</v>
      </c>
    </row>
    <row r="3566" spans="1:9" ht="13.5">
      <c r="A3566" s="2" t="s">
        <v>171</v>
      </c>
      <c r="B3566" s="3"/>
      <c r="C3566" s="4" t="s">
        <v>6267</v>
      </c>
      <c r="D3566" s="4" t="s">
        <v>1095</v>
      </c>
      <c r="E3566" s="5" t="s">
        <v>1533</v>
      </c>
      <c r="F3566" s="5" t="str">
        <f t="shared" si="55"/>
        <v>arctic.se</v>
      </c>
      <c r="G3566" s="5" t="s">
        <v>4</v>
      </c>
      <c r="H3566" s="5" t="s">
        <v>5</v>
      </c>
      <c r="I3566" s="6">
        <v>45821</v>
      </c>
    </row>
    <row r="3567" spans="1:9" ht="13.5">
      <c r="A3567" s="2" t="s">
        <v>171</v>
      </c>
      <c r="B3567" s="3"/>
      <c r="C3567" s="4" t="s">
        <v>6268</v>
      </c>
      <c r="D3567" s="4" t="s">
        <v>1095</v>
      </c>
      <c r="E3567" s="5" t="s">
        <v>2856</v>
      </c>
      <c r="F3567" s="5" t="str">
        <f t="shared" si="55"/>
        <v>arctic.se</v>
      </c>
      <c r="G3567" s="5" t="s">
        <v>4</v>
      </c>
      <c r="H3567" s="5" t="s">
        <v>5</v>
      </c>
      <c r="I3567" s="6">
        <v>45821</v>
      </c>
    </row>
    <row r="3568" spans="1:9" ht="13.5">
      <c r="A3568" s="2" t="s">
        <v>3173</v>
      </c>
      <c r="B3568" s="3"/>
      <c r="C3568" s="4" t="s">
        <v>6269</v>
      </c>
      <c r="D3568" s="4" t="s">
        <v>3175</v>
      </c>
      <c r="E3568" s="5" t="s">
        <v>3217</v>
      </c>
      <c r="F3568" s="5" t="str">
        <f t="shared" si="55"/>
        <v>ekstromgaray.se</v>
      </c>
      <c r="G3568" s="5" t="s">
        <v>4</v>
      </c>
      <c r="H3568" s="5" t="s">
        <v>5</v>
      </c>
      <c r="I3568" s="6">
        <v>45821</v>
      </c>
    </row>
    <row r="3569" spans="1:9" ht="13.5">
      <c r="A3569" s="2" t="s">
        <v>308</v>
      </c>
      <c r="B3569" s="3"/>
      <c r="C3569" s="4" t="s">
        <v>6270</v>
      </c>
      <c r="D3569" s="4" t="s">
        <v>1395</v>
      </c>
      <c r="E3569" s="5" t="s">
        <v>2489</v>
      </c>
      <c r="F3569" s="5" t="str">
        <f t="shared" si="55"/>
        <v>lansfast.se</v>
      </c>
      <c r="G3569" s="5" t="s">
        <v>4</v>
      </c>
      <c r="H3569" s="5" t="s">
        <v>5</v>
      </c>
      <c r="I3569" s="6">
        <v>45821</v>
      </c>
    </row>
    <row r="3570" spans="1:9" ht="13.5">
      <c r="A3570" s="2" t="s">
        <v>4051</v>
      </c>
      <c r="B3570" s="3"/>
      <c r="C3570" s="4" t="s">
        <v>6271</v>
      </c>
      <c r="D3570" s="4" t="s">
        <v>4051</v>
      </c>
      <c r="E3570" s="9" t="s">
        <v>4051</v>
      </c>
      <c r="F3570" s="5" t="str">
        <f t="shared" si="55"/>
        <v>hund.se</v>
      </c>
      <c r="G3570" s="5" t="s">
        <v>4</v>
      </c>
      <c r="H3570" s="5" t="s">
        <v>5</v>
      </c>
      <c r="I3570" s="6">
        <v>45821</v>
      </c>
    </row>
    <row r="3571" spans="1:9" ht="13.5">
      <c r="A3571" s="2" t="s">
        <v>3580</v>
      </c>
      <c r="B3571" s="3"/>
      <c r="C3571" s="4" t="s">
        <v>6272</v>
      </c>
      <c r="D3571" s="4" t="s">
        <v>5312</v>
      </c>
      <c r="E3571" s="5" t="s">
        <v>5313</v>
      </c>
      <c r="F3571" s="5" t="str">
        <f t="shared" si="55"/>
        <v>kleer.se</v>
      </c>
      <c r="G3571" s="5" t="s">
        <v>4</v>
      </c>
      <c r="H3571" s="5" t="s">
        <v>5</v>
      </c>
      <c r="I3571" s="6">
        <v>45821</v>
      </c>
    </row>
    <row r="3572" spans="1:9" ht="13.5">
      <c r="A3572" s="2" t="s">
        <v>2549</v>
      </c>
      <c r="B3572" s="3"/>
      <c r="C3572" s="4" t="s">
        <v>6273</v>
      </c>
      <c r="D3572" s="4" t="s">
        <v>3204</v>
      </c>
      <c r="E3572" s="5" t="s">
        <v>3205</v>
      </c>
      <c r="F3572" s="5" t="str">
        <f t="shared" si="55"/>
        <v>purakliniken.se</v>
      </c>
      <c r="G3572" s="5" t="s">
        <v>4</v>
      </c>
      <c r="H3572" s="5" t="s">
        <v>5</v>
      </c>
      <c r="I3572" s="6">
        <v>45821</v>
      </c>
    </row>
    <row r="3573" spans="1:9" ht="13.5">
      <c r="A3573" s="2" t="s">
        <v>3058</v>
      </c>
      <c r="B3573" s="3"/>
      <c r="C3573" s="4" t="s">
        <v>6274</v>
      </c>
      <c r="D3573" s="4" t="s">
        <v>3063</v>
      </c>
      <c r="E3573" s="5" t="s">
        <v>3064</v>
      </c>
      <c r="F3573" s="5" t="str">
        <f t="shared" si="55"/>
        <v>rusta.se</v>
      </c>
      <c r="G3573" s="5" t="s">
        <v>4</v>
      </c>
      <c r="H3573" s="5" t="s">
        <v>5</v>
      </c>
      <c r="I3573" s="6">
        <v>45821</v>
      </c>
    </row>
    <row r="3574" spans="1:9" ht="13.5">
      <c r="A3574" s="2" t="s">
        <v>3058</v>
      </c>
      <c r="B3574" s="3"/>
      <c r="C3574" s="4" t="s">
        <v>6275</v>
      </c>
      <c r="D3574" s="4" t="s">
        <v>3060</v>
      </c>
      <c r="E3574" s="5" t="s">
        <v>3061</v>
      </c>
      <c r="F3574" s="5" t="str">
        <f t="shared" si="55"/>
        <v>rusta.se</v>
      </c>
      <c r="G3574" s="5" t="s">
        <v>4</v>
      </c>
      <c r="H3574" s="5" t="s">
        <v>5</v>
      </c>
      <c r="I3574" s="6">
        <v>45821</v>
      </c>
    </row>
    <row r="3575" spans="1:9" ht="13.5">
      <c r="A3575" s="2" t="s">
        <v>3058</v>
      </c>
      <c r="B3575" s="3"/>
      <c r="C3575" s="4" t="s">
        <v>6276</v>
      </c>
      <c r="D3575" s="4" t="s">
        <v>5034</v>
      </c>
      <c r="E3575" s="5" t="s">
        <v>14</v>
      </c>
      <c r="F3575" s="5" t="str">
        <f t="shared" si="55"/>
        <v>rusta.se</v>
      </c>
      <c r="G3575" s="5" t="s">
        <v>4</v>
      </c>
      <c r="H3575" s="5" t="s">
        <v>5</v>
      </c>
      <c r="I3575" s="6">
        <v>45821</v>
      </c>
    </row>
    <row r="3576" spans="1:9" ht="13.5">
      <c r="A3576" s="2" t="s">
        <v>2127</v>
      </c>
      <c r="B3576" s="3"/>
      <c r="C3576" s="4" t="s">
        <v>6277</v>
      </c>
      <c r="D3576" s="4" t="s">
        <v>5319</v>
      </c>
      <c r="E3576" s="5" t="s">
        <v>4999</v>
      </c>
      <c r="F3576" s="5" t="str">
        <f t="shared" si="55"/>
        <v>startmotor.se</v>
      </c>
      <c r="G3576" s="5" t="s">
        <v>4</v>
      </c>
      <c r="H3576" s="5" t="s">
        <v>5</v>
      </c>
      <c r="I3576" s="6">
        <v>45821</v>
      </c>
    </row>
    <row r="3577" spans="1:9" ht="13.5">
      <c r="A3577" s="2" t="s">
        <v>2127</v>
      </c>
      <c r="B3577" s="3"/>
      <c r="C3577" s="4" t="s">
        <v>6278</v>
      </c>
      <c r="D3577" s="4" t="s">
        <v>5321</v>
      </c>
      <c r="E3577" s="5" t="s">
        <v>5322</v>
      </c>
      <c r="F3577" s="5" t="str">
        <f t="shared" si="55"/>
        <v>startmotor.se</v>
      </c>
      <c r="G3577" s="5" t="s">
        <v>4</v>
      </c>
      <c r="H3577" s="5" t="s">
        <v>5</v>
      </c>
      <c r="I3577" s="6">
        <v>45821</v>
      </c>
    </row>
    <row r="3578" spans="1:9" ht="13.5">
      <c r="A3578" s="7" t="s">
        <v>3747</v>
      </c>
      <c r="B3578" s="3"/>
      <c r="C3578" s="4" t="s">
        <v>6279</v>
      </c>
      <c r="D3578" s="4" t="s">
        <v>3749</v>
      </c>
      <c r="E3578" s="5" t="s">
        <v>3750</v>
      </c>
      <c r="F3578" s="5" t="str">
        <f t="shared" si="55"/>
        <v>supernormal.health</v>
      </c>
      <c r="G3578" s="5" t="s">
        <v>4</v>
      </c>
      <c r="H3578" s="5" t="s">
        <v>5</v>
      </c>
      <c r="I3578" s="6">
        <v>45821</v>
      </c>
    </row>
    <row r="3579" spans="1:9" ht="13.5">
      <c r="A3579" s="2" t="s">
        <v>3824</v>
      </c>
      <c r="B3579" s="3"/>
      <c r="C3579" s="4" t="s">
        <v>6280</v>
      </c>
      <c r="D3579" s="4" t="s">
        <v>4358</v>
      </c>
      <c r="E3579" s="5" t="s">
        <v>5325</v>
      </c>
      <c r="F3579" s="5" t="str">
        <f t="shared" si="55"/>
        <v>swedenlongstay.se</v>
      </c>
      <c r="G3579" s="5" t="s">
        <v>4</v>
      </c>
      <c r="H3579" s="5" t="s">
        <v>5</v>
      </c>
      <c r="I3579" s="6">
        <v>45821</v>
      </c>
    </row>
    <row r="3580" spans="1:9" ht="13.5">
      <c r="A3580" s="2" t="s">
        <v>3824</v>
      </c>
      <c r="B3580" s="3"/>
      <c r="C3580" s="4" t="s">
        <v>6281</v>
      </c>
      <c r="D3580" s="4" t="s">
        <v>5327</v>
      </c>
      <c r="E3580" s="5" t="s">
        <v>5328</v>
      </c>
      <c r="F3580" s="5" t="str">
        <f t="shared" si="55"/>
        <v>swedenlongstay.se</v>
      </c>
      <c r="G3580" s="5" t="s">
        <v>4</v>
      </c>
      <c r="H3580" s="5" t="s">
        <v>5</v>
      </c>
      <c r="I3580" s="6">
        <v>45821</v>
      </c>
    </row>
    <row r="3581" spans="1:9" ht="13.5">
      <c r="A3581" s="7" t="s">
        <v>224</v>
      </c>
      <c r="B3581" s="3"/>
      <c r="C3581" s="4" t="s">
        <v>6282</v>
      </c>
      <c r="D3581" s="4" t="s">
        <v>461</v>
      </c>
      <c r="E3581" s="5" t="s">
        <v>1117</v>
      </c>
      <c r="F3581" s="5" t="str">
        <f t="shared" si="55"/>
        <v>swedoffice</v>
      </c>
      <c r="G3581" s="5" t="s">
        <v>4</v>
      </c>
      <c r="H3581" s="5" t="s">
        <v>5</v>
      </c>
      <c r="I3581" s="6">
        <v>45821</v>
      </c>
    </row>
    <row r="3582" spans="1:9" ht="13.5">
      <c r="A3582" s="7" t="s">
        <v>224</v>
      </c>
      <c r="B3582" s="3"/>
      <c r="C3582" s="4" t="s">
        <v>6283</v>
      </c>
      <c r="D3582" s="4" t="s">
        <v>226</v>
      </c>
      <c r="E3582" s="5" t="s">
        <v>368</v>
      </c>
      <c r="F3582" s="5" t="str">
        <f t="shared" si="55"/>
        <v>swedoffice</v>
      </c>
      <c r="G3582" s="5" t="s">
        <v>4</v>
      </c>
      <c r="H3582" s="5" t="s">
        <v>5</v>
      </c>
      <c r="I3582" s="6">
        <v>45821</v>
      </c>
    </row>
    <row r="3583" spans="1:9" ht="13.5">
      <c r="A3583" s="2" t="s">
        <v>2428</v>
      </c>
      <c r="B3583" s="3"/>
      <c r="C3583" s="4" t="s">
        <v>6284</v>
      </c>
      <c r="D3583" s="4" t="s">
        <v>5081</v>
      </c>
      <c r="E3583" s="5" t="s">
        <v>5331</v>
      </c>
      <c r="F3583" s="5" t="str">
        <f t="shared" si="55"/>
        <v>sakraror.se</v>
      </c>
      <c r="G3583" s="5" t="s">
        <v>4</v>
      </c>
      <c r="H3583" s="5" t="s">
        <v>5</v>
      </c>
      <c r="I3583" s="6">
        <v>45821</v>
      </c>
    </row>
    <row r="3584" spans="1:9" ht="13.5">
      <c r="A3584" s="2" t="s">
        <v>2428</v>
      </c>
      <c r="B3584" s="3"/>
      <c r="C3584" s="4" t="s">
        <v>6285</v>
      </c>
      <c r="D3584" s="4" t="s">
        <v>4762</v>
      </c>
      <c r="E3584" s="5" t="s">
        <v>5947</v>
      </c>
      <c r="F3584" s="5" t="str">
        <f t="shared" si="55"/>
        <v>sakraror.se</v>
      </c>
      <c r="G3584" s="5" t="s">
        <v>4</v>
      </c>
      <c r="H3584" s="5" t="s">
        <v>5</v>
      </c>
      <c r="I3584" s="6">
        <v>45821</v>
      </c>
    </row>
    <row r="3585" spans="1:9" ht="13.5">
      <c r="A3585" s="2" t="s">
        <v>325</v>
      </c>
      <c r="B3585" s="3"/>
      <c r="C3585" s="4" t="s">
        <v>6286</v>
      </c>
      <c r="D3585" s="4" t="s">
        <v>1244</v>
      </c>
      <c r="E3585" s="5" t="s">
        <v>463</v>
      </c>
      <c r="F3585" s="5" t="str">
        <f t="shared" si="55"/>
        <v>tiotak.se</v>
      </c>
      <c r="G3585" s="5" t="s">
        <v>4</v>
      </c>
      <c r="H3585" s="5" t="s">
        <v>5</v>
      </c>
      <c r="I3585" s="6">
        <v>45821</v>
      </c>
    </row>
    <row r="3586" spans="1:9" ht="13.5">
      <c r="A3586" s="2" t="s">
        <v>325</v>
      </c>
      <c r="B3586" s="3"/>
      <c r="C3586" s="4" t="s">
        <v>6287</v>
      </c>
      <c r="D3586" s="4" t="s">
        <v>873</v>
      </c>
      <c r="E3586" s="5" t="s">
        <v>2922</v>
      </c>
      <c r="F3586" s="5" t="str">
        <f t="shared" si="55"/>
        <v>tiotak.se</v>
      </c>
      <c r="G3586" s="5" t="s">
        <v>4</v>
      </c>
      <c r="H3586" s="5" t="s">
        <v>5</v>
      </c>
      <c r="I3586" s="6">
        <v>45821</v>
      </c>
    </row>
    <row r="3587" spans="1:9" ht="13.5">
      <c r="A3587" s="2" t="s">
        <v>535</v>
      </c>
      <c r="B3587" s="3"/>
      <c r="C3587" s="4" t="s">
        <v>6288</v>
      </c>
      <c r="D3587" s="4" t="s">
        <v>3327</v>
      </c>
      <c r="E3587" s="5" t="s">
        <v>1448</v>
      </c>
      <c r="F3587" s="5" t="str">
        <f t="shared" ref="F3587:F3650" si="56">A3587</f>
        <v>tryggbil.se</v>
      </c>
      <c r="G3587" s="5" t="s">
        <v>4</v>
      </c>
      <c r="H3587" s="5" t="s">
        <v>5</v>
      </c>
      <c r="I3587" s="6">
        <v>45821</v>
      </c>
    </row>
    <row r="3588" spans="1:9" ht="13.5">
      <c r="A3588" s="2" t="s">
        <v>535</v>
      </c>
      <c r="B3588" s="3"/>
      <c r="C3588" s="4" t="s">
        <v>6289</v>
      </c>
      <c r="D3588" s="4" t="s">
        <v>3327</v>
      </c>
      <c r="E3588" s="5" t="s">
        <v>540</v>
      </c>
      <c r="F3588" s="5" t="str">
        <f t="shared" si="56"/>
        <v>tryggbil.se</v>
      </c>
      <c r="G3588" s="5" t="s">
        <v>4</v>
      </c>
      <c r="H3588" s="5" t="s">
        <v>5</v>
      </c>
      <c r="I3588" s="6">
        <v>45821</v>
      </c>
    </row>
    <row r="3589" spans="1:9" ht="13.5">
      <c r="A3589" s="2" t="s">
        <v>4055</v>
      </c>
      <c r="B3589" s="3"/>
      <c r="C3589" s="4" t="s">
        <v>6290</v>
      </c>
      <c r="D3589" s="4" t="s">
        <v>4057</v>
      </c>
      <c r="E3589" s="5" t="s">
        <v>4363</v>
      </c>
      <c r="F3589" s="5" t="str">
        <f t="shared" si="56"/>
        <v>skidvalla.se</v>
      </c>
      <c r="G3589" s="5" t="s">
        <v>4</v>
      </c>
      <c r="H3589" s="5" t="s">
        <v>5</v>
      </c>
      <c r="I3589" s="6">
        <v>45821</v>
      </c>
    </row>
    <row r="3590" spans="1:9" ht="13.5">
      <c r="A3590" s="7" t="s">
        <v>2281</v>
      </c>
      <c r="B3590" s="3"/>
      <c r="C3590" s="4" t="s">
        <v>6291</v>
      </c>
      <c r="D3590" s="4" t="s">
        <v>2283</v>
      </c>
      <c r="E3590" s="5" t="s">
        <v>963</v>
      </c>
      <c r="F3590" s="5" t="str">
        <f t="shared" si="56"/>
        <v>tandläkare.se</v>
      </c>
      <c r="G3590" s="5" t="s">
        <v>4</v>
      </c>
      <c r="H3590" s="5" t="s">
        <v>5</v>
      </c>
      <c r="I3590" s="6">
        <v>45821</v>
      </c>
    </row>
    <row r="3591" spans="1:9" ht="13.5">
      <c r="A3591" s="7" t="s">
        <v>2281</v>
      </c>
      <c r="B3591" s="3"/>
      <c r="C3591" s="4" t="s">
        <v>6292</v>
      </c>
      <c r="D3591" s="4" t="s">
        <v>5015</v>
      </c>
      <c r="E3591" s="5" t="s">
        <v>5016</v>
      </c>
      <c r="F3591" s="5" t="str">
        <f t="shared" si="56"/>
        <v>tandläkare.se</v>
      </c>
      <c r="G3591" s="5" t="s">
        <v>4</v>
      </c>
      <c r="H3591" s="5" t="s">
        <v>5</v>
      </c>
      <c r="I3591" s="6">
        <v>45821</v>
      </c>
    </row>
    <row r="3592" spans="1:9" ht="13.5">
      <c r="A3592" s="2" t="s">
        <v>5020</v>
      </c>
      <c r="B3592" s="3"/>
      <c r="C3592" s="4" t="s">
        <v>6293</v>
      </c>
      <c r="D3592" s="4" t="s">
        <v>5020</v>
      </c>
      <c r="E3592" s="5" t="s">
        <v>5022</v>
      </c>
      <c r="F3592" s="5" t="str">
        <f t="shared" si="56"/>
        <v>sesec.se</v>
      </c>
      <c r="G3592" s="5" t="s">
        <v>4</v>
      </c>
      <c r="H3592" s="5" t="s">
        <v>5</v>
      </c>
      <c r="I3592" s="6">
        <v>45821</v>
      </c>
    </row>
    <row r="3593" spans="1:9" ht="13.5">
      <c r="A3593" s="2" t="s">
        <v>3832</v>
      </c>
      <c r="B3593" s="3"/>
      <c r="C3593" s="4" t="s">
        <v>6294</v>
      </c>
      <c r="D3593" s="4" t="s">
        <v>3832</v>
      </c>
      <c r="E3593" s="5" t="s">
        <v>5024</v>
      </c>
      <c r="F3593" s="5" t="str">
        <f t="shared" si="56"/>
        <v>michaelofrisorerna.se</v>
      </c>
      <c r="G3593" s="5" t="s">
        <v>4</v>
      </c>
      <c r="H3593" s="5" t="s">
        <v>5</v>
      </c>
      <c r="I3593" s="6">
        <v>45821</v>
      </c>
    </row>
    <row r="3594" spans="1:9" ht="13.5">
      <c r="A3594" s="2" t="s">
        <v>5350</v>
      </c>
      <c r="B3594" s="3"/>
      <c r="C3594" s="4" t="s">
        <v>6295</v>
      </c>
      <c r="D3594" s="4" t="s">
        <v>5352</v>
      </c>
      <c r="E3594" s="5" t="s">
        <v>5353</v>
      </c>
      <c r="F3594" s="5" t="str">
        <f t="shared" si="56"/>
        <v>lilla-varlden.se</v>
      </c>
      <c r="G3594" s="5" t="s">
        <v>4</v>
      </c>
      <c r="H3594" s="5" t="s">
        <v>5</v>
      </c>
      <c r="I3594" s="6">
        <v>45821</v>
      </c>
    </row>
    <row r="3595" spans="1:9" ht="13.5">
      <c r="A3595" s="2" t="s">
        <v>846</v>
      </c>
      <c r="B3595" s="3"/>
      <c r="C3595" s="4" t="s">
        <v>6296</v>
      </c>
      <c r="D3595" s="4" t="s">
        <v>5211</v>
      </c>
      <c r="E3595" s="5" t="s">
        <v>5355</v>
      </c>
      <c r="F3595" s="5" t="str">
        <f t="shared" si="56"/>
        <v>tandea.se</v>
      </c>
      <c r="G3595" s="5" t="s">
        <v>4</v>
      </c>
      <c r="H3595" s="5" t="s">
        <v>5</v>
      </c>
      <c r="I3595" s="6">
        <v>45821</v>
      </c>
    </row>
    <row r="3596" spans="1:9" ht="13.5">
      <c r="A3596" s="7" t="s">
        <v>5961</v>
      </c>
      <c r="B3596" s="3"/>
      <c r="C3596" s="4" t="s">
        <v>6297</v>
      </c>
      <c r="D3596" s="4" t="s">
        <v>5641</v>
      </c>
      <c r="E3596" s="5" t="s">
        <v>5642</v>
      </c>
      <c r="F3596" s="5" t="str">
        <f t="shared" si="56"/>
        <v>Sahlsten Skincare</v>
      </c>
      <c r="G3596" s="5" t="s">
        <v>4</v>
      </c>
      <c r="H3596" s="5" t="s">
        <v>5</v>
      </c>
      <c r="I3596" s="6">
        <v>45821</v>
      </c>
    </row>
    <row r="3597" spans="1:9" ht="13.5">
      <c r="A3597" s="2" t="s">
        <v>4458</v>
      </c>
      <c r="B3597" s="3"/>
      <c r="C3597" s="4" t="s">
        <v>6298</v>
      </c>
      <c r="D3597" s="4" t="s">
        <v>4460</v>
      </c>
      <c r="E3597" s="5" t="s">
        <v>2234</v>
      </c>
      <c r="F3597" s="5" t="str">
        <f t="shared" si="56"/>
        <v>cdbilvardsprodukter.se</v>
      </c>
      <c r="G3597" s="5" t="s">
        <v>4</v>
      </c>
      <c r="H3597" s="5" t="s">
        <v>5</v>
      </c>
      <c r="I3597" s="6">
        <v>45821</v>
      </c>
    </row>
    <row r="3598" spans="1:9" ht="13.5">
      <c r="A3598" s="2" t="s">
        <v>4458</v>
      </c>
      <c r="B3598" s="3"/>
      <c r="C3598" s="4" t="s">
        <v>6299</v>
      </c>
      <c r="D3598" s="4" t="s">
        <v>4460</v>
      </c>
      <c r="E3598" s="5" t="s">
        <v>2234</v>
      </c>
      <c r="F3598" s="5" t="str">
        <f t="shared" si="56"/>
        <v>cdbilvardsprodukter.se</v>
      </c>
      <c r="G3598" s="5" t="s">
        <v>4</v>
      </c>
      <c r="H3598" s="5" t="s">
        <v>5</v>
      </c>
      <c r="I3598" s="6">
        <v>45821</v>
      </c>
    </row>
    <row r="3599" spans="1:9" ht="13.5">
      <c r="A3599" s="2" t="s">
        <v>5890</v>
      </c>
      <c r="B3599" s="3"/>
      <c r="C3599" s="4" t="s">
        <v>6300</v>
      </c>
      <c r="D3599" s="4" t="s">
        <v>6040</v>
      </c>
      <c r="E3599" s="5" t="s">
        <v>6301</v>
      </c>
      <c r="F3599" s="5" t="str">
        <f t="shared" si="56"/>
        <v>yourgild.com</v>
      </c>
      <c r="G3599" s="5" t="s">
        <v>4</v>
      </c>
      <c r="H3599" s="5" t="s">
        <v>345</v>
      </c>
      <c r="I3599" s="6">
        <v>45821</v>
      </c>
    </row>
    <row r="3600" spans="1:9" ht="13.5">
      <c r="A3600" s="2" t="s">
        <v>5589</v>
      </c>
      <c r="B3600" s="3"/>
      <c r="C3600" s="4" t="s">
        <v>6302</v>
      </c>
      <c r="D3600" s="4" t="s">
        <v>6303</v>
      </c>
      <c r="E3600" s="5" t="s">
        <v>6304</v>
      </c>
      <c r="F3600" s="5" t="str">
        <f t="shared" si="56"/>
        <v>dbet.com</v>
      </c>
      <c r="G3600" s="5" t="s">
        <v>4</v>
      </c>
      <c r="H3600" s="5" t="s">
        <v>5</v>
      </c>
      <c r="I3600" s="6">
        <v>45824</v>
      </c>
    </row>
    <row r="3601" spans="1:9" ht="13.5">
      <c r="A3601" s="2" t="s">
        <v>3885</v>
      </c>
      <c r="B3601" s="3"/>
      <c r="C3601" s="4" t="s">
        <v>6305</v>
      </c>
      <c r="D3601" s="4" t="s">
        <v>3893</v>
      </c>
      <c r="E3601" s="5" t="s">
        <v>3896</v>
      </c>
      <c r="F3601" s="5" t="str">
        <f t="shared" si="56"/>
        <v>chattanoogarehab.com</v>
      </c>
      <c r="G3601" s="5" t="s">
        <v>4</v>
      </c>
      <c r="H3601" s="5" t="s">
        <v>345</v>
      </c>
      <c r="I3601" s="6">
        <v>45824</v>
      </c>
    </row>
    <row r="3602" spans="1:9" ht="13.5">
      <c r="A3602" s="7" t="s">
        <v>5361</v>
      </c>
      <c r="B3602" s="3"/>
      <c r="C3602" s="4" t="s">
        <v>6306</v>
      </c>
      <c r="D3602" s="8" t="s">
        <v>6307</v>
      </c>
      <c r="E3602" s="5" t="s">
        <v>5361</v>
      </c>
      <c r="F3602" s="5" t="str">
        <f t="shared" si="56"/>
        <v>Leaptodigital</v>
      </c>
      <c r="G3602" s="5" t="s">
        <v>4</v>
      </c>
      <c r="H3602" s="5" t="s">
        <v>345</v>
      </c>
      <c r="I3602" s="6">
        <v>45824</v>
      </c>
    </row>
    <row r="3603" spans="1:9" ht="13.5">
      <c r="A3603" s="7" t="s">
        <v>5361</v>
      </c>
      <c r="B3603" s="3"/>
      <c r="C3603" s="4" t="s">
        <v>6308</v>
      </c>
      <c r="D3603" s="4" t="s">
        <v>5436</v>
      </c>
      <c r="E3603" s="5" t="s">
        <v>5823</v>
      </c>
      <c r="F3603" s="5" t="str">
        <f t="shared" si="56"/>
        <v>Leaptodigital</v>
      </c>
      <c r="G3603" s="5" t="s">
        <v>4</v>
      </c>
      <c r="H3603" s="5" t="s">
        <v>345</v>
      </c>
      <c r="I3603" s="6">
        <v>45824</v>
      </c>
    </row>
    <row r="3604" spans="1:9" ht="13.5">
      <c r="A3604" s="7" t="s">
        <v>5361</v>
      </c>
      <c r="B3604" s="3"/>
      <c r="C3604" s="4" t="s">
        <v>6309</v>
      </c>
      <c r="D3604" s="4" t="s">
        <v>5436</v>
      </c>
      <c r="E3604" s="5" t="s">
        <v>5823</v>
      </c>
      <c r="F3604" s="5" t="str">
        <f t="shared" si="56"/>
        <v>Leaptodigital</v>
      </c>
      <c r="G3604" s="5" t="s">
        <v>4</v>
      </c>
      <c r="H3604" s="5" t="s">
        <v>345</v>
      </c>
      <c r="I3604" s="6">
        <v>45824</v>
      </c>
    </row>
    <row r="3605" spans="1:9" ht="13.5">
      <c r="A3605" s="2" t="s">
        <v>5890</v>
      </c>
      <c r="B3605" s="3"/>
      <c r="C3605" s="4" t="s">
        <v>6310</v>
      </c>
      <c r="D3605" s="4" t="s">
        <v>6040</v>
      </c>
      <c r="E3605" s="5" t="s">
        <v>6311</v>
      </c>
      <c r="F3605" s="5" t="str">
        <f t="shared" si="56"/>
        <v>yourgild.com</v>
      </c>
      <c r="G3605" s="5" t="s">
        <v>4</v>
      </c>
      <c r="H3605" s="5" t="s">
        <v>345</v>
      </c>
      <c r="I3605" s="6">
        <v>45824</v>
      </c>
    </row>
    <row r="3606" spans="1:9" ht="13.5">
      <c r="A3606" s="2" t="s">
        <v>4051</v>
      </c>
      <c r="B3606" s="3"/>
      <c r="C3606" s="4" t="s">
        <v>6312</v>
      </c>
      <c r="D3606" s="4" t="s">
        <v>6313</v>
      </c>
      <c r="E3606" s="5" t="s">
        <v>4315</v>
      </c>
      <c r="F3606" s="5" t="str">
        <f t="shared" si="56"/>
        <v>hund.se</v>
      </c>
      <c r="G3606" s="5" t="s">
        <v>4</v>
      </c>
      <c r="H3606" s="5" t="s">
        <v>5</v>
      </c>
      <c r="I3606" s="6">
        <v>45824</v>
      </c>
    </row>
    <row r="3607" spans="1:9" ht="13.5">
      <c r="A3607" s="2" t="s">
        <v>6252</v>
      </c>
      <c r="B3607" s="3"/>
      <c r="C3607" s="4" t="s">
        <v>6314</v>
      </c>
      <c r="D3607" s="8" t="s">
        <v>6315</v>
      </c>
      <c r="E3607" s="5" t="s">
        <v>6316</v>
      </c>
      <c r="F3607" s="5" t="str">
        <f t="shared" si="56"/>
        <v>turner.fi</v>
      </c>
      <c r="G3607" s="5" t="s">
        <v>4</v>
      </c>
      <c r="H3607" s="5" t="s">
        <v>1618</v>
      </c>
      <c r="I3607" s="6">
        <v>45825</v>
      </c>
    </row>
    <row r="3608" spans="1:9" ht="13.5">
      <c r="A3608" s="2" t="s">
        <v>6262</v>
      </c>
      <c r="B3608" s="3"/>
      <c r="C3608" s="4" t="s">
        <v>6317</v>
      </c>
      <c r="D3608" s="4" t="s">
        <v>6264</v>
      </c>
      <c r="E3608" s="5" t="s">
        <v>6318</v>
      </c>
      <c r="F3608" s="5" t="str">
        <f t="shared" si="56"/>
        <v>joinstriveon.com</v>
      </c>
      <c r="G3608" s="5" t="s">
        <v>4</v>
      </c>
      <c r="H3608" s="5" t="s">
        <v>345</v>
      </c>
      <c r="I3608" s="6">
        <v>45825</v>
      </c>
    </row>
    <row r="3609" spans="1:9" ht="13.5">
      <c r="A3609" s="2" t="s">
        <v>5890</v>
      </c>
      <c r="B3609" s="3"/>
      <c r="C3609" s="4" t="s">
        <v>6319</v>
      </c>
      <c r="D3609" s="8" t="s">
        <v>5896</v>
      </c>
      <c r="E3609" s="22" t="s">
        <v>5897</v>
      </c>
      <c r="F3609" s="5" t="str">
        <f t="shared" si="56"/>
        <v>yourgild.com</v>
      </c>
      <c r="G3609" s="5" t="s">
        <v>4</v>
      </c>
      <c r="H3609" s="5" t="s">
        <v>345</v>
      </c>
      <c r="I3609" s="6">
        <v>45826</v>
      </c>
    </row>
    <row r="3610" spans="1:9" ht="13.5">
      <c r="A3610" s="2" t="s">
        <v>5890</v>
      </c>
      <c r="B3610" s="3"/>
      <c r="C3610" s="4" t="s">
        <v>6320</v>
      </c>
      <c r="D3610" s="4" t="s">
        <v>6040</v>
      </c>
      <c r="E3610" s="5" t="s">
        <v>6301</v>
      </c>
      <c r="F3610" s="5" t="str">
        <f t="shared" si="56"/>
        <v>yourgild.com</v>
      </c>
      <c r="G3610" s="5" t="s">
        <v>4</v>
      </c>
      <c r="H3610" s="5" t="s">
        <v>345</v>
      </c>
      <c r="I3610" s="6">
        <v>45826</v>
      </c>
    </row>
    <row r="3611" spans="1:9" ht="13.5">
      <c r="A3611" s="2" t="s">
        <v>6262</v>
      </c>
      <c r="B3611" s="3"/>
      <c r="C3611" s="4" t="s">
        <v>6321</v>
      </c>
      <c r="D3611" s="4" t="s">
        <v>6322</v>
      </c>
      <c r="E3611" s="5" t="s">
        <v>6323</v>
      </c>
      <c r="F3611" s="5" t="str">
        <f t="shared" si="56"/>
        <v>joinstriveon.com</v>
      </c>
      <c r="G3611" s="5" t="s">
        <v>4</v>
      </c>
      <c r="H3611" s="5" t="s">
        <v>345</v>
      </c>
      <c r="I3611" s="6">
        <v>45826</v>
      </c>
    </row>
    <row r="3612" spans="1:9" ht="13.5">
      <c r="A3612" s="2" t="s">
        <v>4489</v>
      </c>
      <c r="B3612" s="3"/>
      <c r="C3612" s="4" t="s">
        <v>6324</v>
      </c>
      <c r="D3612" s="4" t="s">
        <v>6325</v>
      </c>
      <c r="E3612" s="5" t="s">
        <v>4495</v>
      </c>
      <c r="F3612" s="5" t="str">
        <f t="shared" si="56"/>
        <v>nordicknots.com</v>
      </c>
      <c r="G3612" s="5" t="s">
        <v>4</v>
      </c>
      <c r="H3612" s="5" t="s">
        <v>345</v>
      </c>
      <c r="I3612" s="6">
        <v>45828</v>
      </c>
    </row>
    <row r="3613" spans="1:9" ht="13.5">
      <c r="A3613" s="2" t="s">
        <v>4489</v>
      </c>
      <c r="B3613" s="3"/>
      <c r="C3613" s="4" t="s">
        <v>6326</v>
      </c>
      <c r="D3613" s="4" t="s">
        <v>6327</v>
      </c>
      <c r="E3613" s="5" t="s">
        <v>5259</v>
      </c>
      <c r="F3613" s="5" t="str">
        <f t="shared" si="56"/>
        <v>nordicknots.com</v>
      </c>
      <c r="G3613" s="5" t="s">
        <v>4</v>
      </c>
      <c r="H3613" s="5" t="s">
        <v>345</v>
      </c>
      <c r="I3613" s="6">
        <v>45832</v>
      </c>
    </row>
    <row r="3614" spans="1:9" ht="13.5">
      <c r="A3614" s="2" t="s">
        <v>3491</v>
      </c>
      <c r="B3614" s="3"/>
      <c r="C3614" s="4" t="s">
        <v>6328</v>
      </c>
      <c r="D3614" s="4" t="s">
        <v>3493</v>
      </c>
      <c r="E3614" s="5" t="s">
        <v>2586</v>
      </c>
      <c r="F3614" s="5" t="str">
        <f t="shared" si="56"/>
        <v>mynicco.com</v>
      </c>
      <c r="G3614" s="5" t="s">
        <v>4</v>
      </c>
      <c r="H3614" s="5" t="s">
        <v>345</v>
      </c>
      <c r="I3614" s="6">
        <v>45832</v>
      </c>
    </row>
    <row r="3615" spans="1:9" ht="13.5">
      <c r="A3615" s="2" t="s">
        <v>1615</v>
      </c>
      <c r="B3615" s="3"/>
      <c r="C3615" s="4" t="s">
        <v>6329</v>
      </c>
      <c r="D3615" s="4" t="s">
        <v>1617</v>
      </c>
      <c r="E3615" s="5" t="s">
        <v>1619</v>
      </c>
      <c r="F3615" s="5" t="str">
        <f t="shared" si="56"/>
        <v>kamux.fi</v>
      </c>
      <c r="G3615" s="5" t="s">
        <v>4</v>
      </c>
      <c r="H3615" s="5" t="s">
        <v>1618</v>
      </c>
      <c r="I3615" s="6">
        <v>45832</v>
      </c>
    </row>
    <row r="3616" spans="1:9" ht="13.5">
      <c r="A3616" s="2" t="s">
        <v>5538</v>
      </c>
      <c r="B3616" s="3"/>
      <c r="C3616" s="4" t="s">
        <v>6330</v>
      </c>
      <c r="D3616" s="4" t="s">
        <v>5540</v>
      </c>
      <c r="E3616" s="5" t="s">
        <v>5541</v>
      </c>
      <c r="F3616" s="5" t="str">
        <f t="shared" si="56"/>
        <v>kruunukaluste.fi</v>
      </c>
      <c r="G3616" s="5" t="s">
        <v>4</v>
      </c>
      <c r="H3616" s="5" t="s">
        <v>1618</v>
      </c>
      <c r="I3616" s="6">
        <v>45832</v>
      </c>
    </row>
    <row r="3617" spans="1:9" ht="13.5">
      <c r="A3617" s="7" t="s">
        <v>3419</v>
      </c>
      <c r="B3617" s="3"/>
      <c r="C3617" s="4" t="s">
        <v>6331</v>
      </c>
      <c r="D3617" s="4" t="s">
        <v>5813</v>
      </c>
      <c r="E3617" s="5" t="s">
        <v>5814</v>
      </c>
      <c r="F3617" s="5" t="str">
        <f t="shared" si="56"/>
        <v>zmarta</v>
      </c>
      <c r="G3617" s="5" t="s">
        <v>4</v>
      </c>
      <c r="H3617" s="5" t="s">
        <v>1618</v>
      </c>
      <c r="I3617" s="6">
        <v>45832</v>
      </c>
    </row>
    <row r="3618" spans="1:9" ht="13.5">
      <c r="A3618" s="2" t="s">
        <v>6252</v>
      </c>
      <c r="B3618" s="3"/>
      <c r="C3618" s="4" t="s">
        <v>6332</v>
      </c>
      <c r="D3618" s="4" t="s">
        <v>6254</v>
      </c>
      <c r="E3618" s="5" t="s">
        <v>6255</v>
      </c>
      <c r="F3618" s="5" t="str">
        <f t="shared" si="56"/>
        <v>turner.fi</v>
      </c>
      <c r="G3618" s="5" t="s">
        <v>4</v>
      </c>
      <c r="H3618" s="5" t="s">
        <v>1618</v>
      </c>
      <c r="I3618" s="6">
        <v>45832</v>
      </c>
    </row>
    <row r="3619" spans="1:9" ht="13.5">
      <c r="A3619" s="2" t="s">
        <v>1318</v>
      </c>
      <c r="B3619" s="3"/>
      <c r="C3619" s="8" t="s">
        <v>6333</v>
      </c>
      <c r="D3619" s="8" t="s">
        <v>6334</v>
      </c>
      <c r="E3619" s="5" t="s">
        <v>6335</v>
      </c>
      <c r="F3619" s="5" t="str">
        <f t="shared" si="56"/>
        <v>spelklubben.se</v>
      </c>
      <c r="G3619" s="5" t="s">
        <v>34</v>
      </c>
      <c r="H3619" s="5" t="s">
        <v>5</v>
      </c>
      <c r="I3619" s="6">
        <v>45832</v>
      </c>
    </row>
    <row r="3620" spans="1:9" ht="13.5">
      <c r="A3620" s="2" t="s">
        <v>3921</v>
      </c>
      <c r="B3620" s="3"/>
      <c r="C3620" s="4" t="s">
        <v>6209</v>
      </c>
      <c r="D3620" s="4" t="s">
        <v>5975</v>
      </c>
      <c r="E3620" s="5" t="s">
        <v>5976</v>
      </c>
      <c r="F3620" s="5" t="str">
        <f t="shared" si="56"/>
        <v>svenskalasjouren.se</v>
      </c>
      <c r="G3620" s="5" t="s">
        <v>4</v>
      </c>
      <c r="H3620" s="5" t="s">
        <v>5</v>
      </c>
      <c r="I3620" s="6">
        <v>45832</v>
      </c>
    </row>
    <row r="3621" spans="1:9" ht="13.5">
      <c r="A3621" s="2" t="s">
        <v>2999</v>
      </c>
      <c r="B3621" s="3"/>
      <c r="C3621" s="8" t="s">
        <v>6336</v>
      </c>
      <c r="D3621" s="8" t="s">
        <v>3009</v>
      </c>
      <c r="E3621" s="5" t="s">
        <v>3233</v>
      </c>
      <c r="F3621" s="5" t="str">
        <f t="shared" si="56"/>
        <v>nettotobak.com</v>
      </c>
      <c r="G3621" s="5" t="s">
        <v>4</v>
      </c>
      <c r="H3621" s="5" t="s">
        <v>5</v>
      </c>
      <c r="I3621" s="6">
        <v>45832</v>
      </c>
    </row>
    <row r="3622" spans="1:9" ht="13.5">
      <c r="A3622" s="2" t="s">
        <v>5084</v>
      </c>
      <c r="B3622" s="3"/>
      <c r="C3622" s="8" t="s">
        <v>6337</v>
      </c>
      <c r="D3622" s="8" t="s">
        <v>6204</v>
      </c>
      <c r="E3622" s="5" t="s">
        <v>5162</v>
      </c>
      <c r="F3622" s="5" t="str">
        <f t="shared" si="56"/>
        <v>glassfactory.fi</v>
      </c>
      <c r="G3622" s="5" t="s">
        <v>4</v>
      </c>
      <c r="H3622" s="5" t="s">
        <v>5</v>
      </c>
      <c r="I3622" s="6">
        <v>45832</v>
      </c>
    </row>
    <row r="3623" spans="1:9" ht="13.9">
      <c r="A3623" s="2" t="s">
        <v>2549</v>
      </c>
      <c r="B3623" s="3"/>
      <c r="C3623" s="105" t="s">
        <v>6338</v>
      </c>
      <c r="D3623" s="337" t="s">
        <v>2612</v>
      </c>
      <c r="E3623" s="338" t="s">
        <v>4856</v>
      </c>
      <c r="F3623" s="5" t="str">
        <f t="shared" si="56"/>
        <v>purakliniken.se</v>
      </c>
      <c r="G3623" s="5" t="s">
        <v>4</v>
      </c>
      <c r="H3623" s="5" t="s">
        <v>5</v>
      </c>
      <c r="I3623" s="6">
        <v>45833</v>
      </c>
    </row>
    <row r="3624" spans="1:9" ht="13.9">
      <c r="A3624" s="2" t="s">
        <v>2549</v>
      </c>
      <c r="B3624" s="3"/>
      <c r="C3624" s="105" t="s">
        <v>6339</v>
      </c>
      <c r="D3624" s="337" t="s">
        <v>5131</v>
      </c>
      <c r="E3624" s="338" t="s">
        <v>5132</v>
      </c>
      <c r="F3624" s="5" t="str">
        <f t="shared" si="56"/>
        <v>purakliniken.se</v>
      </c>
      <c r="G3624" s="5" t="s">
        <v>4</v>
      </c>
      <c r="H3624" s="5" t="s">
        <v>5</v>
      </c>
      <c r="I3624" s="6">
        <v>45833</v>
      </c>
    </row>
    <row r="3625" spans="1:9" ht="13.9">
      <c r="A3625" s="2" t="s">
        <v>2127</v>
      </c>
      <c r="B3625" s="3"/>
      <c r="C3625" s="105" t="s">
        <v>6340</v>
      </c>
      <c r="D3625" s="337" t="s">
        <v>5725</v>
      </c>
      <c r="E3625" s="338" t="s">
        <v>4999</v>
      </c>
      <c r="F3625" s="5" t="str">
        <f t="shared" si="56"/>
        <v>startmotor.se</v>
      </c>
      <c r="G3625" s="5" t="s">
        <v>4</v>
      </c>
      <c r="H3625" s="5" t="s">
        <v>5</v>
      </c>
      <c r="I3625" s="6">
        <v>45833</v>
      </c>
    </row>
    <row r="3626" spans="1:9" ht="13.9">
      <c r="A3626" s="2" t="s">
        <v>6127</v>
      </c>
      <c r="B3626" s="3"/>
      <c r="C3626" s="105" t="s">
        <v>6341</v>
      </c>
      <c r="D3626" s="87" t="s">
        <v>6129</v>
      </c>
      <c r="E3626" s="338" t="s">
        <v>6342</v>
      </c>
      <c r="F3626" s="5" t="str">
        <f t="shared" si="56"/>
        <v>indoorprofessional.se</v>
      </c>
      <c r="G3626" s="5" t="s">
        <v>4</v>
      </c>
      <c r="H3626" s="5" t="s">
        <v>5</v>
      </c>
      <c r="I3626" s="6">
        <v>45833</v>
      </c>
    </row>
    <row r="3627" spans="1:9" ht="13.9">
      <c r="A3627" s="2" t="s">
        <v>1318</v>
      </c>
      <c r="B3627" s="3"/>
      <c r="C3627" s="4" t="s">
        <v>6343</v>
      </c>
      <c r="D3627" s="4" t="s">
        <v>6185</v>
      </c>
      <c r="E3627" s="339" t="s">
        <v>6344</v>
      </c>
      <c r="F3627" s="5" t="str">
        <f t="shared" si="56"/>
        <v>spelklubben.se</v>
      </c>
      <c r="G3627" s="5" t="s">
        <v>4</v>
      </c>
      <c r="H3627" s="5" t="s">
        <v>5</v>
      </c>
      <c r="I3627" s="6">
        <v>45833</v>
      </c>
    </row>
    <row r="3628" spans="1:9" ht="13.5">
      <c r="A3628" s="2" t="s">
        <v>3128</v>
      </c>
      <c r="B3628" s="3"/>
      <c r="C3628" s="8" t="s">
        <v>6345</v>
      </c>
      <c r="D3628" s="8" t="s">
        <v>3130</v>
      </c>
      <c r="E3628" s="5" t="s">
        <v>6346</v>
      </c>
      <c r="F3628" s="5" t="str">
        <f t="shared" si="56"/>
        <v>bethard.com</v>
      </c>
      <c r="G3628" s="5" t="s">
        <v>4</v>
      </c>
      <c r="H3628" s="5" t="s">
        <v>5</v>
      </c>
      <c r="I3628" s="6">
        <v>45833</v>
      </c>
    </row>
    <row r="3629" spans="1:9" ht="13.5">
      <c r="A3629" s="7" t="s">
        <v>3747</v>
      </c>
      <c r="B3629" s="3"/>
      <c r="C3629" s="8" t="s">
        <v>6347</v>
      </c>
      <c r="D3629" s="8" t="s">
        <v>5993</v>
      </c>
      <c r="E3629" s="5" t="s">
        <v>4907</v>
      </c>
      <c r="F3629" s="5" t="str">
        <f t="shared" si="56"/>
        <v>supernormal.health</v>
      </c>
      <c r="G3629" s="5" t="s">
        <v>4</v>
      </c>
      <c r="H3629" s="5" t="s">
        <v>5</v>
      </c>
      <c r="I3629" s="6">
        <v>45833</v>
      </c>
    </row>
    <row r="3630" spans="1:9" ht="13.5">
      <c r="A3630" s="2" t="s">
        <v>6021</v>
      </c>
      <c r="B3630" s="3"/>
      <c r="C3630" s="8" t="s">
        <v>6348</v>
      </c>
      <c r="D3630" s="4" t="s">
        <v>6349</v>
      </c>
      <c r="E3630" s="5" t="s">
        <v>6350</v>
      </c>
      <c r="F3630" s="5" t="str">
        <f t="shared" si="56"/>
        <v>mrvegas.com</v>
      </c>
      <c r="G3630" s="5" t="s">
        <v>4</v>
      </c>
      <c r="H3630" s="5" t="s">
        <v>5</v>
      </c>
      <c r="I3630" s="6">
        <v>45833</v>
      </c>
    </row>
    <row r="3631" spans="1:9" ht="13.5">
      <c r="A3631" s="2" t="s">
        <v>1615</v>
      </c>
      <c r="B3631" s="3"/>
      <c r="C3631" s="4" t="s">
        <v>6351</v>
      </c>
      <c r="D3631" s="4" t="s">
        <v>1617</v>
      </c>
      <c r="E3631" s="5" t="s">
        <v>1619</v>
      </c>
      <c r="F3631" s="5" t="str">
        <f t="shared" si="56"/>
        <v>kamux.fi</v>
      </c>
      <c r="G3631" s="5" t="s">
        <v>4</v>
      </c>
      <c r="H3631" s="5" t="s">
        <v>1618</v>
      </c>
      <c r="I3631" s="6">
        <v>45833</v>
      </c>
    </row>
    <row r="3632" spans="1:9" ht="13.5">
      <c r="A3632" s="2" t="s">
        <v>5538</v>
      </c>
      <c r="B3632" s="3"/>
      <c r="C3632" s="4" t="s">
        <v>6352</v>
      </c>
      <c r="D3632" s="4" t="s">
        <v>5540</v>
      </c>
      <c r="E3632" s="5" t="s">
        <v>5546</v>
      </c>
      <c r="F3632" s="5" t="str">
        <f t="shared" si="56"/>
        <v>kruunukaluste.fi</v>
      </c>
      <c r="G3632" s="5" t="s">
        <v>4</v>
      </c>
      <c r="H3632" s="5" t="s">
        <v>1618</v>
      </c>
      <c r="I3632" s="6">
        <v>45833</v>
      </c>
    </row>
    <row r="3633" spans="1:9" ht="13.5">
      <c r="A3633" s="7" t="s">
        <v>3419</v>
      </c>
      <c r="B3633" s="3"/>
      <c r="C3633" s="4" t="s">
        <v>6353</v>
      </c>
      <c r="D3633" s="4" t="s">
        <v>5816</v>
      </c>
      <c r="E3633" s="5" t="s">
        <v>5817</v>
      </c>
      <c r="F3633" s="5" t="str">
        <f t="shared" si="56"/>
        <v>zmarta</v>
      </c>
      <c r="G3633" s="5" t="s">
        <v>4</v>
      </c>
      <c r="H3633" s="5" t="s">
        <v>1618</v>
      </c>
      <c r="I3633" s="6">
        <v>45833</v>
      </c>
    </row>
    <row r="3634" spans="1:9" ht="13.5">
      <c r="A3634" s="7" t="s">
        <v>3419</v>
      </c>
      <c r="B3634" s="3"/>
      <c r="C3634" s="4" t="s">
        <v>6354</v>
      </c>
      <c r="D3634" s="4" t="s">
        <v>5816</v>
      </c>
      <c r="E3634" s="5" t="s">
        <v>5819</v>
      </c>
      <c r="F3634" s="5" t="str">
        <f t="shared" si="56"/>
        <v>zmarta</v>
      </c>
      <c r="G3634" s="5" t="s">
        <v>4</v>
      </c>
      <c r="H3634" s="5" t="s">
        <v>1618</v>
      </c>
      <c r="I3634" s="6">
        <v>45833</v>
      </c>
    </row>
    <row r="3635" spans="1:9" ht="13.5">
      <c r="A3635" s="2" t="s">
        <v>6252</v>
      </c>
      <c r="B3635" s="3"/>
      <c r="C3635" s="4" t="s">
        <v>6355</v>
      </c>
      <c r="D3635" s="4" t="s">
        <v>6315</v>
      </c>
      <c r="E3635" s="5" t="s">
        <v>6316</v>
      </c>
      <c r="F3635" s="5" t="str">
        <f t="shared" si="56"/>
        <v>turner.fi</v>
      </c>
      <c r="G3635" s="5" t="s">
        <v>4</v>
      </c>
      <c r="H3635" s="5" t="s">
        <v>1618</v>
      </c>
      <c r="I3635" s="6">
        <v>45833</v>
      </c>
    </row>
    <row r="3636" spans="1:9" ht="13.5">
      <c r="A3636" s="2" t="s">
        <v>6252</v>
      </c>
      <c r="B3636" s="3"/>
      <c r="C3636" s="4" t="s">
        <v>6356</v>
      </c>
      <c r="D3636" s="4" t="s">
        <v>6257</v>
      </c>
      <c r="E3636" s="5" t="s">
        <v>6258</v>
      </c>
      <c r="F3636" s="5" t="str">
        <f t="shared" si="56"/>
        <v>turner.fi</v>
      </c>
      <c r="G3636" s="5" t="s">
        <v>4</v>
      </c>
      <c r="H3636" s="5" t="s">
        <v>1618</v>
      </c>
      <c r="I3636" s="6">
        <v>45833</v>
      </c>
    </row>
    <row r="3637" spans="1:9" ht="13.5">
      <c r="A3637" s="7" t="s">
        <v>1910</v>
      </c>
      <c r="B3637" s="3"/>
      <c r="C3637" s="4" t="s">
        <v>6357</v>
      </c>
      <c r="D3637" s="138" t="s">
        <v>1912</v>
      </c>
      <c r="E3637" s="5" t="s">
        <v>4094</v>
      </c>
      <c r="F3637" s="5" t="str">
        <f t="shared" si="56"/>
        <v>kelleher-international</v>
      </c>
      <c r="G3637" s="5" t="s">
        <v>4</v>
      </c>
      <c r="H3637" s="5" t="s">
        <v>345</v>
      </c>
      <c r="I3637" s="6">
        <v>45833</v>
      </c>
    </row>
    <row r="3638" spans="1:9" ht="13.5">
      <c r="A3638" s="7" t="s">
        <v>1910</v>
      </c>
      <c r="B3638" s="3"/>
      <c r="C3638" s="4" t="s">
        <v>6358</v>
      </c>
      <c r="D3638" s="138" t="s">
        <v>3472</v>
      </c>
      <c r="E3638" s="5" t="s">
        <v>2862</v>
      </c>
      <c r="F3638" s="5" t="str">
        <f t="shared" si="56"/>
        <v>kelleher-international</v>
      </c>
      <c r="G3638" s="5" t="s">
        <v>4</v>
      </c>
      <c r="H3638" s="5" t="s">
        <v>345</v>
      </c>
      <c r="I3638" s="6">
        <v>45833</v>
      </c>
    </row>
    <row r="3639" spans="1:9" ht="13.5">
      <c r="A3639" s="2" t="s">
        <v>723</v>
      </c>
      <c r="B3639" s="3"/>
      <c r="C3639" s="4" t="s">
        <v>6359</v>
      </c>
      <c r="D3639" s="138" t="s">
        <v>725</v>
      </c>
      <c r="E3639" s="5" t="s">
        <v>3941</v>
      </c>
      <c r="F3639" s="5" t="str">
        <f t="shared" si="56"/>
        <v>aretrotale.com</v>
      </c>
      <c r="G3639" s="5" t="s">
        <v>4</v>
      </c>
      <c r="H3639" s="5" t="s">
        <v>3496</v>
      </c>
      <c r="I3639" s="6">
        <v>45833</v>
      </c>
    </row>
    <row r="3640" spans="1:9" ht="13.5">
      <c r="A3640" s="2" t="s">
        <v>171</v>
      </c>
      <c r="B3640" s="3"/>
      <c r="C3640" s="4" t="s">
        <v>6360</v>
      </c>
      <c r="D3640" s="138" t="s">
        <v>1708</v>
      </c>
      <c r="E3640" s="5" t="s">
        <v>4601</v>
      </c>
      <c r="F3640" s="5" t="str">
        <f t="shared" si="56"/>
        <v>arctic.se</v>
      </c>
      <c r="G3640" s="5" t="s">
        <v>4</v>
      </c>
      <c r="H3640" s="5" t="s">
        <v>2355</v>
      </c>
      <c r="I3640" s="6">
        <v>45833</v>
      </c>
    </row>
    <row r="3641" spans="1:9" ht="13.5">
      <c r="A3641" s="2" t="s">
        <v>3186</v>
      </c>
      <c r="B3641" s="3"/>
      <c r="C3641" s="4" t="s">
        <v>6361</v>
      </c>
      <c r="D3641" s="138" t="s">
        <v>4904</v>
      </c>
      <c r="E3641" s="5" t="s">
        <v>3468</v>
      </c>
      <c r="F3641" s="5" t="str">
        <f t="shared" si="56"/>
        <v>myownwater.com</v>
      </c>
      <c r="G3641" s="5" t="s">
        <v>4</v>
      </c>
      <c r="H3641" s="5" t="s">
        <v>345</v>
      </c>
      <c r="I3641" s="6">
        <v>45833</v>
      </c>
    </row>
    <row r="3642" spans="1:9" ht="13.5">
      <c r="A3642" s="2" t="s">
        <v>3186</v>
      </c>
      <c r="B3642" s="3"/>
      <c r="C3642" s="4" t="s">
        <v>6362</v>
      </c>
      <c r="D3642" s="138" t="s">
        <v>4207</v>
      </c>
      <c r="E3642" s="5" t="s">
        <v>4811</v>
      </c>
      <c r="F3642" s="5" t="str">
        <f t="shared" si="56"/>
        <v>myownwater.com</v>
      </c>
      <c r="G3642" s="5" t="s">
        <v>4</v>
      </c>
      <c r="H3642" s="5" t="s">
        <v>345</v>
      </c>
      <c r="I3642" s="6">
        <v>45833</v>
      </c>
    </row>
    <row r="3643" spans="1:9" ht="13.5">
      <c r="A3643" s="2" t="s">
        <v>3186</v>
      </c>
      <c r="B3643" s="3"/>
      <c r="C3643" s="4" t="s">
        <v>6363</v>
      </c>
      <c r="D3643" s="138" t="s">
        <v>4207</v>
      </c>
      <c r="E3643" s="5" t="s">
        <v>5781</v>
      </c>
      <c r="F3643" s="5" t="str">
        <f t="shared" si="56"/>
        <v>myownwater.com</v>
      </c>
      <c r="G3643" s="5" t="s">
        <v>4</v>
      </c>
      <c r="H3643" s="5" t="s">
        <v>345</v>
      </c>
      <c r="I3643" s="6">
        <v>45833</v>
      </c>
    </row>
    <row r="3644" spans="1:9" ht="13.5">
      <c r="A3644" s="2" t="s">
        <v>4829</v>
      </c>
      <c r="B3644" s="3"/>
      <c r="C3644" s="4" t="s">
        <v>6364</v>
      </c>
      <c r="D3644" s="138" t="s">
        <v>4831</v>
      </c>
      <c r="E3644" s="5" t="s">
        <v>4832</v>
      </c>
      <c r="F3644" s="5" t="str">
        <f t="shared" si="56"/>
        <v>technobark.com</v>
      </c>
      <c r="G3644" s="5" t="s">
        <v>4</v>
      </c>
      <c r="H3644" s="5" t="s">
        <v>345</v>
      </c>
      <c r="I3644" s="6">
        <v>45833</v>
      </c>
    </row>
    <row r="3645" spans="1:9" ht="13.5">
      <c r="A3645" s="2" t="s">
        <v>4829</v>
      </c>
      <c r="B3645" s="3"/>
      <c r="C3645" s="4" t="s">
        <v>6365</v>
      </c>
      <c r="D3645" s="138" t="s">
        <v>5101</v>
      </c>
      <c r="E3645" s="5" t="s">
        <v>5459</v>
      </c>
      <c r="F3645" s="5" t="str">
        <f t="shared" si="56"/>
        <v>technobark.com</v>
      </c>
      <c r="G3645" s="5" t="s">
        <v>4</v>
      </c>
      <c r="H3645" s="5" t="s">
        <v>345</v>
      </c>
      <c r="I3645" s="6">
        <v>45833</v>
      </c>
    </row>
    <row r="3646" spans="1:9" ht="13.5">
      <c r="A3646" s="2" t="s">
        <v>4829</v>
      </c>
      <c r="B3646" s="3"/>
      <c r="C3646" s="4" t="s">
        <v>6366</v>
      </c>
      <c r="D3646" s="138" t="s">
        <v>4934</v>
      </c>
      <c r="E3646" s="5" t="s">
        <v>5784</v>
      </c>
      <c r="F3646" s="5" t="str">
        <f t="shared" si="56"/>
        <v>technobark.com</v>
      </c>
      <c r="G3646" s="5" t="s">
        <v>4</v>
      </c>
      <c r="H3646" s="5" t="s">
        <v>345</v>
      </c>
      <c r="I3646" s="6">
        <v>45833</v>
      </c>
    </row>
    <row r="3647" spans="1:9" ht="13.5">
      <c r="A3647" s="2" t="s">
        <v>1993</v>
      </c>
      <c r="B3647" s="3"/>
      <c r="C3647" s="4" t="s">
        <v>6367</v>
      </c>
      <c r="D3647" s="138" t="s">
        <v>5226</v>
      </c>
      <c r="E3647" s="5" t="s">
        <v>5786</v>
      </c>
      <c r="F3647" s="5" t="str">
        <f t="shared" si="56"/>
        <v>filippa-k.com/se/sv/</v>
      </c>
      <c r="G3647" s="5" t="s">
        <v>4</v>
      </c>
      <c r="H3647" s="5" t="s">
        <v>2355</v>
      </c>
      <c r="I3647" s="6">
        <v>45833</v>
      </c>
    </row>
    <row r="3648" spans="1:9" ht="13.5">
      <c r="A3648" s="2" t="s">
        <v>5374</v>
      </c>
      <c r="B3648" s="3"/>
      <c r="C3648" s="4" t="s">
        <v>6368</v>
      </c>
      <c r="D3648" s="138" t="s">
        <v>5376</v>
      </c>
      <c r="E3648" s="5" t="s">
        <v>5377</v>
      </c>
      <c r="F3648" s="5" t="str">
        <f t="shared" si="56"/>
        <v>willabgarden.de</v>
      </c>
      <c r="G3648" s="5" t="s">
        <v>4</v>
      </c>
      <c r="H3648" s="5" t="s">
        <v>2355</v>
      </c>
      <c r="I3648" s="6">
        <v>45833</v>
      </c>
    </row>
    <row r="3649" spans="1:9" ht="13.5">
      <c r="A3649" s="2" t="s">
        <v>5374</v>
      </c>
      <c r="B3649" s="3"/>
      <c r="C3649" s="4" t="s">
        <v>6369</v>
      </c>
      <c r="D3649" s="138" t="s">
        <v>5379</v>
      </c>
      <c r="E3649" s="5" t="s">
        <v>5380</v>
      </c>
      <c r="F3649" s="5" t="str">
        <f t="shared" si="56"/>
        <v>willabgarden.de</v>
      </c>
      <c r="G3649" s="5" t="s">
        <v>4</v>
      </c>
      <c r="H3649" s="5" t="s">
        <v>2355</v>
      </c>
      <c r="I3649" s="6">
        <v>45833</v>
      </c>
    </row>
    <row r="3650" spans="1:9" ht="13.5">
      <c r="A3650" s="2" t="s">
        <v>6021</v>
      </c>
      <c r="B3650" s="3"/>
      <c r="C3650" s="4" t="s">
        <v>6370</v>
      </c>
      <c r="D3650" s="4" t="s">
        <v>6056</v>
      </c>
      <c r="E3650" s="5" t="s">
        <v>6371</v>
      </c>
      <c r="F3650" s="5" t="str">
        <f t="shared" si="56"/>
        <v>mrvegas.com</v>
      </c>
      <c r="G3650" s="5" t="s">
        <v>4</v>
      </c>
      <c r="H3650" s="5" t="s">
        <v>3496</v>
      </c>
      <c r="I3650" s="6">
        <v>45833</v>
      </c>
    </row>
    <row r="3651" spans="1:9" ht="13.5">
      <c r="A3651" s="2" t="s">
        <v>6021</v>
      </c>
      <c r="B3651" s="3"/>
      <c r="C3651" s="4" t="s">
        <v>6372</v>
      </c>
      <c r="D3651" s="4" t="s">
        <v>6056</v>
      </c>
      <c r="E3651" s="5" t="s">
        <v>6373</v>
      </c>
      <c r="F3651" s="5" t="str">
        <f t="shared" ref="F3651:F3714" si="57">A3651</f>
        <v>mrvegas.com</v>
      </c>
      <c r="G3651" s="5" t="s">
        <v>4</v>
      </c>
      <c r="H3651" s="5" t="s">
        <v>3496</v>
      </c>
      <c r="I3651" s="6">
        <v>45833</v>
      </c>
    </row>
    <row r="3652" spans="1:9" ht="13.5">
      <c r="A3652" s="2" t="s">
        <v>6021</v>
      </c>
      <c r="B3652" s="3"/>
      <c r="C3652" s="4" t="s">
        <v>6374</v>
      </c>
      <c r="D3652" s="4" t="s">
        <v>6375</v>
      </c>
      <c r="E3652" s="5" t="s">
        <v>6376</v>
      </c>
      <c r="F3652" s="5" t="str">
        <f t="shared" si="57"/>
        <v>mrvegas.com</v>
      </c>
      <c r="G3652" s="5" t="s">
        <v>4</v>
      </c>
      <c r="H3652" s="5" t="s">
        <v>3496</v>
      </c>
      <c r="I3652" s="6">
        <v>45833</v>
      </c>
    </row>
    <row r="3653" spans="1:9" ht="13.5">
      <c r="A3653" s="2" t="s">
        <v>2357</v>
      </c>
      <c r="B3653" s="3"/>
      <c r="C3653" s="5" t="s">
        <v>6377</v>
      </c>
      <c r="D3653" s="4" t="s">
        <v>6038</v>
      </c>
      <c r="E3653" s="5" t="s">
        <v>4306</v>
      </c>
      <c r="F3653" s="5" t="str">
        <f t="shared" si="57"/>
        <v>lsb.se</v>
      </c>
      <c r="G3653" s="5" t="s">
        <v>4</v>
      </c>
      <c r="H3653" s="5" t="s">
        <v>5</v>
      </c>
      <c r="I3653" s="6">
        <v>45834</v>
      </c>
    </row>
    <row r="3654" spans="1:9" ht="13.5">
      <c r="A3654" s="2" t="s">
        <v>2357</v>
      </c>
      <c r="B3654" s="3"/>
      <c r="C3654" s="4" t="s">
        <v>6378</v>
      </c>
      <c r="D3654" s="4" t="s">
        <v>5685</v>
      </c>
      <c r="E3654" s="5" t="s">
        <v>6379</v>
      </c>
      <c r="F3654" s="5" t="str">
        <f t="shared" si="57"/>
        <v>lsb.se</v>
      </c>
      <c r="G3654" s="5" t="s">
        <v>4</v>
      </c>
      <c r="H3654" s="5" t="s">
        <v>5</v>
      </c>
      <c r="I3654" s="6">
        <v>45834</v>
      </c>
    </row>
    <row r="3655" spans="1:9" ht="13.5">
      <c r="A3655" s="2" t="s">
        <v>3921</v>
      </c>
      <c r="B3655" s="3"/>
      <c r="C3655" s="4" t="s">
        <v>6380</v>
      </c>
      <c r="D3655" s="4" t="s">
        <v>5969</v>
      </c>
      <c r="E3655" s="5" t="s">
        <v>6162</v>
      </c>
      <c r="F3655" s="5" t="str">
        <f t="shared" si="57"/>
        <v>svenskalasjouren.se</v>
      </c>
      <c r="G3655" s="5" t="s">
        <v>4</v>
      </c>
      <c r="H3655" s="5" t="s">
        <v>5</v>
      </c>
      <c r="I3655" s="6">
        <v>45834</v>
      </c>
    </row>
    <row r="3656" spans="1:9" ht="13.5">
      <c r="A3656" s="2" t="s">
        <v>2357</v>
      </c>
      <c r="B3656" s="3"/>
      <c r="C3656" s="4" t="s">
        <v>6381</v>
      </c>
      <c r="D3656" s="4" t="s">
        <v>6038</v>
      </c>
      <c r="E3656" s="5" t="s">
        <v>4306</v>
      </c>
      <c r="F3656" s="5" t="str">
        <f t="shared" si="57"/>
        <v>lsb.se</v>
      </c>
      <c r="G3656" s="5" t="s">
        <v>4</v>
      </c>
      <c r="H3656" s="5" t="s">
        <v>5</v>
      </c>
      <c r="I3656" s="6">
        <v>45834</v>
      </c>
    </row>
    <row r="3657" spans="1:9" ht="13.5">
      <c r="A3657" s="2" t="s">
        <v>5715</v>
      </c>
      <c r="B3657" s="3"/>
      <c r="C3657" s="4" t="s">
        <v>6382</v>
      </c>
      <c r="D3657" s="4" t="s">
        <v>5717</v>
      </c>
      <c r="E3657" s="5" t="s">
        <v>6383</v>
      </c>
      <c r="F3657" s="5" t="str">
        <f t="shared" si="57"/>
        <v>Minifinder.se</v>
      </c>
      <c r="G3657" s="5" t="s">
        <v>4</v>
      </c>
      <c r="H3657" s="5" t="s">
        <v>5</v>
      </c>
      <c r="I3657" s="6">
        <v>45834</v>
      </c>
    </row>
    <row r="3658" spans="1:9" ht="13.5">
      <c r="A3658" s="7" t="s">
        <v>2281</v>
      </c>
      <c r="B3658" s="3"/>
      <c r="C3658" s="4" t="s">
        <v>6384</v>
      </c>
      <c r="D3658" s="4" t="s">
        <v>5015</v>
      </c>
      <c r="E3658" s="5" t="s">
        <v>6385</v>
      </c>
      <c r="F3658" s="5" t="str">
        <f t="shared" si="57"/>
        <v>tandläkare.se</v>
      </c>
      <c r="G3658" s="5" t="s">
        <v>4</v>
      </c>
      <c r="H3658" s="5" t="s">
        <v>5</v>
      </c>
      <c r="I3658" s="6">
        <v>45834</v>
      </c>
    </row>
    <row r="3659" spans="1:9" ht="13.5">
      <c r="A3659" s="2" t="s">
        <v>5084</v>
      </c>
      <c r="B3659" s="3"/>
      <c r="C3659" s="4" t="s">
        <v>6386</v>
      </c>
      <c r="D3659" s="4" t="s">
        <v>6204</v>
      </c>
      <c r="E3659" s="5" t="s">
        <v>5162</v>
      </c>
      <c r="F3659" s="5" t="str">
        <f t="shared" si="57"/>
        <v>glassfactory.fi</v>
      </c>
      <c r="G3659" s="5" t="s">
        <v>4</v>
      </c>
      <c r="H3659" s="5" t="s">
        <v>5</v>
      </c>
      <c r="I3659" s="6">
        <v>45834</v>
      </c>
    </row>
    <row r="3660" spans="1:9" ht="13.5">
      <c r="A3660" s="2" t="s">
        <v>3090</v>
      </c>
      <c r="B3660" s="3"/>
      <c r="C3660" s="4" t="s">
        <v>6387</v>
      </c>
      <c r="D3660" s="4" t="s">
        <v>6088</v>
      </c>
      <c r="E3660" s="5" t="s">
        <v>6388</v>
      </c>
      <c r="F3660" s="5" t="str">
        <f t="shared" si="57"/>
        <v>videoslots.com</v>
      </c>
      <c r="G3660" s="5" t="s">
        <v>4</v>
      </c>
      <c r="H3660" s="5" t="s">
        <v>5</v>
      </c>
      <c r="I3660" s="6">
        <v>45834</v>
      </c>
    </row>
    <row r="3661" spans="1:9" ht="13.5">
      <c r="A3661" s="2" t="s">
        <v>5589</v>
      </c>
      <c r="B3661" s="3"/>
      <c r="C3661" s="4" t="s">
        <v>6389</v>
      </c>
      <c r="D3661" s="8" t="s">
        <v>5647</v>
      </c>
      <c r="E3661" s="5" t="s">
        <v>6390</v>
      </c>
      <c r="F3661" s="5" t="str">
        <f t="shared" si="57"/>
        <v>dbet.com</v>
      </c>
      <c r="G3661" s="5" t="s">
        <v>4</v>
      </c>
      <c r="H3661" s="5" t="s">
        <v>5</v>
      </c>
      <c r="I3661" s="6">
        <v>45834</v>
      </c>
    </row>
    <row r="3662" spans="1:9" ht="51">
      <c r="A3662" s="7" t="s">
        <v>3419</v>
      </c>
      <c r="B3662" s="3"/>
      <c r="C3662" s="8" t="s">
        <v>6391</v>
      </c>
      <c r="D3662" s="8" t="s">
        <v>6392</v>
      </c>
      <c r="E3662" s="340" t="s">
        <v>6393</v>
      </c>
      <c r="F3662" s="5" t="str">
        <f t="shared" si="57"/>
        <v>zmarta</v>
      </c>
      <c r="G3662" s="5" t="s">
        <v>4</v>
      </c>
      <c r="H3662" s="5" t="s">
        <v>5</v>
      </c>
      <c r="I3662" s="6">
        <v>45834</v>
      </c>
    </row>
    <row r="3663" spans="1:9" ht="13.5">
      <c r="A3663" s="2" t="s">
        <v>3682</v>
      </c>
      <c r="B3663" s="3"/>
      <c r="C3663" s="8" t="s">
        <v>6394</v>
      </c>
      <c r="D3663" s="8" t="s">
        <v>6395</v>
      </c>
      <c r="E3663" s="5" t="s">
        <v>6396</v>
      </c>
      <c r="F3663" s="5" t="str">
        <f t="shared" si="57"/>
        <v>upplevelse.com</v>
      </c>
      <c r="G3663" s="5" t="s">
        <v>4</v>
      </c>
      <c r="H3663" s="5" t="s">
        <v>5</v>
      </c>
      <c r="I3663" s="6">
        <v>45834</v>
      </c>
    </row>
    <row r="3664" spans="1:9" ht="13.5">
      <c r="A3664" s="2" t="s">
        <v>6025</v>
      </c>
      <c r="B3664" s="3"/>
      <c r="C3664" s="4" t="s">
        <v>6397</v>
      </c>
      <c r="D3664" s="4" t="s">
        <v>6027</v>
      </c>
      <c r="E3664" s="5" t="s">
        <v>6054</v>
      </c>
      <c r="F3664" s="5" t="str">
        <f t="shared" si="57"/>
        <v>megariches.com</v>
      </c>
      <c r="G3664" s="5" t="s">
        <v>4</v>
      </c>
      <c r="H3664" s="5" t="s">
        <v>5</v>
      </c>
      <c r="I3664" s="6">
        <v>45834</v>
      </c>
    </row>
    <row r="3665" spans="1:9" ht="13.5">
      <c r="A3665" s="2" t="s">
        <v>2999</v>
      </c>
      <c r="B3665" s="3"/>
      <c r="C3665" s="8" t="s">
        <v>6398</v>
      </c>
      <c r="D3665" s="8" t="s">
        <v>6179</v>
      </c>
      <c r="E3665" s="5" t="s">
        <v>5169</v>
      </c>
      <c r="F3665" s="5" t="str">
        <f t="shared" si="57"/>
        <v>nettotobak.com</v>
      </c>
      <c r="G3665" s="5" t="s">
        <v>4</v>
      </c>
      <c r="H3665" s="5" t="s">
        <v>5</v>
      </c>
      <c r="I3665" s="6">
        <v>45834</v>
      </c>
    </row>
    <row r="3666" spans="1:9" ht="13.5">
      <c r="A3666" s="2" t="s">
        <v>6399</v>
      </c>
      <c r="B3666" s="3"/>
      <c r="C3666" s="8" t="s">
        <v>6400</v>
      </c>
      <c r="D3666" s="8" t="s">
        <v>6401</v>
      </c>
      <c r="E3666" s="5" t="s">
        <v>6402</v>
      </c>
      <c r="F3666" s="5" t="str">
        <f t="shared" si="57"/>
        <v>merchoteket.se</v>
      </c>
      <c r="G3666" s="5" t="s">
        <v>4</v>
      </c>
      <c r="H3666" s="5" t="s">
        <v>5</v>
      </c>
      <c r="I3666" s="6">
        <v>45834</v>
      </c>
    </row>
    <row r="3667" spans="1:9" ht="13.5">
      <c r="A3667" s="2" t="s">
        <v>1318</v>
      </c>
      <c r="B3667" s="3"/>
      <c r="C3667" s="8" t="s">
        <v>6403</v>
      </c>
      <c r="D3667" s="8" t="s">
        <v>1320</v>
      </c>
      <c r="E3667" s="5" t="s">
        <v>5201</v>
      </c>
      <c r="F3667" s="5" t="str">
        <f t="shared" si="57"/>
        <v>spelklubben.se</v>
      </c>
      <c r="G3667" s="5" t="s">
        <v>4</v>
      </c>
      <c r="H3667" s="5" t="s">
        <v>5</v>
      </c>
      <c r="I3667" s="6">
        <v>45835</v>
      </c>
    </row>
    <row r="3668" spans="1:9" ht="13.5">
      <c r="A3668" s="2" t="s">
        <v>6025</v>
      </c>
      <c r="B3668" s="3"/>
      <c r="C3668" s="8" t="s">
        <v>6404</v>
      </c>
      <c r="D3668" s="8" t="s">
        <v>6405</v>
      </c>
      <c r="E3668" s="5" t="s">
        <v>6054</v>
      </c>
      <c r="F3668" s="5" t="str">
        <f t="shared" si="57"/>
        <v>megariches.com</v>
      </c>
      <c r="G3668" s="5" t="s">
        <v>4</v>
      </c>
      <c r="H3668" s="5" t="s">
        <v>5</v>
      </c>
      <c r="I3668" s="6">
        <v>45835</v>
      </c>
    </row>
    <row r="3669" spans="1:9" ht="13.5">
      <c r="A3669" s="2" t="s">
        <v>3885</v>
      </c>
      <c r="B3669" s="3"/>
      <c r="C3669" s="4" t="s">
        <v>6406</v>
      </c>
      <c r="D3669" s="4" t="s">
        <v>3893</v>
      </c>
      <c r="E3669" s="5" t="s">
        <v>3896</v>
      </c>
      <c r="F3669" s="5" t="str">
        <f t="shared" si="57"/>
        <v>chattanoogarehab.com</v>
      </c>
      <c r="G3669" s="5" t="s">
        <v>4</v>
      </c>
      <c r="H3669" s="5" t="s">
        <v>345</v>
      </c>
      <c r="I3669" s="6">
        <v>45835</v>
      </c>
    </row>
    <row r="3670" spans="1:9" ht="13.5">
      <c r="A3670" s="2" t="s">
        <v>1318</v>
      </c>
      <c r="B3670" s="3"/>
      <c r="C3670" s="8" t="s">
        <v>6407</v>
      </c>
      <c r="D3670" s="8" t="s">
        <v>1942</v>
      </c>
      <c r="E3670" s="5" t="s">
        <v>6408</v>
      </c>
      <c r="F3670" s="5" t="str">
        <f t="shared" si="57"/>
        <v>spelklubben.se</v>
      </c>
      <c r="G3670" s="5" t="s">
        <v>4</v>
      </c>
      <c r="H3670" s="5" t="s">
        <v>5</v>
      </c>
      <c r="I3670" s="6">
        <v>45835</v>
      </c>
    </row>
    <row r="3671" spans="1:9" ht="13.5">
      <c r="A3671" s="2" t="s">
        <v>3761</v>
      </c>
      <c r="B3671" s="3"/>
      <c r="C3671" s="8" t="s">
        <v>6409</v>
      </c>
      <c r="D3671" s="4" t="s">
        <v>3846</v>
      </c>
      <c r="E3671" s="5" t="s">
        <v>6410</v>
      </c>
      <c r="F3671" s="5" t="str">
        <f t="shared" si="57"/>
        <v>hajper.com</v>
      </c>
      <c r="G3671" s="5" t="s">
        <v>4</v>
      </c>
      <c r="H3671" s="5" t="s">
        <v>5</v>
      </c>
      <c r="I3671" s="6">
        <v>45835</v>
      </c>
    </row>
    <row r="3672" spans="1:9" ht="13.5">
      <c r="A3672" s="2" t="s">
        <v>4409</v>
      </c>
      <c r="B3672" s="3"/>
      <c r="C3672" s="8" t="s">
        <v>6411</v>
      </c>
      <c r="D3672" s="8" t="s">
        <v>5119</v>
      </c>
      <c r="E3672" s="5" t="s">
        <v>6168</v>
      </c>
      <c r="F3672" s="5" t="str">
        <f t="shared" si="57"/>
        <v>svenskafonster.se</v>
      </c>
      <c r="G3672" s="5" t="s">
        <v>4</v>
      </c>
      <c r="H3672" s="5" t="s">
        <v>5</v>
      </c>
      <c r="I3672" s="6">
        <v>45835</v>
      </c>
    </row>
    <row r="3673" spans="1:9" ht="13.5">
      <c r="A3673" s="2" t="s">
        <v>846</v>
      </c>
      <c r="B3673" s="3"/>
      <c r="C3673" s="4" t="s">
        <v>6412</v>
      </c>
      <c r="D3673" s="8" t="s">
        <v>4817</v>
      </c>
      <c r="E3673" s="5" t="s">
        <v>6413</v>
      </c>
      <c r="F3673" s="5" t="str">
        <f t="shared" si="57"/>
        <v>tandea.se</v>
      </c>
      <c r="G3673" s="5" t="s">
        <v>4</v>
      </c>
      <c r="H3673" s="5" t="s">
        <v>5</v>
      </c>
      <c r="I3673" s="6">
        <v>45835</v>
      </c>
    </row>
    <row r="3674" spans="1:9" ht="13.5">
      <c r="A3674" s="2" t="s">
        <v>2999</v>
      </c>
      <c r="B3674" s="3"/>
      <c r="C3674" s="8" t="s">
        <v>6414</v>
      </c>
      <c r="D3674" s="4" t="s">
        <v>4916</v>
      </c>
      <c r="E3674" s="5" t="s">
        <v>4958</v>
      </c>
      <c r="F3674" s="5" t="str">
        <f t="shared" si="57"/>
        <v>nettotobak.com</v>
      </c>
      <c r="G3674" s="5" t="s">
        <v>4</v>
      </c>
      <c r="H3674" s="5" t="s">
        <v>5</v>
      </c>
      <c r="I3674" s="6">
        <v>45836</v>
      </c>
    </row>
    <row r="3675" spans="1:9" ht="13.5">
      <c r="A3675" s="2" t="s">
        <v>6415</v>
      </c>
      <c r="B3675" s="3"/>
      <c r="C3675" s="8" t="s">
        <v>6416</v>
      </c>
      <c r="D3675" s="8" t="s">
        <v>6417</v>
      </c>
      <c r="E3675" s="5" t="s">
        <v>6418</v>
      </c>
      <c r="F3675" s="5" t="str">
        <f t="shared" si="57"/>
        <v>comfydence.se</v>
      </c>
      <c r="G3675" s="5" t="s">
        <v>4</v>
      </c>
      <c r="H3675" s="5" t="s">
        <v>5</v>
      </c>
      <c r="I3675" s="6">
        <v>45836</v>
      </c>
    </row>
    <row r="3676" spans="1:9" ht="13.5">
      <c r="A3676" s="2" t="s">
        <v>6021</v>
      </c>
      <c r="B3676" s="3"/>
      <c r="C3676" s="8" t="s">
        <v>6419</v>
      </c>
      <c r="D3676" s="4" t="s">
        <v>6349</v>
      </c>
      <c r="E3676" s="5" t="s">
        <v>6420</v>
      </c>
      <c r="F3676" s="5" t="str">
        <f t="shared" si="57"/>
        <v>mrvegas.com</v>
      </c>
      <c r="G3676" s="5" t="s">
        <v>4</v>
      </c>
      <c r="H3676" s="5" t="s">
        <v>5</v>
      </c>
      <c r="I3676" s="6">
        <v>45837</v>
      </c>
    </row>
    <row r="3677" spans="1:9" ht="13.5">
      <c r="A3677" s="2" t="s">
        <v>3832</v>
      </c>
      <c r="B3677" s="3"/>
      <c r="C3677" s="4" t="s">
        <v>6421</v>
      </c>
      <c r="D3677" s="4" t="s">
        <v>3834</v>
      </c>
      <c r="E3677" s="5" t="s">
        <v>6422</v>
      </c>
      <c r="F3677" s="5" t="str">
        <f t="shared" si="57"/>
        <v>michaelofrisorerna.se</v>
      </c>
      <c r="G3677" s="5" t="s">
        <v>4</v>
      </c>
      <c r="H3677" s="5" t="s">
        <v>5</v>
      </c>
      <c r="I3677" s="6">
        <v>45837</v>
      </c>
    </row>
    <row r="3678" spans="1:9" ht="13.5">
      <c r="A3678" s="2" t="s">
        <v>6399</v>
      </c>
      <c r="B3678" s="3"/>
      <c r="C3678" s="8" t="s">
        <v>6423</v>
      </c>
      <c r="D3678" s="8" t="s">
        <v>6401</v>
      </c>
      <c r="E3678" s="5" t="s">
        <v>6424</v>
      </c>
      <c r="F3678" s="5" t="str">
        <f t="shared" si="57"/>
        <v>merchoteket.se</v>
      </c>
      <c r="G3678" s="5" t="s">
        <v>4</v>
      </c>
      <c r="H3678" s="5" t="s">
        <v>5</v>
      </c>
      <c r="I3678" s="6">
        <v>45837</v>
      </c>
    </row>
    <row r="3679" spans="1:9" ht="13.5">
      <c r="A3679" s="2" t="s">
        <v>435</v>
      </c>
      <c r="B3679" s="3"/>
      <c r="C3679" s="4" t="s">
        <v>6425</v>
      </c>
      <c r="D3679" s="4" t="s">
        <v>1734</v>
      </c>
      <c r="E3679" s="5" t="s">
        <v>839</v>
      </c>
      <c r="F3679" s="5" t="str">
        <f t="shared" si="57"/>
        <v>fairinvestments.se</v>
      </c>
      <c r="G3679" s="5" t="s">
        <v>4</v>
      </c>
      <c r="H3679" s="5" t="s">
        <v>5</v>
      </c>
      <c r="I3679" s="6">
        <v>45837</v>
      </c>
    </row>
    <row r="3680" spans="1:9" ht="13.5">
      <c r="A3680" s="2" t="s">
        <v>435</v>
      </c>
      <c r="B3680" s="3"/>
      <c r="C3680" s="4" t="s">
        <v>6426</v>
      </c>
      <c r="D3680" s="4" t="s">
        <v>1446</v>
      </c>
      <c r="E3680" s="5" t="s">
        <v>839</v>
      </c>
      <c r="F3680" s="5" t="str">
        <f t="shared" si="57"/>
        <v>fairinvestments.se</v>
      </c>
      <c r="G3680" s="5" t="s">
        <v>4</v>
      </c>
      <c r="H3680" s="5" t="s">
        <v>5</v>
      </c>
      <c r="I3680" s="6">
        <v>45837</v>
      </c>
    </row>
    <row r="3681" spans="1:9" ht="13.5">
      <c r="A3681" s="2" t="s">
        <v>3921</v>
      </c>
      <c r="B3681" s="3"/>
      <c r="C3681" s="4" t="s">
        <v>6427</v>
      </c>
      <c r="D3681" s="4" t="s">
        <v>6159</v>
      </c>
      <c r="E3681" s="5" t="s">
        <v>6428</v>
      </c>
      <c r="F3681" s="5" t="str">
        <f t="shared" si="57"/>
        <v>svenskalasjouren.se</v>
      </c>
      <c r="G3681" s="5" t="s">
        <v>4</v>
      </c>
      <c r="H3681" s="5" t="s">
        <v>5</v>
      </c>
      <c r="I3681" s="6">
        <v>45837</v>
      </c>
    </row>
    <row r="3682" spans="1:9" ht="13.5">
      <c r="A3682" s="7" t="s">
        <v>224</v>
      </c>
      <c r="B3682" s="3"/>
      <c r="C3682" s="4" t="s">
        <v>6429</v>
      </c>
      <c r="D3682" s="4" t="s">
        <v>337</v>
      </c>
      <c r="E3682" s="5" t="s">
        <v>338</v>
      </c>
      <c r="F3682" s="5" t="str">
        <f t="shared" si="57"/>
        <v>swedoffice</v>
      </c>
      <c r="G3682" s="5" t="s">
        <v>4</v>
      </c>
      <c r="H3682" s="5" t="s">
        <v>5</v>
      </c>
      <c r="I3682" s="6">
        <v>45837</v>
      </c>
    </row>
    <row r="3683" spans="1:9" ht="13.5">
      <c r="A3683" s="2" t="s">
        <v>3173</v>
      </c>
      <c r="B3683" s="3"/>
      <c r="C3683" s="4" t="s">
        <v>6430</v>
      </c>
      <c r="D3683" s="4" t="s">
        <v>3458</v>
      </c>
      <c r="E3683" s="5" t="s">
        <v>3217</v>
      </c>
      <c r="F3683" s="5" t="str">
        <f t="shared" si="57"/>
        <v>ekstromgaray.se</v>
      </c>
      <c r="G3683" s="5" t="s">
        <v>4</v>
      </c>
      <c r="H3683" s="5" t="s">
        <v>5</v>
      </c>
      <c r="I3683" s="6">
        <v>45837</v>
      </c>
    </row>
    <row r="3684" spans="1:9" ht="13.5">
      <c r="A3684" s="2" t="s">
        <v>3128</v>
      </c>
      <c r="B3684" s="3"/>
      <c r="C3684" s="8" t="s">
        <v>6431</v>
      </c>
      <c r="D3684" s="8" t="s">
        <v>3130</v>
      </c>
      <c r="E3684" s="5" t="s">
        <v>6000</v>
      </c>
      <c r="F3684" s="5" t="str">
        <f t="shared" si="57"/>
        <v>bethard.com</v>
      </c>
      <c r="G3684" s="5" t="s">
        <v>4</v>
      </c>
      <c r="H3684" s="5" t="s">
        <v>5</v>
      </c>
      <c r="I3684" s="6">
        <v>45838</v>
      </c>
    </row>
    <row r="3685" spans="1:9" ht="13.5">
      <c r="A3685" s="2" t="s">
        <v>2357</v>
      </c>
      <c r="B3685" s="3"/>
      <c r="C3685" s="8" t="s">
        <v>6432</v>
      </c>
      <c r="D3685" s="8" t="s">
        <v>5685</v>
      </c>
      <c r="E3685" s="5" t="s">
        <v>5686</v>
      </c>
      <c r="F3685" s="5" t="str">
        <f t="shared" si="57"/>
        <v>lsb.se</v>
      </c>
      <c r="G3685" s="5" t="s">
        <v>4</v>
      </c>
      <c r="H3685" s="5" t="s">
        <v>5</v>
      </c>
      <c r="I3685" s="6">
        <v>45838</v>
      </c>
    </row>
    <row r="3686" spans="1:9" ht="13.5">
      <c r="A3686" s="2" t="s">
        <v>6014</v>
      </c>
      <c r="B3686" s="3"/>
      <c r="C3686" s="8" t="s">
        <v>6433</v>
      </c>
      <c r="D3686" s="8" t="s">
        <v>6434</v>
      </c>
      <c r="E3686" s="5" t="s">
        <v>1876</v>
      </c>
      <c r="F3686" s="5" t="str">
        <f t="shared" si="57"/>
        <v>kungaslottet.se</v>
      </c>
      <c r="G3686" s="5" t="s">
        <v>4</v>
      </c>
      <c r="H3686" s="5" t="s">
        <v>5</v>
      </c>
      <c r="I3686" s="6">
        <v>45838</v>
      </c>
    </row>
    <row r="3687" spans="1:9" ht="13.5">
      <c r="A3687" s="2" t="s">
        <v>2999</v>
      </c>
      <c r="B3687" s="3"/>
      <c r="C3687" s="8" t="s">
        <v>6435</v>
      </c>
      <c r="D3687" s="8" t="s">
        <v>3009</v>
      </c>
      <c r="E3687" s="5" t="s">
        <v>3233</v>
      </c>
      <c r="F3687" s="5" t="str">
        <f t="shared" si="57"/>
        <v>nettotobak.com</v>
      </c>
      <c r="G3687" s="5" t="s">
        <v>4</v>
      </c>
      <c r="H3687" s="5" t="s">
        <v>5</v>
      </c>
      <c r="I3687" s="6">
        <v>45838</v>
      </c>
    </row>
    <row r="3688" spans="1:9" ht="13.5">
      <c r="A3688" s="2" t="s">
        <v>3058</v>
      </c>
      <c r="B3688" s="3"/>
      <c r="C3688" s="8" t="s">
        <v>6436</v>
      </c>
      <c r="D3688" s="4" t="s">
        <v>5034</v>
      </c>
      <c r="E3688" s="5" t="s">
        <v>179</v>
      </c>
      <c r="F3688" s="5" t="str">
        <f t="shared" si="57"/>
        <v>rusta.se</v>
      </c>
      <c r="G3688" s="5" t="s">
        <v>4</v>
      </c>
      <c r="H3688" s="5" t="s">
        <v>5</v>
      </c>
      <c r="I3688" s="6">
        <v>45838</v>
      </c>
    </row>
    <row r="3689" spans="1:9" ht="13.5">
      <c r="A3689" s="2" t="s">
        <v>5715</v>
      </c>
      <c r="B3689" s="3"/>
      <c r="C3689" s="8" t="s">
        <v>6437</v>
      </c>
      <c r="D3689" s="4" t="s">
        <v>5717</v>
      </c>
      <c r="E3689" s="5" t="s">
        <v>5718</v>
      </c>
      <c r="F3689" s="5" t="str">
        <f t="shared" si="57"/>
        <v>Minifinder.se</v>
      </c>
      <c r="G3689" s="5" t="s">
        <v>4</v>
      </c>
      <c r="H3689" s="5" t="s">
        <v>5</v>
      </c>
      <c r="I3689" s="6">
        <v>45838</v>
      </c>
    </row>
    <row r="3690" spans="1:9" ht="13.5">
      <c r="A3690" s="2" t="s">
        <v>6415</v>
      </c>
      <c r="B3690" s="3"/>
      <c r="C3690" s="8" t="s">
        <v>6438</v>
      </c>
      <c r="D3690" s="4" t="s">
        <v>6439</v>
      </c>
      <c r="E3690" s="5" t="s">
        <v>6440</v>
      </c>
      <c r="F3690" s="5" t="str">
        <f t="shared" si="57"/>
        <v>comfydence.se</v>
      </c>
      <c r="G3690" s="5" t="s">
        <v>4</v>
      </c>
      <c r="H3690" s="5" t="s">
        <v>5</v>
      </c>
      <c r="I3690" s="6">
        <v>45838</v>
      </c>
    </row>
    <row r="3691" spans="1:9" ht="13.5">
      <c r="A3691" s="2" t="s">
        <v>5084</v>
      </c>
      <c r="B3691" s="3"/>
      <c r="C3691" s="4" t="s">
        <v>6441</v>
      </c>
      <c r="D3691" s="8" t="s">
        <v>6046</v>
      </c>
      <c r="E3691" s="5" t="s">
        <v>5802</v>
      </c>
      <c r="F3691" s="5" t="str">
        <f t="shared" si="57"/>
        <v>glassfactory.fi</v>
      </c>
      <c r="G3691" s="5" t="s">
        <v>4</v>
      </c>
      <c r="H3691" s="5" t="s">
        <v>5</v>
      </c>
      <c r="I3691" s="6">
        <v>45839</v>
      </c>
    </row>
    <row r="3692" spans="1:9" ht="13.5">
      <c r="A3692" s="2" t="s">
        <v>3058</v>
      </c>
      <c r="B3692" s="3"/>
      <c r="C3692" s="4" t="s">
        <v>6442</v>
      </c>
      <c r="D3692" s="4" t="s">
        <v>4133</v>
      </c>
      <c r="E3692" s="5" t="s">
        <v>3064</v>
      </c>
      <c r="F3692" s="5" t="str">
        <f t="shared" si="57"/>
        <v>rusta.se</v>
      </c>
      <c r="G3692" s="5" t="s">
        <v>4</v>
      </c>
      <c r="H3692" s="5" t="s">
        <v>5</v>
      </c>
      <c r="I3692" s="6">
        <v>45839</v>
      </c>
    </row>
    <row r="3693" spans="1:9" ht="13.5">
      <c r="A3693" s="2" t="s">
        <v>3058</v>
      </c>
      <c r="B3693" s="3"/>
      <c r="C3693" s="4" t="s">
        <v>6443</v>
      </c>
      <c r="D3693" s="4" t="s">
        <v>5034</v>
      </c>
      <c r="E3693" s="5" t="s">
        <v>14</v>
      </c>
      <c r="F3693" s="5" t="str">
        <f t="shared" si="57"/>
        <v>rusta.se</v>
      </c>
      <c r="G3693" s="5" t="s">
        <v>4</v>
      </c>
      <c r="H3693" s="5" t="s">
        <v>5</v>
      </c>
      <c r="I3693" s="6">
        <v>45839</v>
      </c>
    </row>
    <row r="3694" spans="1:9" ht="13.5">
      <c r="A3694" s="2" t="s">
        <v>3086</v>
      </c>
      <c r="B3694" s="3"/>
      <c r="C3694" s="4" t="s">
        <v>6444</v>
      </c>
      <c r="D3694" s="4" t="s">
        <v>3088</v>
      </c>
      <c r="E3694" s="5" t="s">
        <v>4616</v>
      </c>
      <c r="F3694" s="5" t="str">
        <f t="shared" si="57"/>
        <v>himala.ai</v>
      </c>
      <c r="G3694" s="5" t="s">
        <v>4</v>
      </c>
      <c r="H3694" s="5" t="s">
        <v>345</v>
      </c>
      <c r="I3694" s="6">
        <v>45839</v>
      </c>
    </row>
    <row r="3695" spans="1:9" ht="13.5">
      <c r="A3695" s="2" t="s">
        <v>6014</v>
      </c>
      <c r="B3695" s="3"/>
      <c r="C3695" s="4" t="s">
        <v>6445</v>
      </c>
      <c r="D3695" s="4" t="s">
        <v>6434</v>
      </c>
      <c r="E3695" s="5" t="s">
        <v>6446</v>
      </c>
      <c r="F3695" s="5" t="str">
        <f t="shared" si="57"/>
        <v>kungaslottet.se</v>
      </c>
      <c r="G3695" s="5" t="s">
        <v>4</v>
      </c>
      <c r="H3695" s="5" t="s">
        <v>5</v>
      </c>
      <c r="I3695" s="6">
        <v>45839</v>
      </c>
    </row>
    <row r="3696" spans="1:9" ht="13.5">
      <c r="A3696" s="2" t="s">
        <v>6447</v>
      </c>
      <c r="B3696" s="3"/>
      <c r="C3696" s="4" t="s">
        <v>6448</v>
      </c>
      <c r="D3696" s="4" t="s">
        <v>6449</v>
      </c>
      <c r="E3696" s="5" t="s">
        <v>6450</v>
      </c>
      <c r="F3696" s="5" t="str">
        <f t="shared" si="57"/>
        <v>Violamilano.com</v>
      </c>
      <c r="G3696" s="5" t="s">
        <v>4</v>
      </c>
      <c r="H3696" s="5" t="s">
        <v>345</v>
      </c>
      <c r="I3696" s="6">
        <v>45839</v>
      </c>
    </row>
    <row r="3697" spans="1:9" ht="13.5">
      <c r="A3697" s="2" t="s">
        <v>3058</v>
      </c>
      <c r="B3697" s="3"/>
      <c r="C3697" s="8" t="s">
        <v>6451</v>
      </c>
      <c r="D3697" s="8" t="s">
        <v>4133</v>
      </c>
      <c r="E3697" s="5" t="s">
        <v>3064</v>
      </c>
      <c r="F3697" s="5" t="str">
        <f t="shared" si="57"/>
        <v>rusta.se</v>
      </c>
      <c r="G3697" s="5" t="s">
        <v>4</v>
      </c>
      <c r="H3697" s="5" t="s">
        <v>5</v>
      </c>
      <c r="I3697" s="6">
        <v>45840</v>
      </c>
    </row>
    <row r="3698" spans="1:9" ht="13.5">
      <c r="A3698" s="2" t="s">
        <v>3580</v>
      </c>
      <c r="B3698" s="3"/>
      <c r="C3698" s="8" t="s">
        <v>6452</v>
      </c>
      <c r="D3698" s="8" t="s">
        <v>6453</v>
      </c>
      <c r="E3698" s="5" t="s">
        <v>6454</v>
      </c>
      <c r="F3698" s="5" t="str">
        <f t="shared" si="57"/>
        <v>kleer.se</v>
      </c>
      <c r="G3698" s="5" t="s">
        <v>4</v>
      </c>
      <c r="H3698" s="5" t="s">
        <v>5</v>
      </c>
      <c r="I3698" s="6">
        <v>45840</v>
      </c>
    </row>
    <row r="3699" spans="1:9" ht="13.5">
      <c r="A3699" s="2" t="s">
        <v>3921</v>
      </c>
      <c r="B3699" s="3"/>
      <c r="C3699" s="8" t="s">
        <v>6455</v>
      </c>
      <c r="D3699" s="8" t="s">
        <v>6159</v>
      </c>
      <c r="E3699" s="5" t="s">
        <v>6160</v>
      </c>
      <c r="F3699" s="5" t="str">
        <f t="shared" si="57"/>
        <v>svenskalasjouren.se</v>
      </c>
      <c r="G3699" s="5" t="s">
        <v>4</v>
      </c>
      <c r="H3699" s="5" t="s">
        <v>5</v>
      </c>
      <c r="I3699" s="6">
        <v>45840</v>
      </c>
    </row>
    <row r="3700" spans="1:9" ht="13.5">
      <c r="A3700" s="2" t="s">
        <v>3761</v>
      </c>
      <c r="B3700" s="3"/>
      <c r="C3700" s="8" t="s">
        <v>6456</v>
      </c>
      <c r="D3700" s="4" t="s">
        <v>3908</v>
      </c>
      <c r="E3700" s="5" t="s">
        <v>6457</v>
      </c>
      <c r="F3700" s="5" t="str">
        <f t="shared" si="57"/>
        <v>hajper.com</v>
      </c>
      <c r="G3700" s="5" t="s">
        <v>4</v>
      </c>
      <c r="H3700" s="5" t="s">
        <v>5</v>
      </c>
      <c r="I3700" s="6">
        <v>45840</v>
      </c>
    </row>
    <row r="3701" spans="1:9" ht="13.5">
      <c r="A3701" s="2" t="s">
        <v>2357</v>
      </c>
      <c r="B3701" s="3"/>
      <c r="C3701" s="8" t="s">
        <v>6458</v>
      </c>
      <c r="D3701" s="4" t="s">
        <v>5847</v>
      </c>
      <c r="E3701" s="5" t="s">
        <v>4400</v>
      </c>
      <c r="F3701" s="5" t="str">
        <f t="shared" si="57"/>
        <v>lsb.se</v>
      </c>
      <c r="G3701" s="5" t="s">
        <v>4</v>
      </c>
      <c r="H3701" s="5" t="s">
        <v>5</v>
      </c>
      <c r="I3701" s="6">
        <v>45840</v>
      </c>
    </row>
    <row r="3702" spans="1:9" ht="13.5">
      <c r="A3702" s="2" t="s">
        <v>3090</v>
      </c>
      <c r="B3702" s="3"/>
      <c r="C3702" s="8" t="s">
        <v>6459</v>
      </c>
      <c r="D3702" s="8" t="s">
        <v>6460</v>
      </c>
      <c r="E3702" s="5" t="s">
        <v>6214</v>
      </c>
      <c r="F3702" s="5" t="str">
        <f t="shared" si="57"/>
        <v>videoslots.com</v>
      </c>
      <c r="G3702" s="5" t="s">
        <v>4</v>
      </c>
      <c r="H3702" s="5" t="s">
        <v>5</v>
      </c>
      <c r="I3702" s="6">
        <v>45840</v>
      </c>
    </row>
    <row r="3703" spans="1:9" ht="13.5">
      <c r="A3703" s="2" t="s">
        <v>3885</v>
      </c>
      <c r="B3703" s="3"/>
      <c r="C3703" s="4" t="s">
        <v>6461</v>
      </c>
      <c r="D3703" s="4" t="s">
        <v>3967</v>
      </c>
      <c r="E3703" s="5" t="s">
        <v>6462</v>
      </c>
      <c r="F3703" s="5" t="str">
        <f t="shared" si="57"/>
        <v>chattanoogarehab.com</v>
      </c>
      <c r="G3703" s="5" t="s">
        <v>4</v>
      </c>
      <c r="H3703" s="5" t="s">
        <v>345</v>
      </c>
      <c r="I3703" s="6">
        <v>45840</v>
      </c>
    </row>
    <row r="3704" spans="1:9" ht="13.5">
      <c r="A3704" s="2" t="s">
        <v>3885</v>
      </c>
      <c r="B3704" s="3"/>
      <c r="C3704" s="8" t="s">
        <v>6461</v>
      </c>
      <c r="D3704" s="4" t="s">
        <v>3967</v>
      </c>
      <c r="E3704" s="5" t="s">
        <v>6463</v>
      </c>
      <c r="F3704" s="5" t="str">
        <f t="shared" si="57"/>
        <v>chattanoogarehab.com</v>
      </c>
      <c r="G3704" s="5" t="s">
        <v>4</v>
      </c>
      <c r="H3704" s="5" t="s">
        <v>345</v>
      </c>
      <c r="I3704" s="6">
        <v>45841</v>
      </c>
    </row>
    <row r="3705" spans="1:9" ht="13.5">
      <c r="A3705" s="2" t="s">
        <v>3058</v>
      </c>
      <c r="B3705" s="3"/>
      <c r="C3705" s="8" t="s">
        <v>6464</v>
      </c>
      <c r="D3705" s="8" t="s">
        <v>4537</v>
      </c>
      <c r="E3705" s="5" t="s">
        <v>5678</v>
      </c>
      <c r="F3705" s="5" t="str">
        <f t="shared" si="57"/>
        <v>rusta.se</v>
      </c>
      <c r="G3705" s="5" t="s">
        <v>4</v>
      </c>
      <c r="H3705" s="5" t="s">
        <v>5</v>
      </c>
      <c r="I3705" s="6">
        <v>45841</v>
      </c>
    </row>
    <row r="3706" spans="1:9" ht="13.5">
      <c r="A3706" s="2" t="s">
        <v>2999</v>
      </c>
      <c r="B3706" s="3"/>
      <c r="C3706" s="8" t="s">
        <v>6465</v>
      </c>
      <c r="D3706" s="8" t="s">
        <v>4916</v>
      </c>
      <c r="E3706" s="5" t="s">
        <v>5673</v>
      </c>
      <c r="F3706" s="5" t="str">
        <f t="shared" si="57"/>
        <v>nettotobak.com</v>
      </c>
      <c r="G3706" s="5" t="s">
        <v>4</v>
      </c>
      <c r="H3706" s="5" t="s">
        <v>5</v>
      </c>
      <c r="I3706" s="6">
        <v>45841</v>
      </c>
    </row>
    <row r="3707" spans="1:9" ht="13.5">
      <c r="A3707" s="2" t="s">
        <v>6025</v>
      </c>
      <c r="B3707" s="3"/>
      <c r="C3707" s="8" t="s">
        <v>6466</v>
      </c>
      <c r="D3707" s="4" t="s">
        <v>6467</v>
      </c>
      <c r="E3707" s="5" t="s">
        <v>6468</v>
      </c>
      <c r="F3707" s="5" t="str">
        <f t="shared" si="57"/>
        <v>megariches.com</v>
      </c>
      <c r="G3707" s="5" t="s">
        <v>4</v>
      </c>
      <c r="H3707" s="5" t="s">
        <v>5</v>
      </c>
      <c r="I3707" s="6">
        <v>45841</v>
      </c>
    </row>
    <row r="3708" spans="1:9" ht="13.5">
      <c r="A3708" s="2" t="s">
        <v>4041</v>
      </c>
      <c r="B3708" s="3"/>
      <c r="C3708" s="8" t="s">
        <v>6469</v>
      </c>
      <c r="D3708" s="8" t="s">
        <v>4043</v>
      </c>
      <c r="E3708" s="5" t="s">
        <v>5198</v>
      </c>
      <c r="F3708" s="5" t="str">
        <f t="shared" si="57"/>
        <v>cateringfabriken.se</v>
      </c>
      <c r="G3708" s="5" t="s">
        <v>4</v>
      </c>
      <c r="H3708" s="5" t="s">
        <v>5</v>
      </c>
      <c r="I3708" s="6">
        <v>45841</v>
      </c>
    </row>
    <row r="3709" spans="1:9" ht="13.5">
      <c r="A3709" s="2" t="s">
        <v>3058</v>
      </c>
      <c r="B3709" s="3"/>
      <c r="C3709" s="4" t="s">
        <v>6470</v>
      </c>
      <c r="D3709" s="4" t="s">
        <v>6471</v>
      </c>
      <c r="E3709" s="5" t="s">
        <v>5395</v>
      </c>
      <c r="F3709" s="5" t="str">
        <f t="shared" si="57"/>
        <v>rusta.se</v>
      </c>
      <c r="G3709" s="5" t="s">
        <v>4</v>
      </c>
      <c r="H3709" s="5" t="s">
        <v>5</v>
      </c>
      <c r="I3709" s="6">
        <v>45841</v>
      </c>
    </row>
    <row r="3710" spans="1:9" ht="13.5">
      <c r="A3710" s="2" t="s">
        <v>3580</v>
      </c>
      <c r="B3710" s="3"/>
      <c r="C3710" s="4" t="s">
        <v>6472</v>
      </c>
      <c r="D3710" s="4" t="s">
        <v>5312</v>
      </c>
      <c r="E3710" s="5" t="s">
        <v>5313</v>
      </c>
      <c r="F3710" s="5" t="str">
        <f t="shared" si="57"/>
        <v>kleer.se</v>
      </c>
      <c r="G3710" s="5" t="s">
        <v>4</v>
      </c>
      <c r="H3710" s="5" t="s">
        <v>5</v>
      </c>
      <c r="I3710" s="6">
        <v>45841</v>
      </c>
    </row>
    <row r="3711" spans="1:9" ht="13.5">
      <c r="A3711" s="2" t="s">
        <v>5020</v>
      </c>
      <c r="B3711" s="3"/>
      <c r="C3711" s="4" t="s">
        <v>6473</v>
      </c>
      <c r="D3711" s="4" t="s">
        <v>6474</v>
      </c>
      <c r="E3711" s="5" t="s">
        <v>5866</v>
      </c>
      <c r="F3711" s="5" t="str">
        <f t="shared" si="57"/>
        <v>sesec.se</v>
      </c>
      <c r="G3711" s="5" t="s">
        <v>4</v>
      </c>
      <c r="H3711" s="5" t="s">
        <v>5</v>
      </c>
      <c r="I3711" s="6">
        <v>45841</v>
      </c>
    </row>
    <row r="3712" spans="1:9" ht="13.5">
      <c r="A3712" s="2" t="s">
        <v>6447</v>
      </c>
      <c r="B3712" s="3"/>
      <c r="C3712" s="4" t="s">
        <v>6475</v>
      </c>
      <c r="D3712" s="4" t="s">
        <v>6449</v>
      </c>
      <c r="E3712" s="5" t="s">
        <v>6476</v>
      </c>
      <c r="F3712" s="5" t="str">
        <f t="shared" si="57"/>
        <v>Violamilano.com</v>
      </c>
      <c r="G3712" s="5" t="s">
        <v>4</v>
      </c>
      <c r="H3712" s="5" t="s">
        <v>345</v>
      </c>
      <c r="I3712" s="6">
        <v>45841</v>
      </c>
    </row>
    <row r="3713" spans="1:9" ht="13.5">
      <c r="A3713" s="2" t="s">
        <v>5890</v>
      </c>
      <c r="B3713" s="3"/>
      <c r="C3713" s="4" t="s">
        <v>6477</v>
      </c>
      <c r="D3713" s="4" t="s">
        <v>6040</v>
      </c>
      <c r="E3713" s="5" t="s">
        <v>6301</v>
      </c>
      <c r="F3713" s="5" t="str">
        <f t="shared" si="57"/>
        <v>yourgild.com</v>
      </c>
      <c r="G3713" s="5" t="s">
        <v>4</v>
      </c>
      <c r="H3713" s="5" t="s">
        <v>345</v>
      </c>
      <c r="I3713" s="6">
        <v>45841</v>
      </c>
    </row>
    <row r="3714" spans="1:9" ht="13.5">
      <c r="A3714" s="2" t="s">
        <v>6025</v>
      </c>
      <c r="B3714" s="3"/>
      <c r="C3714" s="4" t="s">
        <v>6478</v>
      </c>
      <c r="D3714" s="8" t="s">
        <v>6063</v>
      </c>
      <c r="E3714" s="5" t="s">
        <v>6054</v>
      </c>
      <c r="F3714" s="5" t="str">
        <f t="shared" si="57"/>
        <v>megariches.com</v>
      </c>
      <c r="G3714" s="5" t="s">
        <v>4</v>
      </c>
      <c r="H3714" s="5" t="s">
        <v>3496</v>
      </c>
      <c r="I3714" s="6">
        <v>45841</v>
      </c>
    </row>
    <row r="3715" spans="1:9" ht="13.5">
      <c r="A3715" s="2" t="s">
        <v>3090</v>
      </c>
      <c r="B3715" s="3"/>
      <c r="C3715" s="138" t="s">
        <v>6479</v>
      </c>
      <c r="D3715" s="8" t="s">
        <v>3095</v>
      </c>
      <c r="E3715" s="5" t="s">
        <v>6480</v>
      </c>
      <c r="F3715" s="5" t="str">
        <f t="shared" ref="F3715:F3778" si="58">A3715</f>
        <v>videoslots.com</v>
      </c>
      <c r="G3715" s="5" t="s">
        <v>4</v>
      </c>
      <c r="H3715" s="5" t="s">
        <v>3496</v>
      </c>
      <c r="I3715" s="6">
        <v>45841</v>
      </c>
    </row>
    <row r="3716" spans="1:9" ht="13.5">
      <c r="A3716" s="2" t="s">
        <v>6025</v>
      </c>
      <c r="B3716" s="3"/>
      <c r="C3716" s="4" t="s">
        <v>6481</v>
      </c>
      <c r="D3716" s="8" t="s">
        <v>6063</v>
      </c>
      <c r="E3716" s="5" t="s">
        <v>6482</v>
      </c>
      <c r="F3716" s="5" t="str">
        <f t="shared" si="58"/>
        <v>megariches.com</v>
      </c>
      <c r="G3716" s="5" t="s">
        <v>4</v>
      </c>
      <c r="H3716" s="5" t="s">
        <v>3496</v>
      </c>
      <c r="I3716" s="6">
        <v>45841</v>
      </c>
    </row>
    <row r="3717" spans="1:9" ht="13.5">
      <c r="A3717" s="2" t="s">
        <v>6021</v>
      </c>
      <c r="B3717" s="3"/>
      <c r="C3717" s="4" t="s">
        <v>6483</v>
      </c>
      <c r="D3717" s="8" t="s">
        <v>6056</v>
      </c>
      <c r="E3717" s="5" t="s">
        <v>6484</v>
      </c>
      <c r="F3717" s="5" t="str">
        <f t="shared" si="58"/>
        <v>mrvegas.com</v>
      </c>
      <c r="G3717" s="5" t="s">
        <v>4</v>
      </c>
      <c r="H3717" s="5" t="s">
        <v>3496</v>
      </c>
      <c r="I3717" s="6">
        <v>45841</v>
      </c>
    </row>
    <row r="3718" spans="1:9" ht="13.5">
      <c r="A3718" s="2" t="s">
        <v>6447</v>
      </c>
      <c r="B3718" s="3"/>
      <c r="C3718" s="4" t="s">
        <v>6485</v>
      </c>
      <c r="D3718" s="4" t="s">
        <v>6486</v>
      </c>
      <c r="E3718" s="5" t="s">
        <v>6487</v>
      </c>
      <c r="F3718" s="5" t="str">
        <f t="shared" si="58"/>
        <v>Violamilano.com</v>
      </c>
      <c r="G3718" s="5" t="s">
        <v>4</v>
      </c>
      <c r="H3718" s="5" t="s">
        <v>345</v>
      </c>
      <c r="I3718" s="6">
        <v>45841</v>
      </c>
    </row>
    <row r="3719" spans="1:9" ht="13.5">
      <c r="A3719" s="7" t="s">
        <v>5361</v>
      </c>
      <c r="B3719" s="3"/>
      <c r="C3719" s="4" t="s">
        <v>6488</v>
      </c>
      <c r="D3719" s="4" t="s">
        <v>5436</v>
      </c>
      <c r="E3719" s="5" t="s">
        <v>5823</v>
      </c>
      <c r="F3719" s="5" t="str">
        <f t="shared" si="58"/>
        <v>Leaptodigital</v>
      </c>
      <c r="G3719" s="5" t="s">
        <v>4</v>
      </c>
      <c r="H3719" s="5" t="s">
        <v>345</v>
      </c>
      <c r="I3719" s="6">
        <v>45841</v>
      </c>
    </row>
    <row r="3720" spans="1:9" ht="13.5">
      <c r="A3720" s="7" t="s">
        <v>5361</v>
      </c>
      <c r="B3720" s="3"/>
      <c r="C3720" s="4" t="s">
        <v>6489</v>
      </c>
      <c r="D3720" s="4" t="s">
        <v>5436</v>
      </c>
      <c r="E3720" s="5" t="s">
        <v>5823</v>
      </c>
      <c r="F3720" s="5" t="str">
        <f t="shared" si="58"/>
        <v>Leaptodigital</v>
      </c>
      <c r="G3720" s="5" t="s">
        <v>4</v>
      </c>
      <c r="H3720" s="5" t="s">
        <v>345</v>
      </c>
      <c r="I3720" s="6">
        <v>45841</v>
      </c>
    </row>
    <row r="3721" spans="1:9" ht="13.5">
      <c r="A3721" s="2" t="s">
        <v>6262</v>
      </c>
      <c r="B3721" s="3"/>
      <c r="C3721" s="4" t="s">
        <v>6490</v>
      </c>
      <c r="D3721" s="4" t="s">
        <v>6264</v>
      </c>
      <c r="E3721" s="5" t="s">
        <v>6491</v>
      </c>
      <c r="F3721" s="5" t="str">
        <f t="shared" si="58"/>
        <v>joinstriveon.com</v>
      </c>
      <c r="G3721" s="5" t="s">
        <v>4</v>
      </c>
      <c r="H3721" s="5" t="s">
        <v>345</v>
      </c>
      <c r="I3721" s="6">
        <v>45842</v>
      </c>
    </row>
    <row r="3722" spans="1:9" ht="13.5">
      <c r="A3722" s="2" t="s">
        <v>6262</v>
      </c>
      <c r="B3722" s="3"/>
      <c r="C3722" s="138" t="s">
        <v>6492</v>
      </c>
      <c r="D3722" s="4" t="s">
        <v>6264</v>
      </c>
      <c r="E3722" s="5" t="s">
        <v>6318</v>
      </c>
      <c r="F3722" s="5" t="str">
        <f t="shared" si="58"/>
        <v>joinstriveon.com</v>
      </c>
      <c r="G3722" s="5" t="s">
        <v>4</v>
      </c>
      <c r="H3722" s="5" t="s">
        <v>345</v>
      </c>
      <c r="I3722" s="6">
        <v>45842</v>
      </c>
    </row>
    <row r="3723" spans="1:9" ht="13.5">
      <c r="A3723" s="2" t="s">
        <v>3885</v>
      </c>
      <c r="B3723" s="3"/>
      <c r="C3723" s="4" t="s">
        <v>6493</v>
      </c>
      <c r="D3723" s="4" t="s">
        <v>3893</v>
      </c>
      <c r="E3723" s="5" t="s">
        <v>3896</v>
      </c>
      <c r="F3723" s="5" t="str">
        <f t="shared" si="58"/>
        <v>chattanoogarehab.com</v>
      </c>
      <c r="G3723" s="5" t="s">
        <v>4</v>
      </c>
      <c r="H3723" s="5" t="s">
        <v>345</v>
      </c>
      <c r="I3723" s="6">
        <v>45846</v>
      </c>
    </row>
    <row r="3724" spans="1:9" ht="13.5">
      <c r="A3724" s="2" t="s">
        <v>6262</v>
      </c>
      <c r="B3724" s="3"/>
      <c r="C3724" s="4" t="s">
        <v>6494</v>
      </c>
      <c r="D3724" s="4" t="s">
        <v>6322</v>
      </c>
      <c r="E3724" s="5" t="s">
        <v>6323</v>
      </c>
      <c r="F3724" s="5" t="str">
        <f t="shared" si="58"/>
        <v>joinstriveon.com</v>
      </c>
      <c r="G3724" s="5" t="s">
        <v>4</v>
      </c>
      <c r="H3724" s="5" t="s">
        <v>345</v>
      </c>
      <c r="I3724" s="6">
        <v>45846</v>
      </c>
    </row>
    <row r="3725" spans="1:9" ht="13.5">
      <c r="A3725" s="2" t="s">
        <v>5715</v>
      </c>
      <c r="B3725" s="3"/>
      <c r="C3725" s="4" t="s">
        <v>6495</v>
      </c>
      <c r="D3725" s="4" t="s">
        <v>6211</v>
      </c>
      <c r="E3725" s="5" t="s">
        <v>5718</v>
      </c>
      <c r="F3725" s="5" t="str">
        <f t="shared" si="58"/>
        <v>Minifinder.se</v>
      </c>
      <c r="G3725" s="5" t="s">
        <v>4</v>
      </c>
      <c r="H3725" s="5" t="s">
        <v>5</v>
      </c>
      <c r="I3725" s="6">
        <v>45846</v>
      </c>
    </row>
    <row r="3726" spans="1:9" ht="13.5">
      <c r="A3726" s="2" t="s">
        <v>6021</v>
      </c>
      <c r="B3726" s="3"/>
      <c r="C3726" s="4" t="s">
        <v>6496</v>
      </c>
      <c r="D3726" s="4" t="s">
        <v>6349</v>
      </c>
      <c r="E3726" s="5" t="s">
        <v>6497</v>
      </c>
      <c r="F3726" s="5" t="str">
        <f t="shared" si="58"/>
        <v>mrvegas.com</v>
      </c>
      <c r="G3726" s="5" t="s">
        <v>4</v>
      </c>
      <c r="H3726" s="5" t="s">
        <v>5</v>
      </c>
      <c r="I3726" s="6">
        <v>45846</v>
      </c>
    </row>
    <row r="3727" spans="1:9" ht="13.5">
      <c r="A3727" s="2" t="s">
        <v>3885</v>
      </c>
      <c r="B3727" s="3"/>
      <c r="C3727" s="4" t="s">
        <v>6498</v>
      </c>
      <c r="D3727" s="4" t="s">
        <v>3967</v>
      </c>
      <c r="E3727" s="5" t="s">
        <v>6462</v>
      </c>
      <c r="F3727" s="5" t="str">
        <f t="shared" si="58"/>
        <v>chattanoogarehab.com</v>
      </c>
      <c r="G3727" s="5" t="s">
        <v>4</v>
      </c>
      <c r="H3727" s="5" t="s">
        <v>345</v>
      </c>
      <c r="I3727" s="6">
        <v>45847</v>
      </c>
    </row>
    <row r="3728" spans="1:9" ht="13.5">
      <c r="A3728" s="2" t="s">
        <v>5890</v>
      </c>
      <c r="B3728" s="3"/>
      <c r="C3728" s="4" t="s">
        <v>6499</v>
      </c>
      <c r="D3728" s="4" t="s">
        <v>6040</v>
      </c>
      <c r="E3728" s="5" t="s">
        <v>6041</v>
      </c>
      <c r="F3728" s="5" t="str">
        <f t="shared" si="58"/>
        <v>yourgild.com</v>
      </c>
      <c r="G3728" s="5" t="s">
        <v>4</v>
      </c>
      <c r="H3728" s="5" t="s">
        <v>345</v>
      </c>
      <c r="I3728" s="6">
        <v>45847</v>
      </c>
    </row>
    <row r="3729" spans="1:9" ht="13.5">
      <c r="A3729" s="7" t="s">
        <v>5361</v>
      </c>
      <c r="B3729" s="3"/>
      <c r="C3729" s="4" t="s">
        <v>6500</v>
      </c>
      <c r="D3729" s="4" t="s">
        <v>5436</v>
      </c>
      <c r="E3729" s="5" t="s">
        <v>5823</v>
      </c>
      <c r="F3729" s="5" t="str">
        <f t="shared" si="58"/>
        <v>Leaptodigital</v>
      </c>
      <c r="G3729" s="5" t="s">
        <v>4</v>
      </c>
      <c r="H3729" s="5" t="s">
        <v>345</v>
      </c>
      <c r="I3729" s="6">
        <v>45847</v>
      </c>
    </row>
    <row r="3730" spans="1:9" ht="13.5">
      <c r="A3730" s="2" t="s">
        <v>4051</v>
      </c>
      <c r="B3730" s="3"/>
      <c r="C3730" s="4" t="s">
        <v>6501</v>
      </c>
      <c r="D3730" s="4" t="s">
        <v>4128</v>
      </c>
      <c r="E3730" s="5" t="s">
        <v>4129</v>
      </c>
      <c r="F3730" s="5" t="str">
        <f t="shared" si="58"/>
        <v>hund.se</v>
      </c>
      <c r="G3730" s="5" t="s">
        <v>4</v>
      </c>
      <c r="H3730" s="5" t="s">
        <v>5</v>
      </c>
      <c r="I3730" s="6">
        <v>45848</v>
      </c>
    </row>
    <row r="3731" spans="1:9" ht="13.5">
      <c r="A3731" s="2" t="s">
        <v>5350</v>
      </c>
      <c r="B3731" s="3"/>
      <c r="C3731" s="4" t="s">
        <v>6502</v>
      </c>
      <c r="D3731" s="4" t="s">
        <v>5536</v>
      </c>
      <c r="E3731" s="5" t="s">
        <v>5537</v>
      </c>
      <c r="F3731" s="5" t="str">
        <f t="shared" si="58"/>
        <v>lilla-varlden.se</v>
      </c>
      <c r="G3731" s="5" t="s">
        <v>4</v>
      </c>
      <c r="H3731" s="5" t="s">
        <v>5</v>
      </c>
      <c r="I3731" s="6">
        <v>45848</v>
      </c>
    </row>
    <row r="3732" spans="1:9" ht="13.5">
      <c r="A3732" s="2" t="s">
        <v>6025</v>
      </c>
      <c r="B3732" s="3"/>
      <c r="C3732" s="4" t="s">
        <v>6503</v>
      </c>
      <c r="D3732" s="4" t="s">
        <v>6405</v>
      </c>
      <c r="E3732" s="5" t="s">
        <v>6504</v>
      </c>
      <c r="F3732" s="5" t="str">
        <f t="shared" si="58"/>
        <v>megariches.com</v>
      </c>
      <c r="G3732" s="5" t="s">
        <v>4</v>
      </c>
      <c r="H3732" s="5" t="s">
        <v>5</v>
      </c>
      <c r="I3732" s="6">
        <v>45848</v>
      </c>
    </row>
    <row r="3733" spans="1:9" ht="13.5">
      <c r="A3733" s="2" t="s">
        <v>3885</v>
      </c>
      <c r="B3733" s="3"/>
      <c r="C3733" s="138" t="s">
        <v>6505</v>
      </c>
      <c r="D3733" s="4" t="s">
        <v>3887</v>
      </c>
      <c r="E3733" s="5" t="s">
        <v>6506</v>
      </c>
      <c r="F3733" s="5" t="str">
        <f t="shared" si="58"/>
        <v>chattanoogarehab.com</v>
      </c>
      <c r="G3733" s="5" t="s">
        <v>4</v>
      </c>
      <c r="H3733" s="5" t="s">
        <v>345</v>
      </c>
      <c r="I3733" s="6">
        <v>45849</v>
      </c>
    </row>
    <row r="3734" spans="1:9" ht="13.5">
      <c r="A3734" s="2" t="s">
        <v>5890</v>
      </c>
      <c r="B3734" s="3"/>
      <c r="C3734" s="4" t="s">
        <v>6507</v>
      </c>
      <c r="D3734" s="4" t="s">
        <v>6040</v>
      </c>
      <c r="E3734" s="5" t="s">
        <v>6301</v>
      </c>
      <c r="F3734" s="5" t="str">
        <f t="shared" si="58"/>
        <v>yourgild.com</v>
      </c>
      <c r="G3734" s="5" t="s">
        <v>4</v>
      </c>
      <c r="H3734" s="5" t="s">
        <v>345</v>
      </c>
      <c r="I3734" s="6">
        <v>45849</v>
      </c>
    </row>
    <row r="3735" spans="1:9" ht="13.5">
      <c r="A3735" s="2" t="s">
        <v>4489</v>
      </c>
      <c r="B3735" s="3"/>
      <c r="C3735" s="4" t="s">
        <v>6508</v>
      </c>
      <c r="D3735" s="4" t="s">
        <v>6325</v>
      </c>
      <c r="E3735" s="5" t="s">
        <v>4495</v>
      </c>
      <c r="F3735" s="5" t="str">
        <f t="shared" si="58"/>
        <v>nordicknots.com</v>
      </c>
      <c r="G3735" s="5" t="s">
        <v>4</v>
      </c>
      <c r="H3735" s="5" t="s">
        <v>345</v>
      </c>
      <c r="I3735" s="6">
        <v>45849</v>
      </c>
    </row>
    <row r="3736" spans="1:9" ht="13.5">
      <c r="A3736" s="2" t="s">
        <v>4489</v>
      </c>
      <c r="B3736" s="3"/>
      <c r="C3736" s="4" t="s">
        <v>6509</v>
      </c>
      <c r="D3736" s="4" t="s">
        <v>6325</v>
      </c>
      <c r="E3736" s="5" t="s">
        <v>5571</v>
      </c>
      <c r="F3736" s="5" t="str">
        <f t="shared" si="58"/>
        <v>nordicknots.com</v>
      </c>
      <c r="G3736" s="5" t="s">
        <v>4</v>
      </c>
      <c r="H3736" s="5" t="s">
        <v>345</v>
      </c>
      <c r="I3736" s="6">
        <v>45849</v>
      </c>
    </row>
    <row r="3737" spans="1:9" ht="13.5">
      <c r="A3737" s="2" t="s">
        <v>3086</v>
      </c>
      <c r="B3737" s="3"/>
      <c r="C3737" s="4" t="s">
        <v>6510</v>
      </c>
      <c r="D3737" s="8" t="s">
        <v>6511</v>
      </c>
      <c r="E3737" s="5" t="s">
        <v>4618</v>
      </c>
      <c r="F3737" s="5" t="str">
        <f t="shared" si="58"/>
        <v>himala.ai</v>
      </c>
      <c r="G3737" s="5" t="s">
        <v>4</v>
      </c>
      <c r="H3737" s="5" t="s">
        <v>345</v>
      </c>
      <c r="I3737" s="6">
        <v>45849</v>
      </c>
    </row>
    <row r="3738" spans="1:9" ht="13.5">
      <c r="A3738" s="2" t="s">
        <v>3128</v>
      </c>
      <c r="B3738" s="3"/>
      <c r="C3738" s="138" t="s">
        <v>6512</v>
      </c>
      <c r="D3738" s="4" t="s">
        <v>6513</v>
      </c>
      <c r="E3738" s="5" t="s">
        <v>6514</v>
      </c>
      <c r="F3738" s="5" t="str">
        <f t="shared" si="58"/>
        <v>bethard.com</v>
      </c>
      <c r="G3738" s="5" t="s">
        <v>4</v>
      </c>
      <c r="H3738" s="5" t="s">
        <v>5</v>
      </c>
      <c r="I3738" s="6">
        <v>45849</v>
      </c>
    </row>
    <row r="3739" spans="1:9" ht="13.5">
      <c r="A3739" s="2" t="s">
        <v>4489</v>
      </c>
      <c r="B3739" s="3"/>
      <c r="C3739" s="4" t="s">
        <v>6515</v>
      </c>
      <c r="D3739" s="4" t="s">
        <v>6327</v>
      </c>
      <c r="E3739" s="5" t="s">
        <v>5259</v>
      </c>
      <c r="F3739" s="5" t="str">
        <f t="shared" si="58"/>
        <v>nordicknots.com</v>
      </c>
      <c r="G3739" s="5" t="s">
        <v>4</v>
      </c>
      <c r="H3739" s="5" t="s">
        <v>345</v>
      </c>
      <c r="I3739" s="6">
        <v>45853</v>
      </c>
    </row>
    <row r="3740" spans="1:9" ht="13.5">
      <c r="A3740" s="2" t="s">
        <v>4489</v>
      </c>
      <c r="B3740" s="3"/>
      <c r="C3740" s="4" t="s">
        <v>6516</v>
      </c>
      <c r="D3740" s="4" t="s">
        <v>6325</v>
      </c>
      <c r="E3740" s="5" t="s">
        <v>4495</v>
      </c>
      <c r="F3740" s="5" t="str">
        <f t="shared" si="58"/>
        <v>nordicknots.com</v>
      </c>
      <c r="G3740" s="5" t="s">
        <v>4</v>
      </c>
      <c r="H3740" s="5" t="s">
        <v>345</v>
      </c>
      <c r="I3740" s="6">
        <v>45853</v>
      </c>
    </row>
    <row r="3741" spans="1:9" ht="13.5">
      <c r="A3741" s="2" t="s">
        <v>3885</v>
      </c>
      <c r="B3741" s="3"/>
      <c r="C3741" s="4" t="s">
        <v>6517</v>
      </c>
      <c r="D3741" s="4" t="s">
        <v>3887</v>
      </c>
      <c r="E3741" s="5" t="s">
        <v>6518</v>
      </c>
      <c r="F3741" s="5" t="str">
        <f t="shared" si="58"/>
        <v>chattanoogarehab.com</v>
      </c>
      <c r="G3741" s="5" t="s">
        <v>4</v>
      </c>
      <c r="H3741" s="5" t="s">
        <v>345</v>
      </c>
      <c r="I3741" s="6">
        <v>45853</v>
      </c>
    </row>
    <row r="3742" spans="1:9" ht="13.5">
      <c r="A3742" s="2" t="s">
        <v>3580</v>
      </c>
      <c r="B3742" s="3"/>
      <c r="C3742" s="4" t="s">
        <v>6519</v>
      </c>
      <c r="D3742" s="4" t="s">
        <v>4756</v>
      </c>
      <c r="E3742" s="5" t="s">
        <v>4570</v>
      </c>
      <c r="F3742" s="5" t="str">
        <f t="shared" si="58"/>
        <v>kleer.se</v>
      </c>
      <c r="G3742" s="5" t="s">
        <v>4</v>
      </c>
      <c r="H3742" s="5" t="s">
        <v>5</v>
      </c>
      <c r="I3742" s="6">
        <v>45858</v>
      </c>
    </row>
    <row r="3743" spans="1:9" ht="13.5">
      <c r="A3743" s="2" t="s">
        <v>171</v>
      </c>
      <c r="B3743" s="3"/>
      <c r="C3743" s="4" t="s">
        <v>6520</v>
      </c>
      <c r="D3743" s="4" t="s">
        <v>1095</v>
      </c>
      <c r="E3743" s="5" t="s">
        <v>2856</v>
      </c>
      <c r="F3743" s="5" t="str">
        <f t="shared" si="58"/>
        <v>arctic.se</v>
      </c>
      <c r="G3743" s="5" t="s">
        <v>4</v>
      </c>
      <c r="H3743" s="5" t="s">
        <v>5</v>
      </c>
      <c r="I3743" s="6">
        <v>45858</v>
      </c>
    </row>
    <row r="3744" spans="1:9" ht="13.5">
      <c r="A3744" s="2" t="s">
        <v>4051</v>
      </c>
      <c r="B3744" s="3"/>
      <c r="C3744" s="4" t="s">
        <v>6521</v>
      </c>
      <c r="D3744" s="4" t="s">
        <v>4051</v>
      </c>
      <c r="E3744" s="9" t="s">
        <v>4051</v>
      </c>
      <c r="F3744" s="5" t="str">
        <f t="shared" si="58"/>
        <v>hund.se</v>
      </c>
      <c r="G3744" s="5" t="s">
        <v>4</v>
      </c>
      <c r="H3744" s="5" t="s">
        <v>5</v>
      </c>
      <c r="I3744" s="6">
        <v>45858</v>
      </c>
    </row>
    <row r="3745" spans="1:9" ht="13.5">
      <c r="A3745" s="2" t="s">
        <v>3580</v>
      </c>
      <c r="B3745" s="3"/>
      <c r="C3745" s="4" t="s">
        <v>6522</v>
      </c>
      <c r="D3745" s="4" t="s">
        <v>5312</v>
      </c>
      <c r="E3745" s="5" t="s">
        <v>6523</v>
      </c>
      <c r="F3745" s="5" t="str">
        <f t="shared" si="58"/>
        <v>kleer.se</v>
      </c>
      <c r="G3745" s="5" t="s">
        <v>4</v>
      </c>
      <c r="H3745" s="5" t="s">
        <v>5</v>
      </c>
      <c r="I3745" s="6">
        <v>45858</v>
      </c>
    </row>
    <row r="3746" spans="1:9" ht="13.5">
      <c r="A3746" s="2" t="s">
        <v>3058</v>
      </c>
      <c r="B3746" s="3"/>
      <c r="C3746" s="4" t="s">
        <v>6524</v>
      </c>
      <c r="D3746" s="4" t="s">
        <v>3063</v>
      </c>
      <c r="E3746" s="5" t="s">
        <v>3064</v>
      </c>
      <c r="F3746" s="5" t="str">
        <f t="shared" si="58"/>
        <v>rusta.se</v>
      </c>
      <c r="G3746" s="5" t="s">
        <v>4</v>
      </c>
      <c r="H3746" s="5" t="s">
        <v>5</v>
      </c>
      <c r="I3746" s="6">
        <v>45858</v>
      </c>
    </row>
    <row r="3747" spans="1:9" ht="13.5">
      <c r="A3747" s="2" t="s">
        <v>3058</v>
      </c>
      <c r="B3747" s="3"/>
      <c r="C3747" s="4" t="s">
        <v>6525</v>
      </c>
      <c r="D3747" s="4" t="s">
        <v>5034</v>
      </c>
      <c r="E3747" s="5" t="s">
        <v>14</v>
      </c>
      <c r="F3747" s="5" t="str">
        <f t="shared" si="58"/>
        <v>rusta.se</v>
      </c>
      <c r="G3747" s="5" t="s">
        <v>4</v>
      </c>
      <c r="H3747" s="5" t="s">
        <v>5</v>
      </c>
      <c r="I3747" s="6">
        <v>45858</v>
      </c>
    </row>
    <row r="3748" spans="1:9" ht="13.5">
      <c r="A3748" s="2" t="s">
        <v>2127</v>
      </c>
      <c r="B3748" s="3"/>
      <c r="C3748" s="4" t="s">
        <v>6526</v>
      </c>
      <c r="D3748" s="4" t="s">
        <v>5319</v>
      </c>
      <c r="E3748" s="5" t="s">
        <v>4999</v>
      </c>
      <c r="F3748" s="5" t="str">
        <f t="shared" si="58"/>
        <v>startmotor.se</v>
      </c>
      <c r="G3748" s="5" t="s">
        <v>4</v>
      </c>
      <c r="H3748" s="5" t="s">
        <v>5</v>
      </c>
      <c r="I3748" s="6">
        <v>45858</v>
      </c>
    </row>
    <row r="3749" spans="1:9" ht="13.5">
      <c r="A3749" s="2" t="s">
        <v>2127</v>
      </c>
      <c r="B3749" s="3"/>
      <c r="C3749" s="4" t="s">
        <v>6527</v>
      </c>
      <c r="D3749" s="4" t="s">
        <v>5321</v>
      </c>
      <c r="E3749" s="5" t="s">
        <v>5322</v>
      </c>
      <c r="F3749" s="5" t="str">
        <f t="shared" si="58"/>
        <v>startmotor.se</v>
      </c>
      <c r="G3749" s="5" t="s">
        <v>4</v>
      </c>
      <c r="H3749" s="5" t="s">
        <v>5</v>
      </c>
      <c r="I3749" s="6">
        <v>45858</v>
      </c>
    </row>
    <row r="3750" spans="1:9" ht="13.5">
      <c r="A3750" s="7" t="s">
        <v>3747</v>
      </c>
      <c r="B3750" s="3"/>
      <c r="C3750" s="4" t="s">
        <v>6528</v>
      </c>
      <c r="D3750" s="4" t="s">
        <v>3749</v>
      </c>
      <c r="E3750" s="5" t="s">
        <v>3750</v>
      </c>
      <c r="F3750" s="5" t="str">
        <f t="shared" si="58"/>
        <v>supernormal.health</v>
      </c>
      <c r="G3750" s="5" t="s">
        <v>4</v>
      </c>
      <c r="H3750" s="5" t="s">
        <v>5</v>
      </c>
      <c r="I3750" s="6">
        <v>45858</v>
      </c>
    </row>
    <row r="3751" spans="1:9" ht="13.5">
      <c r="A3751" s="7" t="s">
        <v>224</v>
      </c>
      <c r="B3751" s="3"/>
      <c r="C3751" s="4" t="s">
        <v>6529</v>
      </c>
      <c r="D3751" s="4" t="s">
        <v>226</v>
      </c>
      <c r="E3751" s="5" t="s">
        <v>368</v>
      </c>
      <c r="F3751" s="5" t="str">
        <f t="shared" si="58"/>
        <v>swedoffice</v>
      </c>
      <c r="G3751" s="5" t="s">
        <v>4</v>
      </c>
      <c r="H3751" s="5" t="s">
        <v>5</v>
      </c>
      <c r="I3751" s="6">
        <v>45858</v>
      </c>
    </row>
    <row r="3752" spans="1:9" ht="13.5">
      <c r="A3752" s="2" t="s">
        <v>2428</v>
      </c>
      <c r="B3752" s="3"/>
      <c r="C3752" s="4" t="s">
        <v>6530</v>
      </c>
      <c r="D3752" s="4" t="s">
        <v>4762</v>
      </c>
      <c r="E3752" s="5" t="s">
        <v>5947</v>
      </c>
      <c r="F3752" s="5" t="str">
        <f t="shared" si="58"/>
        <v>sakraror.se</v>
      </c>
      <c r="G3752" s="5" t="s">
        <v>4</v>
      </c>
      <c r="H3752" s="5" t="s">
        <v>5</v>
      </c>
      <c r="I3752" s="6">
        <v>45858</v>
      </c>
    </row>
    <row r="3753" spans="1:9" ht="13.5">
      <c r="A3753" s="2" t="s">
        <v>535</v>
      </c>
      <c r="B3753" s="3"/>
      <c r="C3753" s="4" t="s">
        <v>6531</v>
      </c>
      <c r="D3753" s="4" t="s">
        <v>3327</v>
      </c>
      <c r="E3753" s="5" t="s">
        <v>1448</v>
      </c>
      <c r="F3753" s="5" t="str">
        <f t="shared" si="58"/>
        <v>tryggbil.se</v>
      </c>
      <c r="G3753" s="5" t="s">
        <v>4</v>
      </c>
      <c r="H3753" s="5" t="s">
        <v>5</v>
      </c>
      <c r="I3753" s="6">
        <v>45858</v>
      </c>
    </row>
    <row r="3754" spans="1:9" ht="13.5">
      <c r="A3754" s="2" t="s">
        <v>535</v>
      </c>
      <c r="B3754" s="3"/>
      <c r="C3754" s="4" t="s">
        <v>6532</v>
      </c>
      <c r="D3754" s="4" t="s">
        <v>3327</v>
      </c>
      <c r="E3754" s="5" t="s">
        <v>540</v>
      </c>
      <c r="F3754" s="5" t="str">
        <f t="shared" si="58"/>
        <v>tryggbil.se</v>
      </c>
      <c r="G3754" s="5" t="s">
        <v>4</v>
      </c>
      <c r="H3754" s="5" t="s">
        <v>5</v>
      </c>
      <c r="I3754" s="6">
        <v>45858</v>
      </c>
    </row>
    <row r="3755" spans="1:9" ht="13.5">
      <c r="A3755" s="7" t="s">
        <v>2281</v>
      </c>
      <c r="B3755" s="3"/>
      <c r="C3755" s="4" t="s">
        <v>6533</v>
      </c>
      <c r="D3755" s="4" t="s">
        <v>2283</v>
      </c>
      <c r="E3755" s="5" t="s">
        <v>963</v>
      </c>
      <c r="F3755" s="5" t="str">
        <f t="shared" si="58"/>
        <v>tandläkare.se</v>
      </c>
      <c r="G3755" s="5" t="s">
        <v>4</v>
      </c>
      <c r="H3755" s="5" t="s">
        <v>5</v>
      </c>
      <c r="I3755" s="6">
        <v>45858</v>
      </c>
    </row>
    <row r="3756" spans="1:9" ht="13.5">
      <c r="A3756" s="7" t="s">
        <v>2281</v>
      </c>
      <c r="B3756" s="3"/>
      <c r="C3756" s="4" t="s">
        <v>6534</v>
      </c>
      <c r="D3756" s="4" t="s">
        <v>5015</v>
      </c>
      <c r="E3756" s="5" t="s">
        <v>5016</v>
      </c>
      <c r="F3756" s="5" t="str">
        <f t="shared" si="58"/>
        <v>tandläkare.se</v>
      </c>
      <c r="G3756" s="5" t="s">
        <v>4</v>
      </c>
      <c r="H3756" s="5" t="s">
        <v>5</v>
      </c>
      <c r="I3756" s="6">
        <v>45858</v>
      </c>
    </row>
    <row r="3757" spans="1:9" ht="13.5">
      <c r="A3757" s="2" t="s">
        <v>5020</v>
      </c>
      <c r="B3757" s="3"/>
      <c r="C3757" s="4" t="s">
        <v>6535</v>
      </c>
      <c r="D3757" s="4" t="s">
        <v>5020</v>
      </c>
      <c r="E3757" s="5" t="s">
        <v>5022</v>
      </c>
      <c r="F3757" s="5" t="str">
        <f t="shared" si="58"/>
        <v>sesec.se</v>
      </c>
      <c r="G3757" s="5" t="s">
        <v>4</v>
      </c>
      <c r="H3757" s="5" t="s">
        <v>5</v>
      </c>
      <c r="I3757" s="6">
        <v>45858</v>
      </c>
    </row>
    <row r="3758" spans="1:9" ht="13.5">
      <c r="A3758" s="2" t="s">
        <v>3832</v>
      </c>
      <c r="B3758" s="3"/>
      <c r="C3758" s="4" t="s">
        <v>6536</v>
      </c>
      <c r="D3758" s="4" t="s">
        <v>3832</v>
      </c>
      <c r="E3758" s="5" t="s">
        <v>6537</v>
      </c>
      <c r="F3758" s="5" t="str">
        <f t="shared" si="58"/>
        <v>michaelofrisorerna.se</v>
      </c>
      <c r="G3758" s="5" t="s">
        <v>4</v>
      </c>
      <c r="H3758" s="5" t="s">
        <v>5</v>
      </c>
      <c r="I3758" s="6">
        <v>45858</v>
      </c>
    </row>
    <row r="3759" spans="1:9" ht="13.5">
      <c r="A3759" s="2" t="s">
        <v>3832</v>
      </c>
      <c r="B3759" s="3"/>
      <c r="C3759" s="4" t="s">
        <v>6538</v>
      </c>
      <c r="D3759" s="4" t="s">
        <v>6539</v>
      </c>
      <c r="E3759" s="5" t="s">
        <v>6540</v>
      </c>
      <c r="F3759" s="5" t="str">
        <f t="shared" si="58"/>
        <v>michaelofrisorerna.se</v>
      </c>
      <c r="G3759" s="5" t="s">
        <v>4</v>
      </c>
      <c r="H3759" s="5" t="s">
        <v>5</v>
      </c>
      <c r="I3759" s="6">
        <v>45858</v>
      </c>
    </row>
    <row r="3760" spans="1:9" ht="13.5">
      <c r="A3760" s="2" t="s">
        <v>5350</v>
      </c>
      <c r="B3760" s="3"/>
      <c r="C3760" s="4" t="s">
        <v>6541</v>
      </c>
      <c r="D3760" s="4" t="s">
        <v>5352</v>
      </c>
      <c r="E3760" s="5" t="s">
        <v>5353</v>
      </c>
      <c r="F3760" s="5" t="str">
        <f t="shared" si="58"/>
        <v>lilla-varlden.se</v>
      </c>
      <c r="G3760" s="5" t="s">
        <v>4</v>
      </c>
      <c r="H3760" s="5" t="s">
        <v>5</v>
      </c>
      <c r="I3760" s="6">
        <v>45858</v>
      </c>
    </row>
    <row r="3761" spans="1:9" ht="13.5">
      <c r="A3761" s="2" t="s">
        <v>846</v>
      </c>
      <c r="B3761" s="3"/>
      <c r="C3761" s="4" t="s">
        <v>6542</v>
      </c>
      <c r="D3761" s="4" t="s">
        <v>5211</v>
      </c>
      <c r="E3761" s="5" t="s">
        <v>5355</v>
      </c>
      <c r="F3761" s="5" t="str">
        <f t="shared" si="58"/>
        <v>tandea.se</v>
      </c>
      <c r="G3761" s="5" t="s">
        <v>4</v>
      </c>
      <c r="H3761" s="5" t="s">
        <v>5</v>
      </c>
      <c r="I3761" s="6">
        <v>45858</v>
      </c>
    </row>
    <row r="3762" spans="1:9" ht="13.5">
      <c r="A3762" s="7" t="s">
        <v>5961</v>
      </c>
      <c r="B3762" s="3"/>
      <c r="C3762" s="4" t="s">
        <v>6543</v>
      </c>
      <c r="D3762" s="4" t="s">
        <v>5641</v>
      </c>
      <c r="E3762" s="5" t="s">
        <v>5642</v>
      </c>
      <c r="F3762" s="5" t="str">
        <f t="shared" si="58"/>
        <v>Sahlsten Skincare</v>
      </c>
      <c r="G3762" s="5" t="s">
        <v>4</v>
      </c>
      <c r="H3762" s="5" t="s">
        <v>5</v>
      </c>
      <c r="I3762" s="6">
        <v>45858</v>
      </c>
    </row>
    <row r="3763" spans="1:9" ht="13.5">
      <c r="A3763" s="2" t="s">
        <v>6127</v>
      </c>
      <c r="B3763" s="3"/>
      <c r="C3763" s="4" t="s">
        <v>6544</v>
      </c>
      <c r="D3763" s="4" t="s">
        <v>6129</v>
      </c>
      <c r="E3763" s="5" t="s">
        <v>6342</v>
      </c>
      <c r="F3763" s="5" t="str">
        <f t="shared" si="58"/>
        <v>indoorprofessional.se</v>
      </c>
      <c r="G3763" s="5" t="s">
        <v>4</v>
      </c>
      <c r="H3763" s="5" t="s">
        <v>5</v>
      </c>
      <c r="I3763" s="6">
        <v>45858</v>
      </c>
    </row>
    <row r="3764" spans="1:9" ht="13.5">
      <c r="A3764" s="2" t="s">
        <v>6127</v>
      </c>
      <c r="B3764" s="3"/>
      <c r="C3764" s="4" t="s">
        <v>6545</v>
      </c>
      <c r="D3764" s="4" t="s">
        <v>6129</v>
      </c>
      <c r="E3764" s="5" t="s">
        <v>6342</v>
      </c>
      <c r="F3764" s="5" t="str">
        <f t="shared" si="58"/>
        <v>indoorprofessional.se</v>
      </c>
      <c r="G3764" s="5" t="s">
        <v>4</v>
      </c>
      <c r="H3764" s="5" t="s">
        <v>5</v>
      </c>
      <c r="I3764" s="6">
        <v>45858</v>
      </c>
    </row>
    <row r="3765" spans="1:9" ht="13.5">
      <c r="A3765" s="2" t="s">
        <v>6025</v>
      </c>
      <c r="B3765" s="3"/>
      <c r="C3765" s="4" t="s">
        <v>6546</v>
      </c>
      <c r="D3765" s="4" t="s">
        <v>6405</v>
      </c>
      <c r="E3765" s="5" t="s">
        <v>6547</v>
      </c>
      <c r="F3765" s="5" t="str">
        <f t="shared" si="58"/>
        <v>megariches.com</v>
      </c>
      <c r="G3765" s="5" t="s">
        <v>4</v>
      </c>
      <c r="H3765" s="5" t="s">
        <v>5</v>
      </c>
      <c r="I3765" s="6">
        <v>45860</v>
      </c>
    </row>
    <row r="3766" spans="1:9" ht="13.5">
      <c r="A3766" s="2" t="s">
        <v>1318</v>
      </c>
      <c r="B3766" s="3"/>
      <c r="C3766" s="4" t="s">
        <v>6548</v>
      </c>
      <c r="D3766" s="4" t="s">
        <v>1942</v>
      </c>
      <c r="E3766" s="5" t="s">
        <v>5201</v>
      </c>
      <c r="F3766" s="5" t="str">
        <f t="shared" si="58"/>
        <v>spelklubben.se</v>
      </c>
      <c r="G3766" s="5" t="s">
        <v>34</v>
      </c>
      <c r="H3766" s="5" t="s">
        <v>5</v>
      </c>
      <c r="I3766" s="6">
        <v>45860</v>
      </c>
    </row>
    <row r="3767" spans="1:9" ht="13.5">
      <c r="A3767" s="2" t="s">
        <v>1318</v>
      </c>
      <c r="B3767" s="3"/>
      <c r="C3767" s="4" t="s">
        <v>6549</v>
      </c>
      <c r="D3767" s="4" t="s">
        <v>1942</v>
      </c>
      <c r="E3767" s="5" t="s">
        <v>2395</v>
      </c>
      <c r="F3767" s="5" t="str">
        <f t="shared" si="58"/>
        <v>spelklubben.se</v>
      </c>
      <c r="G3767" s="5" t="s">
        <v>34</v>
      </c>
      <c r="H3767" s="5" t="s">
        <v>5</v>
      </c>
      <c r="I3767" s="6">
        <v>45860</v>
      </c>
    </row>
    <row r="3768" spans="1:9" ht="13.5">
      <c r="A3768" s="2" t="s">
        <v>6014</v>
      </c>
      <c r="B3768" s="3"/>
      <c r="C3768" s="138" t="s">
        <v>6550</v>
      </c>
      <c r="D3768" s="8" t="s">
        <v>6551</v>
      </c>
      <c r="E3768" s="10" t="s">
        <v>6552</v>
      </c>
      <c r="F3768" s="5" t="str">
        <f t="shared" si="58"/>
        <v>kungaslottet.se</v>
      </c>
      <c r="G3768" s="5" t="s">
        <v>4</v>
      </c>
      <c r="H3768" s="5" t="s">
        <v>5</v>
      </c>
      <c r="I3768" s="6">
        <v>45860</v>
      </c>
    </row>
    <row r="3769" spans="1:9" ht="13.5">
      <c r="A3769" s="2" t="s">
        <v>5879</v>
      </c>
      <c r="B3769" s="3"/>
      <c r="C3769" s="4" t="s">
        <v>6553</v>
      </c>
      <c r="D3769" s="4" t="s">
        <v>5881</v>
      </c>
      <c r="E3769" s="5" t="s">
        <v>5882</v>
      </c>
      <c r="F3769" s="5" t="str">
        <f t="shared" si="58"/>
        <v>stockholms-rorvvs.se</v>
      </c>
      <c r="G3769" s="5" t="s">
        <v>4</v>
      </c>
      <c r="H3769" s="5" t="s">
        <v>5</v>
      </c>
      <c r="I3769" s="6">
        <v>45861</v>
      </c>
    </row>
    <row r="3770" spans="1:9" ht="13.5">
      <c r="A3770" s="2" t="s">
        <v>3128</v>
      </c>
      <c r="B3770" s="3"/>
      <c r="C3770" s="4" t="s">
        <v>6554</v>
      </c>
      <c r="D3770" s="4" t="s">
        <v>3130</v>
      </c>
      <c r="E3770" s="5" t="s">
        <v>6555</v>
      </c>
      <c r="F3770" s="5" t="str">
        <f t="shared" si="58"/>
        <v>bethard.com</v>
      </c>
      <c r="G3770" s="5" t="s">
        <v>4</v>
      </c>
      <c r="H3770" s="5" t="s">
        <v>5</v>
      </c>
      <c r="I3770" s="6">
        <v>45866</v>
      </c>
    </row>
    <row r="3771" spans="1:9" ht="13.5">
      <c r="A3771" s="2" t="s">
        <v>5589</v>
      </c>
      <c r="B3771" s="3"/>
      <c r="C3771" s="4" t="s">
        <v>6556</v>
      </c>
      <c r="D3771" s="4" t="s">
        <v>5647</v>
      </c>
      <c r="E3771" s="5" t="s">
        <v>2840</v>
      </c>
      <c r="F3771" s="5" t="str">
        <f t="shared" si="58"/>
        <v>dbet.com</v>
      </c>
      <c r="G3771" s="5" t="s">
        <v>4</v>
      </c>
      <c r="H3771" s="5" t="s">
        <v>5</v>
      </c>
      <c r="I3771" s="6">
        <v>45866</v>
      </c>
    </row>
    <row r="3772" spans="1:9" ht="13.5">
      <c r="A3772" s="2" t="s">
        <v>3058</v>
      </c>
      <c r="B3772" s="3"/>
      <c r="C3772" s="4" t="s">
        <v>6557</v>
      </c>
      <c r="D3772" s="4" t="s">
        <v>5034</v>
      </c>
      <c r="E3772" s="5" t="s">
        <v>14</v>
      </c>
      <c r="F3772" s="5" t="str">
        <f t="shared" si="58"/>
        <v>rusta.se</v>
      </c>
      <c r="G3772" s="5" t="s">
        <v>4</v>
      </c>
      <c r="H3772" s="5" t="s">
        <v>5</v>
      </c>
      <c r="I3772" s="6">
        <v>45866</v>
      </c>
    </row>
    <row r="3773" spans="1:9" ht="13.5">
      <c r="A3773" s="2" t="s">
        <v>3058</v>
      </c>
      <c r="B3773" s="3"/>
      <c r="C3773" s="4" t="s">
        <v>6558</v>
      </c>
      <c r="D3773" s="4" t="s">
        <v>4133</v>
      </c>
      <c r="E3773" s="5" t="s">
        <v>3064</v>
      </c>
      <c r="F3773" s="5" t="str">
        <f t="shared" si="58"/>
        <v>rusta.se</v>
      </c>
      <c r="G3773" s="5" t="s">
        <v>4</v>
      </c>
      <c r="H3773" s="5" t="s">
        <v>5</v>
      </c>
      <c r="I3773" s="6">
        <v>45866</v>
      </c>
    </row>
    <row r="3774" spans="1:9" ht="13.5">
      <c r="A3774" s="2" t="s">
        <v>3058</v>
      </c>
      <c r="B3774" s="3"/>
      <c r="C3774" s="4" t="s">
        <v>6559</v>
      </c>
      <c r="D3774" s="4" t="s">
        <v>5034</v>
      </c>
      <c r="E3774" s="5" t="s">
        <v>5991</v>
      </c>
      <c r="F3774" s="5" t="str">
        <f t="shared" si="58"/>
        <v>rusta.se</v>
      </c>
      <c r="G3774" s="5" t="s">
        <v>4</v>
      </c>
      <c r="H3774" s="5" t="s">
        <v>5</v>
      </c>
      <c r="I3774" s="6">
        <v>45866</v>
      </c>
    </row>
    <row r="3775" spans="1:9" ht="13.5">
      <c r="A3775" s="2" t="s">
        <v>5084</v>
      </c>
      <c r="B3775" s="3"/>
      <c r="C3775" s="4" t="s">
        <v>6560</v>
      </c>
      <c r="D3775" s="4" t="s">
        <v>6204</v>
      </c>
      <c r="E3775" s="5" t="s">
        <v>5162</v>
      </c>
      <c r="F3775" s="5" t="str">
        <f t="shared" si="58"/>
        <v>glassfactory.fi</v>
      </c>
      <c r="G3775" s="5" t="s">
        <v>4</v>
      </c>
      <c r="H3775" s="5" t="s">
        <v>5</v>
      </c>
      <c r="I3775" s="6">
        <v>45866</v>
      </c>
    </row>
    <row r="3776" spans="1:9" ht="13.5">
      <c r="A3776" s="2" t="s">
        <v>2836</v>
      </c>
      <c r="B3776" s="3"/>
      <c r="C3776" s="4" t="s">
        <v>6561</v>
      </c>
      <c r="D3776" s="4" t="s">
        <v>3100</v>
      </c>
      <c r="E3776" s="5" t="s">
        <v>6562</v>
      </c>
      <c r="F3776" s="5" t="str">
        <f t="shared" si="58"/>
        <v>cherry.com</v>
      </c>
      <c r="G3776" s="5" t="s">
        <v>4</v>
      </c>
      <c r="H3776" s="5" t="s">
        <v>5</v>
      </c>
      <c r="I3776" s="6">
        <v>45866</v>
      </c>
    </row>
    <row r="3777" spans="1:9" ht="13.5">
      <c r="A3777" s="2" t="s">
        <v>5589</v>
      </c>
      <c r="B3777" s="3"/>
      <c r="C3777" s="4" t="s">
        <v>6563</v>
      </c>
      <c r="D3777" s="4" t="s">
        <v>5647</v>
      </c>
      <c r="E3777" s="5" t="s">
        <v>6564</v>
      </c>
      <c r="F3777" s="5" t="str">
        <f t="shared" si="58"/>
        <v>dbet.com</v>
      </c>
      <c r="G3777" s="5" t="s">
        <v>4</v>
      </c>
      <c r="H3777" s="5" t="s">
        <v>5</v>
      </c>
      <c r="I3777" s="6">
        <v>45866</v>
      </c>
    </row>
    <row r="3778" spans="1:9" ht="13.5">
      <c r="A3778" s="2" t="s">
        <v>6014</v>
      </c>
      <c r="B3778" s="3"/>
      <c r="C3778" s="4" t="s">
        <v>6565</v>
      </c>
      <c r="D3778" s="4" t="s">
        <v>6019</v>
      </c>
      <c r="E3778" s="5" t="s">
        <v>6020</v>
      </c>
      <c r="F3778" s="5" t="str">
        <f t="shared" si="58"/>
        <v>kungaslottet.se</v>
      </c>
      <c r="G3778" s="5" t="s">
        <v>4</v>
      </c>
      <c r="H3778" s="5" t="s">
        <v>5</v>
      </c>
      <c r="I3778" s="6">
        <v>45866</v>
      </c>
    </row>
    <row r="3779" spans="1:9" ht="13.5">
      <c r="A3779" s="2" t="s">
        <v>6021</v>
      </c>
      <c r="B3779" s="3"/>
      <c r="C3779" s="4" t="s">
        <v>6566</v>
      </c>
      <c r="D3779" s="4" t="s">
        <v>6349</v>
      </c>
      <c r="E3779" s="5" t="s">
        <v>6373</v>
      </c>
      <c r="F3779" s="5" t="str">
        <f t="shared" ref="F3779:F3842" si="59">A3779</f>
        <v>mrvegas.com</v>
      </c>
      <c r="G3779" s="5" t="s">
        <v>4</v>
      </c>
      <c r="H3779" s="5" t="s">
        <v>5</v>
      </c>
      <c r="I3779" s="6">
        <v>45866</v>
      </c>
    </row>
    <row r="3780" spans="1:9" ht="13.5">
      <c r="A3780" s="2" t="s">
        <v>5589</v>
      </c>
      <c r="B3780" s="3"/>
      <c r="C3780" s="4" t="s">
        <v>6567</v>
      </c>
      <c r="D3780" s="4" t="s">
        <v>6568</v>
      </c>
      <c r="E3780" s="5" t="s">
        <v>6569</v>
      </c>
      <c r="F3780" s="5" t="str">
        <f t="shared" si="59"/>
        <v>dbet.com</v>
      </c>
      <c r="G3780" s="5" t="s">
        <v>4</v>
      </c>
      <c r="H3780" s="5" t="s">
        <v>5</v>
      </c>
      <c r="I3780" s="6">
        <v>45866</v>
      </c>
    </row>
    <row r="3781" spans="1:9" ht="13.5">
      <c r="A3781" s="2" t="s">
        <v>3128</v>
      </c>
      <c r="B3781" s="3"/>
      <c r="C3781" s="4" t="s">
        <v>6570</v>
      </c>
      <c r="D3781" s="4" t="s">
        <v>6571</v>
      </c>
      <c r="E3781" s="5" t="s">
        <v>6572</v>
      </c>
      <c r="F3781" s="5" t="str">
        <f t="shared" si="59"/>
        <v>bethard.com</v>
      </c>
      <c r="G3781" s="5" t="s">
        <v>4</v>
      </c>
      <c r="H3781" s="5" t="s">
        <v>5</v>
      </c>
      <c r="I3781" s="6">
        <v>45866</v>
      </c>
    </row>
    <row r="3782" spans="1:9" ht="13.5">
      <c r="A3782" s="2" t="s">
        <v>5715</v>
      </c>
      <c r="B3782" s="3"/>
      <c r="C3782" s="4" t="s">
        <v>6573</v>
      </c>
      <c r="D3782" s="4" t="s">
        <v>5717</v>
      </c>
      <c r="E3782" s="5" t="s">
        <v>5998</v>
      </c>
      <c r="F3782" s="5" t="str">
        <f t="shared" si="59"/>
        <v>Minifinder.se</v>
      </c>
      <c r="G3782" s="5" t="s">
        <v>4</v>
      </c>
      <c r="H3782" s="5" t="s">
        <v>5</v>
      </c>
      <c r="I3782" s="6">
        <v>45866</v>
      </c>
    </row>
    <row r="3783" spans="1:9" ht="13.5">
      <c r="A3783" s="2" t="s">
        <v>3682</v>
      </c>
      <c r="B3783" s="3"/>
      <c r="C3783" s="4" t="s">
        <v>6574</v>
      </c>
      <c r="D3783" s="4" t="s">
        <v>6575</v>
      </c>
      <c r="E3783" s="5" t="s">
        <v>4510</v>
      </c>
      <c r="F3783" s="5" t="str">
        <f t="shared" si="59"/>
        <v>upplevelse.com</v>
      </c>
      <c r="G3783" s="5" t="s">
        <v>4</v>
      </c>
      <c r="H3783" s="5" t="s">
        <v>5</v>
      </c>
      <c r="I3783" s="6">
        <v>45866</v>
      </c>
    </row>
    <row r="3784" spans="1:9" ht="13.5">
      <c r="A3784" s="2" t="s">
        <v>3824</v>
      </c>
      <c r="B3784" s="3"/>
      <c r="C3784" s="4" t="s">
        <v>6576</v>
      </c>
      <c r="D3784" s="4" t="s">
        <v>6577</v>
      </c>
      <c r="E3784" s="5" t="s">
        <v>5325</v>
      </c>
      <c r="F3784" s="5" t="str">
        <f t="shared" si="59"/>
        <v>swedenlongstay.se</v>
      </c>
      <c r="G3784" s="5" t="s">
        <v>4</v>
      </c>
      <c r="H3784" s="5" t="s">
        <v>5</v>
      </c>
      <c r="I3784" s="6">
        <v>45866</v>
      </c>
    </row>
    <row r="3785" spans="1:9" ht="13.5">
      <c r="A3785" s="2" t="s">
        <v>5715</v>
      </c>
      <c r="B3785" s="3"/>
      <c r="C3785" s="4" t="s">
        <v>6578</v>
      </c>
      <c r="D3785" s="4" t="s">
        <v>6579</v>
      </c>
      <c r="E3785" s="5" t="s">
        <v>6580</v>
      </c>
      <c r="F3785" s="5" t="str">
        <f t="shared" si="59"/>
        <v>Minifinder.se</v>
      </c>
      <c r="G3785" s="5" t="s">
        <v>4</v>
      </c>
      <c r="H3785" s="5" t="s">
        <v>5</v>
      </c>
      <c r="I3785" s="6">
        <v>45866</v>
      </c>
    </row>
    <row r="3786" spans="1:9" ht="13.5">
      <c r="A3786" s="2" t="s">
        <v>3580</v>
      </c>
      <c r="B3786" s="3"/>
      <c r="C3786" s="4" t="s">
        <v>6581</v>
      </c>
      <c r="D3786" s="4" t="s">
        <v>6582</v>
      </c>
      <c r="E3786" s="5" t="s">
        <v>6454</v>
      </c>
      <c r="F3786" s="5" t="str">
        <f t="shared" si="59"/>
        <v>kleer.se</v>
      </c>
      <c r="G3786" s="5" t="s">
        <v>4</v>
      </c>
      <c r="H3786" s="5" t="s">
        <v>5</v>
      </c>
      <c r="I3786" s="6">
        <v>45866</v>
      </c>
    </row>
    <row r="3787" spans="1:9" ht="13.5">
      <c r="A3787" s="7" t="s">
        <v>2281</v>
      </c>
      <c r="B3787" s="3"/>
      <c r="C3787" s="4" t="s">
        <v>6583</v>
      </c>
      <c r="D3787" s="4" t="s">
        <v>5015</v>
      </c>
      <c r="E3787" s="5" t="s">
        <v>6385</v>
      </c>
      <c r="F3787" s="5" t="str">
        <f t="shared" si="59"/>
        <v>tandläkare.se</v>
      </c>
      <c r="G3787" s="5" t="s">
        <v>4</v>
      </c>
      <c r="H3787" s="5" t="s">
        <v>5</v>
      </c>
      <c r="I3787" s="6">
        <v>45866</v>
      </c>
    </row>
    <row r="3788" spans="1:9" ht="13.5">
      <c r="A3788" s="2" t="s">
        <v>5589</v>
      </c>
      <c r="B3788" s="3"/>
      <c r="C3788" s="4" t="s">
        <v>6584</v>
      </c>
      <c r="D3788" s="138" t="s">
        <v>6303</v>
      </c>
      <c r="E3788" s="5" t="s">
        <v>3681</v>
      </c>
      <c r="F3788" s="5" t="str">
        <f t="shared" si="59"/>
        <v>dbet.com</v>
      </c>
      <c r="G3788" s="5" t="s">
        <v>4</v>
      </c>
      <c r="H3788" s="5" t="s">
        <v>5</v>
      </c>
      <c r="I3788" s="6">
        <v>45866</v>
      </c>
    </row>
    <row r="3789" spans="1:9" ht="13.5">
      <c r="A3789" s="2" t="s">
        <v>3090</v>
      </c>
      <c r="B3789" s="3"/>
      <c r="C3789" s="4" t="s">
        <v>6585</v>
      </c>
      <c r="D3789" s="4" t="s">
        <v>6088</v>
      </c>
      <c r="E3789" s="5" t="s">
        <v>6586</v>
      </c>
      <c r="F3789" s="5" t="str">
        <f t="shared" si="59"/>
        <v>videoslots.com</v>
      </c>
      <c r="G3789" s="5" t="s">
        <v>4</v>
      </c>
      <c r="H3789" s="5" t="s">
        <v>5</v>
      </c>
      <c r="I3789" s="6">
        <v>45867</v>
      </c>
    </row>
    <row r="3790" spans="1:9" ht="13.5">
      <c r="A3790" s="2" t="s">
        <v>6025</v>
      </c>
      <c r="B3790" s="3"/>
      <c r="C3790" s="4" t="s">
        <v>6587</v>
      </c>
      <c r="D3790" s="4" t="s">
        <v>6467</v>
      </c>
      <c r="E3790" s="5" t="s">
        <v>6588</v>
      </c>
      <c r="F3790" s="5" t="str">
        <f t="shared" si="59"/>
        <v>megariches.com</v>
      </c>
      <c r="G3790" s="5" t="s">
        <v>4</v>
      </c>
      <c r="H3790" s="5" t="s">
        <v>5</v>
      </c>
      <c r="I3790" s="6">
        <v>45867</v>
      </c>
    </row>
    <row r="3791" spans="1:9" ht="13.5">
      <c r="A3791" s="2" t="s">
        <v>6021</v>
      </c>
      <c r="B3791" s="3"/>
      <c r="C3791" s="4" t="s">
        <v>6589</v>
      </c>
      <c r="D3791" s="4" t="s">
        <v>6590</v>
      </c>
      <c r="E3791" s="5" t="s">
        <v>6591</v>
      </c>
      <c r="F3791" s="5" t="str">
        <f t="shared" si="59"/>
        <v>mrvegas.com</v>
      </c>
      <c r="G3791" s="5" t="s">
        <v>4</v>
      </c>
      <c r="H3791" s="5" t="s">
        <v>5</v>
      </c>
      <c r="I3791" s="6">
        <v>45867</v>
      </c>
    </row>
    <row r="3792" spans="1:9" ht="13.5">
      <c r="A3792" s="2" t="s">
        <v>3128</v>
      </c>
      <c r="B3792" s="3"/>
      <c r="C3792" s="4" t="s">
        <v>6592</v>
      </c>
      <c r="D3792" s="138" t="s">
        <v>3130</v>
      </c>
      <c r="E3792" s="5" t="s">
        <v>6593</v>
      </c>
      <c r="F3792" s="5" t="str">
        <f t="shared" si="59"/>
        <v>bethard.com</v>
      </c>
      <c r="G3792" s="5" t="s">
        <v>4</v>
      </c>
      <c r="H3792" s="5" t="s">
        <v>5</v>
      </c>
      <c r="I3792" s="6">
        <v>45867</v>
      </c>
    </row>
    <row r="3793" spans="1:9" ht="13.5">
      <c r="A3793" s="7" t="s">
        <v>3419</v>
      </c>
      <c r="B3793" s="3"/>
      <c r="C3793" s="4" t="s">
        <v>6594</v>
      </c>
      <c r="D3793" s="138" t="s">
        <v>5280</v>
      </c>
      <c r="E3793" s="5" t="s">
        <v>6595</v>
      </c>
      <c r="F3793" s="5" t="str">
        <f t="shared" si="59"/>
        <v>zmarta</v>
      </c>
      <c r="G3793" s="5" t="s">
        <v>4</v>
      </c>
      <c r="H3793" s="5" t="s">
        <v>5</v>
      </c>
      <c r="I3793" s="6">
        <v>45867</v>
      </c>
    </row>
    <row r="3794" spans="1:9" ht="13.5">
      <c r="A3794" s="2" t="s">
        <v>3173</v>
      </c>
      <c r="B3794" s="3"/>
      <c r="C3794" s="4" t="s">
        <v>6596</v>
      </c>
      <c r="D3794" s="138" t="s">
        <v>3458</v>
      </c>
      <c r="E3794" s="5" t="s">
        <v>3217</v>
      </c>
      <c r="F3794" s="5" t="str">
        <f t="shared" si="59"/>
        <v>ekstromgaray.se</v>
      </c>
      <c r="G3794" s="5" t="s">
        <v>4</v>
      </c>
      <c r="H3794" s="5" t="s">
        <v>5</v>
      </c>
      <c r="I3794" s="6">
        <v>45867</v>
      </c>
    </row>
    <row r="3795" spans="1:9" ht="13.5">
      <c r="A3795" s="2" t="s">
        <v>846</v>
      </c>
      <c r="B3795" s="3"/>
      <c r="C3795" s="4" t="s">
        <v>6597</v>
      </c>
      <c r="D3795" s="138" t="s">
        <v>4817</v>
      </c>
      <c r="E3795" s="5" t="s">
        <v>6413</v>
      </c>
      <c r="F3795" s="5" t="str">
        <f t="shared" si="59"/>
        <v>tandea.se</v>
      </c>
      <c r="G3795" s="5" t="s">
        <v>4</v>
      </c>
      <c r="H3795" s="5" t="s">
        <v>5</v>
      </c>
      <c r="I3795" s="6">
        <v>45867</v>
      </c>
    </row>
    <row r="3796" spans="1:9" ht="13.5">
      <c r="A3796" s="2" t="s">
        <v>5084</v>
      </c>
      <c r="B3796" s="3"/>
      <c r="C3796" s="4" t="s">
        <v>6598</v>
      </c>
      <c r="D3796" s="138" t="s">
        <v>6204</v>
      </c>
      <c r="E3796" s="5" t="s">
        <v>5162</v>
      </c>
      <c r="F3796" s="5" t="str">
        <f t="shared" si="59"/>
        <v>glassfactory.fi</v>
      </c>
      <c r="G3796" s="5" t="s">
        <v>4</v>
      </c>
      <c r="H3796" s="5" t="s">
        <v>5</v>
      </c>
      <c r="I3796" s="6">
        <v>45867</v>
      </c>
    </row>
    <row r="3797" spans="1:9" ht="13.5">
      <c r="A3797" s="2" t="s">
        <v>5191</v>
      </c>
      <c r="B3797" s="3"/>
      <c r="C3797" s="4" t="s">
        <v>6599</v>
      </c>
      <c r="D3797" s="4" t="s">
        <v>6600</v>
      </c>
      <c r="E3797" s="5" t="s">
        <v>6601</v>
      </c>
      <c r="F3797" s="5" t="str">
        <f t="shared" si="59"/>
        <v>bergetsro.se</v>
      </c>
      <c r="G3797" s="5" t="s">
        <v>4</v>
      </c>
      <c r="H3797" s="5" t="s">
        <v>5</v>
      </c>
      <c r="I3797" s="6">
        <v>45867</v>
      </c>
    </row>
    <row r="3798" spans="1:9" ht="13.5">
      <c r="A3798" s="7"/>
      <c r="B3798" s="3"/>
      <c r="C3798" s="4" t="s">
        <v>6602</v>
      </c>
      <c r="D3798" s="4" t="s">
        <v>6603</v>
      </c>
      <c r="E3798" s="5" t="s">
        <v>6604</v>
      </c>
      <c r="F3798" s="5">
        <f t="shared" si="59"/>
        <v>0</v>
      </c>
      <c r="G3798" s="5" t="s">
        <v>4</v>
      </c>
      <c r="H3798" s="5" t="s">
        <v>5</v>
      </c>
      <c r="I3798" s="6">
        <v>45867</v>
      </c>
    </row>
    <row r="3799" spans="1:9" ht="13.5">
      <c r="A3799" s="2" t="s">
        <v>4051</v>
      </c>
      <c r="B3799" s="3"/>
      <c r="C3799" s="4" t="s">
        <v>6605</v>
      </c>
      <c r="D3799" s="4" t="s">
        <v>5108</v>
      </c>
      <c r="E3799" s="5" t="s">
        <v>4129</v>
      </c>
      <c r="F3799" s="5" t="str">
        <f t="shared" si="59"/>
        <v>hund.se</v>
      </c>
      <c r="G3799" s="5" t="s">
        <v>4</v>
      </c>
      <c r="H3799" s="5" t="s">
        <v>5</v>
      </c>
      <c r="I3799" s="6">
        <v>45867</v>
      </c>
    </row>
    <row r="3800" spans="1:9" ht="13.5">
      <c r="A3800" s="2" t="s">
        <v>3832</v>
      </c>
      <c r="B3800" s="3"/>
      <c r="C3800" s="4" t="s">
        <v>6606</v>
      </c>
      <c r="D3800" s="4" t="s">
        <v>6191</v>
      </c>
      <c r="E3800" s="5" t="s">
        <v>4852</v>
      </c>
      <c r="F3800" s="5" t="str">
        <f t="shared" si="59"/>
        <v>michaelofrisorerna.se</v>
      </c>
      <c r="G3800" s="5" t="s">
        <v>4</v>
      </c>
      <c r="H3800" s="5" t="s">
        <v>5</v>
      </c>
      <c r="I3800" s="6">
        <v>45867</v>
      </c>
    </row>
    <row r="3801" spans="1:9" ht="13.5">
      <c r="A3801" s="2" t="s">
        <v>2127</v>
      </c>
      <c r="B3801" s="3"/>
      <c r="C3801" s="4" t="s">
        <v>6607</v>
      </c>
      <c r="D3801" s="4" t="s">
        <v>6195</v>
      </c>
      <c r="E3801" s="5" t="s">
        <v>6196</v>
      </c>
      <c r="F3801" s="5" t="str">
        <f t="shared" si="59"/>
        <v>startmotor.se</v>
      </c>
      <c r="G3801" s="5" t="s">
        <v>4</v>
      </c>
      <c r="H3801" s="5" t="s">
        <v>5</v>
      </c>
      <c r="I3801" s="6">
        <v>45867</v>
      </c>
    </row>
    <row r="3802" spans="1:9" ht="13.5">
      <c r="A3802" s="2" t="s">
        <v>4051</v>
      </c>
      <c r="B3802" s="3"/>
      <c r="C3802" s="4" t="s">
        <v>6608</v>
      </c>
      <c r="D3802" s="4" t="s">
        <v>5701</v>
      </c>
      <c r="E3802" s="5" t="s">
        <v>4315</v>
      </c>
      <c r="F3802" s="5" t="str">
        <f t="shared" si="59"/>
        <v>hund.se</v>
      </c>
      <c r="G3802" s="5" t="s">
        <v>4</v>
      </c>
      <c r="H3802" s="5" t="s">
        <v>5</v>
      </c>
      <c r="I3802" s="6">
        <v>45867</v>
      </c>
    </row>
    <row r="3803" spans="1:9" ht="13.5">
      <c r="A3803" s="2" t="s">
        <v>3058</v>
      </c>
      <c r="B3803" s="3"/>
      <c r="C3803" s="4" t="s">
        <v>6557</v>
      </c>
      <c r="D3803" s="4" t="s">
        <v>5034</v>
      </c>
      <c r="E3803" s="5" t="s">
        <v>14</v>
      </c>
      <c r="F3803" s="5" t="str">
        <f t="shared" si="59"/>
        <v>rusta.se</v>
      </c>
      <c r="G3803" s="5" t="s">
        <v>4</v>
      </c>
      <c r="H3803" s="5" t="s">
        <v>5</v>
      </c>
      <c r="I3803" s="6">
        <v>45867</v>
      </c>
    </row>
    <row r="3804" spans="1:9" ht="13.5">
      <c r="A3804" s="2" t="s">
        <v>3058</v>
      </c>
      <c r="B3804" s="3"/>
      <c r="C3804" s="4" t="s">
        <v>6558</v>
      </c>
      <c r="D3804" s="4" t="s">
        <v>4133</v>
      </c>
      <c r="E3804" s="5" t="s">
        <v>3064</v>
      </c>
      <c r="F3804" s="5" t="str">
        <f t="shared" si="59"/>
        <v>rusta.se</v>
      </c>
      <c r="G3804" s="5" t="s">
        <v>4</v>
      </c>
      <c r="H3804" s="5" t="s">
        <v>5</v>
      </c>
      <c r="I3804" s="6">
        <v>45867</v>
      </c>
    </row>
    <row r="3805" spans="1:9" ht="13.5">
      <c r="A3805" s="2" t="s">
        <v>3058</v>
      </c>
      <c r="B3805" s="3"/>
      <c r="C3805" s="4" t="s">
        <v>6559</v>
      </c>
      <c r="D3805" s="4" t="s">
        <v>5034</v>
      </c>
      <c r="E3805" s="5" t="s">
        <v>5991</v>
      </c>
      <c r="F3805" s="5" t="str">
        <f t="shared" si="59"/>
        <v>rusta.se</v>
      </c>
      <c r="G3805" s="5" t="s">
        <v>4</v>
      </c>
      <c r="H3805" s="5" t="s">
        <v>5</v>
      </c>
      <c r="I3805" s="6">
        <v>45867</v>
      </c>
    </row>
    <row r="3806" spans="1:9" ht="13.5">
      <c r="A3806" s="2" t="s">
        <v>5084</v>
      </c>
      <c r="B3806" s="3"/>
      <c r="C3806" s="4" t="s">
        <v>6560</v>
      </c>
      <c r="D3806" s="4" t="s">
        <v>6204</v>
      </c>
      <c r="E3806" s="5" t="s">
        <v>5162</v>
      </c>
      <c r="F3806" s="5" t="str">
        <f t="shared" si="59"/>
        <v>glassfactory.fi</v>
      </c>
      <c r="G3806" s="5" t="s">
        <v>4</v>
      </c>
      <c r="H3806" s="5" t="s">
        <v>5</v>
      </c>
      <c r="I3806" s="6">
        <v>45867</v>
      </c>
    </row>
    <row r="3807" spans="1:9" ht="13.5">
      <c r="A3807" s="2" t="s">
        <v>5084</v>
      </c>
      <c r="B3807" s="3"/>
      <c r="C3807" s="4" t="s">
        <v>6609</v>
      </c>
      <c r="D3807" s="4" t="s">
        <v>6046</v>
      </c>
      <c r="E3807" s="5" t="s">
        <v>5802</v>
      </c>
      <c r="F3807" s="5" t="str">
        <f t="shared" si="59"/>
        <v>glassfactory.fi</v>
      </c>
      <c r="G3807" s="5" t="s">
        <v>4</v>
      </c>
      <c r="H3807" s="5" t="s">
        <v>5</v>
      </c>
      <c r="I3807" s="6">
        <v>45867</v>
      </c>
    </row>
    <row r="3808" spans="1:9" ht="13.5">
      <c r="A3808" s="2" t="s">
        <v>6399</v>
      </c>
      <c r="B3808" s="3"/>
      <c r="C3808" s="4" t="s">
        <v>6610</v>
      </c>
      <c r="D3808" s="4" t="s">
        <v>6401</v>
      </c>
      <c r="E3808" s="5" t="s">
        <v>6424</v>
      </c>
      <c r="F3808" s="5" t="str">
        <f t="shared" si="59"/>
        <v>merchoteket.se</v>
      </c>
      <c r="G3808" s="5" t="s">
        <v>4</v>
      </c>
      <c r="H3808" s="5" t="s">
        <v>5</v>
      </c>
      <c r="I3808" s="6">
        <v>45867</v>
      </c>
    </row>
    <row r="3809" spans="1:9" ht="13.5">
      <c r="A3809" s="2" t="s">
        <v>6014</v>
      </c>
      <c r="B3809" s="3"/>
      <c r="C3809" s="4" t="s">
        <v>6611</v>
      </c>
      <c r="D3809" s="4" t="s">
        <v>6016</v>
      </c>
      <c r="E3809" s="5" t="s">
        <v>6017</v>
      </c>
      <c r="F3809" s="5" t="str">
        <f t="shared" si="59"/>
        <v>kungaslottet.se</v>
      </c>
      <c r="G3809" s="5" t="s">
        <v>4</v>
      </c>
      <c r="H3809" s="5" t="s">
        <v>5</v>
      </c>
      <c r="I3809" s="6">
        <v>45867</v>
      </c>
    </row>
    <row r="3810" spans="1:9" ht="13.5">
      <c r="A3810" s="2" t="s">
        <v>2127</v>
      </c>
      <c r="B3810" s="3"/>
      <c r="C3810" s="4" t="s">
        <v>6612</v>
      </c>
      <c r="D3810" s="4" t="s">
        <v>5725</v>
      </c>
      <c r="E3810" s="5" t="s">
        <v>4999</v>
      </c>
      <c r="F3810" s="5" t="str">
        <f t="shared" si="59"/>
        <v>startmotor.se</v>
      </c>
      <c r="G3810" s="5" t="s">
        <v>4</v>
      </c>
      <c r="H3810" s="5" t="s">
        <v>5</v>
      </c>
      <c r="I3810" s="6">
        <v>45868</v>
      </c>
    </row>
    <row r="3811" spans="1:9" ht="13.5">
      <c r="A3811" s="2" t="s">
        <v>5191</v>
      </c>
      <c r="B3811" s="3"/>
      <c r="C3811" s="4" t="s">
        <v>6613</v>
      </c>
      <c r="D3811" s="4" t="s">
        <v>5456</v>
      </c>
      <c r="E3811" s="5" t="s">
        <v>6614</v>
      </c>
      <c r="F3811" s="5" t="str">
        <f t="shared" si="59"/>
        <v>bergetsro.se</v>
      </c>
      <c r="G3811" s="5" t="s">
        <v>4</v>
      </c>
      <c r="H3811" s="5" t="s">
        <v>5</v>
      </c>
      <c r="I3811" s="6">
        <v>45868</v>
      </c>
    </row>
    <row r="3812" spans="1:9" ht="13.5">
      <c r="A3812" s="2" t="s">
        <v>6127</v>
      </c>
      <c r="B3812" s="3"/>
      <c r="C3812" s="4" t="s">
        <v>6615</v>
      </c>
      <c r="D3812" s="4" t="s">
        <v>6129</v>
      </c>
      <c r="E3812" s="5" t="s">
        <v>6130</v>
      </c>
      <c r="F3812" s="5" t="str">
        <f t="shared" si="59"/>
        <v>indoorprofessional.se</v>
      </c>
      <c r="G3812" s="5" t="s">
        <v>4</v>
      </c>
      <c r="H3812" s="5" t="s">
        <v>5</v>
      </c>
      <c r="I3812" s="6">
        <v>45868</v>
      </c>
    </row>
    <row r="3813" spans="1:9" ht="13.5">
      <c r="A3813" s="2" t="s">
        <v>2836</v>
      </c>
      <c r="B3813" s="3"/>
      <c r="C3813" s="4" t="s">
        <v>6616</v>
      </c>
      <c r="D3813" s="4" t="s">
        <v>2838</v>
      </c>
      <c r="E3813" s="5" t="s">
        <v>5201</v>
      </c>
      <c r="F3813" s="5" t="str">
        <f t="shared" si="59"/>
        <v>cherry.com</v>
      </c>
      <c r="G3813" s="5" t="s">
        <v>4</v>
      </c>
      <c r="H3813" s="5" t="s">
        <v>5</v>
      </c>
      <c r="I3813" s="6">
        <v>45868</v>
      </c>
    </row>
    <row r="3814" spans="1:9" ht="13.5">
      <c r="A3814" s="2" t="s">
        <v>3761</v>
      </c>
      <c r="B3814" s="3"/>
      <c r="C3814" s="4" t="s">
        <v>6617</v>
      </c>
      <c r="D3814" s="4" t="s">
        <v>3846</v>
      </c>
      <c r="E3814" s="5" t="s">
        <v>6618</v>
      </c>
      <c r="F3814" s="5" t="str">
        <f t="shared" si="59"/>
        <v>hajper.com</v>
      </c>
      <c r="G3814" s="5" t="s">
        <v>4</v>
      </c>
      <c r="H3814" s="5" t="s">
        <v>5</v>
      </c>
      <c r="I3814" s="6">
        <v>45868</v>
      </c>
    </row>
    <row r="3815" spans="1:9" ht="13.5">
      <c r="A3815" s="7" t="s">
        <v>4143</v>
      </c>
      <c r="B3815" s="3"/>
      <c r="C3815" s="4" t="s">
        <v>6619</v>
      </c>
      <c r="D3815" s="4" t="s">
        <v>6159</v>
      </c>
      <c r="E3815" s="5" t="s">
        <v>6160</v>
      </c>
      <c r="F3815" s="5" t="str">
        <f t="shared" si="59"/>
        <v>IP i Sverige</v>
      </c>
      <c r="G3815" s="5" t="s">
        <v>4</v>
      </c>
      <c r="H3815" s="5" t="s">
        <v>5</v>
      </c>
      <c r="I3815" s="6">
        <v>45868</v>
      </c>
    </row>
    <row r="3816" spans="1:9" ht="13.5">
      <c r="A3816" s="7" t="s">
        <v>3747</v>
      </c>
      <c r="B3816" s="3"/>
      <c r="C3816" s="4" t="s">
        <v>6620</v>
      </c>
      <c r="D3816" s="4" t="s">
        <v>5993</v>
      </c>
      <c r="E3816" s="5" t="s">
        <v>5994</v>
      </c>
      <c r="F3816" s="5" t="str">
        <f t="shared" si="59"/>
        <v>supernormal.health</v>
      </c>
      <c r="G3816" s="5" t="s">
        <v>4</v>
      </c>
      <c r="H3816" s="5" t="s">
        <v>5</v>
      </c>
      <c r="I3816" s="6">
        <v>45868</v>
      </c>
    </row>
    <row r="3817" spans="1:9" ht="13.5">
      <c r="A3817" s="2" t="s">
        <v>5020</v>
      </c>
      <c r="B3817" s="3"/>
      <c r="C3817" s="4" t="s">
        <v>6621</v>
      </c>
      <c r="D3817" s="4" t="s">
        <v>5865</v>
      </c>
      <c r="E3817" s="5" t="s">
        <v>5866</v>
      </c>
      <c r="F3817" s="5" t="str">
        <f t="shared" si="59"/>
        <v>sesec.se</v>
      </c>
      <c r="G3817" s="5" t="s">
        <v>4</v>
      </c>
      <c r="H3817" s="5" t="s">
        <v>5</v>
      </c>
      <c r="I3817" s="6">
        <v>45868</v>
      </c>
    </row>
    <row r="3818" spans="1:9" ht="13.5">
      <c r="A3818" s="2" t="s">
        <v>2428</v>
      </c>
      <c r="B3818" s="3"/>
      <c r="C3818" s="4" t="s">
        <v>6622</v>
      </c>
      <c r="D3818" s="4" t="s">
        <v>2430</v>
      </c>
      <c r="E3818" s="5" t="s">
        <v>2906</v>
      </c>
      <c r="F3818" s="5" t="str">
        <f t="shared" si="59"/>
        <v>sakraror.se</v>
      </c>
      <c r="G3818" s="5" t="s">
        <v>4</v>
      </c>
      <c r="H3818" s="5" t="s">
        <v>5</v>
      </c>
      <c r="I3818" s="6">
        <v>45868</v>
      </c>
    </row>
    <row r="3819" spans="1:9" ht="13.5">
      <c r="A3819" s="2" t="s">
        <v>3761</v>
      </c>
      <c r="B3819" s="3"/>
      <c r="C3819" s="4" t="s">
        <v>6623</v>
      </c>
      <c r="D3819" s="138" t="s">
        <v>3908</v>
      </c>
      <c r="E3819" s="5" t="s">
        <v>6624</v>
      </c>
      <c r="F3819" s="5" t="str">
        <f t="shared" si="59"/>
        <v>hajper.com</v>
      </c>
      <c r="G3819" s="5" t="s">
        <v>4</v>
      </c>
      <c r="H3819" s="5" t="s">
        <v>5</v>
      </c>
      <c r="I3819" s="6">
        <v>45869</v>
      </c>
    </row>
    <row r="3820" spans="1:9" ht="13.5">
      <c r="A3820" s="2" t="s">
        <v>3885</v>
      </c>
      <c r="B3820" s="3"/>
      <c r="C3820" s="4" t="s">
        <v>6625</v>
      </c>
      <c r="D3820" s="138" t="s">
        <v>6249</v>
      </c>
      <c r="E3820" s="5" t="s">
        <v>3888</v>
      </c>
      <c r="F3820" s="5" t="str">
        <f t="shared" si="59"/>
        <v>chattanoogarehab.com</v>
      </c>
      <c r="G3820" s="5" t="s">
        <v>4</v>
      </c>
      <c r="H3820" s="5" t="s">
        <v>345</v>
      </c>
      <c r="I3820" s="6">
        <v>45869</v>
      </c>
    </row>
    <row r="3821" spans="1:9" ht="13.5">
      <c r="A3821" s="7" t="s">
        <v>5361</v>
      </c>
      <c r="B3821" s="3"/>
      <c r="C3821" s="4" t="s">
        <v>6626</v>
      </c>
      <c r="D3821" s="138" t="s">
        <v>5436</v>
      </c>
      <c r="E3821" s="5" t="s">
        <v>5761</v>
      </c>
      <c r="F3821" s="5" t="str">
        <f t="shared" si="59"/>
        <v>Leaptodigital</v>
      </c>
      <c r="G3821" s="5" t="s">
        <v>4</v>
      </c>
      <c r="H3821" s="5" t="s">
        <v>345</v>
      </c>
      <c r="I3821" s="6">
        <v>45869</v>
      </c>
    </row>
    <row r="3822" spans="1:9" ht="13.5">
      <c r="A3822" s="7" t="s">
        <v>4143</v>
      </c>
      <c r="B3822" s="3"/>
      <c r="C3822" s="4" t="s">
        <v>6627</v>
      </c>
      <c r="D3822" s="4" t="s">
        <v>5975</v>
      </c>
      <c r="E3822" s="5" t="s">
        <v>6164</v>
      </c>
      <c r="F3822" s="5" t="str">
        <f t="shared" si="59"/>
        <v>IP i Sverige</v>
      </c>
      <c r="G3822" s="5" t="s">
        <v>4</v>
      </c>
      <c r="H3822" s="5" t="s">
        <v>5</v>
      </c>
      <c r="I3822" s="6">
        <v>45869</v>
      </c>
    </row>
    <row r="3823" spans="1:9" ht="13.5">
      <c r="A3823" s="2" t="s">
        <v>3058</v>
      </c>
      <c r="B3823" s="3"/>
      <c r="C3823" s="4" t="s">
        <v>6628</v>
      </c>
      <c r="D3823" s="4" t="s">
        <v>5034</v>
      </c>
      <c r="E3823" s="5" t="s">
        <v>5991</v>
      </c>
      <c r="F3823" s="5" t="str">
        <f t="shared" si="59"/>
        <v>rusta.se</v>
      </c>
      <c r="G3823" s="5" t="s">
        <v>4</v>
      </c>
      <c r="H3823" s="5" t="s">
        <v>5</v>
      </c>
      <c r="I3823" s="6">
        <v>45869</v>
      </c>
    </row>
    <row r="3824" spans="1:9" ht="13.5">
      <c r="A3824" s="2" t="s">
        <v>3682</v>
      </c>
      <c r="B3824" s="3"/>
      <c r="C3824" s="4" t="s">
        <v>6629</v>
      </c>
      <c r="D3824" s="4" t="s">
        <v>6575</v>
      </c>
      <c r="E3824" s="5" t="s">
        <v>4510</v>
      </c>
      <c r="F3824" s="5" t="str">
        <f t="shared" si="59"/>
        <v>upplevelse.com</v>
      </c>
      <c r="G3824" s="5" t="s">
        <v>4</v>
      </c>
      <c r="H3824" s="5" t="s">
        <v>5</v>
      </c>
      <c r="I3824" s="6">
        <v>45869</v>
      </c>
    </row>
    <row r="3825" spans="1:9" ht="13.5">
      <c r="A3825" s="2" t="s">
        <v>703</v>
      </c>
      <c r="B3825" s="3"/>
      <c r="C3825" s="4" t="s">
        <v>6630</v>
      </c>
      <c r="D3825" s="4" t="s">
        <v>6631</v>
      </c>
      <c r="E3825" s="5" t="s">
        <v>6632</v>
      </c>
      <c r="F3825" s="5" t="str">
        <f t="shared" si="59"/>
        <v>distansinstitutet.se</v>
      </c>
      <c r="G3825" s="5" t="s">
        <v>4</v>
      </c>
      <c r="H3825" s="5" t="s">
        <v>5</v>
      </c>
      <c r="I3825" s="6">
        <v>45869</v>
      </c>
    </row>
    <row r="3826" spans="1:9" ht="13.5">
      <c r="A3826" s="2" t="s">
        <v>5715</v>
      </c>
      <c r="B3826" s="3"/>
      <c r="C3826" s="4" t="s">
        <v>6633</v>
      </c>
      <c r="D3826" s="4" t="s">
        <v>6211</v>
      </c>
      <c r="E3826" s="5" t="s">
        <v>5718</v>
      </c>
      <c r="F3826" s="5" t="str">
        <f t="shared" si="59"/>
        <v>Minifinder.se</v>
      </c>
      <c r="G3826" s="5" t="s">
        <v>4</v>
      </c>
      <c r="H3826" s="5" t="s">
        <v>5</v>
      </c>
      <c r="I3826" s="6">
        <v>45869</v>
      </c>
    </row>
    <row r="3827" spans="1:9" ht="13.5">
      <c r="A3827" s="2" t="s">
        <v>3682</v>
      </c>
      <c r="B3827" s="3"/>
      <c r="C3827" s="4" t="s">
        <v>6634</v>
      </c>
      <c r="D3827" s="4" t="s">
        <v>6635</v>
      </c>
      <c r="E3827" s="5" t="s">
        <v>6636</v>
      </c>
      <c r="F3827" s="5" t="str">
        <f t="shared" si="59"/>
        <v>upplevelse.com</v>
      </c>
      <c r="G3827" s="5" t="s">
        <v>4</v>
      </c>
      <c r="H3827" s="5" t="s">
        <v>5</v>
      </c>
      <c r="I3827" s="6">
        <v>45869</v>
      </c>
    </row>
    <row r="3828" spans="1:9" ht="13.5">
      <c r="A3828" s="7" t="s">
        <v>4143</v>
      </c>
      <c r="B3828" s="3"/>
      <c r="C3828" s="4" t="s">
        <v>6637</v>
      </c>
      <c r="D3828" s="4" t="s">
        <v>5969</v>
      </c>
      <c r="E3828" s="5" t="s">
        <v>5970</v>
      </c>
      <c r="F3828" s="5" t="str">
        <f t="shared" si="59"/>
        <v>IP i Sverige</v>
      </c>
      <c r="G3828" s="5" t="s">
        <v>4</v>
      </c>
      <c r="H3828" s="5" t="s">
        <v>5</v>
      </c>
      <c r="I3828" s="6">
        <v>45869</v>
      </c>
    </row>
    <row r="3829" spans="1:9" ht="13.5">
      <c r="A3829" s="2" t="s">
        <v>2127</v>
      </c>
      <c r="B3829" s="3"/>
      <c r="C3829" s="4" t="s">
        <v>6638</v>
      </c>
      <c r="D3829" s="4" t="s">
        <v>5725</v>
      </c>
      <c r="E3829" s="5" t="s">
        <v>4999</v>
      </c>
      <c r="F3829" s="5" t="str">
        <f t="shared" si="59"/>
        <v>startmotor.se</v>
      </c>
      <c r="G3829" s="5" t="s">
        <v>4</v>
      </c>
      <c r="H3829" s="5" t="s">
        <v>5</v>
      </c>
      <c r="I3829" s="6">
        <v>45869</v>
      </c>
    </row>
    <row r="3830" spans="1:9" ht="13.5">
      <c r="A3830" s="2" t="s">
        <v>6639</v>
      </c>
      <c r="B3830" s="3"/>
      <c r="C3830" s="4" t="s">
        <v>6640</v>
      </c>
      <c r="D3830" s="4" t="s">
        <v>6641</v>
      </c>
      <c r="E3830" s="5" t="s">
        <v>6642</v>
      </c>
      <c r="F3830" s="5" t="str">
        <f t="shared" si="59"/>
        <v>epidemicsounds.com</v>
      </c>
      <c r="G3830" s="5" t="s">
        <v>4</v>
      </c>
      <c r="H3830" s="5" t="s">
        <v>345</v>
      </c>
      <c r="I3830" s="6">
        <v>45869</v>
      </c>
    </row>
    <row r="3831" spans="1:9" ht="13.5">
      <c r="A3831" s="2" t="s">
        <v>6639</v>
      </c>
      <c r="B3831" s="3"/>
      <c r="C3831" s="4" t="s">
        <v>6643</v>
      </c>
      <c r="D3831" s="4" t="s">
        <v>6641</v>
      </c>
      <c r="E3831" s="5" t="s">
        <v>6642</v>
      </c>
      <c r="F3831" s="5" t="str">
        <f t="shared" si="59"/>
        <v>epidemicsounds.com</v>
      </c>
      <c r="G3831" s="5" t="s">
        <v>4</v>
      </c>
      <c r="H3831" s="5" t="s">
        <v>345</v>
      </c>
      <c r="I3831" s="6">
        <v>45869</v>
      </c>
    </row>
    <row r="3832" spans="1:9" ht="13.5">
      <c r="A3832" s="2" t="s">
        <v>6639</v>
      </c>
      <c r="B3832" s="3"/>
      <c r="C3832" s="4" t="s">
        <v>6644</v>
      </c>
      <c r="D3832" s="4" t="s">
        <v>6641</v>
      </c>
      <c r="E3832" s="5" t="s">
        <v>6645</v>
      </c>
      <c r="F3832" s="5" t="str">
        <f t="shared" si="59"/>
        <v>epidemicsounds.com</v>
      </c>
      <c r="G3832" s="5" t="s">
        <v>4</v>
      </c>
      <c r="H3832" s="5" t="s">
        <v>345</v>
      </c>
      <c r="I3832" s="6">
        <v>45869</v>
      </c>
    </row>
    <row r="3833" spans="1:9" ht="13.5">
      <c r="A3833" s="2" t="s">
        <v>535</v>
      </c>
      <c r="B3833" s="3"/>
      <c r="C3833" s="4" t="s">
        <v>6646</v>
      </c>
      <c r="D3833" s="4" t="s">
        <v>3327</v>
      </c>
      <c r="E3833" s="5" t="s">
        <v>6647</v>
      </c>
      <c r="F3833" s="5" t="str">
        <f t="shared" si="59"/>
        <v>tryggbil.se</v>
      </c>
      <c r="G3833" s="5" t="s">
        <v>4</v>
      </c>
      <c r="H3833" s="5" t="s">
        <v>5</v>
      </c>
      <c r="I3833" s="6">
        <v>45869</v>
      </c>
    </row>
    <row r="3834" spans="1:9" ht="13.5">
      <c r="A3834" s="2" t="s">
        <v>1318</v>
      </c>
      <c r="B3834" s="3"/>
      <c r="C3834" s="4" t="s">
        <v>6648</v>
      </c>
      <c r="D3834" s="4" t="s">
        <v>4620</v>
      </c>
      <c r="E3834" s="5" t="s">
        <v>6649</v>
      </c>
      <c r="F3834" s="5" t="str">
        <f t="shared" si="59"/>
        <v>spelklubben.se</v>
      </c>
      <c r="G3834" s="5" t="s">
        <v>4</v>
      </c>
      <c r="H3834" s="5" t="s">
        <v>5</v>
      </c>
      <c r="I3834" s="6">
        <v>45869</v>
      </c>
    </row>
    <row r="3835" spans="1:9" ht="13.5">
      <c r="A3835" s="2" t="s">
        <v>1318</v>
      </c>
      <c r="B3835" s="3"/>
      <c r="C3835" s="4" t="s">
        <v>6650</v>
      </c>
      <c r="D3835" s="4" t="s">
        <v>2823</v>
      </c>
      <c r="E3835" s="5" t="s">
        <v>6651</v>
      </c>
      <c r="F3835" s="5" t="str">
        <f t="shared" si="59"/>
        <v>spelklubben.se</v>
      </c>
      <c r="G3835" s="5" t="s">
        <v>4</v>
      </c>
      <c r="H3835" s="5" t="s">
        <v>5</v>
      </c>
      <c r="I3835" s="6">
        <v>45869</v>
      </c>
    </row>
    <row r="3836" spans="1:9" ht="13.5">
      <c r="A3836" s="2" t="s">
        <v>5468</v>
      </c>
      <c r="B3836" s="3"/>
      <c r="C3836" s="4" t="s">
        <v>6652</v>
      </c>
      <c r="D3836" s="4" t="s">
        <v>6653</v>
      </c>
      <c r="E3836" s="5" t="s">
        <v>6654</v>
      </c>
      <c r="F3836" s="5" t="str">
        <f t="shared" si="59"/>
        <v>wellio.se</v>
      </c>
      <c r="G3836" s="5" t="s">
        <v>4</v>
      </c>
      <c r="H3836" s="5" t="s">
        <v>5</v>
      </c>
      <c r="I3836" s="6">
        <v>45869</v>
      </c>
    </row>
    <row r="3837" spans="1:9" ht="13.5">
      <c r="A3837" s="2" t="s">
        <v>3682</v>
      </c>
      <c r="B3837" s="3"/>
      <c r="C3837" s="4" t="s">
        <v>6655</v>
      </c>
      <c r="D3837" s="4" t="s">
        <v>6656</v>
      </c>
      <c r="E3837" s="9" t="s">
        <v>3685</v>
      </c>
      <c r="F3837" s="5" t="str">
        <f t="shared" si="59"/>
        <v>upplevelse.com</v>
      </c>
      <c r="G3837" s="5" t="s">
        <v>4</v>
      </c>
      <c r="H3837" s="5" t="s">
        <v>5</v>
      </c>
      <c r="I3837" s="6">
        <v>45869</v>
      </c>
    </row>
    <row r="3838" spans="1:9" ht="13.5">
      <c r="A3838" s="2" t="s">
        <v>6399</v>
      </c>
      <c r="B3838" s="3"/>
      <c r="C3838" s="4" t="s">
        <v>6657</v>
      </c>
      <c r="D3838" s="4" t="s">
        <v>6401</v>
      </c>
      <c r="E3838" s="5" t="s">
        <v>6402</v>
      </c>
      <c r="F3838" s="5" t="str">
        <f t="shared" si="59"/>
        <v>merchoteket.se</v>
      </c>
      <c r="G3838" s="5" t="s">
        <v>4</v>
      </c>
      <c r="H3838" s="5" t="s">
        <v>5</v>
      </c>
      <c r="I3838" s="6">
        <v>45869</v>
      </c>
    </row>
    <row r="3839" spans="1:9" ht="13.5">
      <c r="A3839" s="2" t="s">
        <v>6415</v>
      </c>
      <c r="B3839" s="3"/>
      <c r="C3839" s="4" t="s">
        <v>6658</v>
      </c>
      <c r="D3839" s="4" t="s">
        <v>6417</v>
      </c>
      <c r="E3839" s="5" t="s">
        <v>6418</v>
      </c>
      <c r="F3839" s="5" t="str">
        <f t="shared" si="59"/>
        <v>comfydence.se</v>
      </c>
      <c r="G3839" s="5" t="s">
        <v>4</v>
      </c>
      <c r="H3839" s="5" t="s">
        <v>5</v>
      </c>
      <c r="I3839" s="6">
        <v>45869</v>
      </c>
    </row>
    <row r="3840" spans="1:9" ht="13.5">
      <c r="A3840" s="2" t="s">
        <v>6659</v>
      </c>
      <c r="B3840" s="3"/>
      <c r="C3840" s="4" t="s">
        <v>6660</v>
      </c>
      <c r="D3840" s="4" t="s">
        <v>6661</v>
      </c>
      <c r="E3840" s="5" t="s">
        <v>6662</v>
      </c>
      <c r="F3840" s="5" t="str">
        <f t="shared" si="59"/>
        <v>northtracker.com</v>
      </c>
      <c r="G3840" s="5" t="s">
        <v>4</v>
      </c>
      <c r="H3840" s="5" t="s">
        <v>5</v>
      </c>
      <c r="I3840" s="6">
        <v>45869</v>
      </c>
    </row>
    <row r="3841" spans="1:9" ht="13.5">
      <c r="A3841" s="2" t="s">
        <v>3090</v>
      </c>
      <c r="B3841" s="3"/>
      <c r="C3841" s="4" t="s">
        <v>6663</v>
      </c>
      <c r="D3841" s="4" t="s">
        <v>3092</v>
      </c>
      <c r="E3841" s="5" t="s">
        <v>3093</v>
      </c>
      <c r="F3841" s="5" t="str">
        <f t="shared" si="59"/>
        <v>videoslots.com</v>
      </c>
      <c r="G3841" s="5" t="s">
        <v>4</v>
      </c>
      <c r="H3841" s="5" t="s">
        <v>5</v>
      </c>
      <c r="I3841" s="6">
        <v>45869</v>
      </c>
    </row>
    <row r="3842" spans="1:9" ht="13.5">
      <c r="A3842" s="2" t="s">
        <v>5468</v>
      </c>
      <c r="B3842" s="3"/>
      <c r="C3842" s="4" t="s">
        <v>6664</v>
      </c>
      <c r="D3842" s="4" t="s">
        <v>5470</v>
      </c>
      <c r="E3842" s="5" t="s">
        <v>6665</v>
      </c>
      <c r="F3842" s="5" t="str">
        <f t="shared" si="59"/>
        <v>wellio.se</v>
      </c>
      <c r="G3842" s="5" t="s">
        <v>4</v>
      </c>
      <c r="H3842" s="5" t="s">
        <v>5</v>
      </c>
      <c r="I3842" s="6">
        <v>45869</v>
      </c>
    </row>
    <row r="3843" spans="1:9" ht="13.5">
      <c r="A3843" s="7" t="s">
        <v>224</v>
      </c>
      <c r="B3843" s="3"/>
      <c r="C3843" s="4" t="s">
        <v>6666</v>
      </c>
      <c r="D3843" s="4" t="s">
        <v>226</v>
      </c>
      <c r="E3843" s="5" t="s">
        <v>368</v>
      </c>
      <c r="F3843" s="5" t="str">
        <f t="shared" ref="F3843:F3906" si="60">A3843</f>
        <v>swedoffice</v>
      </c>
      <c r="G3843" s="5" t="s">
        <v>4</v>
      </c>
      <c r="H3843" s="5" t="s">
        <v>5</v>
      </c>
      <c r="I3843" s="6">
        <v>45869</v>
      </c>
    </row>
    <row r="3844" spans="1:9" ht="13.5">
      <c r="A3844" s="2" t="s">
        <v>5350</v>
      </c>
      <c r="B3844" s="3"/>
      <c r="C3844" s="4" t="s">
        <v>6667</v>
      </c>
      <c r="D3844" s="4" t="s">
        <v>5352</v>
      </c>
      <c r="E3844" s="5" t="s">
        <v>6668</v>
      </c>
      <c r="F3844" s="5" t="str">
        <f t="shared" si="60"/>
        <v>lilla-varlden.se</v>
      </c>
      <c r="G3844" s="5" t="s">
        <v>4</v>
      </c>
      <c r="H3844" s="5" t="s">
        <v>5</v>
      </c>
      <c r="I3844" s="6">
        <v>45869</v>
      </c>
    </row>
    <row r="3845" spans="1:9" ht="13.5">
      <c r="A3845" s="2" t="s">
        <v>3491</v>
      </c>
      <c r="B3845" s="3"/>
      <c r="C3845" s="4" t="s">
        <v>6669</v>
      </c>
      <c r="D3845" s="4" t="s">
        <v>3493</v>
      </c>
      <c r="E3845" s="5" t="s">
        <v>3494</v>
      </c>
      <c r="F3845" s="5" t="str">
        <f t="shared" si="60"/>
        <v>mynicco.com</v>
      </c>
      <c r="G3845" s="5" t="s">
        <v>4</v>
      </c>
      <c r="H3845" s="5" t="s">
        <v>345</v>
      </c>
      <c r="I3845" s="6">
        <v>45869</v>
      </c>
    </row>
    <row r="3846" spans="1:9" ht="13.5">
      <c r="A3846" s="2" t="s">
        <v>3491</v>
      </c>
      <c r="B3846" s="3"/>
      <c r="C3846" s="138" t="s">
        <v>6670</v>
      </c>
      <c r="D3846" s="4" t="s">
        <v>3493</v>
      </c>
      <c r="E3846" s="5" t="s">
        <v>5577</v>
      </c>
      <c r="F3846" s="5" t="str">
        <f t="shared" si="60"/>
        <v>mynicco.com</v>
      </c>
      <c r="G3846" s="5" t="s">
        <v>4</v>
      </c>
      <c r="H3846" s="5" t="s">
        <v>345</v>
      </c>
      <c r="I3846" s="6">
        <v>45869</v>
      </c>
    </row>
    <row r="3847" spans="1:9" ht="13.5">
      <c r="A3847" s="7" t="s">
        <v>1910</v>
      </c>
      <c r="B3847" s="3"/>
      <c r="C3847" s="4" t="s">
        <v>6671</v>
      </c>
      <c r="D3847" s="4" t="s">
        <v>3472</v>
      </c>
      <c r="E3847" s="5" t="s">
        <v>2862</v>
      </c>
      <c r="F3847" s="5" t="str">
        <f t="shared" si="60"/>
        <v>kelleher-international</v>
      </c>
      <c r="G3847" s="5" t="s">
        <v>4</v>
      </c>
      <c r="H3847" s="5" t="s">
        <v>345</v>
      </c>
      <c r="I3847" s="6">
        <v>45869</v>
      </c>
    </row>
    <row r="3848" spans="1:9" ht="13.5">
      <c r="A3848" s="2" t="s">
        <v>723</v>
      </c>
      <c r="B3848" s="3"/>
      <c r="C3848" s="4" t="s">
        <v>6672</v>
      </c>
      <c r="D3848" s="4" t="s">
        <v>6673</v>
      </c>
      <c r="E3848" s="5" t="s">
        <v>6674</v>
      </c>
      <c r="F3848" s="5" t="str">
        <f t="shared" si="60"/>
        <v>aretrotale.com</v>
      </c>
      <c r="G3848" s="5" t="s">
        <v>4</v>
      </c>
      <c r="H3848" s="5" t="s">
        <v>3496</v>
      </c>
      <c r="I3848" s="6">
        <v>45869</v>
      </c>
    </row>
    <row r="3849" spans="1:9" ht="13.5">
      <c r="A3849" s="2" t="s">
        <v>171</v>
      </c>
      <c r="B3849" s="3"/>
      <c r="C3849" s="4" t="s">
        <v>6675</v>
      </c>
      <c r="D3849" s="4" t="s">
        <v>1708</v>
      </c>
      <c r="E3849" s="5" t="s">
        <v>4601</v>
      </c>
      <c r="F3849" s="5" t="str">
        <f t="shared" si="60"/>
        <v>arctic.se</v>
      </c>
      <c r="G3849" s="5" t="s">
        <v>4</v>
      </c>
      <c r="H3849" s="5" t="s">
        <v>2355</v>
      </c>
      <c r="I3849" s="6">
        <v>45869</v>
      </c>
    </row>
    <row r="3850" spans="1:9" ht="13.5">
      <c r="A3850" s="2" t="s">
        <v>3186</v>
      </c>
      <c r="B3850" s="3"/>
      <c r="C3850" s="4" t="s">
        <v>6676</v>
      </c>
      <c r="D3850" s="4" t="s">
        <v>4904</v>
      </c>
      <c r="E3850" s="5" t="s">
        <v>3468</v>
      </c>
      <c r="F3850" s="5" t="str">
        <f t="shared" si="60"/>
        <v>myownwater.com</v>
      </c>
      <c r="G3850" s="5" t="s">
        <v>4</v>
      </c>
      <c r="H3850" s="5" t="s">
        <v>345</v>
      </c>
      <c r="I3850" s="6">
        <v>45869</v>
      </c>
    </row>
    <row r="3851" spans="1:9" ht="13.5">
      <c r="A3851" s="2" t="s">
        <v>3186</v>
      </c>
      <c r="B3851" s="3"/>
      <c r="C3851" s="4" t="s">
        <v>6677</v>
      </c>
      <c r="D3851" s="4" t="s">
        <v>4207</v>
      </c>
      <c r="E3851" s="5" t="s">
        <v>4811</v>
      </c>
      <c r="F3851" s="5" t="str">
        <f t="shared" si="60"/>
        <v>myownwater.com</v>
      </c>
      <c r="G3851" s="5" t="s">
        <v>4</v>
      </c>
      <c r="H3851" s="5" t="s">
        <v>345</v>
      </c>
      <c r="I3851" s="6">
        <v>45869</v>
      </c>
    </row>
    <row r="3852" spans="1:9" ht="13.5">
      <c r="A3852" s="2" t="s">
        <v>3186</v>
      </c>
      <c r="B3852" s="3"/>
      <c r="C3852" s="4" t="s">
        <v>6678</v>
      </c>
      <c r="D3852" s="4" t="s">
        <v>4207</v>
      </c>
      <c r="E3852" s="5" t="s">
        <v>5781</v>
      </c>
      <c r="F3852" s="5" t="str">
        <f t="shared" si="60"/>
        <v>myownwater.com</v>
      </c>
      <c r="G3852" s="5" t="s">
        <v>4</v>
      </c>
      <c r="H3852" s="5" t="s">
        <v>345</v>
      </c>
      <c r="I3852" s="6">
        <v>45869</v>
      </c>
    </row>
    <row r="3853" spans="1:9" ht="13.5">
      <c r="A3853" s="2" t="s">
        <v>4829</v>
      </c>
      <c r="B3853" s="3"/>
      <c r="C3853" s="4" t="s">
        <v>6679</v>
      </c>
      <c r="D3853" s="4" t="s">
        <v>4831</v>
      </c>
      <c r="E3853" s="5" t="s">
        <v>4832</v>
      </c>
      <c r="F3853" s="5" t="str">
        <f t="shared" si="60"/>
        <v>technobark.com</v>
      </c>
      <c r="G3853" s="5" t="s">
        <v>4</v>
      </c>
      <c r="H3853" s="5" t="s">
        <v>345</v>
      </c>
      <c r="I3853" s="6">
        <v>45869</v>
      </c>
    </row>
    <row r="3854" spans="1:9" ht="13.5">
      <c r="A3854" s="2" t="s">
        <v>4829</v>
      </c>
      <c r="B3854" s="3"/>
      <c r="C3854" s="4" t="s">
        <v>6680</v>
      </c>
      <c r="D3854" s="4" t="s">
        <v>5101</v>
      </c>
      <c r="E3854" s="5" t="s">
        <v>5459</v>
      </c>
      <c r="F3854" s="5" t="str">
        <f t="shared" si="60"/>
        <v>technobark.com</v>
      </c>
      <c r="G3854" s="5" t="s">
        <v>4</v>
      </c>
      <c r="H3854" s="5" t="s">
        <v>345</v>
      </c>
      <c r="I3854" s="6">
        <v>45869</v>
      </c>
    </row>
    <row r="3855" spans="1:9" ht="13.5">
      <c r="A3855" s="2" t="s">
        <v>4829</v>
      </c>
      <c r="B3855" s="3"/>
      <c r="C3855" s="4" t="s">
        <v>6681</v>
      </c>
      <c r="D3855" s="4" t="s">
        <v>4934</v>
      </c>
      <c r="E3855" s="5" t="s">
        <v>5784</v>
      </c>
      <c r="F3855" s="5" t="str">
        <f t="shared" si="60"/>
        <v>technobark.com</v>
      </c>
      <c r="G3855" s="5" t="s">
        <v>4</v>
      </c>
      <c r="H3855" s="5" t="s">
        <v>345</v>
      </c>
      <c r="I3855" s="6">
        <v>45869</v>
      </c>
    </row>
    <row r="3856" spans="1:9" ht="13.5">
      <c r="A3856" s="2" t="s">
        <v>5374</v>
      </c>
      <c r="B3856" s="3"/>
      <c r="C3856" s="4" t="s">
        <v>6682</v>
      </c>
      <c r="D3856" s="4" t="s">
        <v>5376</v>
      </c>
      <c r="E3856" s="5" t="s">
        <v>5377</v>
      </c>
      <c r="F3856" s="5" t="str">
        <f t="shared" si="60"/>
        <v>willabgarden.de</v>
      </c>
      <c r="G3856" s="5" t="s">
        <v>4</v>
      </c>
      <c r="H3856" s="5" t="s">
        <v>2355</v>
      </c>
      <c r="I3856" s="6">
        <v>45869</v>
      </c>
    </row>
    <row r="3857" spans="1:9" ht="13.5">
      <c r="A3857" s="2" t="s">
        <v>5374</v>
      </c>
      <c r="B3857" s="3"/>
      <c r="C3857" s="4" t="s">
        <v>6683</v>
      </c>
      <c r="D3857" s="4" t="s">
        <v>5379</v>
      </c>
      <c r="E3857" s="5" t="s">
        <v>5380</v>
      </c>
      <c r="F3857" s="5" t="str">
        <f t="shared" si="60"/>
        <v>willabgarden.de</v>
      </c>
      <c r="G3857" s="5" t="s">
        <v>4</v>
      </c>
      <c r="H3857" s="5" t="s">
        <v>2355</v>
      </c>
      <c r="I3857" s="6">
        <v>45869</v>
      </c>
    </row>
    <row r="3858" spans="1:9" ht="13.5">
      <c r="A3858" s="2" t="s">
        <v>3090</v>
      </c>
      <c r="B3858" s="3"/>
      <c r="C3858" s="4" t="s">
        <v>6684</v>
      </c>
      <c r="D3858" s="4" t="s">
        <v>3095</v>
      </c>
      <c r="E3858" s="5" t="s">
        <v>6685</v>
      </c>
      <c r="F3858" s="5" t="str">
        <f t="shared" si="60"/>
        <v>videoslots.com</v>
      </c>
      <c r="G3858" s="5" t="s">
        <v>4</v>
      </c>
      <c r="H3858" s="5" t="s">
        <v>3496</v>
      </c>
      <c r="I3858" s="6">
        <v>45869</v>
      </c>
    </row>
    <row r="3859" spans="1:9" ht="13.5">
      <c r="A3859" s="2" t="s">
        <v>6025</v>
      </c>
      <c r="B3859" s="3"/>
      <c r="C3859" s="4" t="s">
        <v>6686</v>
      </c>
      <c r="D3859" s="4" t="s">
        <v>6027</v>
      </c>
      <c r="E3859" s="5" t="s">
        <v>6651</v>
      </c>
      <c r="F3859" s="5" t="str">
        <f t="shared" si="60"/>
        <v>megariches.com</v>
      </c>
      <c r="G3859" s="5" t="s">
        <v>4</v>
      </c>
      <c r="H3859" s="5" t="s">
        <v>3496</v>
      </c>
      <c r="I3859" s="6">
        <v>45869</v>
      </c>
    </row>
    <row r="3860" spans="1:9" ht="13.5">
      <c r="A3860" s="2" t="s">
        <v>6025</v>
      </c>
      <c r="B3860" s="3"/>
      <c r="C3860" s="4" t="s">
        <v>6687</v>
      </c>
      <c r="D3860" s="4" t="s">
        <v>6063</v>
      </c>
      <c r="E3860" s="5" t="s">
        <v>6688</v>
      </c>
      <c r="F3860" s="5" t="str">
        <f t="shared" si="60"/>
        <v>megariches.com</v>
      </c>
      <c r="G3860" s="5" t="s">
        <v>4</v>
      </c>
      <c r="H3860" s="5" t="s">
        <v>3496</v>
      </c>
      <c r="I3860" s="6">
        <v>45869</v>
      </c>
    </row>
    <row r="3861" spans="1:9" ht="13.5">
      <c r="A3861" s="2" t="s">
        <v>6025</v>
      </c>
      <c r="B3861" s="3"/>
      <c r="C3861" s="4" t="s">
        <v>6689</v>
      </c>
      <c r="D3861" s="4" t="s">
        <v>6027</v>
      </c>
      <c r="E3861" s="5" t="s">
        <v>6690</v>
      </c>
      <c r="F3861" s="5" t="str">
        <f t="shared" si="60"/>
        <v>megariches.com</v>
      </c>
      <c r="G3861" s="5" t="s">
        <v>4</v>
      </c>
      <c r="H3861" s="5" t="s">
        <v>3496</v>
      </c>
      <c r="I3861" s="6">
        <v>45869</v>
      </c>
    </row>
    <row r="3862" spans="1:9" ht="13.5">
      <c r="A3862" s="2" t="s">
        <v>6021</v>
      </c>
      <c r="B3862" s="3"/>
      <c r="C3862" s="4" t="s">
        <v>6691</v>
      </c>
      <c r="D3862" s="4" t="s">
        <v>6056</v>
      </c>
      <c r="E3862" s="5" t="s">
        <v>6651</v>
      </c>
      <c r="F3862" s="5" t="str">
        <f t="shared" si="60"/>
        <v>mrvegas.com</v>
      </c>
      <c r="G3862" s="5" t="s">
        <v>4</v>
      </c>
      <c r="H3862" s="5" t="s">
        <v>3496</v>
      </c>
      <c r="I3862" s="6">
        <v>45869</v>
      </c>
    </row>
    <row r="3863" spans="1:9" ht="13.5">
      <c r="A3863" s="2" t="s">
        <v>6021</v>
      </c>
      <c r="B3863" s="3"/>
      <c r="C3863" s="4" t="s">
        <v>6692</v>
      </c>
      <c r="D3863" s="4" t="s">
        <v>6056</v>
      </c>
      <c r="E3863" s="5" t="s">
        <v>6690</v>
      </c>
      <c r="F3863" s="5" t="str">
        <f t="shared" si="60"/>
        <v>mrvegas.com</v>
      </c>
      <c r="G3863" s="5" t="s">
        <v>4</v>
      </c>
      <c r="H3863" s="5" t="s">
        <v>3496</v>
      </c>
      <c r="I3863" s="6">
        <v>45869</v>
      </c>
    </row>
    <row r="3864" spans="1:9" ht="13.5">
      <c r="A3864" s="2" t="s">
        <v>6021</v>
      </c>
      <c r="B3864" s="3"/>
      <c r="C3864" s="4" t="s">
        <v>6693</v>
      </c>
      <c r="D3864" s="4" t="s">
        <v>6375</v>
      </c>
      <c r="E3864" s="5" t="s">
        <v>6694</v>
      </c>
      <c r="F3864" s="5" t="str">
        <f t="shared" si="60"/>
        <v>mrvegas.com</v>
      </c>
      <c r="G3864" s="5" t="s">
        <v>4</v>
      </c>
      <c r="H3864" s="5" t="s">
        <v>3496</v>
      </c>
      <c r="I3864" s="6">
        <v>45869</v>
      </c>
    </row>
    <row r="3865" spans="1:9" ht="13.5">
      <c r="A3865" s="2" t="s">
        <v>6021</v>
      </c>
      <c r="B3865" s="3"/>
      <c r="C3865" s="4" t="s">
        <v>6695</v>
      </c>
      <c r="D3865" s="4" t="s">
        <v>6056</v>
      </c>
      <c r="E3865" s="5" t="s">
        <v>6140</v>
      </c>
      <c r="F3865" s="5" t="str">
        <f t="shared" si="60"/>
        <v>mrvegas.com</v>
      </c>
      <c r="G3865" s="5" t="s">
        <v>4</v>
      </c>
      <c r="H3865" s="5" t="s">
        <v>3496</v>
      </c>
      <c r="I3865" s="6">
        <v>45869</v>
      </c>
    </row>
    <row r="3866" spans="1:9" ht="13.5">
      <c r="A3866" s="2" t="s">
        <v>6021</v>
      </c>
      <c r="B3866" s="3"/>
      <c r="C3866" s="4" t="s">
        <v>6696</v>
      </c>
      <c r="D3866" s="4" t="s">
        <v>6697</v>
      </c>
      <c r="E3866" s="5" t="s">
        <v>6698</v>
      </c>
      <c r="F3866" s="5" t="str">
        <f t="shared" si="60"/>
        <v>mrvegas.com</v>
      </c>
      <c r="G3866" s="5" t="s">
        <v>4</v>
      </c>
      <c r="H3866" s="5" t="s">
        <v>3496</v>
      </c>
      <c r="I3866" s="6">
        <v>45869</v>
      </c>
    </row>
    <row r="3867" spans="1:9" ht="13.5">
      <c r="A3867" s="2" t="s">
        <v>3090</v>
      </c>
      <c r="B3867" s="3"/>
      <c r="C3867" s="4" t="s">
        <v>6699</v>
      </c>
      <c r="D3867" s="4" t="s">
        <v>3095</v>
      </c>
      <c r="E3867" s="5" t="s">
        <v>6685</v>
      </c>
      <c r="F3867" s="5" t="str">
        <f t="shared" si="60"/>
        <v>videoslots.com</v>
      </c>
      <c r="G3867" s="5" t="s">
        <v>4</v>
      </c>
      <c r="H3867" s="5" t="s">
        <v>3496</v>
      </c>
      <c r="I3867" s="6">
        <v>45869</v>
      </c>
    </row>
    <row r="3868" spans="1:9" ht="13.5">
      <c r="A3868" s="2" t="s">
        <v>1615</v>
      </c>
      <c r="B3868" s="3"/>
      <c r="C3868" s="4" t="s">
        <v>6700</v>
      </c>
      <c r="D3868" s="4" t="s">
        <v>1617</v>
      </c>
      <c r="E3868" s="5" t="s">
        <v>1619</v>
      </c>
      <c r="F3868" s="5" t="str">
        <f t="shared" si="60"/>
        <v>kamux.fi</v>
      </c>
      <c r="G3868" s="5" t="s">
        <v>4</v>
      </c>
      <c r="H3868" s="5" t="s">
        <v>1618</v>
      </c>
      <c r="I3868" s="6">
        <v>45869</v>
      </c>
    </row>
    <row r="3869" spans="1:9" ht="13.5">
      <c r="A3869" s="2" t="s">
        <v>5538</v>
      </c>
      <c r="B3869" s="3"/>
      <c r="C3869" s="4" t="s">
        <v>6701</v>
      </c>
      <c r="D3869" s="4" t="s">
        <v>5540</v>
      </c>
      <c r="E3869" s="5" t="s">
        <v>5546</v>
      </c>
      <c r="F3869" s="5" t="str">
        <f t="shared" si="60"/>
        <v>kruunukaluste.fi</v>
      </c>
      <c r="G3869" s="5" t="s">
        <v>4</v>
      </c>
      <c r="H3869" s="5" t="s">
        <v>1618</v>
      </c>
      <c r="I3869" s="6">
        <v>45869</v>
      </c>
    </row>
    <row r="3870" spans="1:9" ht="13.5">
      <c r="A3870" s="7" t="s">
        <v>3419</v>
      </c>
      <c r="B3870" s="3"/>
      <c r="C3870" s="4" t="s">
        <v>6702</v>
      </c>
      <c r="D3870" s="4" t="s">
        <v>5813</v>
      </c>
      <c r="E3870" s="5" t="s">
        <v>5814</v>
      </c>
      <c r="F3870" s="5" t="str">
        <f t="shared" si="60"/>
        <v>zmarta</v>
      </c>
      <c r="G3870" s="5" t="s">
        <v>4</v>
      </c>
      <c r="H3870" s="5" t="s">
        <v>1618</v>
      </c>
      <c r="I3870" s="6">
        <v>45869</v>
      </c>
    </row>
    <row r="3871" spans="1:9" ht="13.5">
      <c r="A3871" s="2" t="s">
        <v>6252</v>
      </c>
      <c r="B3871" s="3"/>
      <c r="C3871" s="4" t="s">
        <v>6703</v>
      </c>
      <c r="D3871" s="4" t="s">
        <v>6257</v>
      </c>
      <c r="E3871" s="5" t="s">
        <v>6258</v>
      </c>
      <c r="F3871" s="5" t="str">
        <f t="shared" si="60"/>
        <v>turner.fi</v>
      </c>
      <c r="G3871" s="5" t="s">
        <v>4</v>
      </c>
      <c r="H3871" s="5" t="s">
        <v>1618</v>
      </c>
      <c r="I3871" s="6">
        <v>45869</v>
      </c>
    </row>
    <row r="3872" spans="1:9" ht="13.5">
      <c r="A3872" s="2" t="s">
        <v>6252</v>
      </c>
      <c r="B3872" s="3"/>
      <c r="C3872" s="4" t="s">
        <v>6704</v>
      </c>
      <c r="D3872" s="4" t="s">
        <v>6257</v>
      </c>
      <c r="E3872" s="5" t="s">
        <v>6258</v>
      </c>
      <c r="F3872" s="5" t="str">
        <f t="shared" si="60"/>
        <v>turner.fi</v>
      </c>
      <c r="G3872" s="5" t="s">
        <v>4</v>
      </c>
      <c r="H3872" s="5" t="s">
        <v>1618</v>
      </c>
      <c r="I3872" s="6">
        <v>45869</v>
      </c>
    </row>
    <row r="3873" spans="1:9" ht="13.5">
      <c r="A3873" s="2" t="s">
        <v>2636</v>
      </c>
      <c r="B3873" s="3"/>
      <c r="C3873" s="4" t="s">
        <v>6705</v>
      </c>
      <c r="D3873" s="4" t="s">
        <v>2636</v>
      </c>
      <c r="E3873" s="5" t="s">
        <v>3149</v>
      </c>
      <c r="F3873" s="5" t="str">
        <f t="shared" si="60"/>
        <v>kvarnx.com</v>
      </c>
      <c r="G3873" s="5" t="s">
        <v>4</v>
      </c>
      <c r="H3873" s="5" t="s">
        <v>1618</v>
      </c>
      <c r="I3873" s="6">
        <v>45869</v>
      </c>
    </row>
    <row r="3874" spans="1:9" ht="13.5">
      <c r="A3874" s="2" t="s">
        <v>2636</v>
      </c>
      <c r="B3874" s="3"/>
      <c r="C3874" s="4" t="s">
        <v>6706</v>
      </c>
      <c r="D3874" s="4" t="s">
        <v>6707</v>
      </c>
      <c r="E3874" s="5" t="s">
        <v>6708</v>
      </c>
      <c r="F3874" s="5" t="str">
        <f t="shared" si="60"/>
        <v>kvarnx.com</v>
      </c>
      <c r="G3874" s="5" t="s">
        <v>4</v>
      </c>
      <c r="H3874" s="5" t="s">
        <v>1618</v>
      </c>
      <c r="I3874" s="6">
        <v>45869</v>
      </c>
    </row>
    <row r="3875" spans="1:9" ht="13.5">
      <c r="A3875" s="2" t="s">
        <v>2636</v>
      </c>
      <c r="B3875" s="3"/>
      <c r="C3875" s="4" t="s">
        <v>6709</v>
      </c>
      <c r="D3875" s="4" t="s">
        <v>2636</v>
      </c>
      <c r="E3875" s="5" t="s">
        <v>3149</v>
      </c>
      <c r="F3875" s="5" t="str">
        <f t="shared" si="60"/>
        <v>kvarnx.com</v>
      </c>
      <c r="G3875" s="5" t="s">
        <v>4</v>
      </c>
      <c r="H3875" s="5" t="s">
        <v>1618</v>
      </c>
      <c r="I3875" s="6">
        <v>45869</v>
      </c>
    </row>
    <row r="3876" spans="1:9" ht="13.5">
      <c r="A3876" s="2" t="s">
        <v>6659</v>
      </c>
      <c r="B3876" s="3"/>
      <c r="C3876" s="4" t="s">
        <v>6710</v>
      </c>
      <c r="D3876" s="4" t="s">
        <v>6711</v>
      </c>
      <c r="E3876" s="5" t="s">
        <v>6712</v>
      </c>
      <c r="F3876" s="5" t="str">
        <f t="shared" si="60"/>
        <v>northtracker.com</v>
      </c>
      <c r="G3876" s="5" t="s">
        <v>4</v>
      </c>
      <c r="H3876" s="5" t="s">
        <v>5</v>
      </c>
      <c r="I3876" s="6">
        <v>45869</v>
      </c>
    </row>
    <row r="3877" spans="1:9" ht="13.5">
      <c r="A3877" s="2" t="s">
        <v>2357</v>
      </c>
      <c r="B3877" s="3"/>
      <c r="C3877" s="4" t="s">
        <v>6713</v>
      </c>
      <c r="D3877" s="4" t="s">
        <v>5847</v>
      </c>
      <c r="E3877" s="5" t="s">
        <v>6595</v>
      </c>
      <c r="F3877" s="5" t="str">
        <f t="shared" si="60"/>
        <v>lsb.se</v>
      </c>
      <c r="G3877" s="5" t="s">
        <v>4</v>
      </c>
      <c r="H3877" s="5" t="s">
        <v>5</v>
      </c>
      <c r="I3877" s="6">
        <v>45870</v>
      </c>
    </row>
    <row r="3878" spans="1:9" ht="13.5">
      <c r="A3878" s="2" t="s">
        <v>2357</v>
      </c>
      <c r="B3878" s="3"/>
      <c r="C3878" s="4" t="s">
        <v>6714</v>
      </c>
      <c r="D3878" s="4" t="s">
        <v>5685</v>
      </c>
      <c r="E3878" s="5" t="s">
        <v>2361</v>
      </c>
      <c r="F3878" s="5" t="str">
        <f t="shared" si="60"/>
        <v>lsb.se</v>
      </c>
      <c r="G3878" s="5" t="s">
        <v>4</v>
      </c>
      <c r="H3878" s="5" t="s">
        <v>5</v>
      </c>
      <c r="I3878" s="6">
        <v>45870</v>
      </c>
    </row>
    <row r="3879" spans="1:9" ht="13.5">
      <c r="A3879" s="2" t="s">
        <v>6415</v>
      </c>
      <c r="B3879" s="3"/>
      <c r="C3879" s="4" t="s">
        <v>6715</v>
      </c>
      <c r="D3879" s="4" t="s">
        <v>6439</v>
      </c>
      <c r="E3879" s="5" t="s">
        <v>6440</v>
      </c>
      <c r="F3879" s="5" t="str">
        <f t="shared" si="60"/>
        <v>comfydence.se</v>
      </c>
      <c r="G3879" s="5" t="s">
        <v>4</v>
      </c>
      <c r="H3879" s="5" t="s">
        <v>5</v>
      </c>
      <c r="I3879" s="6">
        <v>45870</v>
      </c>
    </row>
    <row r="3880" spans="1:9" ht="13.5">
      <c r="A3880" s="2" t="s">
        <v>2357</v>
      </c>
      <c r="B3880" s="3"/>
      <c r="C3880" s="4" t="s">
        <v>6716</v>
      </c>
      <c r="D3880" s="4" t="s">
        <v>5685</v>
      </c>
      <c r="E3880" s="5" t="s">
        <v>5686</v>
      </c>
      <c r="F3880" s="5" t="str">
        <f t="shared" si="60"/>
        <v>lsb.se</v>
      </c>
      <c r="G3880" s="5" t="s">
        <v>4</v>
      </c>
      <c r="H3880" s="5" t="s">
        <v>5</v>
      </c>
      <c r="I3880" s="6">
        <v>45874</v>
      </c>
    </row>
    <row r="3881" spans="1:9" ht="13.5">
      <c r="A3881" s="7" t="s">
        <v>5361</v>
      </c>
      <c r="B3881" s="3"/>
      <c r="C3881" s="4" t="s">
        <v>6717</v>
      </c>
      <c r="D3881" s="4" t="s">
        <v>5436</v>
      </c>
      <c r="E3881" s="5" t="s">
        <v>5761</v>
      </c>
      <c r="F3881" s="5" t="str">
        <f t="shared" si="60"/>
        <v>Leaptodigital</v>
      </c>
      <c r="G3881" s="5" t="s">
        <v>4</v>
      </c>
      <c r="H3881" s="5" t="s">
        <v>345</v>
      </c>
      <c r="I3881" s="6">
        <v>45874</v>
      </c>
    </row>
    <row r="3882" spans="1:9" ht="13.5">
      <c r="A3882" s="7" t="s">
        <v>4143</v>
      </c>
      <c r="B3882" s="3"/>
      <c r="C3882" s="4" t="s">
        <v>6718</v>
      </c>
      <c r="D3882" s="4" t="s">
        <v>6159</v>
      </c>
      <c r="E3882" s="5" t="s">
        <v>6428</v>
      </c>
      <c r="F3882" s="5" t="str">
        <f t="shared" si="60"/>
        <v>IP i Sverige</v>
      </c>
      <c r="G3882" s="5" t="s">
        <v>4</v>
      </c>
      <c r="H3882" s="5" t="s">
        <v>5</v>
      </c>
      <c r="I3882" s="6">
        <v>45874</v>
      </c>
    </row>
    <row r="3883" spans="1:9" ht="13.5">
      <c r="A3883" s="7" t="s">
        <v>4143</v>
      </c>
      <c r="B3883" s="3"/>
      <c r="C3883" s="4" t="s">
        <v>6719</v>
      </c>
      <c r="D3883" s="4" t="s">
        <v>5969</v>
      </c>
      <c r="E3883" s="5" t="s">
        <v>6162</v>
      </c>
      <c r="F3883" s="5" t="str">
        <f t="shared" si="60"/>
        <v>IP i Sverige</v>
      </c>
      <c r="G3883" s="5" t="s">
        <v>4</v>
      </c>
      <c r="H3883" s="5" t="s">
        <v>5</v>
      </c>
      <c r="I3883" s="6">
        <v>45874</v>
      </c>
    </row>
    <row r="3884" spans="1:9" ht="13.5">
      <c r="A3884" s="7" t="s">
        <v>4143</v>
      </c>
      <c r="B3884" s="3"/>
      <c r="C3884" s="4" t="s">
        <v>6720</v>
      </c>
      <c r="D3884" s="4" t="s">
        <v>5975</v>
      </c>
      <c r="E3884" s="5" t="s">
        <v>6164</v>
      </c>
      <c r="F3884" s="5" t="str">
        <f t="shared" si="60"/>
        <v>IP i Sverige</v>
      </c>
      <c r="G3884" s="5" t="s">
        <v>4</v>
      </c>
      <c r="H3884" s="5" t="s">
        <v>5</v>
      </c>
      <c r="I3884" s="6">
        <v>45874</v>
      </c>
    </row>
    <row r="3885" spans="1:9" ht="13.5">
      <c r="A3885" s="2" t="s">
        <v>5879</v>
      </c>
      <c r="B3885" s="3"/>
      <c r="C3885" s="4" t="s">
        <v>6721</v>
      </c>
      <c r="D3885" s="4" t="s">
        <v>5881</v>
      </c>
      <c r="E3885" s="5" t="s">
        <v>6722</v>
      </c>
      <c r="F3885" s="5" t="str">
        <f t="shared" si="60"/>
        <v>stockholms-rorvvs.se</v>
      </c>
      <c r="G3885" s="5" t="s">
        <v>4</v>
      </c>
      <c r="H3885" s="5" t="s">
        <v>5</v>
      </c>
      <c r="I3885" s="6">
        <v>45874</v>
      </c>
    </row>
    <row r="3886" spans="1:9" ht="13.5">
      <c r="A3886" s="2" t="s">
        <v>6127</v>
      </c>
      <c r="B3886" s="3"/>
      <c r="C3886" s="4" t="s">
        <v>6723</v>
      </c>
      <c r="D3886" s="4" t="s">
        <v>6724</v>
      </c>
      <c r="E3886" s="5" t="s">
        <v>6725</v>
      </c>
      <c r="F3886" s="5" t="str">
        <f t="shared" si="60"/>
        <v>indoorprofessional.se</v>
      </c>
      <c r="G3886" s="5" t="s">
        <v>4</v>
      </c>
      <c r="H3886" s="5" t="s">
        <v>5</v>
      </c>
      <c r="I3886" s="6">
        <v>45874</v>
      </c>
    </row>
    <row r="3887" spans="1:9" ht="13.5">
      <c r="A3887" s="7" t="s">
        <v>3419</v>
      </c>
      <c r="B3887" s="3"/>
      <c r="C3887" s="4" t="s">
        <v>6726</v>
      </c>
      <c r="D3887" s="4" t="s">
        <v>3407</v>
      </c>
      <c r="E3887" s="5" t="s">
        <v>4400</v>
      </c>
      <c r="F3887" s="5" t="str">
        <f t="shared" si="60"/>
        <v>zmarta</v>
      </c>
      <c r="G3887" s="5" t="s">
        <v>4</v>
      </c>
      <c r="H3887" s="5" t="s">
        <v>5</v>
      </c>
      <c r="I3887" s="6">
        <v>45874</v>
      </c>
    </row>
    <row r="3888" spans="1:9" ht="13.5">
      <c r="A3888" s="2" t="s">
        <v>1318</v>
      </c>
      <c r="B3888" s="3"/>
      <c r="C3888" s="4" t="s">
        <v>6727</v>
      </c>
      <c r="D3888" s="4" t="s">
        <v>1955</v>
      </c>
      <c r="E3888" s="5" t="s">
        <v>2448</v>
      </c>
      <c r="F3888" s="5" t="str">
        <f t="shared" si="60"/>
        <v>spelklubben.se</v>
      </c>
      <c r="G3888" s="5" t="s">
        <v>4</v>
      </c>
      <c r="H3888" s="5" t="s">
        <v>5</v>
      </c>
      <c r="I3888" s="6">
        <v>45874</v>
      </c>
    </row>
    <row r="3889" spans="1:9" ht="13.5">
      <c r="A3889" s="2" t="s">
        <v>3580</v>
      </c>
      <c r="B3889" s="3"/>
      <c r="C3889" s="4" t="s">
        <v>6728</v>
      </c>
      <c r="D3889" s="4" t="s">
        <v>6729</v>
      </c>
      <c r="E3889" s="5" t="s">
        <v>4570</v>
      </c>
      <c r="F3889" s="5" t="str">
        <f t="shared" si="60"/>
        <v>kleer.se</v>
      </c>
      <c r="G3889" s="5" t="s">
        <v>4</v>
      </c>
      <c r="H3889" s="5" t="s">
        <v>5</v>
      </c>
      <c r="I3889" s="6">
        <v>45874</v>
      </c>
    </row>
    <row r="3890" spans="1:9" ht="13.5">
      <c r="A3890" s="7" t="s">
        <v>3419</v>
      </c>
      <c r="B3890" s="3"/>
      <c r="C3890" s="4" t="s">
        <v>6730</v>
      </c>
      <c r="D3890" s="4" t="s">
        <v>5280</v>
      </c>
      <c r="E3890" s="5" t="s">
        <v>6731</v>
      </c>
      <c r="F3890" s="5" t="str">
        <f t="shared" si="60"/>
        <v>zmarta</v>
      </c>
      <c r="G3890" s="5" t="s">
        <v>4</v>
      </c>
      <c r="H3890" s="5" t="s">
        <v>5</v>
      </c>
      <c r="I3890" s="6">
        <v>45874</v>
      </c>
    </row>
    <row r="3891" spans="1:9" ht="13.5">
      <c r="A3891" s="2" t="s">
        <v>3682</v>
      </c>
      <c r="B3891" s="3"/>
      <c r="C3891" s="4" t="s">
        <v>6732</v>
      </c>
      <c r="D3891" s="4" t="s">
        <v>6395</v>
      </c>
      <c r="E3891" s="5" t="s">
        <v>6733</v>
      </c>
      <c r="F3891" s="5" t="str">
        <f t="shared" si="60"/>
        <v>upplevelse.com</v>
      </c>
      <c r="G3891" s="5" t="s">
        <v>4</v>
      </c>
      <c r="H3891" s="5" t="s">
        <v>5</v>
      </c>
      <c r="I3891" s="6">
        <v>45874</v>
      </c>
    </row>
    <row r="3892" spans="1:9" ht="13.5">
      <c r="A3892" s="2" t="s">
        <v>2357</v>
      </c>
      <c r="B3892" s="3"/>
      <c r="C3892" s="4" t="s">
        <v>6734</v>
      </c>
      <c r="D3892" s="4" t="s">
        <v>5847</v>
      </c>
      <c r="E3892" s="5" t="s">
        <v>6735</v>
      </c>
      <c r="F3892" s="5" t="str">
        <f t="shared" si="60"/>
        <v>lsb.se</v>
      </c>
      <c r="G3892" s="5" t="s">
        <v>4</v>
      </c>
      <c r="H3892" s="5" t="s">
        <v>5</v>
      </c>
      <c r="I3892" s="6">
        <v>45875</v>
      </c>
    </row>
    <row r="3893" spans="1:9" ht="13.5">
      <c r="A3893" s="7" t="s">
        <v>2281</v>
      </c>
      <c r="B3893" s="3"/>
      <c r="C3893" s="4" t="s">
        <v>6736</v>
      </c>
      <c r="D3893" s="4" t="s">
        <v>2283</v>
      </c>
      <c r="E3893" s="5" t="s">
        <v>1039</v>
      </c>
      <c r="F3893" s="5" t="str">
        <f t="shared" si="60"/>
        <v>tandläkare.se</v>
      </c>
      <c r="G3893" s="5" t="s">
        <v>4</v>
      </c>
      <c r="H3893" s="5" t="s">
        <v>5</v>
      </c>
      <c r="I3893" s="6">
        <v>45875</v>
      </c>
    </row>
    <row r="3894" spans="1:9" ht="13.5">
      <c r="A3894" s="2" t="s">
        <v>6639</v>
      </c>
      <c r="B3894" s="3"/>
      <c r="C3894" s="4" t="s">
        <v>6737</v>
      </c>
      <c r="D3894" s="4" t="s">
        <v>6738</v>
      </c>
      <c r="E3894" s="5" t="s">
        <v>6739</v>
      </c>
      <c r="F3894" s="5" t="str">
        <f t="shared" si="60"/>
        <v>epidemicsounds.com</v>
      </c>
      <c r="G3894" s="5" t="s">
        <v>4</v>
      </c>
      <c r="H3894" s="5" t="s">
        <v>345</v>
      </c>
      <c r="I3894" s="6">
        <v>45875</v>
      </c>
    </row>
    <row r="3895" spans="1:9" ht="13.5">
      <c r="A3895" s="7" t="s">
        <v>2281</v>
      </c>
      <c r="B3895" s="3"/>
      <c r="C3895" s="4" t="s">
        <v>6736</v>
      </c>
      <c r="D3895" s="4" t="s">
        <v>2283</v>
      </c>
      <c r="E3895" s="5" t="s">
        <v>2151</v>
      </c>
      <c r="F3895" s="5" t="str">
        <f t="shared" si="60"/>
        <v>tandläkare.se</v>
      </c>
      <c r="G3895" s="5" t="s">
        <v>4</v>
      </c>
      <c r="H3895" s="5" t="s">
        <v>5</v>
      </c>
      <c r="I3895" s="6">
        <v>45875</v>
      </c>
    </row>
    <row r="3896" spans="1:9" ht="13.5">
      <c r="A3896" s="2" t="s">
        <v>1318</v>
      </c>
      <c r="B3896" s="3"/>
      <c r="C3896" s="4" t="s">
        <v>6740</v>
      </c>
      <c r="D3896" s="4" t="s">
        <v>2823</v>
      </c>
      <c r="E3896" s="5" t="s">
        <v>6741</v>
      </c>
      <c r="F3896" s="5" t="str">
        <f t="shared" si="60"/>
        <v>spelklubben.se</v>
      </c>
      <c r="G3896" s="5" t="s">
        <v>4</v>
      </c>
      <c r="H3896" s="5" t="s">
        <v>5</v>
      </c>
      <c r="I3896" s="6">
        <v>45876</v>
      </c>
    </row>
    <row r="3897" spans="1:9" ht="13.5">
      <c r="A3897" s="2" t="s">
        <v>2357</v>
      </c>
      <c r="B3897" s="3"/>
      <c r="C3897" s="4" t="s">
        <v>6742</v>
      </c>
      <c r="D3897" s="4" t="s">
        <v>5685</v>
      </c>
      <c r="E3897" s="5" t="s">
        <v>6743</v>
      </c>
      <c r="F3897" s="5" t="str">
        <f t="shared" si="60"/>
        <v>lsb.se</v>
      </c>
      <c r="G3897" s="5" t="s">
        <v>4</v>
      </c>
      <c r="H3897" s="5" t="s">
        <v>5</v>
      </c>
      <c r="I3897" s="6">
        <v>45876</v>
      </c>
    </row>
    <row r="3898" spans="1:9" ht="13.5">
      <c r="A3898" s="2" t="s">
        <v>6014</v>
      </c>
      <c r="B3898" s="3"/>
      <c r="C3898" s="4" t="s">
        <v>6744</v>
      </c>
      <c r="D3898" s="4" t="s">
        <v>6125</v>
      </c>
      <c r="E3898" s="5" t="s">
        <v>6745</v>
      </c>
      <c r="F3898" s="5" t="str">
        <f t="shared" si="60"/>
        <v>kungaslottet.se</v>
      </c>
      <c r="G3898" s="5" t="s">
        <v>4</v>
      </c>
      <c r="H3898" s="5" t="s">
        <v>5</v>
      </c>
      <c r="I3898" s="6">
        <v>45876</v>
      </c>
    </row>
    <row r="3899" spans="1:9" ht="13.5">
      <c r="A3899" s="2" t="s">
        <v>6121</v>
      </c>
      <c r="B3899" s="3"/>
      <c r="C3899" s="4" t="s">
        <v>6746</v>
      </c>
      <c r="D3899" s="4" t="s">
        <v>6230</v>
      </c>
      <c r="E3899" s="5" t="s">
        <v>6747</v>
      </c>
      <c r="F3899" s="5" t="str">
        <f t="shared" si="60"/>
        <v>maklarringen.se</v>
      </c>
      <c r="G3899" s="5" t="s">
        <v>4</v>
      </c>
      <c r="H3899" s="5" t="s">
        <v>5</v>
      </c>
      <c r="I3899" s="6">
        <v>45876</v>
      </c>
    </row>
    <row r="3900" spans="1:9" ht="13.5">
      <c r="A3900" s="2" t="s">
        <v>6021</v>
      </c>
      <c r="B3900" s="3"/>
      <c r="C3900" s="4" t="s">
        <v>6748</v>
      </c>
      <c r="D3900" s="4" t="s">
        <v>6349</v>
      </c>
      <c r="E3900" s="5" t="s">
        <v>6749</v>
      </c>
      <c r="F3900" s="5" t="str">
        <f t="shared" si="60"/>
        <v>mrvegas.com</v>
      </c>
      <c r="G3900" s="5" t="s">
        <v>4</v>
      </c>
      <c r="H3900" s="5" t="s">
        <v>5</v>
      </c>
      <c r="I3900" s="6">
        <v>45879</v>
      </c>
    </row>
    <row r="3901" spans="1:9" ht="13.5">
      <c r="A3901" s="2" t="s">
        <v>171</v>
      </c>
      <c r="B3901" s="3"/>
      <c r="C3901" s="4" t="s">
        <v>6750</v>
      </c>
      <c r="D3901" s="4" t="s">
        <v>1095</v>
      </c>
      <c r="E3901" s="5" t="s">
        <v>2856</v>
      </c>
      <c r="F3901" s="5" t="str">
        <f t="shared" si="60"/>
        <v>arctic.se</v>
      </c>
      <c r="G3901" s="5" t="s">
        <v>4</v>
      </c>
      <c r="H3901" s="5" t="s">
        <v>5</v>
      </c>
      <c r="I3901" s="6">
        <v>45880</v>
      </c>
    </row>
    <row r="3902" spans="1:9" ht="13.5">
      <c r="A3902" s="2" t="s">
        <v>4051</v>
      </c>
      <c r="B3902" s="3"/>
      <c r="C3902" s="4" t="s">
        <v>6751</v>
      </c>
      <c r="D3902" s="4" t="s">
        <v>4051</v>
      </c>
      <c r="E3902" s="9" t="s">
        <v>4051</v>
      </c>
      <c r="F3902" s="5" t="str">
        <f t="shared" si="60"/>
        <v>hund.se</v>
      </c>
      <c r="G3902" s="5" t="s">
        <v>4</v>
      </c>
      <c r="H3902" s="5" t="s">
        <v>5</v>
      </c>
      <c r="I3902" s="6">
        <v>45880</v>
      </c>
    </row>
    <row r="3903" spans="1:9" ht="13.5">
      <c r="A3903" s="2" t="s">
        <v>3580</v>
      </c>
      <c r="B3903" s="3"/>
      <c r="C3903" s="4" t="s">
        <v>6752</v>
      </c>
      <c r="D3903" s="4" t="s">
        <v>5312</v>
      </c>
      <c r="E3903" s="5" t="s">
        <v>5313</v>
      </c>
      <c r="F3903" s="5" t="str">
        <f t="shared" si="60"/>
        <v>kleer.se</v>
      </c>
      <c r="G3903" s="5" t="s">
        <v>4</v>
      </c>
      <c r="H3903" s="5" t="s">
        <v>5</v>
      </c>
      <c r="I3903" s="6">
        <v>45880</v>
      </c>
    </row>
    <row r="3904" spans="1:9" ht="13.5">
      <c r="A3904" s="2" t="s">
        <v>3058</v>
      </c>
      <c r="B3904" s="3"/>
      <c r="C3904" s="4" t="s">
        <v>6753</v>
      </c>
      <c r="D3904" s="4" t="s">
        <v>3063</v>
      </c>
      <c r="E3904" s="5" t="s">
        <v>3064</v>
      </c>
      <c r="F3904" s="5" t="str">
        <f t="shared" si="60"/>
        <v>rusta.se</v>
      </c>
      <c r="G3904" s="5" t="s">
        <v>4</v>
      </c>
      <c r="H3904" s="5" t="s">
        <v>5</v>
      </c>
      <c r="I3904" s="6">
        <v>45880</v>
      </c>
    </row>
    <row r="3905" spans="1:9" ht="13.5">
      <c r="A3905" s="2" t="s">
        <v>3058</v>
      </c>
      <c r="B3905" s="3"/>
      <c r="C3905" s="4" t="s">
        <v>6754</v>
      </c>
      <c r="D3905" s="4" t="s">
        <v>5034</v>
      </c>
      <c r="E3905" s="5" t="s">
        <v>14</v>
      </c>
      <c r="F3905" s="5" t="str">
        <f t="shared" si="60"/>
        <v>rusta.se</v>
      </c>
      <c r="G3905" s="5" t="s">
        <v>4</v>
      </c>
      <c r="H3905" s="5" t="s">
        <v>5</v>
      </c>
      <c r="I3905" s="6">
        <v>45880</v>
      </c>
    </row>
    <row r="3906" spans="1:9" ht="13.5">
      <c r="A3906" s="2" t="s">
        <v>2127</v>
      </c>
      <c r="B3906" s="3"/>
      <c r="C3906" s="4" t="s">
        <v>6755</v>
      </c>
      <c r="D3906" s="4" t="s">
        <v>5319</v>
      </c>
      <c r="E3906" s="5" t="s">
        <v>4999</v>
      </c>
      <c r="F3906" s="5" t="str">
        <f t="shared" si="60"/>
        <v>startmotor.se</v>
      </c>
      <c r="G3906" s="5" t="s">
        <v>4</v>
      </c>
      <c r="H3906" s="5" t="s">
        <v>5</v>
      </c>
      <c r="I3906" s="6">
        <v>45880</v>
      </c>
    </row>
    <row r="3907" spans="1:9" ht="13.5">
      <c r="A3907" s="2" t="s">
        <v>2127</v>
      </c>
      <c r="B3907" s="3"/>
      <c r="C3907" s="4" t="s">
        <v>6756</v>
      </c>
      <c r="D3907" s="4" t="s">
        <v>5321</v>
      </c>
      <c r="E3907" s="5" t="s">
        <v>5322</v>
      </c>
      <c r="F3907" s="5" t="str">
        <f t="shared" ref="F3907:F3970" si="61">A3907</f>
        <v>startmotor.se</v>
      </c>
      <c r="G3907" s="5" t="s">
        <v>4</v>
      </c>
      <c r="H3907" s="5" t="s">
        <v>5</v>
      </c>
      <c r="I3907" s="6">
        <v>45880</v>
      </c>
    </row>
    <row r="3908" spans="1:9" ht="13.5">
      <c r="A3908" s="7" t="s">
        <v>3747</v>
      </c>
      <c r="B3908" s="3"/>
      <c r="C3908" s="4" t="s">
        <v>6757</v>
      </c>
      <c r="D3908" s="4" t="s">
        <v>3749</v>
      </c>
      <c r="E3908" s="5" t="s">
        <v>3750</v>
      </c>
      <c r="F3908" s="5" t="str">
        <f t="shared" si="61"/>
        <v>supernormal.health</v>
      </c>
      <c r="G3908" s="5" t="s">
        <v>4</v>
      </c>
      <c r="H3908" s="5" t="s">
        <v>5</v>
      </c>
      <c r="I3908" s="6">
        <v>45880</v>
      </c>
    </row>
    <row r="3909" spans="1:9" ht="13.5">
      <c r="A3909" s="2" t="s">
        <v>3824</v>
      </c>
      <c r="B3909" s="3"/>
      <c r="C3909" s="4" t="s">
        <v>6758</v>
      </c>
      <c r="D3909" s="4" t="s">
        <v>4358</v>
      </c>
      <c r="E3909" s="5" t="s">
        <v>5325</v>
      </c>
      <c r="F3909" s="5" t="str">
        <f t="shared" si="61"/>
        <v>swedenlongstay.se</v>
      </c>
      <c r="G3909" s="5" t="s">
        <v>4</v>
      </c>
      <c r="H3909" s="5" t="s">
        <v>5</v>
      </c>
      <c r="I3909" s="6">
        <v>45880</v>
      </c>
    </row>
    <row r="3910" spans="1:9" ht="13.5">
      <c r="A3910" s="7" t="s">
        <v>224</v>
      </c>
      <c r="B3910" s="3"/>
      <c r="C3910" s="4" t="s">
        <v>6759</v>
      </c>
      <c r="D3910" s="4" t="s">
        <v>461</v>
      </c>
      <c r="E3910" s="5" t="s">
        <v>1117</v>
      </c>
      <c r="F3910" s="5" t="str">
        <f t="shared" si="61"/>
        <v>swedoffice</v>
      </c>
      <c r="G3910" s="5" t="s">
        <v>4</v>
      </c>
      <c r="H3910" s="5" t="s">
        <v>5</v>
      </c>
      <c r="I3910" s="6">
        <v>45880</v>
      </c>
    </row>
    <row r="3911" spans="1:9" ht="13.5">
      <c r="A3911" s="7" t="s">
        <v>224</v>
      </c>
      <c r="B3911" s="3"/>
      <c r="C3911" s="4" t="s">
        <v>6760</v>
      </c>
      <c r="D3911" s="4" t="s">
        <v>226</v>
      </c>
      <c r="E3911" s="5" t="s">
        <v>368</v>
      </c>
      <c r="F3911" s="5" t="str">
        <f t="shared" si="61"/>
        <v>swedoffice</v>
      </c>
      <c r="G3911" s="5" t="s">
        <v>4</v>
      </c>
      <c r="H3911" s="5" t="s">
        <v>5</v>
      </c>
      <c r="I3911" s="6">
        <v>45880</v>
      </c>
    </row>
    <row r="3912" spans="1:9" ht="13.5">
      <c r="A3912" s="2" t="s">
        <v>2428</v>
      </c>
      <c r="B3912" s="3"/>
      <c r="C3912" s="4" t="s">
        <v>6761</v>
      </c>
      <c r="D3912" s="4" t="s">
        <v>5081</v>
      </c>
      <c r="E3912" s="5" t="s">
        <v>5331</v>
      </c>
      <c r="F3912" s="5" t="str">
        <f t="shared" si="61"/>
        <v>sakraror.se</v>
      </c>
      <c r="G3912" s="5" t="s">
        <v>4</v>
      </c>
      <c r="H3912" s="5" t="s">
        <v>5</v>
      </c>
      <c r="I3912" s="6">
        <v>45880</v>
      </c>
    </row>
    <row r="3913" spans="1:9" ht="13.5">
      <c r="A3913" s="2" t="s">
        <v>2428</v>
      </c>
      <c r="B3913" s="3"/>
      <c r="C3913" s="4" t="s">
        <v>6762</v>
      </c>
      <c r="D3913" s="4" t="s">
        <v>4762</v>
      </c>
      <c r="E3913" s="5" t="s">
        <v>5947</v>
      </c>
      <c r="F3913" s="5" t="str">
        <f t="shared" si="61"/>
        <v>sakraror.se</v>
      </c>
      <c r="G3913" s="5" t="s">
        <v>4</v>
      </c>
      <c r="H3913" s="5" t="s">
        <v>5</v>
      </c>
      <c r="I3913" s="6">
        <v>45880</v>
      </c>
    </row>
    <row r="3914" spans="1:9" ht="13.5">
      <c r="A3914" s="2" t="s">
        <v>535</v>
      </c>
      <c r="B3914" s="3"/>
      <c r="C3914" s="4" t="s">
        <v>6763</v>
      </c>
      <c r="D3914" s="4" t="s">
        <v>3327</v>
      </c>
      <c r="E3914" s="5" t="s">
        <v>1448</v>
      </c>
      <c r="F3914" s="5" t="str">
        <f t="shared" si="61"/>
        <v>tryggbil.se</v>
      </c>
      <c r="G3914" s="5" t="s">
        <v>4</v>
      </c>
      <c r="H3914" s="5" t="s">
        <v>5</v>
      </c>
      <c r="I3914" s="6">
        <v>45880</v>
      </c>
    </row>
    <row r="3915" spans="1:9" ht="13.5">
      <c r="A3915" s="2" t="s">
        <v>535</v>
      </c>
      <c r="B3915" s="3"/>
      <c r="C3915" s="4" t="s">
        <v>6764</v>
      </c>
      <c r="D3915" s="4" t="s">
        <v>3327</v>
      </c>
      <c r="E3915" s="5" t="s">
        <v>540</v>
      </c>
      <c r="F3915" s="5" t="str">
        <f t="shared" si="61"/>
        <v>tryggbil.se</v>
      </c>
      <c r="G3915" s="5" t="s">
        <v>4</v>
      </c>
      <c r="H3915" s="5" t="s">
        <v>5</v>
      </c>
      <c r="I3915" s="6">
        <v>45880</v>
      </c>
    </row>
    <row r="3916" spans="1:9" ht="13.5">
      <c r="A3916" s="7" t="s">
        <v>2281</v>
      </c>
      <c r="B3916" s="3"/>
      <c r="C3916" s="4" t="s">
        <v>6765</v>
      </c>
      <c r="D3916" s="4" t="s">
        <v>2283</v>
      </c>
      <c r="E3916" s="5" t="s">
        <v>963</v>
      </c>
      <c r="F3916" s="5" t="str">
        <f t="shared" si="61"/>
        <v>tandläkare.se</v>
      </c>
      <c r="G3916" s="5" t="s">
        <v>4</v>
      </c>
      <c r="H3916" s="5" t="s">
        <v>5</v>
      </c>
      <c r="I3916" s="6">
        <v>45880</v>
      </c>
    </row>
    <row r="3917" spans="1:9" ht="13.5">
      <c r="A3917" s="7" t="s">
        <v>2281</v>
      </c>
      <c r="B3917" s="3"/>
      <c r="C3917" s="4" t="s">
        <v>6766</v>
      </c>
      <c r="D3917" s="4" t="s">
        <v>5015</v>
      </c>
      <c r="E3917" s="5" t="s">
        <v>5016</v>
      </c>
      <c r="F3917" s="5" t="str">
        <f t="shared" si="61"/>
        <v>tandläkare.se</v>
      </c>
      <c r="G3917" s="5" t="s">
        <v>4</v>
      </c>
      <c r="H3917" s="5" t="s">
        <v>5</v>
      </c>
      <c r="I3917" s="6">
        <v>45880</v>
      </c>
    </row>
    <row r="3918" spans="1:9" ht="13.5">
      <c r="A3918" s="2" t="s">
        <v>5020</v>
      </c>
      <c r="B3918" s="3"/>
      <c r="C3918" s="4" t="s">
        <v>6767</v>
      </c>
      <c r="D3918" s="4" t="s">
        <v>5020</v>
      </c>
      <c r="E3918" s="5" t="s">
        <v>5022</v>
      </c>
      <c r="F3918" s="5" t="str">
        <f t="shared" si="61"/>
        <v>sesec.se</v>
      </c>
      <c r="G3918" s="5" t="s">
        <v>4</v>
      </c>
      <c r="H3918" s="5" t="s">
        <v>5</v>
      </c>
      <c r="I3918" s="6">
        <v>45880</v>
      </c>
    </row>
    <row r="3919" spans="1:9" ht="13.5">
      <c r="A3919" s="2" t="s">
        <v>3832</v>
      </c>
      <c r="B3919" s="3"/>
      <c r="C3919" s="4" t="s">
        <v>6768</v>
      </c>
      <c r="D3919" s="4" t="s">
        <v>3832</v>
      </c>
      <c r="E3919" s="5" t="s">
        <v>6537</v>
      </c>
      <c r="F3919" s="5" t="str">
        <f t="shared" si="61"/>
        <v>michaelofrisorerna.se</v>
      </c>
      <c r="G3919" s="5" t="s">
        <v>4</v>
      </c>
      <c r="H3919" s="5" t="s">
        <v>5</v>
      </c>
      <c r="I3919" s="6">
        <v>45880</v>
      </c>
    </row>
    <row r="3920" spans="1:9" ht="13.5">
      <c r="A3920" s="2" t="s">
        <v>3832</v>
      </c>
      <c r="B3920" s="3"/>
      <c r="C3920" s="4" t="s">
        <v>6769</v>
      </c>
      <c r="D3920" s="4" t="s">
        <v>6539</v>
      </c>
      <c r="E3920" s="5" t="s">
        <v>6540</v>
      </c>
      <c r="F3920" s="5" t="str">
        <f t="shared" si="61"/>
        <v>michaelofrisorerna.se</v>
      </c>
      <c r="G3920" s="5" t="s">
        <v>4</v>
      </c>
      <c r="H3920" s="5" t="s">
        <v>5</v>
      </c>
      <c r="I3920" s="6">
        <v>45880</v>
      </c>
    </row>
    <row r="3921" spans="1:9" ht="13.5">
      <c r="A3921" s="2" t="s">
        <v>5350</v>
      </c>
      <c r="B3921" s="3"/>
      <c r="C3921" s="4" t="s">
        <v>6770</v>
      </c>
      <c r="D3921" s="4" t="s">
        <v>5352</v>
      </c>
      <c r="E3921" s="5" t="s">
        <v>5353</v>
      </c>
      <c r="F3921" s="5" t="str">
        <f t="shared" si="61"/>
        <v>lilla-varlden.se</v>
      </c>
      <c r="G3921" s="5" t="s">
        <v>4</v>
      </c>
      <c r="H3921" s="5" t="s">
        <v>5</v>
      </c>
      <c r="I3921" s="6">
        <v>45880</v>
      </c>
    </row>
    <row r="3922" spans="1:9" ht="13.5">
      <c r="A3922" s="2" t="s">
        <v>846</v>
      </c>
      <c r="B3922" s="3"/>
      <c r="C3922" s="4" t="s">
        <v>6771</v>
      </c>
      <c r="D3922" s="4" t="s">
        <v>5211</v>
      </c>
      <c r="E3922" s="5" t="s">
        <v>5355</v>
      </c>
      <c r="F3922" s="5" t="str">
        <f t="shared" si="61"/>
        <v>tandea.se</v>
      </c>
      <c r="G3922" s="5" t="s">
        <v>4</v>
      </c>
      <c r="H3922" s="5" t="s">
        <v>5</v>
      </c>
      <c r="I3922" s="6">
        <v>45880</v>
      </c>
    </row>
    <row r="3923" spans="1:9" ht="13.5">
      <c r="A3923" s="7" t="s">
        <v>5961</v>
      </c>
      <c r="B3923" s="3"/>
      <c r="C3923" s="4" t="s">
        <v>6772</v>
      </c>
      <c r="D3923" s="4" t="s">
        <v>5641</v>
      </c>
      <c r="E3923" s="5" t="s">
        <v>5642</v>
      </c>
      <c r="F3923" s="5" t="str">
        <f t="shared" si="61"/>
        <v>Sahlsten Skincare</v>
      </c>
      <c r="G3923" s="5" t="s">
        <v>4</v>
      </c>
      <c r="H3923" s="5" t="s">
        <v>5</v>
      </c>
      <c r="I3923" s="6">
        <v>45880</v>
      </c>
    </row>
    <row r="3924" spans="1:9" ht="13.5">
      <c r="A3924" s="2" t="s">
        <v>6127</v>
      </c>
      <c r="B3924" s="3"/>
      <c r="C3924" s="4" t="s">
        <v>6773</v>
      </c>
      <c r="D3924" s="4" t="s">
        <v>6129</v>
      </c>
      <c r="E3924" s="5" t="s">
        <v>6342</v>
      </c>
      <c r="F3924" s="5" t="str">
        <f t="shared" si="61"/>
        <v>indoorprofessional.se</v>
      </c>
      <c r="G3924" s="5" t="s">
        <v>4</v>
      </c>
      <c r="H3924" s="5" t="s">
        <v>5</v>
      </c>
      <c r="I3924" s="6">
        <v>45880</v>
      </c>
    </row>
    <row r="3925" spans="1:9" ht="13.5">
      <c r="A3925" s="2" t="s">
        <v>6127</v>
      </c>
      <c r="B3925" s="3"/>
      <c r="C3925" s="4" t="s">
        <v>6774</v>
      </c>
      <c r="D3925" s="4" t="s">
        <v>6129</v>
      </c>
      <c r="E3925" s="5" t="s">
        <v>6342</v>
      </c>
      <c r="F3925" s="5" t="str">
        <f t="shared" si="61"/>
        <v>indoorprofessional.se</v>
      </c>
      <c r="G3925" s="5" t="s">
        <v>4</v>
      </c>
      <c r="H3925" s="5" t="s">
        <v>5</v>
      </c>
      <c r="I3925" s="6">
        <v>45880</v>
      </c>
    </row>
    <row r="3926" spans="1:9" ht="13.5">
      <c r="A3926" s="2" t="s">
        <v>6121</v>
      </c>
      <c r="B3926" s="3"/>
      <c r="C3926" s="4" t="s">
        <v>6775</v>
      </c>
      <c r="D3926" s="4" t="s">
        <v>6260</v>
      </c>
      <c r="E3926" s="5" t="s">
        <v>6123</v>
      </c>
      <c r="F3926" s="5" t="str">
        <f t="shared" si="61"/>
        <v>maklarringen.se</v>
      </c>
      <c r="G3926" s="5" t="s">
        <v>4</v>
      </c>
      <c r="H3926" s="5" t="s">
        <v>5</v>
      </c>
      <c r="I3926" s="6">
        <v>45880</v>
      </c>
    </row>
    <row r="3927" spans="1:9" ht="13.5">
      <c r="A3927" s="7" t="s">
        <v>3419</v>
      </c>
      <c r="B3927" s="3"/>
      <c r="C3927" s="4" t="s">
        <v>6776</v>
      </c>
      <c r="D3927" s="4" t="s">
        <v>3407</v>
      </c>
      <c r="E3927" s="5" t="s">
        <v>6777</v>
      </c>
      <c r="F3927" s="5" t="str">
        <f t="shared" si="61"/>
        <v>zmarta</v>
      </c>
      <c r="G3927" s="5" t="s">
        <v>4</v>
      </c>
      <c r="H3927" s="5" t="s">
        <v>5</v>
      </c>
      <c r="I3927" s="6">
        <v>45881</v>
      </c>
    </row>
    <row r="3928" spans="1:9" ht="13.5">
      <c r="A3928" s="2" t="s">
        <v>2357</v>
      </c>
      <c r="B3928" s="3"/>
      <c r="C3928" s="4" t="s">
        <v>6778</v>
      </c>
      <c r="D3928" s="4" t="s">
        <v>5847</v>
      </c>
      <c r="E3928" s="5" t="s">
        <v>6779</v>
      </c>
      <c r="F3928" s="5" t="str">
        <f t="shared" si="61"/>
        <v>lsb.se</v>
      </c>
      <c r="G3928" s="5" t="s">
        <v>4</v>
      </c>
      <c r="H3928" s="5" t="s">
        <v>5</v>
      </c>
      <c r="I3928" s="6">
        <v>45881</v>
      </c>
    </row>
    <row r="3929" spans="1:9" ht="13.5">
      <c r="A3929" s="2" t="s">
        <v>435</v>
      </c>
      <c r="B3929" s="3"/>
      <c r="C3929" s="8" t="s">
        <v>6780</v>
      </c>
      <c r="D3929" s="4" t="s">
        <v>5798</v>
      </c>
      <c r="E3929" s="5" t="s">
        <v>839</v>
      </c>
      <c r="F3929" s="5" t="str">
        <f t="shared" si="61"/>
        <v>fairinvestments.se</v>
      </c>
      <c r="G3929" s="5" t="s">
        <v>4</v>
      </c>
      <c r="H3929" s="5" t="s">
        <v>5</v>
      </c>
      <c r="I3929" s="6">
        <v>45881</v>
      </c>
    </row>
    <row r="3930" spans="1:9" ht="13.5">
      <c r="A3930" s="2" t="s">
        <v>435</v>
      </c>
      <c r="B3930" s="3"/>
      <c r="C3930" s="4" t="s">
        <v>6781</v>
      </c>
      <c r="D3930" s="4" t="s">
        <v>834</v>
      </c>
      <c r="E3930" s="5" t="s">
        <v>839</v>
      </c>
      <c r="F3930" s="5" t="str">
        <f t="shared" si="61"/>
        <v>fairinvestments.se</v>
      </c>
      <c r="G3930" s="5" t="s">
        <v>4</v>
      </c>
      <c r="H3930" s="5" t="s">
        <v>5</v>
      </c>
      <c r="I3930" s="6">
        <v>45881</v>
      </c>
    </row>
    <row r="3931" spans="1:9" ht="13.5">
      <c r="A3931" s="2" t="s">
        <v>435</v>
      </c>
      <c r="B3931" s="3"/>
      <c r="C3931" s="4" t="s">
        <v>6782</v>
      </c>
      <c r="D3931" s="4" t="s">
        <v>1446</v>
      </c>
      <c r="E3931" s="5" t="s">
        <v>839</v>
      </c>
      <c r="F3931" s="5" t="str">
        <f t="shared" si="61"/>
        <v>fairinvestments.se</v>
      </c>
      <c r="G3931" s="5" t="s">
        <v>4</v>
      </c>
      <c r="H3931" s="5" t="s">
        <v>5</v>
      </c>
      <c r="I3931" s="6">
        <v>45881</v>
      </c>
    </row>
    <row r="3932" spans="1:9" ht="13.5">
      <c r="A3932" s="2" t="s">
        <v>435</v>
      </c>
      <c r="B3932" s="3"/>
      <c r="C3932" s="4" t="s">
        <v>6549</v>
      </c>
      <c r="D3932" s="4" t="s">
        <v>1446</v>
      </c>
      <c r="E3932" s="5" t="s">
        <v>839</v>
      </c>
      <c r="F3932" s="5" t="str">
        <f t="shared" si="61"/>
        <v>fairinvestments.se</v>
      </c>
      <c r="G3932" s="5" t="s">
        <v>4</v>
      </c>
      <c r="H3932" s="5" t="s">
        <v>5</v>
      </c>
      <c r="I3932" s="6">
        <v>45881</v>
      </c>
    </row>
    <row r="3933" spans="1:9" ht="13.5">
      <c r="A3933" s="2" t="s">
        <v>435</v>
      </c>
      <c r="B3933" s="3"/>
      <c r="C3933" s="4" t="s">
        <v>6780</v>
      </c>
      <c r="D3933" s="4" t="s">
        <v>5798</v>
      </c>
      <c r="E3933" s="5" t="s">
        <v>563</v>
      </c>
      <c r="F3933" s="5" t="str">
        <f t="shared" si="61"/>
        <v>fairinvestments.se</v>
      </c>
      <c r="G3933" s="5" t="s">
        <v>4</v>
      </c>
      <c r="H3933" s="5" t="s">
        <v>5</v>
      </c>
      <c r="I3933" s="6">
        <v>45881</v>
      </c>
    </row>
    <row r="3934" spans="1:9" ht="13.5">
      <c r="A3934" s="2" t="s">
        <v>435</v>
      </c>
      <c r="B3934" s="3"/>
      <c r="C3934" s="4" t="s">
        <v>6781</v>
      </c>
      <c r="D3934" s="4" t="s">
        <v>834</v>
      </c>
      <c r="E3934" s="5" t="s">
        <v>563</v>
      </c>
      <c r="F3934" s="5" t="str">
        <f t="shared" si="61"/>
        <v>fairinvestments.se</v>
      </c>
      <c r="G3934" s="5" t="s">
        <v>4</v>
      </c>
      <c r="H3934" s="5" t="s">
        <v>5</v>
      </c>
      <c r="I3934" s="6">
        <v>45881</v>
      </c>
    </row>
    <row r="3935" spans="1:9" ht="13.5">
      <c r="A3935" s="7" t="s">
        <v>6783</v>
      </c>
      <c r="B3935" s="3"/>
      <c r="C3935" s="4" t="s">
        <v>6784</v>
      </c>
      <c r="D3935" s="4" t="s">
        <v>6785</v>
      </c>
      <c r="E3935" s="5" t="s">
        <v>6786</v>
      </c>
      <c r="F3935" s="5" t="str">
        <f t="shared" si="61"/>
        <v>muuttohaukat</v>
      </c>
      <c r="G3935" s="5" t="s">
        <v>4</v>
      </c>
      <c r="H3935" s="5" t="s">
        <v>1618</v>
      </c>
      <c r="I3935" s="6">
        <v>45882</v>
      </c>
    </row>
    <row r="3936" spans="1:9" ht="13.5">
      <c r="A3936" s="2" t="s">
        <v>535</v>
      </c>
      <c r="B3936" s="3"/>
      <c r="C3936" s="4" t="s">
        <v>6787</v>
      </c>
      <c r="D3936" s="4" t="s">
        <v>3327</v>
      </c>
      <c r="E3936" s="5" t="s">
        <v>3330</v>
      </c>
      <c r="F3936" s="5" t="str">
        <f t="shared" si="61"/>
        <v>tryggbil.se</v>
      </c>
      <c r="G3936" s="5" t="s">
        <v>4</v>
      </c>
      <c r="H3936" s="5" t="s">
        <v>5</v>
      </c>
      <c r="I3936" s="6">
        <v>45882</v>
      </c>
    </row>
    <row r="3937" spans="1:9" ht="13.5">
      <c r="A3937" s="7" t="s">
        <v>6783</v>
      </c>
      <c r="B3937" s="3"/>
      <c r="C3937" s="4" t="s">
        <v>6788</v>
      </c>
      <c r="D3937" s="4" t="s">
        <v>6785</v>
      </c>
      <c r="E3937" s="5" t="s">
        <v>6786</v>
      </c>
      <c r="F3937" s="5" t="str">
        <f t="shared" si="61"/>
        <v>muuttohaukat</v>
      </c>
      <c r="G3937" s="5" t="s">
        <v>4</v>
      </c>
      <c r="H3937" s="5" t="s">
        <v>1618</v>
      </c>
      <c r="I3937" s="6">
        <v>45883</v>
      </c>
    </row>
    <row r="3938" spans="1:9" ht="13.5">
      <c r="A3938" s="7" t="s">
        <v>6789</v>
      </c>
      <c r="B3938" s="3"/>
      <c r="C3938" s="4" t="s">
        <v>6790</v>
      </c>
      <c r="D3938" s="4" t="s">
        <v>6791</v>
      </c>
      <c r="E3938" s="5" t="s">
        <v>3115</v>
      </c>
      <c r="F3938" s="5" t="str">
        <f t="shared" si="61"/>
        <v>Bettingsyndikatet</v>
      </c>
      <c r="G3938" s="5" t="s">
        <v>4</v>
      </c>
      <c r="H3938" s="5" t="s">
        <v>5</v>
      </c>
      <c r="I3938" s="6">
        <v>45883</v>
      </c>
    </row>
    <row r="3939" spans="1:9" ht="13.5">
      <c r="A3939" s="2" t="s">
        <v>6252</v>
      </c>
      <c r="B3939" s="3"/>
      <c r="C3939" s="4" t="s">
        <v>6792</v>
      </c>
      <c r="D3939" s="4" t="s">
        <v>6315</v>
      </c>
      <c r="E3939" s="5" t="s">
        <v>6316</v>
      </c>
      <c r="F3939" s="5" t="str">
        <f t="shared" si="61"/>
        <v>turner.fi</v>
      </c>
      <c r="G3939" s="5" t="s">
        <v>4</v>
      </c>
      <c r="H3939" s="5" t="s">
        <v>1618</v>
      </c>
      <c r="I3939" s="6">
        <v>45884</v>
      </c>
    </row>
    <row r="3940" spans="1:9" ht="13.5">
      <c r="A3940" s="2" t="s">
        <v>2357</v>
      </c>
      <c r="B3940" s="3"/>
      <c r="C3940" s="138" t="s">
        <v>6793</v>
      </c>
      <c r="D3940" s="4" t="s">
        <v>5847</v>
      </c>
      <c r="E3940" s="5" t="s">
        <v>4400</v>
      </c>
      <c r="F3940" s="5" t="str">
        <f t="shared" si="61"/>
        <v>lsb.se</v>
      </c>
      <c r="G3940" s="5" t="s">
        <v>4</v>
      </c>
      <c r="H3940" s="5" t="s">
        <v>5</v>
      </c>
      <c r="I3940" s="6">
        <v>45884</v>
      </c>
    </row>
    <row r="3941" spans="1:9" ht="13.5">
      <c r="A3941" s="2" t="s">
        <v>3090</v>
      </c>
      <c r="B3941" s="3"/>
      <c r="C3941" s="4" t="s">
        <v>6794</v>
      </c>
      <c r="D3941" s="4" t="s">
        <v>6795</v>
      </c>
      <c r="E3941" s="5" t="s">
        <v>6796</v>
      </c>
      <c r="F3941" s="5" t="str">
        <f t="shared" si="61"/>
        <v>videoslots.com</v>
      </c>
      <c r="G3941" s="5" t="s">
        <v>4</v>
      </c>
      <c r="H3941" s="5" t="s">
        <v>5</v>
      </c>
      <c r="I3941" s="6">
        <v>45887</v>
      </c>
    </row>
    <row r="3942" spans="1:9" ht="13.5">
      <c r="A3942" s="2" t="s">
        <v>2836</v>
      </c>
      <c r="B3942" s="3"/>
      <c r="C3942" s="4" t="s">
        <v>6797</v>
      </c>
      <c r="D3942" s="138" t="s">
        <v>3100</v>
      </c>
      <c r="E3942" s="5" t="s">
        <v>6798</v>
      </c>
      <c r="F3942" s="5" t="str">
        <f t="shared" si="61"/>
        <v>cherry.com</v>
      </c>
      <c r="G3942" s="5" t="s">
        <v>4</v>
      </c>
      <c r="H3942" s="5" t="s">
        <v>5</v>
      </c>
      <c r="I3942" s="6">
        <v>45887</v>
      </c>
    </row>
    <row r="3943" spans="1:9" ht="13.5">
      <c r="A3943" s="2" t="s">
        <v>6262</v>
      </c>
      <c r="B3943" s="3"/>
      <c r="C3943" s="4" t="s">
        <v>6799</v>
      </c>
      <c r="D3943" s="4" t="s">
        <v>6264</v>
      </c>
      <c r="E3943" s="5" t="s">
        <v>6800</v>
      </c>
      <c r="F3943" s="5" t="str">
        <f t="shared" si="61"/>
        <v>joinstriveon.com</v>
      </c>
      <c r="G3943" s="5" t="s">
        <v>4</v>
      </c>
      <c r="H3943" s="5" t="s">
        <v>345</v>
      </c>
      <c r="I3943" s="6">
        <v>45889</v>
      </c>
    </row>
    <row r="3944" spans="1:9" ht="13.5">
      <c r="A3944" s="2" t="s">
        <v>3086</v>
      </c>
      <c r="B3944" s="3"/>
      <c r="C3944" s="4" t="s">
        <v>6801</v>
      </c>
      <c r="D3944" s="4" t="s">
        <v>3088</v>
      </c>
      <c r="E3944" s="5" t="s">
        <v>5543</v>
      </c>
      <c r="F3944" s="5" t="str">
        <f t="shared" si="61"/>
        <v>himala.ai</v>
      </c>
      <c r="G3944" s="5" t="s">
        <v>4</v>
      </c>
      <c r="H3944" s="5" t="s">
        <v>345</v>
      </c>
      <c r="I3944" s="6">
        <v>45889</v>
      </c>
    </row>
    <row r="3945" spans="1:9" ht="13.5">
      <c r="A3945" s="2" t="s">
        <v>3885</v>
      </c>
      <c r="B3945" s="3"/>
      <c r="C3945" s="4" t="s">
        <v>6802</v>
      </c>
      <c r="D3945" s="4" t="s">
        <v>3967</v>
      </c>
      <c r="E3945" s="5" t="s">
        <v>6462</v>
      </c>
      <c r="F3945" s="5" t="str">
        <f t="shared" si="61"/>
        <v>chattanoogarehab.com</v>
      </c>
      <c r="G3945" s="5" t="s">
        <v>4</v>
      </c>
      <c r="H3945" s="5" t="s">
        <v>345</v>
      </c>
      <c r="I3945" s="6">
        <v>45889</v>
      </c>
    </row>
    <row r="3946" spans="1:9" ht="13.5">
      <c r="A3946" s="2" t="s">
        <v>6262</v>
      </c>
      <c r="B3946" s="3"/>
      <c r="C3946" s="8" t="s">
        <v>6803</v>
      </c>
      <c r="D3946" s="8" t="s">
        <v>6804</v>
      </c>
      <c r="E3946" s="5" t="s">
        <v>6805</v>
      </c>
      <c r="F3946" s="5" t="str">
        <f t="shared" si="61"/>
        <v>joinstriveon.com</v>
      </c>
      <c r="G3946" s="5" t="s">
        <v>4</v>
      </c>
      <c r="H3946" s="5" t="s">
        <v>345</v>
      </c>
      <c r="I3946" s="6">
        <v>45890</v>
      </c>
    </row>
    <row r="3947" spans="1:9" ht="13.5">
      <c r="A3947" s="2" t="s">
        <v>6447</v>
      </c>
      <c r="B3947" s="3"/>
      <c r="C3947" s="4" t="s">
        <v>6806</v>
      </c>
      <c r="D3947" s="4" t="s">
        <v>6449</v>
      </c>
      <c r="E3947" s="5" t="s">
        <v>6450</v>
      </c>
      <c r="F3947" s="5" t="str">
        <f t="shared" si="61"/>
        <v>Violamilano.com</v>
      </c>
      <c r="G3947" s="5" t="s">
        <v>4</v>
      </c>
      <c r="H3947" s="5" t="s">
        <v>345</v>
      </c>
      <c r="I3947" s="6">
        <v>45891</v>
      </c>
    </row>
    <row r="3948" spans="1:9" ht="13.5">
      <c r="A3948" s="2" t="s">
        <v>6399</v>
      </c>
      <c r="B3948" s="3"/>
      <c r="C3948" s="8" t="s">
        <v>6807</v>
      </c>
      <c r="D3948" s="4" t="s">
        <v>6401</v>
      </c>
      <c r="E3948" s="5" t="s">
        <v>6402</v>
      </c>
      <c r="F3948" s="5" t="str">
        <f t="shared" si="61"/>
        <v>merchoteket.se</v>
      </c>
      <c r="G3948" s="5" t="s">
        <v>4</v>
      </c>
      <c r="H3948" s="5" t="s">
        <v>5</v>
      </c>
      <c r="I3948" s="6">
        <v>45895</v>
      </c>
    </row>
    <row r="3949" spans="1:9" ht="13.5">
      <c r="A3949" s="2" t="s">
        <v>6399</v>
      </c>
      <c r="B3949" s="3"/>
      <c r="C3949" s="4" t="s">
        <v>6808</v>
      </c>
      <c r="D3949" s="138" t="s">
        <v>6809</v>
      </c>
      <c r="E3949" s="5" t="s">
        <v>6402</v>
      </c>
      <c r="F3949" s="5" t="str">
        <f t="shared" si="61"/>
        <v>merchoteket.se</v>
      </c>
      <c r="G3949" s="5" t="s">
        <v>4</v>
      </c>
      <c r="H3949" s="5" t="s">
        <v>5</v>
      </c>
      <c r="I3949" s="6">
        <v>45895</v>
      </c>
    </row>
    <row r="3950" spans="1:9" ht="13.5">
      <c r="A3950" s="2" t="s">
        <v>5468</v>
      </c>
      <c r="B3950" s="3"/>
      <c r="C3950" s="4" t="s">
        <v>6810</v>
      </c>
      <c r="D3950" s="138" t="s">
        <v>6653</v>
      </c>
      <c r="E3950" s="5" t="s">
        <v>6654</v>
      </c>
      <c r="F3950" s="5" t="str">
        <f t="shared" si="61"/>
        <v>wellio.se</v>
      </c>
      <c r="G3950" s="5" t="s">
        <v>4</v>
      </c>
      <c r="H3950" s="5" t="s">
        <v>5</v>
      </c>
      <c r="I3950" s="6">
        <v>45895</v>
      </c>
    </row>
    <row r="3951" spans="1:9" ht="13.5">
      <c r="A3951" s="2" t="s">
        <v>5879</v>
      </c>
      <c r="B3951" s="3"/>
      <c r="C3951" s="4" t="s">
        <v>6811</v>
      </c>
      <c r="D3951" s="138" t="s">
        <v>5881</v>
      </c>
      <c r="E3951" s="5" t="s">
        <v>6722</v>
      </c>
      <c r="F3951" s="5" t="str">
        <f t="shared" si="61"/>
        <v>stockholms-rorvvs.se</v>
      </c>
      <c r="G3951" s="5" t="s">
        <v>4</v>
      </c>
      <c r="H3951" s="5" t="s">
        <v>5</v>
      </c>
      <c r="I3951" s="6">
        <v>45895</v>
      </c>
    </row>
    <row r="3952" spans="1:9" ht="13.5">
      <c r="A3952" s="2" t="s">
        <v>6225</v>
      </c>
      <c r="B3952" s="3"/>
      <c r="C3952" s="4" t="s">
        <v>6812</v>
      </c>
      <c r="D3952" s="138" t="s">
        <v>6112</v>
      </c>
      <c r="E3952" s="5" t="s">
        <v>6113</v>
      </c>
      <c r="F3952" s="5" t="str">
        <f t="shared" si="61"/>
        <v>4him4her.com</v>
      </c>
      <c r="G3952" s="5" t="s">
        <v>4</v>
      </c>
      <c r="H3952" s="5" t="s">
        <v>5</v>
      </c>
      <c r="I3952" s="6">
        <v>45895</v>
      </c>
    </row>
    <row r="3953" spans="1:9" ht="13.5">
      <c r="A3953" s="2" t="s">
        <v>5468</v>
      </c>
      <c r="B3953" s="3"/>
      <c r="C3953" s="4" t="s">
        <v>6813</v>
      </c>
      <c r="D3953" s="138" t="s">
        <v>5470</v>
      </c>
      <c r="E3953" s="5" t="s">
        <v>6665</v>
      </c>
      <c r="F3953" s="5" t="str">
        <f t="shared" si="61"/>
        <v>wellio.se</v>
      </c>
      <c r="G3953" s="5" t="s">
        <v>4</v>
      </c>
      <c r="H3953" s="5" t="s">
        <v>5</v>
      </c>
      <c r="I3953" s="6">
        <v>45895</v>
      </c>
    </row>
    <row r="3954" spans="1:9" ht="13.5">
      <c r="A3954" s="7" t="s">
        <v>6789</v>
      </c>
      <c r="B3954" s="3"/>
      <c r="C3954" s="4" t="s">
        <v>6814</v>
      </c>
      <c r="D3954" s="138" t="s">
        <v>6791</v>
      </c>
      <c r="E3954" s="5" t="s">
        <v>6789</v>
      </c>
      <c r="F3954" s="5" t="str">
        <f t="shared" si="61"/>
        <v>Bettingsyndikatet</v>
      </c>
      <c r="G3954" s="5" t="s">
        <v>4</v>
      </c>
      <c r="H3954" s="5" t="s">
        <v>5</v>
      </c>
      <c r="I3954" s="6">
        <v>45895</v>
      </c>
    </row>
    <row r="3955" spans="1:9" ht="13.5">
      <c r="A3955" s="2" t="s">
        <v>3832</v>
      </c>
      <c r="B3955" s="3"/>
      <c r="C3955" s="4" t="s">
        <v>6815</v>
      </c>
      <c r="D3955" s="138" t="s">
        <v>6191</v>
      </c>
      <c r="E3955" s="5" t="s">
        <v>4852</v>
      </c>
      <c r="F3955" s="5" t="str">
        <f t="shared" si="61"/>
        <v>michaelofrisorerna.se</v>
      </c>
      <c r="G3955" s="5" t="s">
        <v>4</v>
      </c>
      <c r="H3955" s="5" t="s">
        <v>5</v>
      </c>
      <c r="I3955" s="6">
        <v>45895</v>
      </c>
    </row>
    <row r="3956" spans="1:9" ht="13.5">
      <c r="A3956" s="2" t="s">
        <v>3580</v>
      </c>
      <c r="B3956" s="3"/>
      <c r="C3956" s="4" t="s">
        <v>6816</v>
      </c>
      <c r="D3956" s="138" t="s">
        <v>6729</v>
      </c>
      <c r="E3956" s="5" t="s">
        <v>4570</v>
      </c>
      <c r="F3956" s="5" t="str">
        <f t="shared" si="61"/>
        <v>kleer.se</v>
      </c>
      <c r="G3956" s="5" t="s">
        <v>4</v>
      </c>
      <c r="H3956" s="5" t="s">
        <v>5</v>
      </c>
      <c r="I3956" s="6">
        <v>45895</v>
      </c>
    </row>
    <row r="3957" spans="1:9" ht="13.5">
      <c r="A3957" s="2" t="s">
        <v>2428</v>
      </c>
      <c r="B3957" s="3"/>
      <c r="C3957" s="4" t="s">
        <v>6817</v>
      </c>
      <c r="D3957" s="138" t="s">
        <v>2430</v>
      </c>
      <c r="E3957" s="5" t="s">
        <v>5507</v>
      </c>
      <c r="F3957" s="5" t="str">
        <f t="shared" si="61"/>
        <v>sakraror.se</v>
      </c>
      <c r="G3957" s="5" t="s">
        <v>4</v>
      </c>
      <c r="H3957" s="5" t="s">
        <v>5</v>
      </c>
      <c r="I3957" s="6">
        <v>45895</v>
      </c>
    </row>
    <row r="3958" spans="1:9" ht="13.5">
      <c r="A3958" s="7" t="s">
        <v>2281</v>
      </c>
      <c r="B3958" s="3"/>
      <c r="C3958" s="4" t="s">
        <v>6818</v>
      </c>
      <c r="D3958" s="138" t="s">
        <v>5015</v>
      </c>
      <c r="E3958" s="5" t="s">
        <v>6385</v>
      </c>
      <c r="F3958" s="5" t="str">
        <f t="shared" si="61"/>
        <v>tandläkare.se</v>
      </c>
      <c r="G3958" s="5" t="s">
        <v>4</v>
      </c>
      <c r="H3958" s="5" t="s">
        <v>5</v>
      </c>
      <c r="I3958" s="6">
        <v>45895</v>
      </c>
    </row>
    <row r="3959" spans="1:9" ht="13.5">
      <c r="A3959" s="2" t="s">
        <v>5715</v>
      </c>
      <c r="B3959" s="3"/>
      <c r="C3959" s="4" t="s">
        <v>6819</v>
      </c>
      <c r="D3959" s="138" t="s">
        <v>6820</v>
      </c>
      <c r="E3959" s="5" t="s">
        <v>5998</v>
      </c>
      <c r="F3959" s="5" t="str">
        <f t="shared" si="61"/>
        <v>Minifinder.se</v>
      </c>
      <c r="G3959" s="5" t="s">
        <v>4</v>
      </c>
      <c r="H3959" s="5" t="s">
        <v>5</v>
      </c>
      <c r="I3959" s="6">
        <v>45895</v>
      </c>
    </row>
    <row r="3960" spans="1:9" ht="13.5">
      <c r="A3960" s="2" t="s">
        <v>6225</v>
      </c>
      <c r="B3960" s="3"/>
      <c r="C3960" s="4" t="s">
        <v>6821</v>
      </c>
      <c r="D3960" s="4" t="s">
        <v>6112</v>
      </c>
      <c r="E3960" s="5" t="s">
        <v>6822</v>
      </c>
      <c r="F3960" s="5" t="str">
        <f t="shared" si="61"/>
        <v>4him4her.com</v>
      </c>
      <c r="G3960" s="5" t="s">
        <v>4</v>
      </c>
      <c r="H3960" s="5" t="s">
        <v>5</v>
      </c>
      <c r="I3960" s="6">
        <v>45895</v>
      </c>
    </row>
    <row r="3961" spans="1:9" ht="13.5">
      <c r="A3961" s="7" t="s">
        <v>6789</v>
      </c>
      <c r="B3961" s="3"/>
      <c r="C3961" s="4" t="s">
        <v>6823</v>
      </c>
      <c r="D3961" s="4" t="s">
        <v>6791</v>
      </c>
      <c r="E3961" s="5" t="s">
        <v>6789</v>
      </c>
      <c r="F3961" s="5" t="str">
        <f t="shared" si="61"/>
        <v>Bettingsyndikatet</v>
      </c>
      <c r="G3961" s="5" t="s">
        <v>4</v>
      </c>
      <c r="H3961" s="5" t="s">
        <v>5</v>
      </c>
      <c r="I3961" s="6">
        <v>45895</v>
      </c>
    </row>
    <row r="3962" spans="1:9" ht="13.5">
      <c r="A3962" s="2" t="s">
        <v>6127</v>
      </c>
      <c r="B3962" s="3"/>
      <c r="C3962" s="4" t="s">
        <v>6824</v>
      </c>
      <c r="D3962" s="4" t="s">
        <v>6129</v>
      </c>
      <c r="E3962" s="5" t="s">
        <v>6342</v>
      </c>
      <c r="F3962" s="5" t="str">
        <f t="shared" si="61"/>
        <v>indoorprofessional.se</v>
      </c>
      <c r="G3962" s="5" t="s">
        <v>4</v>
      </c>
      <c r="H3962" s="5" t="s">
        <v>5</v>
      </c>
      <c r="I3962" s="6">
        <v>45895</v>
      </c>
    </row>
    <row r="3963" spans="1:9" ht="13.5">
      <c r="A3963" s="2" t="s">
        <v>3491</v>
      </c>
      <c r="B3963" s="3"/>
      <c r="C3963" s="4" t="s">
        <v>6825</v>
      </c>
      <c r="D3963" s="4" t="s">
        <v>3493</v>
      </c>
      <c r="E3963" s="5" t="s">
        <v>3494</v>
      </c>
      <c r="F3963" s="5" t="str">
        <f t="shared" si="61"/>
        <v>mynicco.com</v>
      </c>
      <c r="G3963" s="5" t="s">
        <v>4</v>
      </c>
      <c r="H3963" s="5" t="s">
        <v>345</v>
      </c>
      <c r="I3963" s="6">
        <v>45896</v>
      </c>
    </row>
    <row r="3964" spans="1:9" ht="13.5">
      <c r="A3964" s="2" t="s">
        <v>3491</v>
      </c>
      <c r="B3964" s="3"/>
      <c r="C3964" s="4" t="s">
        <v>6826</v>
      </c>
      <c r="D3964" s="4" t="s">
        <v>3493</v>
      </c>
      <c r="E3964" s="5" t="s">
        <v>5577</v>
      </c>
      <c r="F3964" s="5" t="str">
        <f t="shared" si="61"/>
        <v>mynicco.com</v>
      </c>
      <c r="G3964" s="5" t="s">
        <v>4</v>
      </c>
      <c r="H3964" s="5" t="s">
        <v>345</v>
      </c>
      <c r="I3964" s="6">
        <v>45896</v>
      </c>
    </row>
    <row r="3965" spans="1:9" ht="13.5">
      <c r="A3965" s="7" t="s">
        <v>1910</v>
      </c>
      <c r="B3965" s="3"/>
      <c r="C3965" s="4" t="s">
        <v>6827</v>
      </c>
      <c r="D3965" s="4" t="s">
        <v>1912</v>
      </c>
      <c r="E3965" s="5" t="s">
        <v>4094</v>
      </c>
      <c r="F3965" s="5" t="str">
        <f t="shared" si="61"/>
        <v>kelleher-international</v>
      </c>
      <c r="G3965" s="5" t="s">
        <v>4</v>
      </c>
      <c r="H3965" s="5" t="s">
        <v>345</v>
      </c>
      <c r="I3965" s="6">
        <v>45896</v>
      </c>
    </row>
    <row r="3966" spans="1:9" ht="13.5">
      <c r="A3966" s="7" t="s">
        <v>1910</v>
      </c>
      <c r="B3966" s="3"/>
      <c r="C3966" s="4" t="s">
        <v>6828</v>
      </c>
      <c r="D3966" s="4" t="s">
        <v>3472</v>
      </c>
      <c r="E3966" s="5" t="s">
        <v>2862</v>
      </c>
      <c r="F3966" s="5" t="str">
        <f t="shared" si="61"/>
        <v>kelleher-international</v>
      </c>
      <c r="G3966" s="5" t="s">
        <v>4</v>
      </c>
      <c r="H3966" s="5" t="s">
        <v>345</v>
      </c>
      <c r="I3966" s="6">
        <v>45896</v>
      </c>
    </row>
    <row r="3967" spans="1:9" ht="13.5">
      <c r="A3967" s="2" t="s">
        <v>723</v>
      </c>
      <c r="B3967" s="3"/>
      <c r="C3967" s="4" t="s">
        <v>6829</v>
      </c>
      <c r="D3967" s="4" t="s">
        <v>6673</v>
      </c>
      <c r="E3967" s="5" t="s">
        <v>6674</v>
      </c>
      <c r="F3967" s="5" t="str">
        <f t="shared" si="61"/>
        <v>aretrotale.com</v>
      </c>
      <c r="G3967" s="5" t="s">
        <v>4</v>
      </c>
      <c r="H3967" s="5" t="s">
        <v>3496</v>
      </c>
      <c r="I3967" s="6">
        <v>45896</v>
      </c>
    </row>
    <row r="3968" spans="1:9" ht="13.5">
      <c r="A3968" s="2" t="s">
        <v>171</v>
      </c>
      <c r="B3968" s="3"/>
      <c r="C3968" s="4" t="s">
        <v>6830</v>
      </c>
      <c r="D3968" s="4" t="s">
        <v>1708</v>
      </c>
      <c r="E3968" s="5" t="s">
        <v>4601</v>
      </c>
      <c r="F3968" s="5" t="str">
        <f t="shared" si="61"/>
        <v>arctic.se</v>
      </c>
      <c r="G3968" s="5" t="s">
        <v>4</v>
      </c>
      <c r="H3968" s="5" t="s">
        <v>2355</v>
      </c>
      <c r="I3968" s="6">
        <v>45896</v>
      </c>
    </row>
    <row r="3969" spans="1:9" ht="13.5">
      <c r="A3969" s="2" t="s">
        <v>3186</v>
      </c>
      <c r="B3969" s="3"/>
      <c r="C3969" s="4" t="s">
        <v>6831</v>
      </c>
      <c r="D3969" s="4" t="s">
        <v>4904</v>
      </c>
      <c r="E3969" s="5" t="s">
        <v>3468</v>
      </c>
      <c r="F3969" s="5" t="str">
        <f t="shared" si="61"/>
        <v>myownwater.com</v>
      </c>
      <c r="G3969" s="5" t="s">
        <v>4</v>
      </c>
      <c r="H3969" s="5" t="s">
        <v>345</v>
      </c>
      <c r="I3969" s="6">
        <v>45896</v>
      </c>
    </row>
    <row r="3970" spans="1:9" ht="13.5">
      <c r="A3970" s="2" t="s">
        <v>3186</v>
      </c>
      <c r="B3970" s="3"/>
      <c r="C3970" s="4" t="s">
        <v>6832</v>
      </c>
      <c r="D3970" s="4" t="s">
        <v>4207</v>
      </c>
      <c r="E3970" s="5" t="s">
        <v>4811</v>
      </c>
      <c r="F3970" s="5" t="str">
        <f t="shared" si="61"/>
        <v>myownwater.com</v>
      </c>
      <c r="G3970" s="5" t="s">
        <v>4</v>
      </c>
      <c r="H3970" s="5" t="s">
        <v>345</v>
      </c>
      <c r="I3970" s="6">
        <v>45896</v>
      </c>
    </row>
    <row r="3971" spans="1:9" ht="13.5">
      <c r="A3971" s="2" t="s">
        <v>3186</v>
      </c>
      <c r="B3971" s="3"/>
      <c r="C3971" s="4" t="s">
        <v>6833</v>
      </c>
      <c r="D3971" s="4" t="s">
        <v>4207</v>
      </c>
      <c r="E3971" s="5" t="s">
        <v>5781</v>
      </c>
      <c r="F3971" s="5" t="str">
        <f t="shared" ref="F3971:F4034" si="62">A3971</f>
        <v>myownwater.com</v>
      </c>
      <c r="G3971" s="5" t="s">
        <v>4</v>
      </c>
      <c r="H3971" s="5" t="s">
        <v>345</v>
      </c>
      <c r="I3971" s="6">
        <v>45896</v>
      </c>
    </row>
    <row r="3972" spans="1:9" ht="13.5">
      <c r="A3972" s="2" t="s">
        <v>4829</v>
      </c>
      <c r="B3972" s="3"/>
      <c r="C3972" s="4" t="s">
        <v>6834</v>
      </c>
      <c r="D3972" s="4" t="s">
        <v>4831</v>
      </c>
      <c r="E3972" s="5" t="s">
        <v>4832</v>
      </c>
      <c r="F3972" s="5" t="str">
        <f t="shared" si="62"/>
        <v>technobark.com</v>
      </c>
      <c r="G3972" s="5" t="s">
        <v>4</v>
      </c>
      <c r="H3972" s="5" t="s">
        <v>345</v>
      </c>
      <c r="I3972" s="6">
        <v>45896</v>
      </c>
    </row>
    <row r="3973" spans="1:9" ht="13.5">
      <c r="A3973" s="2" t="s">
        <v>4829</v>
      </c>
      <c r="B3973" s="3"/>
      <c r="C3973" s="4" t="s">
        <v>6835</v>
      </c>
      <c r="D3973" s="4" t="s">
        <v>5101</v>
      </c>
      <c r="E3973" s="5" t="s">
        <v>5459</v>
      </c>
      <c r="F3973" s="5" t="str">
        <f t="shared" si="62"/>
        <v>technobark.com</v>
      </c>
      <c r="G3973" s="5" t="s">
        <v>4</v>
      </c>
      <c r="H3973" s="5" t="s">
        <v>345</v>
      </c>
      <c r="I3973" s="6">
        <v>45896</v>
      </c>
    </row>
    <row r="3974" spans="1:9" ht="13.5">
      <c r="A3974" s="2" t="s">
        <v>4829</v>
      </c>
      <c r="B3974" s="3"/>
      <c r="C3974" s="4" t="s">
        <v>6836</v>
      </c>
      <c r="D3974" s="4" t="s">
        <v>4934</v>
      </c>
      <c r="E3974" s="5" t="s">
        <v>5784</v>
      </c>
      <c r="F3974" s="5" t="str">
        <f t="shared" si="62"/>
        <v>technobark.com</v>
      </c>
      <c r="G3974" s="5" t="s">
        <v>4</v>
      </c>
      <c r="H3974" s="5" t="s">
        <v>345</v>
      </c>
      <c r="I3974" s="6">
        <v>45896</v>
      </c>
    </row>
    <row r="3975" spans="1:9" ht="13.5">
      <c r="A3975" s="2" t="s">
        <v>5374</v>
      </c>
      <c r="B3975" s="3"/>
      <c r="C3975" s="4" t="s">
        <v>6837</v>
      </c>
      <c r="D3975" s="4" t="s">
        <v>5376</v>
      </c>
      <c r="E3975" s="5" t="s">
        <v>5377</v>
      </c>
      <c r="F3975" s="5" t="str">
        <f t="shared" si="62"/>
        <v>willabgarden.de</v>
      </c>
      <c r="G3975" s="5" t="s">
        <v>4</v>
      </c>
      <c r="H3975" s="5" t="s">
        <v>2355</v>
      </c>
      <c r="I3975" s="6">
        <v>45896</v>
      </c>
    </row>
    <row r="3976" spans="1:9" ht="13.5">
      <c r="A3976" s="2" t="s">
        <v>5374</v>
      </c>
      <c r="B3976" s="3"/>
      <c r="C3976" s="4" t="s">
        <v>6838</v>
      </c>
      <c r="D3976" s="4" t="s">
        <v>5379</v>
      </c>
      <c r="E3976" s="5" t="s">
        <v>5380</v>
      </c>
      <c r="F3976" s="5" t="str">
        <f t="shared" si="62"/>
        <v>willabgarden.de</v>
      </c>
      <c r="G3976" s="5" t="s">
        <v>4</v>
      </c>
      <c r="H3976" s="5" t="s">
        <v>2355</v>
      </c>
      <c r="I3976" s="6">
        <v>45896</v>
      </c>
    </row>
    <row r="3977" spans="1:9" ht="13.5">
      <c r="A3977" s="2" t="s">
        <v>5589</v>
      </c>
      <c r="B3977" s="3"/>
      <c r="C3977" s="4" t="s">
        <v>6839</v>
      </c>
      <c r="D3977" s="4" t="s">
        <v>5647</v>
      </c>
      <c r="E3977" s="5" t="s">
        <v>2840</v>
      </c>
      <c r="F3977" s="5" t="str">
        <f t="shared" si="62"/>
        <v>dbet.com</v>
      </c>
      <c r="G3977" s="5" t="s">
        <v>4</v>
      </c>
      <c r="H3977" s="5" t="s">
        <v>5</v>
      </c>
      <c r="I3977" s="6">
        <v>45897</v>
      </c>
    </row>
    <row r="3978" spans="1:9" ht="13.5">
      <c r="A3978" s="2" t="s">
        <v>3580</v>
      </c>
      <c r="B3978" s="3"/>
      <c r="C3978" s="4" t="s">
        <v>6840</v>
      </c>
      <c r="D3978" s="4" t="s">
        <v>6582</v>
      </c>
      <c r="E3978" s="5" t="s">
        <v>6454</v>
      </c>
      <c r="F3978" s="5" t="str">
        <f t="shared" si="62"/>
        <v>kleer.se</v>
      </c>
      <c r="G3978" s="5" t="s">
        <v>4</v>
      </c>
      <c r="H3978" s="5" t="s">
        <v>5</v>
      </c>
      <c r="I3978" s="6">
        <v>45897</v>
      </c>
    </row>
    <row r="3979" spans="1:9" ht="13.5">
      <c r="A3979" s="7" t="s">
        <v>2281</v>
      </c>
      <c r="B3979" s="3"/>
      <c r="C3979" s="4" t="s">
        <v>6841</v>
      </c>
      <c r="D3979" s="4" t="s">
        <v>2283</v>
      </c>
      <c r="E3979" s="5" t="s">
        <v>2151</v>
      </c>
      <c r="F3979" s="5" t="str">
        <f t="shared" si="62"/>
        <v>tandläkare.se</v>
      </c>
      <c r="G3979" s="5" t="s">
        <v>4</v>
      </c>
      <c r="H3979" s="5" t="s">
        <v>5</v>
      </c>
      <c r="I3979" s="6">
        <v>45898</v>
      </c>
    </row>
    <row r="3980" spans="1:9" ht="13.5">
      <c r="A3980" s="2" t="s">
        <v>3761</v>
      </c>
      <c r="B3980" s="3"/>
      <c r="C3980" s="4" t="s">
        <v>6842</v>
      </c>
      <c r="D3980" s="4" t="s">
        <v>3908</v>
      </c>
      <c r="E3980" s="5" t="s">
        <v>6843</v>
      </c>
      <c r="F3980" s="5" t="str">
        <f t="shared" si="62"/>
        <v>hajper.com</v>
      </c>
      <c r="G3980" s="5" t="s">
        <v>4</v>
      </c>
      <c r="H3980" s="5" t="s">
        <v>5</v>
      </c>
      <c r="I3980" s="6">
        <v>45898</v>
      </c>
    </row>
    <row r="3981" spans="1:9" ht="13.5">
      <c r="A3981" s="7" t="s">
        <v>3419</v>
      </c>
      <c r="B3981" s="3"/>
      <c r="C3981" s="4" t="s">
        <v>6844</v>
      </c>
      <c r="D3981" s="4" t="s">
        <v>3407</v>
      </c>
      <c r="E3981" s="5" t="s">
        <v>3901</v>
      </c>
      <c r="F3981" s="5" t="str">
        <f t="shared" si="62"/>
        <v>zmarta</v>
      </c>
      <c r="G3981" s="5" t="s">
        <v>4</v>
      </c>
      <c r="H3981" s="5" t="s">
        <v>5</v>
      </c>
      <c r="I3981" s="6">
        <v>45898</v>
      </c>
    </row>
    <row r="3982" spans="1:9" ht="13.5">
      <c r="A3982" s="2" t="s">
        <v>1318</v>
      </c>
      <c r="B3982" s="3"/>
      <c r="C3982" s="4" t="s">
        <v>6845</v>
      </c>
      <c r="D3982" s="4" t="s">
        <v>2972</v>
      </c>
      <c r="E3982" s="9" t="s">
        <v>1318</v>
      </c>
      <c r="F3982" s="5" t="str">
        <f t="shared" si="62"/>
        <v>spelklubben.se</v>
      </c>
      <c r="G3982" s="5" t="s">
        <v>4</v>
      </c>
      <c r="H3982" s="5" t="s">
        <v>5</v>
      </c>
      <c r="I3982" s="6">
        <v>45899</v>
      </c>
    </row>
    <row r="3983" spans="1:9" ht="13.5">
      <c r="A3983" s="2" t="s">
        <v>1318</v>
      </c>
      <c r="B3983" s="3"/>
      <c r="C3983" s="4" t="s">
        <v>6845</v>
      </c>
      <c r="D3983" s="4" t="s">
        <v>2972</v>
      </c>
      <c r="E3983" s="5" t="s">
        <v>1318</v>
      </c>
      <c r="F3983" s="5" t="str">
        <f t="shared" si="62"/>
        <v>spelklubben.se</v>
      </c>
      <c r="G3983" s="5" t="s">
        <v>4</v>
      </c>
      <c r="H3983" s="5" t="s">
        <v>5</v>
      </c>
      <c r="I3983" s="6">
        <v>45899</v>
      </c>
    </row>
    <row r="3984" spans="1:9" ht="13.5">
      <c r="A3984" s="2" t="s">
        <v>6021</v>
      </c>
      <c r="B3984" s="3"/>
      <c r="C3984" s="4" t="s">
        <v>6846</v>
      </c>
      <c r="D3984" s="138" t="s">
        <v>6847</v>
      </c>
      <c r="E3984" s="5" t="s">
        <v>6848</v>
      </c>
      <c r="F3984" s="5" t="str">
        <f t="shared" si="62"/>
        <v>mrvegas.com</v>
      </c>
      <c r="G3984" s="5" t="s">
        <v>4</v>
      </c>
      <c r="H3984" s="5" t="s">
        <v>5</v>
      </c>
      <c r="I3984" s="6">
        <v>45899</v>
      </c>
    </row>
    <row r="3985" spans="1:9" ht="13.5">
      <c r="A3985" s="2" t="s">
        <v>3058</v>
      </c>
      <c r="B3985" s="3"/>
      <c r="C3985" s="4" t="s">
        <v>6849</v>
      </c>
      <c r="D3985" s="4" t="s">
        <v>4133</v>
      </c>
      <c r="E3985" s="5" t="s">
        <v>3064</v>
      </c>
      <c r="F3985" s="5" t="str">
        <f t="shared" si="62"/>
        <v>rusta.se</v>
      </c>
      <c r="G3985" s="5" t="s">
        <v>4</v>
      </c>
      <c r="H3985" s="5" t="s">
        <v>5</v>
      </c>
      <c r="I3985" s="6">
        <v>45900</v>
      </c>
    </row>
    <row r="3986" spans="1:9" ht="13.5">
      <c r="A3986" s="2" t="s">
        <v>5589</v>
      </c>
      <c r="B3986" s="3"/>
      <c r="C3986" s="4" t="s">
        <v>6850</v>
      </c>
      <c r="D3986" s="4" t="s">
        <v>6303</v>
      </c>
      <c r="E3986" s="5" t="s">
        <v>6851</v>
      </c>
      <c r="F3986" s="5" t="str">
        <f t="shared" si="62"/>
        <v>dbet.com</v>
      </c>
      <c r="G3986" s="5" t="s">
        <v>4</v>
      </c>
      <c r="H3986" s="5" t="s">
        <v>5</v>
      </c>
      <c r="I3986" s="6">
        <v>45900</v>
      </c>
    </row>
    <row r="3987" spans="1:9" ht="13.5">
      <c r="A3987" s="2" t="s">
        <v>4051</v>
      </c>
      <c r="B3987" s="3"/>
      <c r="C3987" s="4" t="s">
        <v>6852</v>
      </c>
      <c r="D3987" s="4" t="s">
        <v>4314</v>
      </c>
      <c r="E3987" s="5" t="s">
        <v>4315</v>
      </c>
      <c r="F3987" s="5" t="str">
        <f t="shared" si="62"/>
        <v>hund.se</v>
      </c>
      <c r="G3987" s="5" t="s">
        <v>4</v>
      </c>
      <c r="H3987" s="5" t="s">
        <v>5</v>
      </c>
      <c r="I3987" s="6">
        <v>45900</v>
      </c>
    </row>
    <row r="3988" spans="1:9" ht="13.5">
      <c r="A3988" s="2" t="s">
        <v>1318</v>
      </c>
      <c r="B3988" s="3"/>
      <c r="C3988" s="4" t="s">
        <v>6853</v>
      </c>
      <c r="D3988" s="4" t="s">
        <v>1838</v>
      </c>
      <c r="E3988" s="5" t="s">
        <v>2016</v>
      </c>
      <c r="F3988" s="5" t="str">
        <f t="shared" si="62"/>
        <v>spelklubben.se</v>
      </c>
      <c r="G3988" s="5" t="s">
        <v>4</v>
      </c>
      <c r="H3988" s="5" t="s">
        <v>5</v>
      </c>
      <c r="I3988" s="6">
        <v>45901</v>
      </c>
    </row>
    <row r="3989" spans="1:9" ht="13.5">
      <c r="A3989" s="2" t="s">
        <v>3090</v>
      </c>
      <c r="B3989" s="3"/>
      <c r="C3989" s="4" t="s">
        <v>6460</v>
      </c>
      <c r="D3989" s="4" t="s">
        <v>6460</v>
      </c>
      <c r="E3989" s="5" t="s">
        <v>6854</v>
      </c>
      <c r="F3989" s="5" t="str">
        <f t="shared" si="62"/>
        <v>videoslots.com</v>
      </c>
      <c r="G3989" s="5" t="s">
        <v>4</v>
      </c>
      <c r="H3989" s="5" t="s">
        <v>5</v>
      </c>
      <c r="I3989" s="6">
        <v>45901</v>
      </c>
    </row>
    <row r="3990" spans="1:9" ht="13.5">
      <c r="A3990" s="2" t="s">
        <v>5715</v>
      </c>
      <c r="B3990" s="3"/>
      <c r="C3990" s="4" t="s">
        <v>6855</v>
      </c>
      <c r="D3990" s="4" t="s">
        <v>6856</v>
      </c>
      <c r="E3990" s="5" t="s">
        <v>6857</v>
      </c>
      <c r="F3990" s="5" t="str">
        <f t="shared" si="62"/>
        <v>Minifinder.se</v>
      </c>
      <c r="G3990" s="5" t="s">
        <v>4</v>
      </c>
      <c r="H3990" s="5" t="s">
        <v>5</v>
      </c>
      <c r="I3990" s="6">
        <v>45901</v>
      </c>
    </row>
    <row r="3991" spans="1:9" ht="13.5">
      <c r="A3991" s="2" t="s">
        <v>703</v>
      </c>
      <c r="B3991" s="3"/>
      <c r="C3991" s="4" t="s">
        <v>6858</v>
      </c>
      <c r="D3991" s="4" t="s">
        <v>735</v>
      </c>
      <c r="E3991" s="5" t="s">
        <v>6859</v>
      </c>
      <c r="F3991" s="5" t="str">
        <f t="shared" si="62"/>
        <v>distansinstitutet.se</v>
      </c>
      <c r="G3991" s="5" t="s">
        <v>4</v>
      </c>
      <c r="H3991" s="5" t="s">
        <v>5</v>
      </c>
      <c r="I3991" s="6">
        <v>45901</v>
      </c>
    </row>
    <row r="3992" spans="1:9" ht="13.5">
      <c r="A3992" s="2" t="s">
        <v>6021</v>
      </c>
      <c r="B3992" s="3"/>
      <c r="C3992" s="4" t="s">
        <v>6860</v>
      </c>
      <c r="D3992" s="4" t="s">
        <v>6861</v>
      </c>
      <c r="E3992" s="5" t="s">
        <v>6862</v>
      </c>
      <c r="F3992" s="5" t="str">
        <f t="shared" si="62"/>
        <v>mrvegas.com</v>
      </c>
      <c r="G3992" s="5" t="s">
        <v>4</v>
      </c>
      <c r="H3992" s="5" t="s">
        <v>3496</v>
      </c>
      <c r="I3992" s="6">
        <v>45901</v>
      </c>
    </row>
    <row r="3993" spans="1:9" ht="13.5">
      <c r="A3993" s="2" t="s">
        <v>3090</v>
      </c>
      <c r="B3993" s="3"/>
      <c r="C3993" s="4" t="s">
        <v>6863</v>
      </c>
      <c r="D3993" s="4" t="s">
        <v>6460</v>
      </c>
      <c r="E3993" s="5" t="s">
        <v>6864</v>
      </c>
      <c r="F3993" s="5" t="str">
        <f t="shared" si="62"/>
        <v>videoslots.com</v>
      </c>
      <c r="G3993" s="5" t="s">
        <v>4</v>
      </c>
      <c r="H3993" s="5" t="s">
        <v>5</v>
      </c>
      <c r="I3993" s="6">
        <v>45901</v>
      </c>
    </row>
    <row r="3994" spans="1:9" ht="13.5">
      <c r="A3994" s="2" t="s">
        <v>3058</v>
      </c>
      <c r="B3994" s="3"/>
      <c r="C3994" s="4" t="s">
        <v>6865</v>
      </c>
      <c r="D3994" s="4" t="s">
        <v>4133</v>
      </c>
      <c r="E3994" s="5" t="s">
        <v>3064</v>
      </c>
      <c r="F3994" s="5" t="str">
        <f t="shared" si="62"/>
        <v>rusta.se</v>
      </c>
      <c r="G3994" s="5" t="s">
        <v>4</v>
      </c>
      <c r="H3994" s="5" t="s">
        <v>5</v>
      </c>
      <c r="I3994" s="6">
        <v>45901</v>
      </c>
    </row>
    <row r="3995" spans="1:9" ht="13.5">
      <c r="A3995" s="7" t="s">
        <v>3419</v>
      </c>
      <c r="B3995" s="3"/>
      <c r="C3995" s="4" t="s">
        <v>6866</v>
      </c>
      <c r="D3995" s="4" t="s">
        <v>3407</v>
      </c>
      <c r="E3995" s="5" t="s">
        <v>3408</v>
      </c>
      <c r="F3995" s="5" t="str">
        <f t="shared" si="62"/>
        <v>zmarta</v>
      </c>
      <c r="G3995" s="5" t="s">
        <v>4</v>
      </c>
      <c r="H3995" s="5" t="s">
        <v>5</v>
      </c>
      <c r="I3995" s="6">
        <v>45901</v>
      </c>
    </row>
    <row r="3996" spans="1:9" ht="13.5">
      <c r="A3996" s="2" t="s">
        <v>2357</v>
      </c>
      <c r="B3996" s="3"/>
      <c r="C3996" s="4" t="s">
        <v>6867</v>
      </c>
      <c r="D3996" s="4" t="s">
        <v>5847</v>
      </c>
      <c r="E3996" s="5" t="s">
        <v>6868</v>
      </c>
      <c r="F3996" s="5" t="str">
        <f t="shared" si="62"/>
        <v>lsb.se</v>
      </c>
      <c r="G3996" s="5" t="s">
        <v>4</v>
      </c>
      <c r="H3996" s="5" t="s">
        <v>5</v>
      </c>
      <c r="I3996" s="6">
        <v>45901</v>
      </c>
    </row>
    <row r="3997" spans="1:9" ht="13.5">
      <c r="A3997" s="2" t="s">
        <v>6014</v>
      </c>
      <c r="B3997" s="3"/>
      <c r="C3997" s="4" t="s">
        <v>6869</v>
      </c>
      <c r="D3997" s="4" t="s">
        <v>6551</v>
      </c>
      <c r="E3997" s="5" t="s">
        <v>6552</v>
      </c>
      <c r="F3997" s="5" t="str">
        <f t="shared" si="62"/>
        <v>kungaslottet.se</v>
      </c>
      <c r="G3997" s="5" t="s">
        <v>4</v>
      </c>
      <c r="H3997" s="5" t="s">
        <v>5</v>
      </c>
      <c r="I3997" s="6">
        <v>45901</v>
      </c>
    </row>
    <row r="3998" spans="1:9" ht="13.5">
      <c r="A3998" s="2" t="s">
        <v>3824</v>
      </c>
      <c r="B3998" s="3"/>
      <c r="C3998" s="4" t="s">
        <v>6870</v>
      </c>
      <c r="D3998" s="4" t="s">
        <v>5327</v>
      </c>
      <c r="E3998" s="5" t="s">
        <v>6871</v>
      </c>
      <c r="F3998" s="5" t="str">
        <f t="shared" si="62"/>
        <v>swedenlongstay.se</v>
      </c>
      <c r="G3998" s="5" t="s">
        <v>4</v>
      </c>
      <c r="H3998" s="5" t="s">
        <v>5</v>
      </c>
      <c r="I3998" s="6">
        <v>45901</v>
      </c>
    </row>
    <row r="3999" spans="1:9" ht="13.5">
      <c r="A3999" s="2" t="s">
        <v>1318</v>
      </c>
      <c r="B3999" s="3"/>
      <c r="C3999" s="4" t="s">
        <v>6872</v>
      </c>
      <c r="D3999" s="4" t="s">
        <v>1942</v>
      </c>
      <c r="E3999" s="5" t="s">
        <v>6873</v>
      </c>
      <c r="F3999" s="5" t="str">
        <f t="shared" si="62"/>
        <v>spelklubben.se</v>
      </c>
      <c r="G3999" s="5" t="s">
        <v>4</v>
      </c>
      <c r="H3999" s="5" t="s">
        <v>5</v>
      </c>
      <c r="I3999" s="6">
        <v>45901</v>
      </c>
    </row>
    <row r="4000" spans="1:9" ht="13.5">
      <c r="A4000" s="2" t="s">
        <v>3128</v>
      </c>
      <c r="B4000" s="3"/>
      <c r="C4000" s="4" t="s">
        <v>6874</v>
      </c>
      <c r="D4000" s="4" t="s">
        <v>3130</v>
      </c>
      <c r="E4000" s="5" t="s">
        <v>6875</v>
      </c>
      <c r="F4000" s="5" t="str">
        <f t="shared" si="62"/>
        <v>bethard.com</v>
      </c>
      <c r="G4000" s="5" t="s">
        <v>4</v>
      </c>
      <c r="H4000" s="5" t="s">
        <v>5</v>
      </c>
      <c r="I4000" s="6">
        <v>45901</v>
      </c>
    </row>
    <row r="4001" spans="1:9" ht="13.5">
      <c r="A4001" s="7" t="s">
        <v>6789</v>
      </c>
      <c r="B4001" s="3"/>
      <c r="C4001" s="4" t="s">
        <v>6876</v>
      </c>
      <c r="D4001" s="4" t="s">
        <v>6791</v>
      </c>
      <c r="E4001" s="5" t="s">
        <v>2840</v>
      </c>
      <c r="F4001" s="5" t="str">
        <f t="shared" si="62"/>
        <v>Bettingsyndikatet</v>
      </c>
      <c r="G4001" s="5" t="s">
        <v>4</v>
      </c>
      <c r="H4001" s="5" t="s">
        <v>5</v>
      </c>
      <c r="I4001" s="6">
        <v>45902</v>
      </c>
    </row>
    <row r="4002" spans="1:9" ht="13.5">
      <c r="A4002" s="7" t="s">
        <v>3419</v>
      </c>
      <c r="B4002" s="3"/>
      <c r="C4002" s="138" t="s">
        <v>6877</v>
      </c>
      <c r="D4002" s="4" t="s">
        <v>5280</v>
      </c>
      <c r="E4002" s="5" t="s">
        <v>6595</v>
      </c>
      <c r="F4002" s="5" t="str">
        <f t="shared" si="62"/>
        <v>zmarta</v>
      </c>
      <c r="G4002" s="5" t="s">
        <v>4</v>
      </c>
      <c r="H4002" s="5" t="s">
        <v>5</v>
      </c>
      <c r="I4002" s="6">
        <v>45902</v>
      </c>
    </row>
    <row r="4003" spans="1:9" ht="13.5">
      <c r="A4003" s="2" t="s">
        <v>3090</v>
      </c>
      <c r="B4003" s="3"/>
      <c r="C4003" s="4" t="s">
        <v>6878</v>
      </c>
      <c r="D4003" s="4" t="s">
        <v>6460</v>
      </c>
      <c r="E4003" s="5" t="s">
        <v>3093</v>
      </c>
      <c r="F4003" s="5" t="str">
        <f t="shared" si="62"/>
        <v>videoslots.com</v>
      </c>
      <c r="G4003" s="5" t="s">
        <v>4</v>
      </c>
      <c r="H4003" s="5" t="s">
        <v>3496</v>
      </c>
      <c r="I4003" s="6">
        <v>45902</v>
      </c>
    </row>
    <row r="4004" spans="1:9" ht="13.5">
      <c r="A4004" s="2" t="s">
        <v>6025</v>
      </c>
      <c r="B4004" s="3"/>
      <c r="C4004" s="138" t="s">
        <v>6879</v>
      </c>
      <c r="D4004" s="4" t="s">
        <v>6467</v>
      </c>
      <c r="E4004" s="5" t="s">
        <v>6880</v>
      </c>
      <c r="F4004" s="5" t="str">
        <f t="shared" si="62"/>
        <v>megariches.com</v>
      </c>
      <c r="G4004" s="5" t="s">
        <v>4</v>
      </c>
      <c r="H4004" s="5" t="s">
        <v>3496</v>
      </c>
      <c r="I4004" s="6">
        <v>45902</v>
      </c>
    </row>
    <row r="4005" spans="1:9" ht="13.5">
      <c r="A4005" s="2" t="s">
        <v>6025</v>
      </c>
      <c r="B4005" s="3"/>
      <c r="C4005" s="4" t="s">
        <v>6881</v>
      </c>
      <c r="D4005" s="4" t="s">
        <v>6882</v>
      </c>
      <c r="E4005" s="9" t="s">
        <v>6025</v>
      </c>
      <c r="F4005" s="5" t="str">
        <f t="shared" si="62"/>
        <v>megariches.com</v>
      </c>
      <c r="G4005" s="5" t="s">
        <v>4</v>
      </c>
      <c r="H4005" s="5" t="s">
        <v>3496</v>
      </c>
      <c r="I4005" s="6">
        <v>45902</v>
      </c>
    </row>
    <row r="4006" spans="1:9" ht="13.5">
      <c r="A4006" s="2" t="s">
        <v>5890</v>
      </c>
      <c r="B4006" s="3"/>
      <c r="C4006" s="4" t="s">
        <v>6883</v>
      </c>
      <c r="D4006" s="4" t="s">
        <v>6040</v>
      </c>
      <c r="E4006" s="5" t="s">
        <v>5893</v>
      </c>
      <c r="F4006" s="5" t="str">
        <f t="shared" si="62"/>
        <v>yourgild.com</v>
      </c>
      <c r="G4006" s="5" t="s">
        <v>4</v>
      </c>
      <c r="H4006" s="5" t="s">
        <v>345</v>
      </c>
      <c r="I4006" s="6">
        <v>45902</v>
      </c>
    </row>
    <row r="4007" spans="1:9" ht="13.5">
      <c r="A4007" s="2" t="s">
        <v>6639</v>
      </c>
      <c r="B4007" s="3"/>
      <c r="C4007" s="4" t="s">
        <v>6884</v>
      </c>
      <c r="D4007" s="4" t="s">
        <v>6641</v>
      </c>
      <c r="E4007" s="5" t="s">
        <v>6885</v>
      </c>
      <c r="F4007" s="5" t="str">
        <f t="shared" si="62"/>
        <v>epidemicsounds.com</v>
      </c>
      <c r="G4007" s="5" t="s">
        <v>4</v>
      </c>
      <c r="H4007" s="5" t="s">
        <v>345</v>
      </c>
      <c r="I4007" s="6">
        <v>45902</v>
      </c>
    </row>
    <row r="4008" spans="1:9" ht="13.5">
      <c r="A4008" s="2" t="s">
        <v>5538</v>
      </c>
      <c r="B4008" s="3"/>
      <c r="C4008" s="4" t="s">
        <v>6886</v>
      </c>
      <c r="D4008" s="4" t="s">
        <v>6887</v>
      </c>
      <c r="E4008" s="5" t="s">
        <v>6888</v>
      </c>
      <c r="F4008" s="5" t="str">
        <f t="shared" si="62"/>
        <v>kruunukaluste.fi</v>
      </c>
      <c r="G4008" s="5" t="s">
        <v>4</v>
      </c>
      <c r="H4008" s="5" t="s">
        <v>1618</v>
      </c>
      <c r="I4008" s="6">
        <v>45903</v>
      </c>
    </row>
    <row r="4009" spans="1:9" ht="13.5">
      <c r="A4009" s="2" t="s">
        <v>5538</v>
      </c>
      <c r="B4009" s="3"/>
      <c r="C4009" s="4" t="s">
        <v>6889</v>
      </c>
      <c r="D4009" s="4" t="s">
        <v>6887</v>
      </c>
      <c r="E4009" s="5" t="s">
        <v>6890</v>
      </c>
      <c r="F4009" s="5" t="str">
        <f t="shared" si="62"/>
        <v>kruunukaluste.fi</v>
      </c>
      <c r="G4009" s="5" t="s">
        <v>4</v>
      </c>
      <c r="H4009" s="5" t="s">
        <v>1618</v>
      </c>
      <c r="I4009" s="6">
        <v>45903</v>
      </c>
    </row>
    <row r="4010" spans="1:9" ht="13.5">
      <c r="A4010" s="2" t="s">
        <v>6252</v>
      </c>
      <c r="B4010" s="3"/>
      <c r="C4010" s="4" t="s">
        <v>6891</v>
      </c>
      <c r="D4010" s="4" t="s">
        <v>6892</v>
      </c>
      <c r="E4010" s="5" t="s">
        <v>6255</v>
      </c>
      <c r="F4010" s="5" t="str">
        <f t="shared" si="62"/>
        <v>turner.fi</v>
      </c>
      <c r="G4010" s="5" t="s">
        <v>4</v>
      </c>
      <c r="H4010" s="5" t="s">
        <v>1618</v>
      </c>
      <c r="I4010" s="6">
        <v>45903</v>
      </c>
    </row>
    <row r="4011" spans="1:9" ht="13.5">
      <c r="A4011" s="2" t="s">
        <v>6252</v>
      </c>
      <c r="B4011" s="3"/>
      <c r="C4011" s="4" t="s">
        <v>6893</v>
      </c>
      <c r="D4011" s="4" t="s">
        <v>6257</v>
      </c>
      <c r="E4011" s="5" t="s">
        <v>6258</v>
      </c>
      <c r="F4011" s="5" t="str">
        <f t="shared" si="62"/>
        <v>turner.fi</v>
      </c>
      <c r="G4011" s="5" t="s">
        <v>4</v>
      </c>
      <c r="H4011" s="5" t="s">
        <v>1618</v>
      </c>
      <c r="I4011" s="6">
        <v>45903</v>
      </c>
    </row>
    <row r="4012" spans="1:9" ht="13.5">
      <c r="A4012" s="2" t="s">
        <v>2636</v>
      </c>
      <c r="B4012" s="3"/>
      <c r="C4012" s="4" t="s">
        <v>6894</v>
      </c>
      <c r="D4012" s="4" t="s">
        <v>6707</v>
      </c>
      <c r="E4012" s="5" t="s">
        <v>6708</v>
      </c>
      <c r="F4012" s="5" t="str">
        <f t="shared" si="62"/>
        <v>kvarnx.com</v>
      </c>
      <c r="G4012" s="5" t="s">
        <v>4</v>
      </c>
      <c r="H4012" s="5" t="s">
        <v>1618</v>
      </c>
      <c r="I4012" s="6">
        <v>45903</v>
      </c>
    </row>
    <row r="4013" spans="1:9" ht="13.5">
      <c r="A4013" s="2" t="s">
        <v>2636</v>
      </c>
      <c r="B4013" s="3"/>
      <c r="C4013" s="4" t="s">
        <v>6895</v>
      </c>
      <c r="D4013" s="4" t="s">
        <v>6896</v>
      </c>
      <c r="E4013" s="5" t="s">
        <v>6897</v>
      </c>
      <c r="F4013" s="5" t="str">
        <f t="shared" si="62"/>
        <v>kvarnx.com</v>
      </c>
      <c r="G4013" s="5" t="s">
        <v>4</v>
      </c>
      <c r="H4013" s="5" t="s">
        <v>1618</v>
      </c>
      <c r="I4013" s="6">
        <v>45903</v>
      </c>
    </row>
    <row r="4014" spans="1:9" ht="13.5">
      <c r="A4014" s="2" t="s">
        <v>2636</v>
      </c>
      <c r="B4014" s="3"/>
      <c r="C4014" s="4" t="s">
        <v>6898</v>
      </c>
      <c r="D4014" s="4" t="s">
        <v>6899</v>
      </c>
      <c r="E4014" s="5" t="s">
        <v>6900</v>
      </c>
      <c r="F4014" s="5" t="str">
        <f t="shared" si="62"/>
        <v>kvarnx.com</v>
      </c>
      <c r="G4014" s="5" t="s">
        <v>4</v>
      </c>
      <c r="H4014" s="5" t="s">
        <v>1618</v>
      </c>
      <c r="I4014" s="6">
        <v>45903</v>
      </c>
    </row>
    <row r="4015" spans="1:9" ht="13.5">
      <c r="A4015" s="2" t="s">
        <v>2636</v>
      </c>
      <c r="B4015" s="3"/>
      <c r="C4015" s="4" t="s">
        <v>6901</v>
      </c>
      <c r="D4015" s="4" t="s">
        <v>6902</v>
      </c>
      <c r="E4015" s="5" t="s">
        <v>6903</v>
      </c>
      <c r="F4015" s="5" t="str">
        <f t="shared" si="62"/>
        <v>kvarnx.com</v>
      </c>
      <c r="G4015" s="5" t="s">
        <v>4</v>
      </c>
      <c r="H4015" s="5" t="s">
        <v>1618</v>
      </c>
      <c r="I4015" s="6">
        <v>45903</v>
      </c>
    </row>
    <row r="4016" spans="1:9" ht="13.5">
      <c r="A4016" s="7" t="s">
        <v>6783</v>
      </c>
      <c r="B4016" s="3"/>
      <c r="C4016" s="4" t="s">
        <v>6904</v>
      </c>
      <c r="D4016" s="4" t="s">
        <v>6785</v>
      </c>
      <c r="E4016" s="5" t="s">
        <v>6786</v>
      </c>
      <c r="F4016" s="5" t="str">
        <f t="shared" si="62"/>
        <v>muuttohaukat</v>
      </c>
      <c r="G4016" s="5" t="s">
        <v>4</v>
      </c>
      <c r="H4016" s="5" t="s">
        <v>1618</v>
      </c>
      <c r="I4016" s="6">
        <v>45903</v>
      </c>
    </row>
    <row r="4017" spans="1:9" ht="13.5">
      <c r="A4017" s="7" t="s">
        <v>6783</v>
      </c>
      <c r="B4017" s="3"/>
      <c r="C4017" s="4" t="s">
        <v>6905</v>
      </c>
      <c r="D4017" s="4" t="s">
        <v>6785</v>
      </c>
      <c r="E4017" s="5" t="s">
        <v>6786</v>
      </c>
      <c r="F4017" s="5" t="str">
        <f t="shared" si="62"/>
        <v>muuttohaukat</v>
      </c>
      <c r="G4017" s="5" t="s">
        <v>4</v>
      </c>
      <c r="H4017" s="5" t="s">
        <v>1618</v>
      </c>
      <c r="I4017" s="6">
        <v>45903</v>
      </c>
    </row>
    <row r="4018" spans="1:9" ht="13.5">
      <c r="A4018" s="2" t="s">
        <v>6659</v>
      </c>
      <c r="B4018" s="3"/>
      <c r="C4018" s="4" t="s">
        <v>6906</v>
      </c>
      <c r="D4018" s="4" t="s">
        <v>6711</v>
      </c>
      <c r="E4018" s="5" t="s">
        <v>6712</v>
      </c>
      <c r="F4018" s="5" t="str">
        <f t="shared" si="62"/>
        <v>northtracker.com</v>
      </c>
      <c r="G4018" s="5" t="s">
        <v>4</v>
      </c>
      <c r="H4018" s="5" t="s">
        <v>5</v>
      </c>
      <c r="I4018" s="6">
        <v>45903</v>
      </c>
    </row>
    <row r="4019" spans="1:9" ht="13.5">
      <c r="A4019" s="2" t="s">
        <v>5715</v>
      </c>
      <c r="B4019" s="3"/>
      <c r="C4019" s="4" t="s">
        <v>6907</v>
      </c>
      <c r="D4019" s="4" t="s">
        <v>5717</v>
      </c>
      <c r="E4019" s="5" t="s">
        <v>5718</v>
      </c>
      <c r="F4019" s="5" t="str">
        <f t="shared" si="62"/>
        <v>Minifinder.se</v>
      </c>
      <c r="G4019" s="5" t="s">
        <v>4</v>
      </c>
      <c r="H4019" s="5" t="s">
        <v>5</v>
      </c>
      <c r="I4019" s="6">
        <v>45903</v>
      </c>
    </row>
    <row r="4020" spans="1:9" ht="13.5">
      <c r="A4020" s="2" t="s">
        <v>2357</v>
      </c>
      <c r="B4020" s="3"/>
      <c r="C4020" s="4" t="s">
        <v>6908</v>
      </c>
      <c r="D4020" s="9" t="s">
        <v>6038</v>
      </c>
      <c r="E4020" s="72" t="s">
        <v>4306</v>
      </c>
      <c r="F4020" s="5" t="str">
        <f t="shared" si="62"/>
        <v>lsb.se</v>
      </c>
      <c r="G4020" s="5" t="s">
        <v>4</v>
      </c>
      <c r="H4020" s="5" t="s">
        <v>5</v>
      </c>
      <c r="I4020" s="6">
        <v>45903</v>
      </c>
    </row>
    <row r="4021" spans="1:9" ht="13.5">
      <c r="A4021" s="7" t="s">
        <v>3419</v>
      </c>
      <c r="B4021" s="3"/>
      <c r="C4021" s="4" t="s">
        <v>6909</v>
      </c>
      <c r="D4021" s="4" t="s">
        <v>3843</v>
      </c>
      <c r="E4021" s="5" t="s">
        <v>4117</v>
      </c>
      <c r="F4021" s="5" t="str">
        <f t="shared" si="62"/>
        <v>zmarta</v>
      </c>
      <c r="G4021" s="5" t="s">
        <v>4</v>
      </c>
      <c r="H4021" s="5" t="s">
        <v>5</v>
      </c>
      <c r="I4021" s="6">
        <v>45903</v>
      </c>
    </row>
    <row r="4022" spans="1:9" ht="13.5">
      <c r="A4022" s="2" t="s">
        <v>3058</v>
      </c>
      <c r="B4022" s="3"/>
      <c r="C4022" s="4" t="s">
        <v>6910</v>
      </c>
      <c r="D4022" s="4" t="s">
        <v>5034</v>
      </c>
      <c r="E4022" s="5" t="s">
        <v>179</v>
      </c>
      <c r="F4022" s="5" t="str">
        <f t="shared" si="62"/>
        <v>rusta.se</v>
      </c>
      <c r="G4022" s="5" t="s">
        <v>4</v>
      </c>
      <c r="H4022" s="5" t="s">
        <v>5</v>
      </c>
      <c r="I4022" s="6">
        <v>45903</v>
      </c>
    </row>
    <row r="4023" spans="1:9" ht="13.5">
      <c r="A4023" s="2" t="s">
        <v>5589</v>
      </c>
      <c r="B4023" s="3"/>
      <c r="C4023" s="4" t="s">
        <v>6911</v>
      </c>
      <c r="D4023" s="9" t="s">
        <v>5647</v>
      </c>
      <c r="E4023" s="72" t="s">
        <v>5648</v>
      </c>
      <c r="F4023" s="5" t="str">
        <f t="shared" si="62"/>
        <v>dbet.com</v>
      </c>
      <c r="G4023" s="5" t="s">
        <v>4</v>
      </c>
      <c r="H4023" s="5" t="s">
        <v>5</v>
      </c>
      <c r="I4023" s="6">
        <v>45903</v>
      </c>
    </row>
    <row r="4024" spans="1:9" ht="13.9">
      <c r="A4024" s="2" t="s">
        <v>2127</v>
      </c>
      <c r="B4024" s="3"/>
      <c r="C4024" s="4" t="s">
        <v>6912</v>
      </c>
      <c r="D4024" s="341" t="s">
        <v>6913</v>
      </c>
      <c r="E4024" s="5" t="s">
        <v>4999</v>
      </c>
      <c r="F4024" s="5" t="str">
        <f t="shared" si="62"/>
        <v>startmotor.se</v>
      </c>
      <c r="G4024" s="5" t="s">
        <v>4</v>
      </c>
      <c r="H4024" s="5" t="s">
        <v>5</v>
      </c>
      <c r="I4024" s="6">
        <v>45903</v>
      </c>
    </row>
    <row r="4025" spans="1:9" ht="13.5">
      <c r="A4025" s="2" t="s">
        <v>3761</v>
      </c>
      <c r="B4025" s="3"/>
      <c r="C4025" s="4" t="s">
        <v>6914</v>
      </c>
      <c r="D4025" s="4" t="s">
        <v>3908</v>
      </c>
      <c r="E4025" s="5" t="s">
        <v>3920</v>
      </c>
      <c r="F4025" s="5" t="str">
        <f t="shared" si="62"/>
        <v>hajper.com</v>
      </c>
      <c r="G4025" s="5" t="s">
        <v>4</v>
      </c>
      <c r="H4025" s="5" t="s">
        <v>5</v>
      </c>
      <c r="I4025" s="6">
        <v>45903</v>
      </c>
    </row>
    <row r="4026" spans="1:9" ht="13.5">
      <c r="A4026" s="2" t="s">
        <v>6021</v>
      </c>
      <c r="B4026" s="3"/>
      <c r="C4026" s="4" t="s">
        <v>6915</v>
      </c>
      <c r="D4026" s="4" t="s">
        <v>6916</v>
      </c>
      <c r="E4026" s="5" t="s">
        <v>3228</v>
      </c>
      <c r="F4026" s="5" t="str">
        <f t="shared" si="62"/>
        <v>mrvegas.com</v>
      </c>
      <c r="G4026" s="5" t="s">
        <v>4</v>
      </c>
      <c r="H4026" s="5" t="s">
        <v>5</v>
      </c>
      <c r="I4026" s="6">
        <v>45903</v>
      </c>
    </row>
    <row r="4027" spans="1:9" ht="13.5">
      <c r="A4027" s="2" t="s">
        <v>1318</v>
      </c>
      <c r="B4027" s="3"/>
      <c r="C4027" s="4" t="s">
        <v>6917</v>
      </c>
      <c r="D4027" s="4" t="s">
        <v>1942</v>
      </c>
      <c r="E4027" s="5" t="s">
        <v>6918</v>
      </c>
      <c r="F4027" s="5" t="str">
        <f t="shared" si="62"/>
        <v>spelklubben.se</v>
      </c>
      <c r="G4027" s="5" t="s">
        <v>4</v>
      </c>
      <c r="H4027" s="5" t="s">
        <v>5</v>
      </c>
      <c r="I4027" s="6">
        <v>45903</v>
      </c>
    </row>
    <row r="4028" spans="1:9" ht="13.5">
      <c r="A4028" s="2" t="s">
        <v>3761</v>
      </c>
      <c r="B4028" s="3"/>
      <c r="C4028" s="4" t="s">
        <v>6919</v>
      </c>
      <c r="D4028" s="4" t="s">
        <v>6920</v>
      </c>
      <c r="E4028" s="22" t="s">
        <v>6116</v>
      </c>
      <c r="F4028" s="5" t="str">
        <f t="shared" si="62"/>
        <v>hajper.com</v>
      </c>
      <c r="G4028" s="5" t="s">
        <v>4</v>
      </c>
      <c r="H4028" s="5" t="s">
        <v>5</v>
      </c>
      <c r="I4028" s="6">
        <v>45903</v>
      </c>
    </row>
    <row r="4029" spans="1:9" ht="13.5">
      <c r="A4029" s="2" t="s">
        <v>6025</v>
      </c>
      <c r="B4029" s="3"/>
      <c r="C4029" s="4" t="s">
        <v>6921</v>
      </c>
      <c r="D4029" s="4" t="s">
        <v>6467</v>
      </c>
      <c r="E4029" s="5" t="s">
        <v>6922</v>
      </c>
      <c r="F4029" s="5" t="str">
        <f t="shared" si="62"/>
        <v>megariches.com</v>
      </c>
      <c r="G4029" s="5" t="s">
        <v>4</v>
      </c>
      <c r="H4029" s="5" t="s">
        <v>5</v>
      </c>
      <c r="I4029" s="6">
        <v>45903</v>
      </c>
    </row>
    <row r="4030" spans="1:9" ht="13.5">
      <c r="A4030" s="2" t="s">
        <v>3090</v>
      </c>
      <c r="B4030" s="3"/>
      <c r="C4030" s="4" t="s">
        <v>6923</v>
      </c>
      <c r="D4030" s="4" t="s">
        <v>3095</v>
      </c>
      <c r="E4030" s="5" t="s">
        <v>1943</v>
      </c>
      <c r="F4030" s="5" t="str">
        <f t="shared" si="62"/>
        <v>videoslots.com</v>
      </c>
      <c r="G4030" s="5" t="s">
        <v>4</v>
      </c>
      <c r="H4030" s="5" t="s">
        <v>3496</v>
      </c>
      <c r="I4030" s="6">
        <v>45903</v>
      </c>
    </row>
    <row r="4031" spans="1:9" ht="13.5">
      <c r="A4031" s="2" t="s">
        <v>6025</v>
      </c>
      <c r="B4031" s="3"/>
      <c r="C4031" s="4" t="s">
        <v>6924</v>
      </c>
      <c r="D4031" s="4" t="s">
        <v>6405</v>
      </c>
      <c r="E4031" s="5" t="s">
        <v>6925</v>
      </c>
      <c r="F4031" s="5" t="str">
        <f t="shared" si="62"/>
        <v>megariches.com</v>
      </c>
      <c r="G4031" s="5" t="s">
        <v>4</v>
      </c>
      <c r="H4031" s="5" t="s">
        <v>3496</v>
      </c>
      <c r="I4031" s="6">
        <v>45903</v>
      </c>
    </row>
    <row r="4032" spans="1:9" ht="13.5">
      <c r="A4032" s="2" t="s">
        <v>6021</v>
      </c>
      <c r="B4032" s="3"/>
      <c r="C4032" s="4" t="s">
        <v>6926</v>
      </c>
      <c r="D4032" s="4" t="s">
        <v>6349</v>
      </c>
      <c r="E4032" s="5" t="s">
        <v>6927</v>
      </c>
      <c r="F4032" s="5" t="str">
        <f t="shared" si="62"/>
        <v>mrvegas.com</v>
      </c>
      <c r="G4032" s="5" t="s">
        <v>4</v>
      </c>
      <c r="H4032" s="5" t="s">
        <v>3496</v>
      </c>
      <c r="I4032" s="6">
        <v>45903</v>
      </c>
    </row>
    <row r="4033" spans="1:9" ht="13.5">
      <c r="A4033" s="2" t="s">
        <v>1318</v>
      </c>
      <c r="B4033" s="3"/>
      <c r="C4033" s="4" t="s">
        <v>6928</v>
      </c>
      <c r="D4033" s="4" t="s">
        <v>1870</v>
      </c>
      <c r="E4033" s="5" t="s">
        <v>6929</v>
      </c>
      <c r="F4033" s="5" t="str">
        <f t="shared" si="62"/>
        <v>spelklubben.se</v>
      </c>
      <c r="G4033" s="5" t="s">
        <v>4</v>
      </c>
      <c r="H4033" s="5" t="s">
        <v>5</v>
      </c>
      <c r="I4033" s="6">
        <v>45903</v>
      </c>
    </row>
    <row r="4034" spans="1:9" ht="13.5">
      <c r="A4034" s="2" t="s">
        <v>2357</v>
      </c>
      <c r="B4034" s="3"/>
      <c r="C4034" s="4" t="s">
        <v>6930</v>
      </c>
      <c r="D4034" s="4" t="s">
        <v>5978</v>
      </c>
      <c r="E4034" s="5" t="s">
        <v>6931</v>
      </c>
      <c r="F4034" s="5" t="str">
        <f t="shared" si="62"/>
        <v>lsb.se</v>
      </c>
      <c r="G4034" s="5" t="s">
        <v>4</v>
      </c>
      <c r="H4034" s="5" t="s">
        <v>5</v>
      </c>
      <c r="I4034" s="6">
        <v>45903</v>
      </c>
    </row>
    <row r="4035" spans="1:9" ht="13.5">
      <c r="A4035" s="2" t="s">
        <v>6014</v>
      </c>
      <c r="B4035" s="3"/>
      <c r="C4035" s="4" t="s">
        <v>6932</v>
      </c>
      <c r="D4035" s="4" t="s">
        <v>6019</v>
      </c>
      <c r="E4035" s="5" t="s">
        <v>6446</v>
      </c>
      <c r="F4035" s="5" t="str">
        <f t="shared" ref="F4035:F4098" si="63">A4035</f>
        <v>kungaslottet.se</v>
      </c>
      <c r="G4035" s="5" t="s">
        <v>4</v>
      </c>
      <c r="H4035" s="5" t="s">
        <v>5</v>
      </c>
      <c r="I4035" s="6">
        <v>45903</v>
      </c>
    </row>
    <row r="4036" spans="1:9" ht="13.5">
      <c r="A4036" s="2" t="s">
        <v>3090</v>
      </c>
      <c r="B4036" s="3"/>
      <c r="C4036" s="4" t="s">
        <v>6933</v>
      </c>
      <c r="D4036" s="4" t="s">
        <v>6795</v>
      </c>
      <c r="E4036" s="5" t="s">
        <v>6934</v>
      </c>
      <c r="F4036" s="5" t="str">
        <f t="shared" si="63"/>
        <v>videoslots.com</v>
      </c>
      <c r="G4036" s="5" t="s">
        <v>4</v>
      </c>
      <c r="H4036" s="5" t="s">
        <v>5</v>
      </c>
      <c r="I4036" s="6">
        <v>45903</v>
      </c>
    </row>
    <row r="4037" spans="1:9" ht="13.5">
      <c r="A4037" s="2" t="s">
        <v>6025</v>
      </c>
      <c r="B4037" s="3"/>
      <c r="C4037" s="4" t="s">
        <v>6935</v>
      </c>
      <c r="D4037" s="4" t="s">
        <v>6936</v>
      </c>
      <c r="E4037" s="5" t="s">
        <v>3228</v>
      </c>
      <c r="F4037" s="5" t="str">
        <f t="shared" si="63"/>
        <v>megariches.com</v>
      </c>
      <c r="G4037" s="5" t="s">
        <v>4</v>
      </c>
      <c r="H4037" s="5" t="s">
        <v>5</v>
      </c>
      <c r="I4037" s="6">
        <v>45903</v>
      </c>
    </row>
    <row r="4038" spans="1:9" ht="13.5">
      <c r="A4038" s="2" t="s">
        <v>6021</v>
      </c>
      <c r="B4038" s="3"/>
      <c r="C4038" s="4" t="s">
        <v>6937</v>
      </c>
      <c r="D4038" s="4" t="s">
        <v>6066</v>
      </c>
      <c r="E4038" s="5" t="s">
        <v>6057</v>
      </c>
      <c r="F4038" s="5" t="str">
        <f t="shared" si="63"/>
        <v>mrvegas.com</v>
      </c>
      <c r="G4038" s="5" t="s">
        <v>4</v>
      </c>
      <c r="H4038" s="5" t="s">
        <v>5</v>
      </c>
      <c r="I4038" s="6">
        <v>45903</v>
      </c>
    </row>
    <row r="4039" spans="1:9" ht="13.5">
      <c r="A4039" s="2" t="s">
        <v>2127</v>
      </c>
      <c r="B4039" s="3"/>
      <c r="C4039" s="4" t="s">
        <v>6938</v>
      </c>
      <c r="D4039" s="4" t="s">
        <v>6195</v>
      </c>
      <c r="E4039" s="5" t="s">
        <v>4997</v>
      </c>
      <c r="F4039" s="5" t="str">
        <f t="shared" si="63"/>
        <v>startmotor.se</v>
      </c>
      <c r="G4039" s="5" t="s">
        <v>4</v>
      </c>
      <c r="H4039" s="5" t="s">
        <v>5</v>
      </c>
      <c r="I4039" s="6">
        <v>45904</v>
      </c>
    </row>
    <row r="4040" spans="1:9" ht="13.5">
      <c r="A4040" s="2" t="s">
        <v>5191</v>
      </c>
      <c r="B4040" s="3"/>
      <c r="C4040" s="4" t="s">
        <v>6939</v>
      </c>
      <c r="D4040" s="4" t="s">
        <v>5456</v>
      </c>
      <c r="E4040" s="5" t="s">
        <v>6940</v>
      </c>
      <c r="F4040" s="5" t="str">
        <f t="shared" si="63"/>
        <v>bergetsro.se</v>
      </c>
      <c r="G4040" s="5" t="s">
        <v>4</v>
      </c>
      <c r="H4040" s="5" t="s">
        <v>5</v>
      </c>
      <c r="I4040" s="6">
        <v>45904</v>
      </c>
    </row>
    <row r="4041" spans="1:9" ht="13.5">
      <c r="A4041" s="7" t="s">
        <v>224</v>
      </c>
      <c r="B4041" s="3"/>
      <c r="C4041" s="4" t="s">
        <v>6941</v>
      </c>
      <c r="D4041" s="4" t="s">
        <v>226</v>
      </c>
      <c r="E4041" s="5" t="s">
        <v>368</v>
      </c>
      <c r="F4041" s="5" t="str">
        <f t="shared" si="63"/>
        <v>swedoffice</v>
      </c>
      <c r="G4041" s="5" t="s">
        <v>4</v>
      </c>
      <c r="H4041" s="5" t="s">
        <v>5</v>
      </c>
      <c r="I4041" s="6">
        <v>45905</v>
      </c>
    </row>
    <row r="4042" spans="1:9" ht="13.5">
      <c r="A4042" s="2" t="s">
        <v>5350</v>
      </c>
      <c r="B4042" s="3"/>
      <c r="C4042" s="4" t="s">
        <v>6942</v>
      </c>
      <c r="D4042" s="4" t="s">
        <v>6943</v>
      </c>
      <c r="E4042" s="5" t="s">
        <v>6944</v>
      </c>
      <c r="F4042" s="5" t="str">
        <f t="shared" si="63"/>
        <v>lilla-varlden.se</v>
      </c>
      <c r="G4042" s="5" t="s">
        <v>4</v>
      </c>
      <c r="H4042" s="5" t="s">
        <v>5</v>
      </c>
      <c r="I4042" s="6">
        <v>45905</v>
      </c>
    </row>
    <row r="4043" spans="1:9" ht="13.5">
      <c r="A4043" s="2" t="s">
        <v>5020</v>
      </c>
      <c r="B4043" s="3"/>
      <c r="C4043" s="4" t="s">
        <v>6945</v>
      </c>
      <c r="D4043" s="4" t="s">
        <v>6474</v>
      </c>
      <c r="E4043" s="5" t="s">
        <v>5022</v>
      </c>
      <c r="F4043" s="5" t="str">
        <f t="shared" si="63"/>
        <v>sesec.se</v>
      </c>
      <c r="G4043" s="5" t="s">
        <v>4</v>
      </c>
      <c r="H4043" s="5" t="s">
        <v>5</v>
      </c>
      <c r="I4043" s="6">
        <v>45906</v>
      </c>
    </row>
    <row r="4044" spans="1:9" ht="13.5">
      <c r="A4044" s="2" t="s">
        <v>6127</v>
      </c>
      <c r="B4044" s="3"/>
      <c r="C4044" s="4" t="s">
        <v>6946</v>
      </c>
      <c r="D4044" s="4" t="s">
        <v>6129</v>
      </c>
      <c r="E4044" s="5" t="s">
        <v>6947</v>
      </c>
      <c r="F4044" s="5" t="str">
        <f t="shared" si="63"/>
        <v>indoorprofessional.se</v>
      </c>
      <c r="G4044" s="5" t="s">
        <v>4</v>
      </c>
      <c r="H4044" s="5" t="s">
        <v>5</v>
      </c>
      <c r="I4044" s="6">
        <v>45906</v>
      </c>
    </row>
    <row r="4045" spans="1:9" ht="13.5">
      <c r="A4045" s="82" t="s">
        <v>1342</v>
      </c>
      <c r="B4045" s="3"/>
      <c r="C4045" s="91" t="s">
        <v>1576</v>
      </c>
      <c r="D4045" s="91" t="s">
        <v>1143</v>
      </c>
      <c r="E4045" s="79" t="s">
        <v>879</v>
      </c>
      <c r="F4045" s="5" t="str">
        <f t="shared" si="63"/>
        <v>pontonhamnar.se</v>
      </c>
      <c r="G4045" s="5" t="s">
        <v>4</v>
      </c>
      <c r="H4045" s="5" t="s">
        <v>5</v>
      </c>
      <c r="I4045" s="342" t="s">
        <v>6948</v>
      </c>
    </row>
    <row r="4046" spans="1:9" ht="13.5">
      <c r="A4046" s="82" t="s">
        <v>703</v>
      </c>
      <c r="B4046" s="3"/>
      <c r="C4046" s="91" t="s">
        <v>1588</v>
      </c>
      <c r="D4046" s="91" t="s">
        <v>1335</v>
      </c>
      <c r="E4046" s="79" t="s">
        <v>1336</v>
      </c>
      <c r="F4046" s="5" t="str">
        <f t="shared" si="63"/>
        <v>distansinstitutet.se</v>
      </c>
      <c r="G4046" s="5" t="s">
        <v>4</v>
      </c>
      <c r="H4046" s="5" t="s">
        <v>5</v>
      </c>
      <c r="I4046" s="343" t="s">
        <v>6948</v>
      </c>
    </row>
    <row r="4047" spans="1:9" ht="13.5">
      <c r="A4047" s="82" t="s">
        <v>1</v>
      </c>
      <c r="B4047" s="3"/>
      <c r="C4047" s="91" t="s">
        <v>1518</v>
      </c>
      <c r="D4047" s="91" t="s">
        <v>1226</v>
      </c>
      <c r="E4047" s="79" t="s">
        <v>1227</v>
      </c>
      <c r="F4047" s="5" t="str">
        <f t="shared" si="63"/>
        <v>haxan.se</v>
      </c>
      <c r="G4047" s="5" t="s">
        <v>4</v>
      </c>
      <c r="H4047" s="5" t="s">
        <v>5</v>
      </c>
      <c r="I4047" s="343" t="s">
        <v>6948</v>
      </c>
    </row>
    <row r="4048" spans="1:9" ht="13.5">
      <c r="A4048" s="7" t="s">
        <v>224</v>
      </c>
      <c r="B4048" s="3"/>
      <c r="C4048" s="91" t="s">
        <v>1464</v>
      </c>
      <c r="D4048" s="91" t="s">
        <v>1341</v>
      </c>
      <c r="E4048" s="79" t="s">
        <v>640</v>
      </c>
      <c r="F4048" s="5" t="str">
        <f t="shared" si="63"/>
        <v>swedoffice</v>
      </c>
      <c r="G4048" s="5" t="s">
        <v>4</v>
      </c>
      <c r="H4048" s="5" t="s">
        <v>5</v>
      </c>
      <c r="I4048" s="343" t="s">
        <v>6948</v>
      </c>
    </row>
    <row r="4049" spans="1:9" ht="13.5">
      <c r="A4049" s="82" t="s">
        <v>1284</v>
      </c>
      <c r="B4049" s="3"/>
      <c r="C4049" s="97" t="s">
        <v>1523</v>
      </c>
      <c r="D4049" s="91" t="s">
        <v>1286</v>
      </c>
      <c r="E4049" s="87" t="s">
        <v>1286</v>
      </c>
      <c r="F4049" s="5" t="str">
        <f t="shared" si="63"/>
        <v>norteam.se</v>
      </c>
      <c r="G4049" s="5" t="s">
        <v>4</v>
      </c>
      <c r="H4049" s="5" t="s">
        <v>5</v>
      </c>
      <c r="I4049" s="343" t="s">
        <v>6948</v>
      </c>
    </row>
    <row r="4050" spans="1:9" ht="13.5">
      <c r="A4050" s="82" t="s">
        <v>325</v>
      </c>
      <c r="B4050" s="3"/>
      <c r="C4050" s="91" t="s">
        <v>6949</v>
      </c>
      <c r="D4050" s="91" t="s">
        <v>1244</v>
      </c>
      <c r="E4050" s="79" t="s">
        <v>463</v>
      </c>
      <c r="F4050" s="5" t="str">
        <f t="shared" si="63"/>
        <v>tiotak.se</v>
      </c>
      <c r="G4050" s="5" t="s">
        <v>4</v>
      </c>
      <c r="H4050" s="5" t="s">
        <v>5</v>
      </c>
      <c r="I4050" s="343" t="s">
        <v>6948</v>
      </c>
    </row>
    <row r="4051" spans="1:9" ht="13.5">
      <c r="A4051" s="82" t="s">
        <v>272</v>
      </c>
      <c r="B4051" s="3"/>
      <c r="C4051" s="91" t="s">
        <v>1577</v>
      </c>
      <c r="D4051" s="91" t="s">
        <v>274</v>
      </c>
      <c r="E4051" s="79" t="s">
        <v>637</v>
      </c>
      <c r="F4051" s="5" t="str">
        <f t="shared" si="63"/>
        <v>schjodt.com</v>
      </c>
      <c r="G4051" s="5" t="s">
        <v>4</v>
      </c>
      <c r="H4051" s="5" t="s">
        <v>5</v>
      </c>
      <c r="I4051" s="343" t="s">
        <v>6948</v>
      </c>
    </row>
    <row r="4052" spans="1:9" ht="13.5">
      <c r="A4052" s="82" t="s">
        <v>435</v>
      </c>
      <c r="B4052" s="3"/>
      <c r="C4052" s="91" t="s">
        <v>1434</v>
      </c>
      <c r="D4052" s="91" t="s">
        <v>1435</v>
      </c>
      <c r="E4052" s="79" t="s">
        <v>438</v>
      </c>
      <c r="F4052" s="5" t="str">
        <f t="shared" si="63"/>
        <v>fairinvestments.se</v>
      </c>
      <c r="G4052" s="5" t="s">
        <v>4</v>
      </c>
      <c r="H4052" s="5" t="s">
        <v>5</v>
      </c>
      <c r="I4052" s="343" t="s">
        <v>6948</v>
      </c>
    </row>
    <row r="4053" spans="1:9" ht="13.5">
      <c r="A4053" s="82" t="s">
        <v>100</v>
      </c>
      <c r="B4053" s="3"/>
      <c r="C4053" s="91" t="s">
        <v>1372</v>
      </c>
      <c r="D4053" s="91" t="s">
        <v>1252</v>
      </c>
      <c r="E4053" s="79" t="s">
        <v>2039</v>
      </c>
      <c r="F4053" s="5" t="str">
        <f t="shared" si="63"/>
        <v>bigbenstandup.com</v>
      </c>
      <c r="G4053" s="5" t="s">
        <v>4</v>
      </c>
      <c r="H4053" s="5" t="s">
        <v>5</v>
      </c>
      <c r="I4053" s="343" t="s">
        <v>6948</v>
      </c>
    </row>
    <row r="4054" spans="1:9" ht="13.5">
      <c r="A4054" s="82" t="s">
        <v>1263</v>
      </c>
      <c r="B4054" s="3"/>
      <c r="C4054" s="91" t="s">
        <v>1574</v>
      </c>
      <c r="D4054" s="91" t="s">
        <v>1265</v>
      </c>
      <c r="E4054" s="79" t="s">
        <v>1268</v>
      </c>
      <c r="F4054" s="5" t="str">
        <f t="shared" si="63"/>
        <v>notyfile.se/sv</v>
      </c>
      <c r="G4054" s="5" t="s">
        <v>4</v>
      </c>
      <c r="H4054" s="5" t="s">
        <v>5</v>
      </c>
      <c r="I4054" s="343" t="s">
        <v>6948</v>
      </c>
    </row>
    <row r="4055" spans="1:9" ht="13.5">
      <c r="A4055" s="82" t="s">
        <v>689</v>
      </c>
      <c r="B4055" s="3"/>
      <c r="C4055" s="91" t="s">
        <v>1390</v>
      </c>
      <c r="D4055" s="91" t="s">
        <v>691</v>
      </c>
      <c r="E4055" s="79" t="s">
        <v>825</v>
      </c>
      <c r="F4055" s="5" t="str">
        <f t="shared" si="63"/>
        <v>conclean.se</v>
      </c>
      <c r="G4055" s="5" t="s">
        <v>4</v>
      </c>
      <c r="H4055" s="5" t="s">
        <v>5</v>
      </c>
      <c r="I4055" s="343" t="s">
        <v>6948</v>
      </c>
    </row>
    <row r="4056" spans="1:9" ht="13.5">
      <c r="A4056" s="82" t="s">
        <v>171</v>
      </c>
      <c r="B4056" s="3"/>
      <c r="C4056" s="91" t="s">
        <v>1504</v>
      </c>
      <c r="D4056" s="91" t="s">
        <v>261</v>
      </c>
      <c r="E4056" s="87" t="s">
        <v>1505</v>
      </c>
      <c r="F4056" s="5" t="str">
        <f t="shared" si="63"/>
        <v>arctic.se</v>
      </c>
      <c r="G4056" s="5" t="s">
        <v>4</v>
      </c>
      <c r="H4056" s="5" t="s">
        <v>262</v>
      </c>
      <c r="I4056" s="343" t="s">
        <v>6948</v>
      </c>
    </row>
    <row r="4057" spans="1:9" ht="13.5">
      <c r="A4057" s="82" t="s">
        <v>992</v>
      </c>
      <c r="B4057" s="3"/>
      <c r="C4057" s="91" t="s">
        <v>1391</v>
      </c>
      <c r="D4057" s="91" t="s">
        <v>1392</v>
      </c>
      <c r="E4057" s="203" t="s">
        <v>6950</v>
      </c>
      <c r="F4057" s="5" t="str">
        <f t="shared" si="63"/>
        <v>ledkungen.se</v>
      </c>
      <c r="G4057" s="5" t="s">
        <v>4</v>
      </c>
      <c r="H4057" s="5" t="s">
        <v>5</v>
      </c>
      <c r="I4057" s="343" t="s">
        <v>6948</v>
      </c>
    </row>
    <row r="4058" spans="1:9" ht="13.5">
      <c r="A4058" s="82" t="s">
        <v>1271</v>
      </c>
      <c r="B4058" s="3"/>
      <c r="C4058" s="91" t="s">
        <v>1419</v>
      </c>
      <c r="D4058" s="91" t="s">
        <v>1420</v>
      </c>
      <c r="E4058" s="79" t="s">
        <v>6951</v>
      </c>
      <c r="F4058" s="5" t="str">
        <f t="shared" si="63"/>
        <v>alexbyggkonsult.se</v>
      </c>
      <c r="G4058" s="5" t="s">
        <v>4</v>
      </c>
      <c r="H4058" s="5" t="s">
        <v>5</v>
      </c>
      <c r="I4058" s="343" t="s">
        <v>6948</v>
      </c>
    </row>
    <row r="4059" spans="1:9" ht="13.5">
      <c r="A4059" s="82" t="s">
        <v>308</v>
      </c>
      <c r="B4059" s="3"/>
      <c r="C4059" s="91" t="s">
        <v>1513</v>
      </c>
      <c r="D4059" s="91" t="s">
        <v>1309</v>
      </c>
      <c r="E4059" s="79" t="s">
        <v>1456</v>
      </c>
      <c r="F4059" s="5" t="str">
        <f t="shared" si="63"/>
        <v>lansfast.se</v>
      </c>
      <c r="G4059" s="5" t="s">
        <v>4</v>
      </c>
      <c r="H4059" s="5" t="s">
        <v>5</v>
      </c>
      <c r="I4059" s="344" t="s">
        <v>6948</v>
      </c>
    </row>
    <row r="4060" spans="1:9" ht="13.5">
      <c r="A4060" s="82" t="s">
        <v>857</v>
      </c>
      <c r="B4060" s="3"/>
      <c r="C4060" s="91" t="s">
        <v>1490</v>
      </c>
      <c r="D4060" s="91" t="s">
        <v>859</v>
      </c>
      <c r="E4060" s="79" t="s">
        <v>2273</v>
      </c>
      <c r="F4060" s="5" t="str">
        <f t="shared" si="63"/>
        <v>veterinarklinikenbirsta.se</v>
      </c>
      <c r="G4060" s="5" t="s">
        <v>4</v>
      </c>
      <c r="H4060" s="5" t="s">
        <v>5</v>
      </c>
      <c r="I4060" s="344" t="s">
        <v>6948</v>
      </c>
    </row>
    <row r="4061" spans="1:9" ht="13.5">
      <c r="A4061" s="345" t="s">
        <v>6952</v>
      </c>
      <c r="B4061" s="3" t="str">
        <f ca="1">IFERROR(__xludf.DUMMYFUNCTION("REGEXEXTRACT(C4061, ""https?:\/\/(?:.*\.)*(.+\..+?)\/"")"),"xn--malmcloud-37a.se")</f>
        <v>xn--malmcloud-37a.se</v>
      </c>
      <c r="C4061" s="346" t="s">
        <v>6953</v>
      </c>
      <c r="D4061" s="346" t="s">
        <v>396</v>
      </c>
      <c r="E4061" s="346" t="s">
        <v>6954</v>
      </c>
      <c r="F4061" s="5" t="str">
        <f t="shared" si="63"/>
        <v>adligo.io</v>
      </c>
      <c r="G4061" s="346" t="s">
        <v>4</v>
      </c>
      <c r="H4061" s="346" t="s">
        <v>5</v>
      </c>
      <c r="I4061" s="6"/>
    </row>
    <row r="4062" spans="1:9" ht="13.5">
      <c r="A4062" s="2" t="s">
        <v>171</v>
      </c>
      <c r="B4062" s="3" t="str">
        <f ca="1">IFERROR(__xludf.DUMMYFUNCTION("REGEXEXTRACT(C4062, ""https?:\/\/(?:.*\.)*(.+\..+?)\/"")"),"boerse-express.com")</f>
        <v>boerse-express.com</v>
      </c>
      <c r="C4062" s="4" t="s">
        <v>6955</v>
      </c>
      <c r="D4062" s="13" t="s">
        <v>261</v>
      </c>
      <c r="E4062" s="347" t="s">
        <v>6956</v>
      </c>
      <c r="F4062" s="5" t="str">
        <f t="shared" si="63"/>
        <v>arctic.se</v>
      </c>
      <c r="G4062" s="5" t="s">
        <v>4</v>
      </c>
      <c r="H4062" s="5" t="s">
        <v>262</v>
      </c>
      <c r="I4062" s="6"/>
    </row>
    <row r="4063" spans="1:9" ht="13.5">
      <c r="A4063" s="2" t="s">
        <v>171</v>
      </c>
      <c r="B4063" s="3" t="str">
        <f ca="1">IFERROR(__xludf.DUMMYFUNCTION("REGEXEXTRACT(C4063, ""https?:\/\/(?:.*\.)*(.+\..+?)\/"")"),"el-news.de")</f>
        <v>el-news.de</v>
      </c>
      <c r="C4063" s="4" t="s">
        <v>6957</v>
      </c>
      <c r="D4063" s="4" t="s">
        <v>486</v>
      </c>
      <c r="E4063" s="5" t="s">
        <v>553</v>
      </c>
      <c r="F4063" s="5" t="str">
        <f t="shared" si="63"/>
        <v>arctic.se</v>
      </c>
      <c r="G4063" s="5" t="s">
        <v>4</v>
      </c>
      <c r="H4063" s="5" t="s">
        <v>262</v>
      </c>
      <c r="I4063" s="6"/>
    </row>
    <row r="4064" spans="1:9" ht="13.5">
      <c r="A4064" s="2" t="s">
        <v>171</v>
      </c>
      <c r="B4064" s="3"/>
      <c r="C4064" s="4" t="s">
        <v>6958</v>
      </c>
      <c r="D4064" s="5"/>
      <c r="E4064" s="5"/>
      <c r="F4064" s="5" t="str">
        <f t="shared" si="63"/>
        <v>arctic.se</v>
      </c>
      <c r="G4064" s="5"/>
      <c r="H4064" s="5"/>
      <c r="I4064" s="6"/>
    </row>
    <row r="4065" spans="1:9" ht="13.5">
      <c r="A4065" s="2" t="s">
        <v>20</v>
      </c>
      <c r="B4065" s="3" t="str">
        <f ca="1">IFERROR(__xludf.DUMMYFUNCTION("REGEXEXTRACT(C4065, ""https?:\/\/(?:.*\.)*(.+\..+?)\/"")"),"innerbeautychallenge.com")</f>
        <v>innerbeautychallenge.com</v>
      </c>
      <c r="C4065" s="4" t="s">
        <v>6959</v>
      </c>
      <c r="D4065" s="8" t="s">
        <v>29</v>
      </c>
      <c r="E4065" s="5" t="s">
        <v>6960</v>
      </c>
      <c r="F4065" s="5" t="str">
        <f t="shared" si="63"/>
        <v>blugiallo.com</v>
      </c>
      <c r="G4065" s="5" t="s">
        <v>4</v>
      </c>
      <c r="H4065" s="5" t="s">
        <v>23</v>
      </c>
      <c r="I4065" s="6"/>
    </row>
    <row r="4066" spans="1:9" ht="13.5">
      <c r="A4066" s="2" t="s">
        <v>20</v>
      </c>
      <c r="B4066" s="3" t="str">
        <f ca="1">IFERROR(__xludf.DUMMYFUNCTION("REGEXEXTRACT(C4066, ""https?:\/\/(?:.*\.)*(.+\..+?)\/"")"),"masstamilans.com")</f>
        <v>masstamilans.com</v>
      </c>
      <c r="C4066" s="4" t="s">
        <v>6961</v>
      </c>
      <c r="D4066" s="4" t="s">
        <v>22</v>
      </c>
      <c r="E4066" s="5" t="s">
        <v>6962</v>
      </c>
      <c r="F4066" s="5" t="str">
        <f t="shared" si="63"/>
        <v>blugiallo.com</v>
      </c>
      <c r="G4066" s="5" t="s">
        <v>4</v>
      </c>
      <c r="H4066" s="5" t="s">
        <v>23</v>
      </c>
      <c r="I4066" s="6"/>
    </row>
    <row r="4067" spans="1:9" ht="13.5">
      <c r="A4067" s="2" t="s">
        <v>20</v>
      </c>
      <c r="B4067" s="3" t="str">
        <f ca="1">IFERROR(__xludf.DUMMYFUNCTION("REGEXEXTRACT(C4067, ""https?:\/\/(?:.*\.)*(.+\..+?)\/"")"),"voguefreaks.com")</f>
        <v>voguefreaks.com</v>
      </c>
      <c r="C4067" s="4" t="s">
        <v>6963</v>
      </c>
      <c r="D4067" s="4" t="s">
        <v>22</v>
      </c>
      <c r="E4067" s="5" t="s">
        <v>6964</v>
      </c>
      <c r="F4067" s="5" t="str">
        <f t="shared" si="63"/>
        <v>blugiallo.com</v>
      </c>
      <c r="G4067" s="5" t="s">
        <v>4</v>
      </c>
      <c r="H4067" s="5" t="s">
        <v>23</v>
      </c>
      <c r="I4067" s="6"/>
    </row>
    <row r="4068" spans="1:9" ht="13.5">
      <c r="A4068" s="2" t="s">
        <v>20</v>
      </c>
      <c r="B4068" s="3" t="str">
        <f ca="1">IFERROR(__xludf.DUMMYFUNCTION("REGEXEXTRACT(C4068, ""https?:\/\/(?:.*\.)*(.+\..+?)\/"")"),"fashionterest.com")</f>
        <v>fashionterest.com</v>
      </c>
      <c r="C4068" s="4" t="s">
        <v>6965</v>
      </c>
      <c r="D4068" s="4" t="s">
        <v>29</v>
      </c>
      <c r="E4068" s="5" t="s">
        <v>6966</v>
      </c>
      <c r="F4068" s="5" t="str">
        <f t="shared" si="63"/>
        <v>blugiallo.com</v>
      </c>
      <c r="G4068" s="5" t="s">
        <v>4</v>
      </c>
      <c r="H4068" s="5" t="s">
        <v>23</v>
      </c>
      <c r="I4068" s="6"/>
    </row>
    <row r="4069" spans="1:9" ht="13.5">
      <c r="A4069" s="2" t="s">
        <v>20</v>
      </c>
      <c r="B4069" s="3" t="str">
        <f ca="1">IFERROR(__xludf.DUMMYFUNCTION("REGEXEXTRACT(C4069, ""https?:\/\/(?:.*\.)*(.+\..+?)\/"")"),"fashionsizzle.com")</f>
        <v>fashionsizzle.com</v>
      </c>
      <c r="C4069" s="4" t="s">
        <v>6967</v>
      </c>
      <c r="D4069" s="4" t="s">
        <v>57</v>
      </c>
      <c r="E4069" s="9" t="s">
        <v>57</v>
      </c>
      <c r="F4069" s="5" t="str">
        <f t="shared" si="63"/>
        <v>blugiallo.com</v>
      </c>
      <c r="G4069" s="5" t="s">
        <v>4</v>
      </c>
      <c r="H4069" s="5" t="s">
        <v>23</v>
      </c>
      <c r="I4069" s="6"/>
    </row>
    <row r="4070" spans="1:9" ht="13.5">
      <c r="A4070" s="2" t="s">
        <v>20</v>
      </c>
      <c r="B4070" s="3" t="str">
        <f ca="1">IFERROR(__xludf.DUMMYFUNCTION("REGEXEXTRACT(C4070, ""https?:\/\/(?:.*\.)*(.+\..+?)\/"")"),"blufashion.com")</f>
        <v>blufashion.com</v>
      </c>
      <c r="C4070" s="4" t="s">
        <v>6968</v>
      </c>
      <c r="D4070" s="4" t="s">
        <v>29</v>
      </c>
      <c r="E4070" s="5" t="s">
        <v>6969</v>
      </c>
      <c r="F4070" s="5" t="str">
        <f t="shared" si="63"/>
        <v>blugiallo.com</v>
      </c>
      <c r="G4070" s="5" t="s">
        <v>4</v>
      </c>
      <c r="H4070" s="5" t="s">
        <v>23</v>
      </c>
      <c r="I4070" s="6"/>
    </row>
    <row r="4071" spans="1:9" ht="13.5">
      <c r="A4071" s="2" t="s">
        <v>20</v>
      </c>
      <c r="B4071" s="3" t="str">
        <f ca="1">IFERROR(__xludf.DUMMYFUNCTION("REGEXEXTRACT(C4071, ""https?:\/\/(?:.*\.)*(.+\..+?)\/"")"),"gentlemannaguiden.com")</f>
        <v>gentlemannaguiden.com</v>
      </c>
      <c r="C4071" s="4" t="s">
        <v>6970</v>
      </c>
      <c r="D4071" s="4" t="s">
        <v>526</v>
      </c>
      <c r="E4071" s="5" t="s">
        <v>6971</v>
      </c>
      <c r="F4071" s="5" t="str">
        <f t="shared" si="63"/>
        <v>blugiallo.com</v>
      </c>
      <c r="G4071" s="5" t="s">
        <v>4</v>
      </c>
      <c r="H4071" s="5" t="s">
        <v>5</v>
      </c>
      <c r="I4071" s="6"/>
    </row>
    <row r="4072" spans="1:9" ht="13.5">
      <c r="A4072" s="7" t="s">
        <v>31</v>
      </c>
      <c r="B4072" s="3" t="str">
        <f ca="1">IFERROR(__xludf.DUMMYFUNCTION("REGEXEXTRACT(C4072, ""https?:\/\/(?:.*\.)*(.+\..+?)\/"")"),"ekonomiskbalans.se")</f>
        <v>ekonomiskbalans.se</v>
      </c>
      <c r="C4072" s="4" t="s">
        <v>6972</v>
      </c>
      <c r="D4072" s="4" t="s">
        <v>33</v>
      </c>
      <c r="E4072" s="5" t="s">
        <v>6973</v>
      </c>
      <c r="F4072" s="5" t="str">
        <f t="shared" si="63"/>
        <v>bästförsäkringar.se</v>
      </c>
      <c r="G4072" s="5" t="s">
        <v>4</v>
      </c>
      <c r="H4072" s="5" t="s">
        <v>5</v>
      </c>
      <c r="I4072" s="6"/>
    </row>
    <row r="4073" spans="1:9" ht="13.5">
      <c r="A4073" s="2" t="s">
        <v>16</v>
      </c>
      <c r="B4073" s="3" t="str">
        <f ca="1">IFERROR(__xludf.DUMMYFUNCTION("REGEXEXTRACT(C4073, ""https?:\/\/(?:.*\.)*(.+\..+?)\/"")"),"brafiler.se")</f>
        <v>brafiler.se</v>
      </c>
      <c r="C4073" s="5" t="s">
        <v>6974</v>
      </c>
      <c r="D4073" s="4" t="s">
        <v>6975</v>
      </c>
      <c r="E4073" s="5" t="s">
        <v>42</v>
      </c>
      <c r="F4073" s="5" t="str">
        <f t="shared" si="63"/>
        <v>chronos.se</v>
      </c>
      <c r="G4073" s="5" t="s">
        <v>4</v>
      </c>
      <c r="H4073" s="5" t="s">
        <v>5</v>
      </c>
      <c r="I4073" s="6"/>
    </row>
    <row r="4074" spans="1:9" ht="13.5">
      <c r="A4074" s="2" t="s">
        <v>16</v>
      </c>
      <c r="B4074" s="3" t="str">
        <f ca="1">IFERROR(__xludf.DUMMYFUNCTION("REGEXEXTRACT(C4074, ""https?:\/\/(?:.*\.)*(.+\..+?)\/"")"),"ledarsidorna.se")</f>
        <v>ledarsidorna.se</v>
      </c>
      <c r="C4074" s="4" t="s">
        <v>6976</v>
      </c>
      <c r="D4074" s="4" t="s">
        <v>18</v>
      </c>
      <c r="E4074" s="5" t="s">
        <v>6977</v>
      </c>
      <c r="F4074" s="5" t="str">
        <f t="shared" si="63"/>
        <v>chronos.se</v>
      </c>
      <c r="G4074" s="5" t="s">
        <v>4</v>
      </c>
      <c r="H4074" s="5" t="s">
        <v>5</v>
      </c>
      <c r="I4074" s="6"/>
    </row>
    <row r="4075" spans="1:9" ht="13.5">
      <c r="A4075" s="2" t="s">
        <v>16</v>
      </c>
      <c r="B4075" s="3" t="str">
        <f ca="1">IFERROR(__xludf.DUMMYFUNCTION("REGEXEXTRACT(C4075, ""https?:\/\/(?:.*\.)*(.+\..+?)\/"")"),"ngweb.se")</f>
        <v>ngweb.se</v>
      </c>
      <c r="C4075" s="4" t="s">
        <v>6978</v>
      </c>
      <c r="D4075" s="4" t="s">
        <v>18</v>
      </c>
      <c r="E4075" s="5" t="s">
        <v>6979</v>
      </c>
      <c r="F4075" s="5" t="str">
        <f t="shared" si="63"/>
        <v>chronos.se</v>
      </c>
      <c r="G4075" s="5" t="s">
        <v>4</v>
      </c>
      <c r="H4075" s="5" t="s">
        <v>5</v>
      </c>
      <c r="I4075" s="6"/>
    </row>
    <row r="4076" spans="1:9" ht="13.5">
      <c r="A4076" s="2" t="s">
        <v>16</v>
      </c>
      <c r="B4076" s="3" t="str">
        <f ca="1">IFERROR(__xludf.DUMMYFUNCTION("REGEXEXTRACT(C4076, ""https?:\/\/(?:.*\.)*(.+\..+?)\/"")"),"adamsteen.se")</f>
        <v>adamsteen.se</v>
      </c>
      <c r="C4076" s="4" t="s">
        <v>6980</v>
      </c>
      <c r="D4076" s="4" t="s">
        <v>18</v>
      </c>
      <c r="E4076" s="5" t="s">
        <v>6981</v>
      </c>
      <c r="F4076" s="5" t="str">
        <f t="shared" si="63"/>
        <v>chronos.se</v>
      </c>
      <c r="G4076" s="5" t="s">
        <v>4</v>
      </c>
      <c r="H4076" s="5" t="s">
        <v>5</v>
      </c>
      <c r="I4076" s="6"/>
    </row>
    <row r="4077" spans="1:9" ht="13.5">
      <c r="A4077" s="2" t="s">
        <v>16</v>
      </c>
      <c r="B4077" s="3" t="str">
        <f ca="1">IFERROR(__xludf.DUMMYFUNCTION("REGEXEXTRACT(C4077, ""https?:\/\/(?:.*\.)*(.+\..+?)\/"")"),"sahlstorm.se")</f>
        <v>sahlstorm.se</v>
      </c>
      <c r="C4077" s="4" t="s">
        <v>6982</v>
      </c>
      <c r="D4077" s="4" t="s">
        <v>6975</v>
      </c>
      <c r="E4077" s="5" t="s">
        <v>6983</v>
      </c>
      <c r="F4077" s="5" t="str">
        <f t="shared" si="63"/>
        <v>chronos.se</v>
      </c>
      <c r="G4077" s="5" t="s">
        <v>4</v>
      </c>
      <c r="H4077" s="5" t="s">
        <v>5</v>
      </c>
      <c r="I4077" s="6"/>
    </row>
    <row r="4078" spans="1:9" ht="13.5">
      <c r="A4078" s="2" t="s">
        <v>16</v>
      </c>
      <c r="B4078" s="3" t="str">
        <f ca="1">IFERROR(__xludf.DUMMYFUNCTION("REGEXEXTRACT(C4078, ""https?:\/\/(?:.*\.)*(.+\..+?)\/"")"),"focusera.se")</f>
        <v>focusera.se</v>
      </c>
      <c r="C4078" s="4" t="s">
        <v>6984</v>
      </c>
      <c r="D4078" s="4" t="s">
        <v>18</v>
      </c>
      <c r="E4078" s="9" t="s">
        <v>18</v>
      </c>
      <c r="F4078" s="5" t="str">
        <f t="shared" si="63"/>
        <v>chronos.se</v>
      </c>
      <c r="G4078" s="5" t="s">
        <v>4</v>
      </c>
      <c r="H4078" s="5" t="s">
        <v>5</v>
      </c>
      <c r="I4078" s="6"/>
    </row>
    <row r="4079" spans="1:9" ht="13.5">
      <c r="A4079" s="2" t="s">
        <v>16</v>
      </c>
      <c r="B4079" s="3" t="str">
        <f ca="1">IFERROR(__xludf.DUMMYFUNCTION("REGEXEXTRACT(C4079, ""https?:\/\/(?:.*\.)*(.+\..+?)\/"")"),"#N/A")</f>
        <v>#N/A</v>
      </c>
      <c r="C4079" s="5"/>
      <c r="D4079" s="4" t="s">
        <v>91</v>
      </c>
      <c r="E4079" s="5" t="s">
        <v>6985</v>
      </c>
      <c r="F4079" s="5" t="str">
        <f t="shared" si="63"/>
        <v>chronos.se</v>
      </c>
      <c r="G4079" s="5"/>
      <c r="H4079" s="5" t="s">
        <v>5</v>
      </c>
      <c r="I4079" s="6"/>
    </row>
    <row r="4080" spans="1:9" ht="13.5">
      <c r="A4080" s="2" t="s">
        <v>689</v>
      </c>
      <c r="B4080" s="3" t="str">
        <f ca="1">IFERROR(__xludf.DUMMYFUNCTION("REGEXEXTRACT(C4080, ""https?:\/\/(?:.*\.)*(.+\..+?)\/"")"),"eventeffect.se")</f>
        <v>eventeffect.se</v>
      </c>
      <c r="C4080" s="4" t="s">
        <v>6986</v>
      </c>
      <c r="D4080" s="8" t="s">
        <v>691</v>
      </c>
      <c r="E4080" s="5" t="s">
        <v>6987</v>
      </c>
      <c r="F4080" s="5" t="str">
        <f t="shared" si="63"/>
        <v>conclean.se</v>
      </c>
      <c r="G4080" s="5" t="s">
        <v>4</v>
      </c>
      <c r="H4080" s="5" t="s">
        <v>5</v>
      </c>
      <c r="I4080" s="6"/>
    </row>
    <row r="4081" spans="1:9" ht="13.5">
      <c r="A4081" s="2" t="s">
        <v>689</v>
      </c>
      <c r="B4081" s="3" t="str">
        <f ca="1">IFERROR(__xludf.DUMMYFUNCTION("REGEXEXTRACT(C4081, ""https?:\/\/(?:.*\.)*(.+\..+?)\/"")"),"firmify.se")</f>
        <v>firmify.se</v>
      </c>
      <c r="C4081" s="4" t="s">
        <v>6988</v>
      </c>
      <c r="D4081" s="4" t="s">
        <v>691</v>
      </c>
      <c r="E4081" s="5" t="s">
        <v>2874</v>
      </c>
      <c r="F4081" s="5" t="str">
        <f t="shared" si="63"/>
        <v>conclean.se</v>
      </c>
      <c r="G4081" s="5" t="s">
        <v>4</v>
      </c>
      <c r="H4081" s="5" t="s">
        <v>5</v>
      </c>
      <c r="I4081" s="6"/>
    </row>
    <row r="4082" spans="1:9" ht="13.5">
      <c r="A4082" s="2" t="s">
        <v>689</v>
      </c>
      <c r="B4082" s="3" t="str">
        <f ca="1">IFERROR(__xludf.DUMMYFUNCTION("REGEXEXTRACT(C4082, ""https?:\/\/(?:.*\.)*(.+\..+?)\/"")"),"saleseffect.se")</f>
        <v>saleseffect.se</v>
      </c>
      <c r="C4082" s="4" t="s">
        <v>6989</v>
      </c>
      <c r="D4082" s="4" t="s">
        <v>691</v>
      </c>
      <c r="E4082" s="5" t="s">
        <v>6990</v>
      </c>
      <c r="F4082" s="5" t="str">
        <f t="shared" si="63"/>
        <v>conclean.se</v>
      </c>
      <c r="G4082" s="5" t="s">
        <v>4</v>
      </c>
      <c r="H4082" s="5" t="s">
        <v>5</v>
      </c>
      <c r="I4082" s="6"/>
    </row>
    <row r="4083" spans="1:9" ht="13.5">
      <c r="A4083" s="2" t="s">
        <v>531</v>
      </c>
      <c r="B4083" s="3" t="str">
        <f ca="1">IFERROR(__xludf.DUMMYFUNCTION("REGEXEXTRACT(C4083, ""https?:\/\/(?:.*\.)*(.+\..+?)\/"")"),"veckomagasinet.com")</f>
        <v>veckomagasinet.com</v>
      </c>
      <c r="C4083" s="4" t="s">
        <v>6991</v>
      </c>
      <c r="D4083" s="4" t="s">
        <v>6992</v>
      </c>
      <c r="E4083" s="5" t="s">
        <v>6993</v>
      </c>
      <c r="F4083" s="5" t="str">
        <f t="shared" si="63"/>
        <v>dieselkraft.se</v>
      </c>
      <c r="G4083" s="5" t="s">
        <v>4</v>
      </c>
      <c r="H4083" s="5" t="s">
        <v>5</v>
      </c>
      <c r="I4083" s="6"/>
    </row>
    <row r="4084" spans="1:9" ht="13.5">
      <c r="A4084" s="2" t="s">
        <v>531</v>
      </c>
      <c r="B4084" s="3" t="str">
        <f ca="1">IFERROR(__xludf.DUMMYFUNCTION("REGEXEXTRACT(C4084, ""https?:\/\/(?:.*\.)*(.+\..+?)\/"")"),"adamsteen.se")</f>
        <v>adamsteen.se</v>
      </c>
      <c r="C4084" s="4" t="s">
        <v>6994</v>
      </c>
      <c r="D4084" s="4" t="s">
        <v>6992</v>
      </c>
      <c r="E4084" s="5" t="s">
        <v>6995</v>
      </c>
      <c r="F4084" s="5" t="str">
        <f t="shared" si="63"/>
        <v>dieselkraft.se</v>
      </c>
      <c r="G4084" s="5" t="s">
        <v>4</v>
      </c>
      <c r="H4084" s="5" t="s">
        <v>5</v>
      </c>
      <c r="I4084" s="6"/>
    </row>
    <row r="4085" spans="1:9" ht="13.5">
      <c r="A4085" s="2" t="s">
        <v>531</v>
      </c>
      <c r="B4085" s="3" t="str">
        <f ca="1">IFERROR(__xludf.DUMMYFUNCTION("REGEXEXTRACT(C4085, ""https?:\/\/(?:.*\.)*(.+\..+?)\/"")"),"yc.edu")</f>
        <v>yc.edu</v>
      </c>
      <c r="C4085" s="4" t="s">
        <v>6996</v>
      </c>
      <c r="D4085" s="4" t="s">
        <v>533</v>
      </c>
      <c r="E4085" s="9" t="s">
        <v>6997</v>
      </c>
      <c r="F4085" s="5" t="str">
        <f t="shared" si="63"/>
        <v>dieselkraft.se</v>
      </c>
      <c r="G4085" s="5" t="s">
        <v>4</v>
      </c>
      <c r="H4085" s="5" t="s">
        <v>5</v>
      </c>
      <c r="I4085" s="6"/>
    </row>
    <row r="4086" spans="1:9" ht="13.5">
      <c r="A4086" s="2" t="s">
        <v>531</v>
      </c>
      <c r="B4086" s="3" t="str">
        <f ca="1">IFERROR(__xludf.DUMMYFUNCTION("REGEXEXTRACT(C4086, ""https?:\/\/(?:.*\.)*(.+\..+?)\/"")"),"executiveeffect.se")</f>
        <v>executiveeffect.se</v>
      </c>
      <c r="C4086" s="4" t="s">
        <v>6998</v>
      </c>
      <c r="D4086" s="4" t="s">
        <v>533</v>
      </c>
      <c r="E4086" s="5" t="s">
        <v>6523</v>
      </c>
      <c r="F4086" s="5" t="str">
        <f t="shared" si="63"/>
        <v>dieselkraft.se</v>
      </c>
      <c r="G4086" s="5" t="s">
        <v>4</v>
      </c>
      <c r="H4086" s="5" t="s">
        <v>5</v>
      </c>
      <c r="I4086" s="6"/>
    </row>
    <row r="4087" spans="1:9" ht="13.5">
      <c r="A4087" s="2" t="s">
        <v>531</v>
      </c>
      <c r="B4087" s="3" t="str">
        <f ca="1">IFERROR(__xludf.DUMMYFUNCTION("REGEXEXTRACT(C4087, ""https?:\/\/(?:.*\.)*(.+\..+?)\/"")"),"eventeffect.se")</f>
        <v>eventeffect.se</v>
      </c>
      <c r="C4087" s="4" t="s">
        <v>6999</v>
      </c>
      <c r="D4087" s="4" t="s">
        <v>533</v>
      </c>
      <c r="E4087" s="5" t="s">
        <v>6523</v>
      </c>
      <c r="F4087" s="5" t="str">
        <f t="shared" si="63"/>
        <v>dieselkraft.se</v>
      </c>
      <c r="G4087" s="5" t="s">
        <v>4</v>
      </c>
      <c r="H4087" s="5" t="s">
        <v>5</v>
      </c>
      <c r="I4087" s="6"/>
    </row>
    <row r="4088" spans="1:9" ht="13.5">
      <c r="A4088" s="2" t="s">
        <v>531</v>
      </c>
      <c r="B4088" s="3" t="str">
        <f ca="1">IFERROR(__xludf.DUMMYFUNCTION("REGEXEXTRACT(C4088, ""https?:\/\/(?:.*\.)*(.+\..+?)\/"")"),"industritorget.se")</f>
        <v>industritorget.se</v>
      </c>
      <c r="C4088" s="4" t="s">
        <v>7000</v>
      </c>
      <c r="D4088" s="4" t="s">
        <v>533</v>
      </c>
      <c r="E4088" s="5" t="s">
        <v>7001</v>
      </c>
      <c r="F4088" s="5" t="str">
        <f t="shared" si="63"/>
        <v>dieselkraft.se</v>
      </c>
      <c r="G4088" s="5" t="s">
        <v>4</v>
      </c>
      <c r="H4088" s="5" t="s">
        <v>5</v>
      </c>
      <c r="I4088" s="6"/>
    </row>
    <row r="4089" spans="1:9" ht="13.5">
      <c r="A4089" s="2" t="s">
        <v>531</v>
      </c>
      <c r="B4089" s="3" t="str">
        <f ca="1">IFERROR(__xludf.DUMMYFUNCTION("REGEXEXTRACT(C4089, ""https?:\/\/(?:.*\.)*(.+\..+?)\/"")"),"lifehacking.se")</f>
        <v>lifehacking.se</v>
      </c>
      <c r="C4089" s="4" t="s">
        <v>7002</v>
      </c>
      <c r="D4089" s="4" t="s">
        <v>533</v>
      </c>
      <c r="E4089" s="5" t="s">
        <v>7001</v>
      </c>
      <c r="F4089" s="5" t="str">
        <f t="shared" si="63"/>
        <v>dieselkraft.se</v>
      </c>
      <c r="G4089" s="5" t="s">
        <v>4</v>
      </c>
      <c r="H4089" s="5" t="s">
        <v>5</v>
      </c>
      <c r="I4089" s="6"/>
    </row>
    <row r="4090" spans="1:9" ht="13.5">
      <c r="A4090" s="2" t="s">
        <v>531</v>
      </c>
      <c r="B4090" s="3" t="str">
        <f ca="1">IFERROR(__xludf.DUMMYFUNCTION("REGEXEXTRACT(C4090, ""https?:\/\/(?:.*\.)*(.+\..+?)\/"")"),"#N/A")</f>
        <v>#N/A</v>
      </c>
      <c r="C4090" s="8" t="s">
        <v>7003</v>
      </c>
      <c r="D4090" s="4" t="s">
        <v>533</v>
      </c>
      <c r="E4090" s="5" t="s">
        <v>7001</v>
      </c>
      <c r="F4090" s="5" t="str">
        <f t="shared" si="63"/>
        <v>dieselkraft.se</v>
      </c>
      <c r="G4090" s="5" t="s">
        <v>34</v>
      </c>
      <c r="H4090" s="5" t="s">
        <v>5</v>
      </c>
      <c r="I4090" s="6"/>
    </row>
    <row r="4091" spans="1:9" ht="13.5">
      <c r="A4091" s="2" t="s">
        <v>531</v>
      </c>
      <c r="B4091" s="3" t="str">
        <f ca="1">IFERROR(__xludf.DUMMYFUNCTION("REGEXEXTRACT(C4091, ""https?:\/\/(?:.*\.)*(.+\..+?)\/"")"),"bossingsbilservice.se")</f>
        <v>bossingsbilservice.se</v>
      </c>
      <c r="C4091" s="4" t="s">
        <v>7004</v>
      </c>
      <c r="D4091" s="4" t="s">
        <v>533</v>
      </c>
      <c r="E4091" s="5" t="s">
        <v>7005</v>
      </c>
      <c r="F4091" s="5" t="str">
        <f t="shared" si="63"/>
        <v>dieselkraft.se</v>
      </c>
      <c r="G4091" s="5" t="s">
        <v>4</v>
      </c>
      <c r="H4091" s="5" t="s">
        <v>5</v>
      </c>
      <c r="I4091" s="6"/>
    </row>
    <row r="4092" spans="1:9" ht="13.5">
      <c r="A4092" s="2" t="s">
        <v>531</v>
      </c>
      <c r="B4092" s="3" t="str">
        <f ca="1">IFERROR(__xludf.DUMMYFUNCTION("REGEXEXTRACT(C4092, ""https?:\/\/(?:.*\.)*(.+\..+?)\/"")"),"jetshopfree.se")</f>
        <v>jetshopfree.se</v>
      </c>
      <c r="C4092" s="4" t="s">
        <v>7006</v>
      </c>
      <c r="D4092" s="4" t="s">
        <v>533</v>
      </c>
      <c r="E4092" s="5" t="s">
        <v>7007</v>
      </c>
      <c r="F4092" s="5" t="str">
        <f t="shared" si="63"/>
        <v>dieselkraft.se</v>
      </c>
      <c r="G4092" s="5" t="s">
        <v>4</v>
      </c>
      <c r="H4092" s="5" t="s">
        <v>5</v>
      </c>
      <c r="I4092" s="6"/>
    </row>
    <row r="4093" spans="1:9" ht="13.5">
      <c r="A4093" s="2" t="s">
        <v>531</v>
      </c>
      <c r="B4093" s="3" t="str">
        <f ca="1">IFERROR(__xludf.DUMMYFUNCTION("REGEXEXTRACT(C4093, ""https?:\/\/(?:.*\.)*(.+\..+?)\/"")"),"kilander-racing.se")</f>
        <v>kilander-racing.se</v>
      </c>
      <c r="C4093" s="4" t="s">
        <v>7008</v>
      </c>
      <c r="D4093" s="4" t="s">
        <v>533</v>
      </c>
      <c r="E4093" s="5" t="s">
        <v>7009</v>
      </c>
      <c r="F4093" s="5" t="str">
        <f t="shared" si="63"/>
        <v>dieselkraft.se</v>
      </c>
      <c r="G4093" s="5" t="s">
        <v>4</v>
      </c>
      <c r="H4093" s="5" t="s">
        <v>5</v>
      </c>
      <c r="I4093" s="6"/>
    </row>
    <row r="4094" spans="1:9" ht="13.5">
      <c r="A4094" s="2" t="s">
        <v>531</v>
      </c>
      <c r="B4094" s="3" t="str">
        <f ca="1">IFERROR(__xludf.DUMMYFUNCTION("REGEXEXTRACT(C4094, ""https?:\/\/(?:.*\.)*(.+\..+?)\/"")"),"jetshopfree.se")</f>
        <v>jetshopfree.se</v>
      </c>
      <c r="C4094" s="4" t="s">
        <v>7006</v>
      </c>
      <c r="D4094" s="4" t="s">
        <v>533</v>
      </c>
      <c r="E4094" s="5" t="s">
        <v>7010</v>
      </c>
      <c r="F4094" s="5" t="str">
        <f t="shared" si="63"/>
        <v>dieselkraft.se</v>
      </c>
      <c r="G4094" s="5" t="s">
        <v>4</v>
      </c>
      <c r="H4094" s="5" t="s">
        <v>5</v>
      </c>
      <c r="I4094" s="6"/>
    </row>
    <row r="4095" spans="1:9" ht="13.5">
      <c r="A4095" s="2" t="s">
        <v>531</v>
      </c>
      <c r="B4095" s="3" t="str">
        <f ca="1">IFERROR(__xludf.DUMMYFUNCTION("REGEXEXTRACT(C4095, ""https?:\/\/(?:.*\.)*(.+\..+?)\/"")"),"isla.se")</f>
        <v>isla.se</v>
      </c>
      <c r="C4095" s="4" t="s">
        <v>7011</v>
      </c>
      <c r="D4095" s="4" t="s">
        <v>533</v>
      </c>
      <c r="E4095" s="5" t="s">
        <v>7012</v>
      </c>
      <c r="F4095" s="5" t="str">
        <f t="shared" si="63"/>
        <v>dieselkraft.se</v>
      </c>
      <c r="G4095" s="5" t="s">
        <v>4</v>
      </c>
      <c r="H4095" s="5" t="s">
        <v>5</v>
      </c>
      <c r="I4095" s="6"/>
    </row>
    <row r="4096" spans="1:9" ht="13.5">
      <c r="A4096" s="2" t="s">
        <v>435</v>
      </c>
      <c r="B4096" s="3" t="str">
        <f ca="1">IFERROR(__xludf.DUMMYFUNCTION("REGEXEXTRACT(C4096, ""https?:\/\/(?:.*\.)*(.+\..+?)\/"")"),"lifehacking.se")</f>
        <v>lifehacking.se</v>
      </c>
      <c r="C4096" s="4" t="s">
        <v>7013</v>
      </c>
      <c r="D4096" s="4" t="s">
        <v>834</v>
      </c>
      <c r="E4096" s="5" t="s">
        <v>563</v>
      </c>
      <c r="F4096" s="5" t="str">
        <f t="shared" si="63"/>
        <v>fairinvestments.se</v>
      </c>
      <c r="G4096" s="5" t="s">
        <v>4</v>
      </c>
      <c r="H4096" s="5" t="s">
        <v>5</v>
      </c>
      <c r="I4096" s="6"/>
    </row>
    <row r="4097" spans="1:9" ht="13.5">
      <c r="A4097" s="2" t="s">
        <v>435</v>
      </c>
      <c r="B4097" s="3" t="str">
        <f ca="1">IFERROR(__xludf.DUMMYFUNCTION("REGEXEXTRACT(C4097, ""https?:\/\/(?:.*\.)*(.+\..+?)\/"")"),"#N/A")</f>
        <v>#N/A</v>
      </c>
      <c r="C4097" s="8" t="s">
        <v>7014</v>
      </c>
      <c r="D4097" s="4" t="s">
        <v>7015</v>
      </c>
      <c r="E4097" s="5" t="s">
        <v>563</v>
      </c>
      <c r="F4097" s="5" t="str">
        <f t="shared" si="63"/>
        <v>fairinvestments.se</v>
      </c>
      <c r="G4097" s="5" t="s">
        <v>34</v>
      </c>
      <c r="H4097" s="5" t="s">
        <v>5</v>
      </c>
      <c r="I4097" s="6"/>
    </row>
    <row r="4098" spans="1:9" ht="13.5">
      <c r="A4098" s="2" t="s">
        <v>435</v>
      </c>
      <c r="B4098" s="3" t="str">
        <f ca="1">IFERROR(__xludf.DUMMYFUNCTION("REGEXEXTRACT(C4098, ""https?:\/\/(?:.*\.)*(.+\..+?)\/"")"),"#N/A")</f>
        <v>#N/A</v>
      </c>
      <c r="C4098" s="4" t="s">
        <v>7016</v>
      </c>
      <c r="D4098" s="4" t="s">
        <v>1734</v>
      </c>
      <c r="E4098" s="5" t="s">
        <v>563</v>
      </c>
      <c r="F4098" s="5" t="str">
        <f t="shared" si="63"/>
        <v>fairinvestments.se</v>
      </c>
      <c r="G4098" s="5" t="s">
        <v>4</v>
      </c>
      <c r="H4098" s="5" t="s">
        <v>5</v>
      </c>
      <c r="I4098" s="6"/>
    </row>
    <row r="4099" spans="1:9" ht="13.5">
      <c r="A4099" s="2" t="s">
        <v>435</v>
      </c>
      <c r="B4099" s="3" t="str">
        <f ca="1">IFERROR(__xludf.DUMMYFUNCTION("REGEXEXTRACT(C4099, ""https?:\/\/(?:.*\.)*(.+\..+?)\/"")"),"#N/A")</f>
        <v>#N/A</v>
      </c>
      <c r="C4099" s="4" t="s">
        <v>7017</v>
      </c>
      <c r="D4099" s="4" t="s">
        <v>834</v>
      </c>
      <c r="E4099" s="5" t="s">
        <v>563</v>
      </c>
      <c r="F4099" s="5" t="str">
        <f t="shared" ref="F4099:F4162" si="64">A4099</f>
        <v>fairinvestments.se</v>
      </c>
      <c r="G4099" s="5" t="s">
        <v>34</v>
      </c>
      <c r="H4099" s="5" t="s">
        <v>5</v>
      </c>
      <c r="I4099" s="6"/>
    </row>
    <row r="4100" spans="1:9" ht="13.5">
      <c r="A4100" s="2" t="s">
        <v>435</v>
      </c>
      <c r="B4100" s="3" t="str">
        <f ca="1">IFERROR(__xludf.DUMMYFUNCTION("REGEXEXTRACT(C4100, ""https?:\/\/(?:.*\.)*(.+\..+?)\/"")"),"#N/A")</f>
        <v>#N/A</v>
      </c>
      <c r="C4100" s="4" t="s">
        <v>7018</v>
      </c>
      <c r="D4100" s="4" t="s">
        <v>7019</v>
      </c>
      <c r="E4100" s="5" t="s">
        <v>563</v>
      </c>
      <c r="F4100" s="5" t="str">
        <f t="shared" si="64"/>
        <v>fairinvestments.se</v>
      </c>
      <c r="G4100" s="5" t="s">
        <v>34</v>
      </c>
      <c r="H4100" s="5" t="s">
        <v>5</v>
      </c>
      <c r="I4100" s="6"/>
    </row>
    <row r="4101" spans="1:9" ht="13.5">
      <c r="A4101" s="2" t="s">
        <v>435</v>
      </c>
      <c r="B4101" s="3" t="str">
        <f ca="1">IFERROR(__xludf.DUMMYFUNCTION("REGEXEXTRACT(C4101, ""https?:\/\/(?:.*\.)*(.+\..+?)\/"")"),"#N/A")</f>
        <v>#N/A</v>
      </c>
      <c r="C4101" s="4" t="s">
        <v>7020</v>
      </c>
      <c r="D4101" s="4" t="s">
        <v>7015</v>
      </c>
      <c r="E4101" s="5" t="s">
        <v>563</v>
      </c>
      <c r="F4101" s="5" t="str">
        <f t="shared" si="64"/>
        <v>fairinvestments.se</v>
      </c>
      <c r="G4101" s="5" t="s">
        <v>34</v>
      </c>
      <c r="H4101" s="5" t="s">
        <v>5</v>
      </c>
      <c r="I4101" s="6"/>
    </row>
    <row r="4102" spans="1:9" ht="13.5">
      <c r="A4102" s="2" t="s">
        <v>435</v>
      </c>
      <c r="B4102" s="3" t="str">
        <f ca="1">IFERROR(__xludf.DUMMYFUNCTION("REGEXEXTRACT(C4102, ""https?:\/\/(?:.*\.)*(.+\..+?)\/"")"),"veckodag.nu")</f>
        <v>veckodag.nu</v>
      </c>
      <c r="C4102" s="4" t="s">
        <v>347</v>
      </c>
      <c r="D4102" s="4" t="s">
        <v>7021</v>
      </c>
      <c r="E4102" s="5" t="s">
        <v>563</v>
      </c>
      <c r="F4102" s="5" t="str">
        <f t="shared" si="64"/>
        <v>fairinvestments.se</v>
      </c>
      <c r="G4102" s="5" t="s">
        <v>34</v>
      </c>
      <c r="H4102" s="5" t="s">
        <v>5</v>
      </c>
      <c r="I4102" s="6"/>
    </row>
    <row r="4103" spans="1:9" ht="13.5">
      <c r="A4103" s="2" t="s">
        <v>435</v>
      </c>
      <c r="B4103" s="3" t="str">
        <f ca="1">IFERROR(__xludf.DUMMYFUNCTION("REGEXEXTRACT(C4103, ""https?:\/\/(?:.*\.)*(.+\..+?)\/"")"),"guldkorn.nu")</f>
        <v>guldkorn.nu</v>
      </c>
      <c r="C4103" s="4" t="s">
        <v>7022</v>
      </c>
      <c r="D4103" s="4" t="s">
        <v>1734</v>
      </c>
      <c r="E4103" s="5" t="s">
        <v>563</v>
      </c>
      <c r="F4103" s="5" t="str">
        <f t="shared" si="64"/>
        <v>fairinvestments.se</v>
      </c>
      <c r="G4103" s="5" t="s">
        <v>34</v>
      </c>
      <c r="H4103" s="5" t="s">
        <v>5</v>
      </c>
      <c r="I4103" s="6"/>
    </row>
    <row r="4104" spans="1:9" ht="13.5">
      <c r="A4104" s="2" t="s">
        <v>435</v>
      </c>
      <c r="B4104" s="3" t="str">
        <f ca="1">IFERROR(__xludf.DUMMYFUNCTION("REGEXEXTRACT(C4104, ""https?:\/\/(?:.*\.)*(.+\..+?)\/"")"),"borsbolag.se")</f>
        <v>borsbolag.se</v>
      </c>
      <c r="C4104" s="4" t="s">
        <v>990</v>
      </c>
      <c r="D4104" s="4" t="s">
        <v>1734</v>
      </c>
      <c r="E4104" s="5" t="s">
        <v>563</v>
      </c>
      <c r="F4104" s="5" t="str">
        <f t="shared" si="64"/>
        <v>fairinvestments.se</v>
      </c>
      <c r="G4104" s="5" t="s">
        <v>34</v>
      </c>
      <c r="H4104" s="5" t="s">
        <v>5</v>
      </c>
      <c r="I4104" s="6"/>
    </row>
    <row r="4105" spans="1:9" ht="13.5">
      <c r="A4105" s="2" t="s">
        <v>435</v>
      </c>
      <c r="B4105" s="3" t="str">
        <f ca="1">IFERROR(__xludf.DUMMYFUNCTION("REGEXEXTRACT(C4105, ""https?:\/\/(?:.*\.)*(.+\..+?)\/"")"),"executiveeffect.se")</f>
        <v>executiveeffect.se</v>
      </c>
      <c r="C4105" s="4" t="s">
        <v>973</v>
      </c>
      <c r="D4105" s="4" t="s">
        <v>1734</v>
      </c>
      <c r="E4105" s="5" t="s">
        <v>563</v>
      </c>
      <c r="F4105" s="5" t="str">
        <f t="shared" si="64"/>
        <v>fairinvestments.se</v>
      </c>
      <c r="G4105" s="5" t="s">
        <v>4</v>
      </c>
      <c r="H4105" s="5" t="s">
        <v>5</v>
      </c>
      <c r="I4105" s="6"/>
    </row>
    <row r="4106" spans="1:9" ht="13.5">
      <c r="A4106" s="2" t="s">
        <v>435</v>
      </c>
      <c r="B4106" s="3" t="str">
        <f ca="1">IFERROR(__xludf.DUMMYFUNCTION("REGEXEXTRACT(C4106, ""https?:\/\/(?:.*\.)*(.+\..+?)\/"")"),"tidskriftenskeppet.se")</f>
        <v>tidskriftenskeppet.se</v>
      </c>
      <c r="C4106" s="4" t="s">
        <v>7023</v>
      </c>
      <c r="D4106" s="4" t="s">
        <v>7019</v>
      </c>
      <c r="E4106" s="5" t="s">
        <v>563</v>
      </c>
      <c r="F4106" s="5" t="str">
        <f t="shared" si="64"/>
        <v>fairinvestments.se</v>
      </c>
      <c r="G4106" s="5" t="s">
        <v>4</v>
      </c>
      <c r="H4106" s="5" t="s">
        <v>5</v>
      </c>
      <c r="I4106" s="6"/>
    </row>
    <row r="4107" spans="1:9" ht="13.5">
      <c r="A4107" s="2" t="s">
        <v>435</v>
      </c>
      <c r="B4107" s="3" t="str">
        <f ca="1">IFERROR(__xludf.DUMMYFUNCTION("REGEXEXTRACT(C4107, ""https?:\/\/(?:.*\.)*(.+\..+?)\/"")"),"sek-converter.se")</f>
        <v>sek-converter.se</v>
      </c>
      <c r="C4107" s="4" t="s">
        <v>7024</v>
      </c>
      <c r="D4107" s="4" t="s">
        <v>3777</v>
      </c>
      <c r="E4107" s="5" t="s">
        <v>563</v>
      </c>
      <c r="F4107" s="5" t="str">
        <f t="shared" si="64"/>
        <v>fairinvestments.se</v>
      </c>
      <c r="G4107" s="5" t="s">
        <v>4</v>
      </c>
      <c r="H4107" s="5" t="s">
        <v>5</v>
      </c>
      <c r="I4107" s="6"/>
    </row>
    <row r="4108" spans="1:9" ht="13.5">
      <c r="A4108" s="2" t="s">
        <v>435</v>
      </c>
      <c r="B4108" s="3" t="str">
        <f ca="1">IFERROR(__xludf.DUMMYFUNCTION("REGEXEXTRACT(C4108, ""https?:\/\/(?:.*\.)*(.+\..+?)\/"")"),"havstomt.se")</f>
        <v>havstomt.se</v>
      </c>
      <c r="C4108" s="4" t="s">
        <v>44</v>
      </c>
      <c r="D4108" s="4" t="s">
        <v>834</v>
      </c>
      <c r="E4108" s="5" t="s">
        <v>563</v>
      </c>
      <c r="F4108" s="5" t="str">
        <f t="shared" si="64"/>
        <v>fairinvestments.se</v>
      </c>
      <c r="G4108" s="5" t="s">
        <v>34</v>
      </c>
      <c r="H4108" s="5" t="s">
        <v>5</v>
      </c>
      <c r="I4108" s="6"/>
    </row>
    <row r="4109" spans="1:9" ht="13.5">
      <c r="A4109" s="2" t="s">
        <v>435</v>
      </c>
      <c r="B4109" s="3" t="str">
        <f ca="1">IFERROR(__xludf.DUMMYFUNCTION("REGEXEXTRACT(C4109, ""https?:\/\/(?:.*\.)*(.+\..+?)\/"")"),"now.nu")</f>
        <v>now.nu</v>
      </c>
      <c r="C4109" s="4" t="s">
        <v>7025</v>
      </c>
      <c r="D4109" s="4" t="s">
        <v>437</v>
      </c>
      <c r="E4109" s="5" t="s">
        <v>7026</v>
      </c>
      <c r="F4109" s="5" t="str">
        <f t="shared" si="64"/>
        <v>fairinvestments.se</v>
      </c>
      <c r="G4109" s="5" t="s">
        <v>4</v>
      </c>
      <c r="H4109" s="5" t="s">
        <v>5</v>
      </c>
      <c r="I4109" s="6"/>
    </row>
    <row r="4110" spans="1:9" ht="13.5">
      <c r="A4110" s="2" t="s">
        <v>435</v>
      </c>
      <c r="B4110" s="3" t="str">
        <f ca="1">IFERROR(__xludf.DUMMYFUNCTION("REGEXEXTRACT(C4110, ""https?:\/\/(?:.*\.)*(.+\..+?)\/"")"),"smartkapital.se")</f>
        <v>smartkapital.se</v>
      </c>
      <c r="C4110" s="4" t="s">
        <v>7027</v>
      </c>
      <c r="D4110" s="4" t="s">
        <v>3777</v>
      </c>
      <c r="E4110" s="5" t="s">
        <v>7028</v>
      </c>
      <c r="F4110" s="5" t="str">
        <f t="shared" si="64"/>
        <v>fairinvestments.se</v>
      </c>
      <c r="G4110" s="5" t="s">
        <v>4</v>
      </c>
      <c r="H4110" s="5" t="s">
        <v>5</v>
      </c>
      <c r="I4110" s="6"/>
    </row>
    <row r="4111" spans="1:9" ht="13.5">
      <c r="A4111" s="2" t="s">
        <v>435</v>
      </c>
      <c r="B4111" s="3" t="str">
        <f ca="1">IFERROR(__xludf.DUMMYFUNCTION("REGEXEXTRACT(C4111, ""https?:\/\/(?:.*\.)*(.+\..+?)\/"")"),"#N/A")</f>
        <v>#N/A</v>
      </c>
      <c r="C4111" s="5"/>
      <c r="D4111" s="4" t="s">
        <v>517</v>
      </c>
      <c r="E4111" s="5" t="s">
        <v>839</v>
      </c>
      <c r="F4111" s="5" t="str">
        <f t="shared" si="64"/>
        <v>fairinvestments.se</v>
      </c>
      <c r="G4111" s="5" t="s">
        <v>4</v>
      </c>
      <c r="H4111" s="5" t="s">
        <v>5</v>
      </c>
      <c r="I4111" s="6"/>
    </row>
    <row r="4112" spans="1:9" ht="13.5">
      <c r="A4112" s="2" t="s">
        <v>435</v>
      </c>
      <c r="B4112" s="3" t="str">
        <f ca="1">IFERROR(__xludf.DUMMYFUNCTION("REGEXEXTRACT(C4112, ""https?:\/\/(?:.*\.)*(.+\..+?)\/"")"),"eventeffect.se")</f>
        <v>eventeffect.se</v>
      </c>
      <c r="C4112" s="4" t="s">
        <v>7029</v>
      </c>
      <c r="D4112" s="4" t="s">
        <v>517</v>
      </c>
      <c r="E4112" s="5" t="s">
        <v>839</v>
      </c>
      <c r="F4112" s="5" t="str">
        <f t="shared" si="64"/>
        <v>fairinvestments.se</v>
      </c>
      <c r="G4112" s="5" t="s">
        <v>4</v>
      </c>
      <c r="H4112" s="5" t="s">
        <v>5</v>
      </c>
      <c r="I4112" s="6"/>
    </row>
    <row r="4113" spans="1:9" ht="13.5">
      <c r="A4113" s="2" t="s">
        <v>435</v>
      </c>
      <c r="B4113" s="3" t="str">
        <f ca="1">IFERROR(__xludf.DUMMYFUNCTION("REGEXEXTRACT(C4113, ""https?:\/\/(?:.*\.)*(.+\..+?)\/"")"),"#N/A")</f>
        <v>#N/A</v>
      </c>
      <c r="C4113" s="5"/>
      <c r="D4113" s="4" t="s">
        <v>7030</v>
      </c>
      <c r="E4113" s="5" t="s">
        <v>563</v>
      </c>
      <c r="F4113" s="5" t="str">
        <f t="shared" si="64"/>
        <v>fairinvestments.se</v>
      </c>
      <c r="G4113" s="5"/>
      <c r="H4113" s="5" t="s">
        <v>5</v>
      </c>
      <c r="I4113" s="6"/>
    </row>
    <row r="4114" spans="1:9" ht="13.5">
      <c r="A4114" s="2" t="s">
        <v>435</v>
      </c>
      <c r="B4114" s="3" t="str">
        <f ca="1">IFERROR(__xludf.DUMMYFUNCTION("REGEXEXTRACT(C4114, ""https?:\/\/(?:.*\.)*(.+\..+?)\/"")"),"financefinder.se")</f>
        <v>financefinder.se</v>
      </c>
      <c r="C4114" s="8" t="s">
        <v>7031</v>
      </c>
      <c r="D4114" s="13" t="s">
        <v>7019</v>
      </c>
      <c r="E4114" s="348" t="s">
        <v>839</v>
      </c>
      <c r="F4114" s="5" t="str">
        <f t="shared" si="64"/>
        <v>fairinvestments.se</v>
      </c>
      <c r="G4114" s="5" t="s">
        <v>4</v>
      </c>
      <c r="H4114" s="5" t="s">
        <v>5</v>
      </c>
      <c r="I4114" s="6"/>
    </row>
    <row r="4115" spans="1:9" ht="13.5">
      <c r="A4115" s="2" t="s">
        <v>435</v>
      </c>
      <c r="B4115" s="3" t="str">
        <f ca="1">IFERROR(__xludf.DUMMYFUNCTION("REGEXEXTRACT(C4115, ""https?:\/\/(?:.*\.)*(.+\..+?)\/"")"),"ekonomiboken.se")</f>
        <v>ekonomiboken.se</v>
      </c>
      <c r="C4115" s="4" t="s">
        <v>7032</v>
      </c>
      <c r="D4115" s="13" t="s">
        <v>517</v>
      </c>
      <c r="E4115" s="5" t="s">
        <v>7033</v>
      </c>
      <c r="F4115" s="5" t="str">
        <f t="shared" si="64"/>
        <v>fairinvestments.se</v>
      </c>
      <c r="G4115" s="5" t="s">
        <v>4</v>
      </c>
      <c r="H4115" s="5" t="s">
        <v>5</v>
      </c>
      <c r="I4115" s="6"/>
    </row>
    <row r="4116" spans="1:9" ht="13.5">
      <c r="A4116" s="2" t="s">
        <v>435</v>
      </c>
      <c r="B4116" s="3" t="str">
        <f ca="1">IFERROR(__xludf.DUMMYFUNCTION("REGEXEXTRACT(C4116, ""https?:\/\/(?:.*\.)*(.+\..+?)\/"")"),"r1ekonomi.se")</f>
        <v>r1ekonomi.se</v>
      </c>
      <c r="C4116" s="4" t="s">
        <v>7034</v>
      </c>
      <c r="D4116" s="13" t="s">
        <v>3777</v>
      </c>
      <c r="E4116" s="5" t="s">
        <v>438</v>
      </c>
      <c r="F4116" s="5" t="str">
        <f t="shared" si="64"/>
        <v>fairinvestments.se</v>
      </c>
      <c r="G4116" s="5" t="s">
        <v>4</v>
      </c>
      <c r="H4116" s="5" t="s">
        <v>5</v>
      </c>
      <c r="I4116" s="6"/>
    </row>
    <row r="4117" spans="1:9" ht="13.5">
      <c r="A4117" s="2" t="s">
        <v>435</v>
      </c>
      <c r="B4117" s="3" t="str">
        <f ca="1">IFERROR(__xludf.DUMMYFUNCTION("REGEXEXTRACT(C4117, ""https?:\/\/(?:.*\.)*(.+\..+?)\/"")"),"xn--brafretagsln-3cb4u.se")</f>
        <v>xn--brafretagsln-3cb4u.se</v>
      </c>
      <c r="C4117" s="4" t="s">
        <v>7035</v>
      </c>
      <c r="D4117" s="4" t="s">
        <v>1446</v>
      </c>
      <c r="E4117" s="5" t="s">
        <v>7036</v>
      </c>
      <c r="F4117" s="5" t="str">
        <f t="shared" si="64"/>
        <v>fairinvestments.se</v>
      </c>
      <c r="G4117" s="5" t="s">
        <v>4</v>
      </c>
      <c r="H4117" s="5" t="s">
        <v>5</v>
      </c>
      <c r="I4117" s="6"/>
    </row>
    <row r="4118" spans="1:9" ht="13.5">
      <c r="A4118" s="2" t="s">
        <v>435</v>
      </c>
      <c r="B4118" s="3" t="str">
        <f ca="1">IFERROR(__xludf.DUMMYFUNCTION("REGEXEXTRACT(C4118, ""https?:\/\/(?:.*\.)*(.+\..+?)\/"")"),"xn--brafretagsln-3cb4u.se")</f>
        <v>xn--brafretagsln-3cb4u.se</v>
      </c>
      <c r="C4118" s="4" t="s">
        <v>7037</v>
      </c>
      <c r="D4118" s="4" t="s">
        <v>7038</v>
      </c>
      <c r="E4118" s="5" t="s">
        <v>7039</v>
      </c>
      <c r="F4118" s="5" t="str">
        <f t="shared" si="64"/>
        <v>fairinvestments.se</v>
      </c>
      <c r="G4118" s="5" t="s">
        <v>4</v>
      </c>
      <c r="H4118" s="5" t="s">
        <v>5</v>
      </c>
      <c r="I4118" s="6"/>
    </row>
    <row r="4119" spans="1:9" ht="13.5">
      <c r="A4119" s="2" t="s">
        <v>435</v>
      </c>
      <c r="B4119" s="3" t="str">
        <f ca="1">IFERROR(__xludf.DUMMYFUNCTION("REGEXEXTRACT(C4119, ""https?:\/\/(?:.*\.)*(.+\..+?)\/"")"),"valutor.nu")</f>
        <v>valutor.nu</v>
      </c>
      <c r="C4119" s="4" t="s">
        <v>7040</v>
      </c>
      <c r="D4119" s="4" t="s">
        <v>437</v>
      </c>
      <c r="E4119" s="5" t="s">
        <v>438</v>
      </c>
      <c r="F4119" s="5" t="str">
        <f t="shared" si="64"/>
        <v>fairinvestments.se</v>
      </c>
      <c r="G4119" s="5" t="s">
        <v>94</v>
      </c>
      <c r="H4119" s="5" t="s">
        <v>5</v>
      </c>
      <c r="I4119" s="6"/>
    </row>
    <row r="4120" spans="1:9" ht="13.5">
      <c r="A4120" s="2" t="s">
        <v>435</v>
      </c>
      <c r="B4120" s="3" t="str">
        <f ca="1">IFERROR(__xludf.DUMMYFUNCTION("REGEXEXTRACT(C4120, ""https?:\/\/(?:.*\.)*(.+\..+?)\/"")"),"kollektomat.se")</f>
        <v>kollektomat.se</v>
      </c>
      <c r="C4120" s="4" t="s">
        <v>7041</v>
      </c>
      <c r="D4120" s="4" t="s">
        <v>437</v>
      </c>
      <c r="E4120" s="5" t="s">
        <v>839</v>
      </c>
      <c r="F4120" s="5" t="str">
        <f t="shared" si="64"/>
        <v>fairinvestments.se</v>
      </c>
      <c r="G4120" s="5" t="s">
        <v>4</v>
      </c>
      <c r="H4120" s="5" t="s">
        <v>5</v>
      </c>
      <c r="I4120" s="6"/>
    </row>
    <row r="4121" spans="1:9" ht="13.5">
      <c r="A4121" s="2" t="s">
        <v>435</v>
      </c>
      <c r="B4121" s="3" t="str">
        <f ca="1">IFERROR(__xludf.DUMMYFUNCTION("REGEXEXTRACT(C4121, ""https?:\/\/(?:.*\.)*(.+\..+?)\/"")"),"executiveeffect.se")</f>
        <v>executiveeffect.se</v>
      </c>
      <c r="C4121" s="8" t="s">
        <v>7042</v>
      </c>
      <c r="D4121" s="4" t="s">
        <v>437</v>
      </c>
      <c r="E4121" s="5" t="s">
        <v>839</v>
      </c>
      <c r="F4121" s="5" t="str">
        <f t="shared" si="64"/>
        <v>fairinvestments.se</v>
      </c>
      <c r="G4121" s="5" t="s">
        <v>4</v>
      </c>
      <c r="H4121" s="5" t="s">
        <v>5</v>
      </c>
      <c r="I4121" s="6"/>
    </row>
    <row r="4122" spans="1:9" ht="13.5">
      <c r="A4122" s="2" t="s">
        <v>435</v>
      </c>
      <c r="B4122" s="3" t="str">
        <f ca="1">IFERROR(__xludf.DUMMYFUNCTION("REGEXEXTRACT(C4122, ""https?:\/\/(?:.*\.)*(.+\..+?)\/"")"),"ekonomiskbalans.se")</f>
        <v>ekonomiskbalans.se</v>
      </c>
      <c r="C4122" s="4" t="s">
        <v>7043</v>
      </c>
      <c r="D4122" s="4" t="s">
        <v>437</v>
      </c>
      <c r="E4122" s="5" t="s">
        <v>3881</v>
      </c>
      <c r="F4122" s="5" t="str">
        <f t="shared" si="64"/>
        <v>fairinvestments.se</v>
      </c>
      <c r="G4122" s="5" t="s">
        <v>4</v>
      </c>
      <c r="H4122" s="5" t="s">
        <v>5</v>
      </c>
      <c r="I4122" s="6"/>
    </row>
    <row r="4123" spans="1:9" ht="13.5">
      <c r="A4123" s="2" t="s">
        <v>435</v>
      </c>
      <c r="B4123" s="3" t="str">
        <f ca="1">IFERROR(__xludf.DUMMYFUNCTION("REGEXEXTRACT(C4123, ""https?:\/\/(?:.*\.)*(.+\..+?)\/"")"),"familjeekonomin.se")</f>
        <v>familjeekonomin.se</v>
      </c>
      <c r="C4123" s="4" t="s">
        <v>7044</v>
      </c>
      <c r="D4123" s="4" t="s">
        <v>437</v>
      </c>
      <c r="E4123" s="5" t="s">
        <v>563</v>
      </c>
      <c r="F4123" s="5" t="str">
        <f t="shared" si="64"/>
        <v>fairinvestments.se</v>
      </c>
      <c r="G4123" s="5" t="s">
        <v>4</v>
      </c>
      <c r="H4123" s="5" t="s">
        <v>5</v>
      </c>
      <c r="I4123" s="6"/>
    </row>
    <row r="4124" spans="1:9" ht="13.5">
      <c r="A4124" s="2" t="s">
        <v>435</v>
      </c>
      <c r="B4124" s="3"/>
      <c r="C4124" s="4" t="s">
        <v>7045</v>
      </c>
      <c r="D4124" s="4" t="s">
        <v>1734</v>
      </c>
      <c r="E4124" s="5" t="s">
        <v>438</v>
      </c>
      <c r="F4124" s="5" t="str">
        <f t="shared" si="64"/>
        <v>fairinvestments.se</v>
      </c>
      <c r="G4124" s="5" t="s">
        <v>4</v>
      </c>
      <c r="H4124" s="5" t="s">
        <v>5</v>
      </c>
      <c r="I4124" s="6"/>
    </row>
    <row r="4125" spans="1:9" ht="13.5">
      <c r="A4125" s="2" t="s">
        <v>1</v>
      </c>
      <c r="B4125" s="3" t="str">
        <f ca="1">IFERROR(__xludf.DUMMYFUNCTION("REGEXEXTRACT(C4125, ""https?:\/\/(?:.*\.)*(.+\..+?)\/"")"),"#N/A")</f>
        <v>#N/A</v>
      </c>
      <c r="C4125" s="5"/>
      <c r="D4125" s="4" t="s">
        <v>7046</v>
      </c>
      <c r="E4125" s="5" t="s">
        <v>7047</v>
      </c>
      <c r="F4125" s="5" t="str">
        <f t="shared" si="64"/>
        <v>haxan.se</v>
      </c>
      <c r="G4125" s="5" t="s">
        <v>4</v>
      </c>
      <c r="H4125" s="5" t="s">
        <v>5</v>
      </c>
      <c r="I4125" s="6"/>
    </row>
    <row r="4126" spans="1:9" ht="13.5">
      <c r="A4126" s="2" t="s">
        <v>1</v>
      </c>
      <c r="B4126" s="3" t="str">
        <f ca="1">IFERROR(__xludf.DUMMYFUNCTION("REGEXEXTRACT(C4126, ""https?:\/\/(?:.*\.)*(.+\..+?)\/"")"),"#N/A")</f>
        <v>#N/A</v>
      </c>
      <c r="C4126" s="5"/>
      <c r="D4126" s="4" t="s">
        <v>7048</v>
      </c>
      <c r="E4126" s="5" t="s">
        <v>7049</v>
      </c>
      <c r="F4126" s="5" t="str">
        <f t="shared" si="64"/>
        <v>haxan.se</v>
      </c>
      <c r="G4126" s="5" t="s">
        <v>4</v>
      </c>
      <c r="H4126" s="5" t="s">
        <v>5</v>
      </c>
      <c r="I4126" s="6"/>
    </row>
    <row r="4127" spans="1:9" ht="13.5">
      <c r="A4127" s="2" t="s">
        <v>1</v>
      </c>
      <c r="B4127" s="3" t="str">
        <f ca="1">IFERROR(__xludf.DUMMYFUNCTION("REGEXEXTRACT(C4127, ""https?:\/\/(?:.*\.)*(.+\..+?)\/"")"),"#N/A")</f>
        <v>#N/A</v>
      </c>
      <c r="C4127" s="5"/>
      <c r="D4127" s="4" t="s">
        <v>864</v>
      </c>
      <c r="E4127" s="5" t="s">
        <v>7050</v>
      </c>
      <c r="F4127" s="5" t="str">
        <f t="shared" si="64"/>
        <v>haxan.se</v>
      </c>
      <c r="G4127" s="5" t="s">
        <v>4</v>
      </c>
      <c r="H4127" s="5" t="s">
        <v>5</v>
      </c>
      <c r="I4127" s="6"/>
    </row>
    <row r="4128" spans="1:9" ht="13.5">
      <c r="A4128" s="2" t="s">
        <v>1</v>
      </c>
      <c r="B4128" s="3" t="str">
        <f ca="1">IFERROR(__xludf.DUMMYFUNCTION("REGEXEXTRACT(C4128, ""https?:\/\/(?:.*\.)*(.+\..+?)\/"")"),"#N/A")</f>
        <v>#N/A</v>
      </c>
      <c r="C4128" s="5"/>
      <c r="D4128" s="4" t="s">
        <v>1226</v>
      </c>
      <c r="E4128" s="5" t="s">
        <v>1371</v>
      </c>
      <c r="F4128" s="5" t="str">
        <f t="shared" si="64"/>
        <v>haxan.se</v>
      </c>
      <c r="G4128" s="5" t="s">
        <v>4</v>
      </c>
      <c r="H4128" s="5" t="s">
        <v>5</v>
      </c>
      <c r="I4128" s="6"/>
    </row>
    <row r="4129" spans="1:9" ht="13.5">
      <c r="A4129" s="2" t="s">
        <v>1</v>
      </c>
      <c r="B4129" s="3"/>
      <c r="C4129" s="5"/>
      <c r="D4129" s="8" t="s">
        <v>192</v>
      </c>
      <c r="E4129" s="5" t="s">
        <v>377</v>
      </c>
      <c r="F4129" s="5" t="str">
        <f t="shared" si="64"/>
        <v>haxan.se</v>
      </c>
      <c r="G4129" s="5"/>
      <c r="H4129" s="5"/>
      <c r="I4129" s="6"/>
    </row>
    <row r="4130" spans="1:9" ht="13.5">
      <c r="A4130" s="2" t="s">
        <v>1</v>
      </c>
      <c r="B4130" s="3"/>
      <c r="C4130" s="5"/>
      <c r="D4130" s="4" t="s">
        <v>7051</v>
      </c>
      <c r="E4130" s="5" t="s">
        <v>7052</v>
      </c>
      <c r="F4130" s="5" t="str">
        <f t="shared" si="64"/>
        <v>haxan.se</v>
      </c>
      <c r="G4130" s="5"/>
      <c r="H4130" s="5"/>
      <c r="I4130" s="6"/>
    </row>
    <row r="4131" spans="1:9" ht="13.5">
      <c r="A4131" s="2" t="s">
        <v>1</v>
      </c>
      <c r="B4131" s="3" t="str">
        <f ca="1">IFERROR(__xludf.DUMMYFUNCTION("REGEXEXTRACT(C4131, ""https?:\/\/(?:.*\.)*(.+\..+?)\/"")"),"nyfamilj.se")</f>
        <v>nyfamilj.se</v>
      </c>
      <c r="C4131" s="4" t="s">
        <v>7053</v>
      </c>
      <c r="D4131" s="4" t="s">
        <v>3</v>
      </c>
      <c r="E4131" s="5" t="s">
        <v>240</v>
      </c>
      <c r="F4131" s="5" t="str">
        <f t="shared" si="64"/>
        <v>haxan.se</v>
      </c>
      <c r="G4131" s="5" t="s">
        <v>4</v>
      </c>
      <c r="H4131" s="5" t="s">
        <v>5</v>
      </c>
      <c r="I4131" s="6"/>
    </row>
    <row r="4132" spans="1:9" ht="13.5">
      <c r="A4132" s="2" t="s">
        <v>1</v>
      </c>
      <c r="B4132" s="3" t="str">
        <f ca="1">IFERROR(__xludf.DUMMYFUNCTION("REGEXEXTRACT(C4132, ""https?:\/\/(?:.*\.)*(.+\..+?)\/"")"),"executiveeffect.se")</f>
        <v>executiveeffect.se</v>
      </c>
      <c r="C4132" s="4" t="s">
        <v>7054</v>
      </c>
      <c r="D4132" s="4" t="s">
        <v>3</v>
      </c>
      <c r="E4132" s="5" t="s">
        <v>660</v>
      </c>
      <c r="F4132" s="5" t="str">
        <f t="shared" si="64"/>
        <v>haxan.se</v>
      </c>
      <c r="G4132" s="5" t="s">
        <v>4</v>
      </c>
      <c r="H4132" s="5" t="s">
        <v>5</v>
      </c>
      <c r="I4132" s="6"/>
    </row>
    <row r="4133" spans="1:9" ht="13.5">
      <c r="A4133" s="24" t="s">
        <v>1</v>
      </c>
      <c r="B4133" s="3" t="str">
        <f ca="1">IFERROR(__xludf.DUMMYFUNCTION("REGEXEXTRACT(C4133, ""https?:\/\/(?:.*\.)*(.+\..+?)\/"")"),"serviceteknikerkarlstad.se")</f>
        <v>serviceteknikerkarlstad.se</v>
      </c>
      <c r="C4133" s="19" t="s">
        <v>7055</v>
      </c>
      <c r="D4133" s="20" t="s">
        <v>3</v>
      </c>
      <c r="E4133" s="5" t="s">
        <v>10</v>
      </c>
      <c r="F4133" s="5" t="str">
        <f t="shared" si="64"/>
        <v>haxan.se</v>
      </c>
      <c r="G4133" s="5" t="s">
        <v>4</v>
      </c>
      <c r="H4133" s="5" t="s">
        <v>5</v>
      </c>
      <c r="I4133" s="6"/>
    </row>
    <row r="4134" spans="1:9" ht="13.5">
      <c r="A4134" s="2" t="s">
        <v>1</v>
      </c>
      <c r="B4134" s="3"/>
      <c r="C4134" s="4" t="s">
        <v>7056</v>
      </c>
      <c r="D4134" s="4" t="s">
        <v>3</v>
      </c>
      <c r="E4134" s="5" t="s">
        <v>7057</v>
      </c>
      <c r="F4134" s="5" t="str">
        <f t="shared" si="64"/>
        <v>haxan.se</v>
      </c>
      <c r="G4134" s="5" t="s">
        <v>4</v>
      </c>
      <c r="H4134" s="5" t="s">
        <v>5</v>
      </c>
      <c r="I4134" s="6"/>
    </row>
    <row r="4135" spans="1:9" ht="13.5">
      <c r="A4135" s="2" t="s">
        <v>86</v>
      </c>
      <c r="B4135" s="3" t="str">
        <f ca="1">IFERROR(__xludf.DUMMYFUNCTION("REGEXEXTRACT(C4135, ""https?:\/\/(?:.*\.)*(.+\..+?)\/"")"),"#N/A")</f>
        <v>#N/A</v>
      </c>
      <c r="C4135" s="5"/>
      <c r="D4135" s="4" t="s">
        <v>7058</v>
      </c>
      <c r="E4135" s="5" t="s">
        <v>7059</v>
      </c>
      <c r="F4135" s="5" t="str">
        <f t="shared" si="64"/>
        <v>kopbarnvagn.se</v>
      </c>
      <c r="G4135" s="5"/>
      <c r="H4135" s="5" t="s">
        <v>5</v>
      </c>
      <c r="I4135" s="6"/>
    </row>
    <row r="4136" spans="1:9" ht="13.5">
      <c r="A4136" s="2" t="s">
        <v>86</v>
      </c>
      <c r="B4136" s="3" t="str">
        <f ca="1">IFERROR(__xludf.DUMMYFUNCTION("REGEXEXTRACT(C4136, ""https?:\/\/(?:.*\.)*(.+\..+?)\/"")"),"#N/A")</f>
        <v>#N/A</v>
      </c>
      <c r="C4136" s="5"/>
      <c r="D4136" s="4" t="s">
        <v>7060</v>
      </c>
      <c r="E4136" s="5" t="s">
        <v>7061</v>
      </c>
      <c r="F4136" s="5" t="str">
        <f t="shared" si="64"/>
        <v>kopbarnvagn.se</v>
      </c>
      <c r="G4136" s="5"/>
      <c r="H4136" s="5" t="s">
        <v>5</v>
      </c>
      <c r="I4136" s="6"/>
    </row>
    <row r="4137" spans="1:9" ht="13.5">
      <c r="A4137" s="2" t="s">
        <v>86</v>
      </c>
      <c r="B4137" s="3" t="str">
        <f ca="1">IFERROR(__xludf.DUMMYFUNCTION("REGEXEXTRACT(C4137, ""https?:\/\/(?:.*\.)*(.+\..+?)\/"")"),"babyblogg.se")</f>
        <v>babyblogg.se</v>
      </c>
      <c r="C4137" s="11" t="s">
        <v>7062</v>
      </c>
      <c r="D4137" s="4" t="s">
        <v>445</v>
      </c>
      <c r="E4137" s="5" t="s">
        <v>97</v>
      </c>
      <c r="F4137" s="5" t="str">
        <f t="shared" si="64"/>
        <v>kopbarnvagn.se</v>
      </c>
      <c r="G4137" s="5" t="s">
        <v>4</v>
      </c>
      <c r="H4137" s="5" t="s">
        <v>5</v>
      </c>
      <c r="I4137" s="6"/>
    </row>
    <row r="4138" spans="1:9" ht="13.5">
      <c r="A4138" s="2" t="s">
        <v>308</v>
      </c>
      <c r="B4138" s="3" t="str">
        <f ca="1">IFERROR(__xludf.DUMMYFUNCTION("REGEXEXTRACT(C4138, ""https?:\/\/(?:.*\.)*(.+\..+?)\/"")"),"norrkopingextra.se")</f>
        <v>norrkopingextra.se</v>
      </c>
      <c r="C4138" s="4" t="s">
        <v>7063</v>
      </c>
      <c r="D4138" s="349" t="s">
        <v>310</v>
      </c>
      <c r="E4138" s="5" t="s">
        <v>2489</v>
      </c>
      <c r="F4138" s="5" t="str">
        <f t="shared" si="64"/>
        <v>lansfast.se</v>
      </c>
      <c r="G4138" s="5" t="s">
        <v>4</v>
      </c>
      <c r="H4138" s="5" t="s">
        <v>5</v>
      </c>
      <c r="I4138" s="6"/>
    </row>
    <row r="4139" spans="1:9" ht="13.5">
      <c r="A4139" s="2" t="s">
        <v>308</v>
      </c>
      <c r="B4139" s="3" t="str">
        <f ca="1">IFERROR(__xludf.DUMMYFUNCTION("REGEXEXTRACT(C4139, ""https?:\/\/(?:.*\.)*(.+\..+?)\/"")"),"nutidshuset.se")</f>
        <v>nutidshuset.se</v>
      </c>
      <c r="C4139" s="4" t="s">
        <v>7064</v>
      </c>
      <c r="D4139" s="4" t="s">
        <v>310</v>
      </c>
      <c r="E4139" s="5" t="s">
        <v>2489</v>
      </c>
      <c r="F4139" s="5" t="str">
        <f t="shared" si="64"/>
        <v>lansfast.se</v>
      </c>
      <c r="G4139" s="5" t="s">
        <v>4</v>
      </c>
      <c r="H4139" s="5" t="s">
        <v>5</v>
      </c>
      <c r="I4139" s="6"/>
    </row>
    <row r="4140" spans="1:9" ht="13.5">
      <c r="A4140" s="2" t="s">
        <v>308</v>
      </c>
      <c r="B4140" s="3" t="str">
        <f ca="1">IFERROR(__xludf.DUMMYFUNCTION("REGEXEXTRACT(C4140, ""https?:\/\/(?:.*\.)*(.+\..+?)\/"")"),"saleseffect.se")</f>
        <v>saleseffect.se</v>
      </c>
      <c r="C4140" s="4" t="s">
        <v>7065</v>
      </c>
      <c r="D4140" s="4" t="s">
        <v>310</v>
      </c>
      <c r="E4140" s="5" t="s">
        <v>7066</v>
      </c>
      <c r="F4140" s="5" t="str">
        <f t="shared" si="64"/>
        <v>lansfast.se</v>
      </c>
      <c r="G4140" s="5" t="s">
        <v>4</v>
      </c>
      <c r="H4140" s="5" t="s">
        <v>5</v>
      </c>
      <c r="I4140" s="6"/>
    </row>
    <row r="4141" spans="1:9" ht="13.5">
      <c r="A4141" s="2" t="s">
        <v>308</v>
      </c>
      <c r="B4141" s="3" t="str">
        <f ca="1">IFERROR(__xludf.DUMMYFUNCTION("REGEXEXTRACT(C4141, ""https?:\/\/(?:.*\.)*(.+\..+?)\/"")"),"hustillsalu.se")</f>
        <v>hustillsalu.se</v>
      </c>
      <c r="C4141" s="4" t="s">
        <v>65</v>
      </c>
      <c r="D4141" s="4" t="s">
        <v>310</v>
      </c>
      <c r="E4141" s="5" t="s">
        <v>7067</v>
      </c>
      <c r="F4141" s="5" t="str">
        <f t="shared" si="64"/>
        <v>lansfast.se</v>
      </c>
      <c r="G4141" s="5" t="s">
        <v>34</v>
      </c>
      <c r="H4141" s="5" t="s">
        <v>5</v>
      </c>
      <c r="I4141" s="6"/>
    </row>
    <row r="4142" spans="1:9" ht="13.5">
      <c r="A4142" s="2" t="s">
        <v>308</v>
      </c>
      <c r="B4142" s="3" t="str">
        <f ca="1">IFERROR(__xludf.DUMMYFUNCTION("REGEXEXTRACT(C4142, ""https?:\/\/(?:.*\.)*(.+\..+?)\/"")"),"vasterasextra.se")</f>
        <v>vasterasextra.se</v>
      </c>
      <c r="C4142" s="4" t="s">
        <v>7068</v>
      </c>
      <c r="D4142" s="4" t="s">
        <v>310</v>
      </c>
      <c r="E4142" s="5" t="s">
        <v>7067</v>
      </c>
      <c r="F4142" s="5" t="str">
        <f t="shared" si="64"/>
        <v>lansfast.se</v>
      </c>
      <c r="G4142" s="5" t="s">
        <v>34</v>
      </c>
      <c r="H4142" s="5" t="s">
        <v>5</v>
      </c>
      <c r="I4142" s="6"/>
    </row>
    <row r="4143" spans="1:9" ht="13.5">
      <c r="A4143" s="2" t="s">
        <v>308</v>
      </c>
      <c r="B4143" s="3" t="str">
        <f ca="1">IFERROR(__xludf.DUMMYFUNCTION("REGEXEXTRACT(C4143, ""https?:\/\/(?:.*\.)*(.+\..+?)\/"")"),"havstomt.se")</f>
        <v>havstomt.se</v>
      </c>
      <c r="C4143" s="4" t="s">
        <v>7069</v>
      </c>
      <c r="D4143" s="4" t="s">
        <v>310</v>
      </c>
      <c r="E4143" s="5" t="s">
        <v>7067</v>
      </c>
      <c r="F4143" s="5" t="str">
        <f t="shared" si="64"/>
        <v>lansfast.se</v>
      </c>
      <c r="G4143" s="5" t="s">
        <v>4</v>
      </c>
      <c r="H4143" s="5" t="s">
        <v>5</v>
      </c>
      <c r="I4143" s="6"/>
    </row>
    <row r="4144" spans="1:9" ht="13.5">
      <c r="A4144" s="2" t="s">
        <v>308</v>
      </c>
      <c r="B4144" s="3" t="str">
        <f ca="1">IFERROR(__xludf.DUMMYFUNCTION("REGEXEXTRACT(C4144, ""https?:\/\/(?:.*\.)*(.+\..+?)\/"")"),"poolstart.se")</f>
        <v>poolstart.se</v>
      </c>
      <c r="C4144" s="4" t="s">
        <v>7070</v>
      </c>
      <c r="D4144" s="4" t="s">
        <v>310</v>
      </c>
      <c r="E4144" s="5" t="s">
        <v>7067</v>
      </c>
      <c r="F4144" s="5" t="str">
        <f t="shared" si="64"/>
        <v>lansfast.se</v>
      </c>
      <c r="G4144" s="5" t="s">
        <v>4</v>
      </c>
      <c r="H4144" s="5" t="s">
        <v>5</v>
      </c>
      <c r="I4144" s="6"/>
    </row>
    <row r="4145" spans="1:9" ht="13.5">
      <c r="A4145" s="2" t="s">
        <v>308</v>
      </c>
      <c r="B4145" s="3" t="str">
        <f ca="1">IFERROR(__xludf.DUMMYFUNCTION("REGEXEXTRACT(C4145, ""https?:\/\/(?:.*\.)*(.+\..+?)\/"")"),"sund.nu")</f>
        <v>sund.nu</v>
      </c>
      <c r="C4145" s="4" t="s">
        <v>7071</v>
      </c>
      <c r="D4145" s="4" t="s">
        <v>310</v>
      </c>
      <c r="E4145" s="9" t="s">
        <v>310</v>
      </c>
      <c r="F4145" s="5" t="str">
        <f t="shared" si="64"/>
        <v>lansfast.se</v>
      </c>
      <c r="G4145" s="5" t="s">
        <v>4</v>
      </c>
      <c r="H4145" s="5" t="s">
        <v>5</v>
      </c>
      <c r="I4145" s="6"/>
    </row>
    <row r="4146" spans="1:9" ht="13.5">
      <c r="A4146" s="2" t="s">
        <v>308</v>
      </c>
      <c r="B4146" s="3" t="str">
        <f ca="1">IFERROR(__xludf.DUMMYFUNCTION("REGEXEXTRACT(C4146, ""https?:\/\/(?:.*\.)*(.+\..+?)\/"")"),"#N/A")</f>
        <v>#N/A</v>
      </c>
      <c r="C4146" s="4" t="s">
        <v>7072</v>
      </c>
      <c r="D4146" s="4" t="s">
        <v>310</v>
      </c>
      <c r="E4146" s="5" t="s">
        <v>7067</v>
      </c>
      <c r="F4146" s="5" t="str">
        <f t="shared" si="64"/>
        <v>lansfast.se</v>
      </c>
      <c r="G4146" s="5" t="s">
        <v>34</v>
      </c>
      <c r="H4146" s="5" t="s">
        <v>5</v>
      </c>
      <c r="I4146" s="6"/>
    </row>
    <row r="4147" spans="1:9" ht="13.5">
      <c r="A4147" s="2" t="s">
        <v>308</v>
      </c>
      <c r="B4147" s="3" t="str">
        <f ca="1">IFERROR(__xludf.DUMMYFUNCTION("REGEXEXTRACT(C4147, ""https?:\/\/(?:.*\.)*(.+\..+?)\/"")"),"uppsalabostad.se")</f>
        <v>uppsalabostad.se</v>
      </c>
      <c r="C4147" s="4" t="s">
        <v>7073</v>
      </c>
      <c r="D4147" s="4" t="s">
        <v>310</v>
      </c>
      <c r="E4147" s="5" t="s">
        <v>4004</v>
      </c>
      <c r="F4147" s="5" t="str">
        <f t="shared" si="64"/>
        <v>lansfast.se</v>
      </c>
      <c r="G4147" s="5" t="s">
        <v>4</v>
      </c>
      <c r="H4147" s="5" t="s">
        <v>5</v>
      </c>
      <c r="I4147" s="6"/>
    </row>
    <row r="4148" spans="1:9" ht="13.5">
      <c r="A4148" s="2" t="s">
        <v>308</v>
      </c>
      <c r="B4148" s="3" t="str">
        <f ca="1">IFERROR(__xludf.DUMMYFUNCTION("REGEXEXTRACT(C4148, ""https?:\/\/(?:.*\.)*(.+\..+?)\/"")"),"galamagazine.se")</f>
        <v>galamagazine.se</v>
      </c>
      <c r="C4148" s="4" t="s">
        <v>7074</v>
      </c>
      <c r="D4148" s="4" t="s">
        <v>310</v>
      </c>
      <c r="E4148" s="5" t="s">
        <v>2489</v>
      </c>
      <c r="F4148" s="5" t="str">
        <f t="shared" si="64"/>
        <v>lansfast.se</v>
      </c>
      <c r="G4148" s="5" t="s">
        <v>4</v>
      </c>
      <c r="H4148" s="5" t="s">
        <v>5</v>
      </c>
      <c r="I4148" s="6"/>
    </row>
    <row r="4149" spans="1:9" ht="13.5">
      <c r="A4149" s="2" t="s">
        <v>308</v>
      </c>
      <c r="B4149" s="3" t="str">
        <f ca="1">IFERROR(__xludf.DUMMYFUNCTION("REGEXEXTRACT(C4149, ""https?:\/\/(?:.*\.)*(.+\..+?)\/"")"),"now.nu")</f>
        <v>now.nu</v>
      </c>
      <c r="C4149" s="4" t="s">
        <v>7075</v>
      </c>
      <c r="D4149" s="4" t="s">
        <v>310</v>
      </c>
      <c r="E4149" s="5" t="s">
        <v>7076</v>
      </c>
      <c r="F4149" s="5" t="str">
        <f t="shared" si="64"/>
        <v>lansfast.se</v>
      </c>
      <c r="G4149" s="5" t="s">
        <v>4</v>
      </c>
      <c r="H4149" s="5" t="s">
        <v>5</v>
      </c>
      <c r="I4149" s="6"/>
    </row>
    <row r="4150" spans="1:9" ht="13.5">
      <c r="A4150" s="2" t="s">
        <v>308</v>
      </c>
      <c r="B4150" s="3" t="str">
        <f ca="1">IFERROR(__xludf.DUMMYFUNCTION("REGEXEXTRACT(C4150, ""https?:\/\/(?:.*\.)*(.+\..+?)\/"")"),"businessmanualen.se")</f>
        <v>businessmanualen.se</v>
      </c>
      <c r="C4150" s="4" t="s">
        <v>7077</v>
      </c>
      <c r="D4150" s="4" t="s">
        <v>310</v>
      </c>
      <c r="E4150" s="5" t="s">
        <v>7078</v>
      </c>
      <c r="F4150" s="5" t="str">
        <f t="shared" si="64"/>
        <v>lansfast.se</v>
      </c>
      <c r="G4150" s="5" t="s">
        <v>4</v>
      </c>
      <c r="H4150" s="5" t="s">
        <v>5</v>
      </c>
      <c r="I4150" s="6"/>
    </row>
    <row r="4151" spans="1:9" ht="13.5">
      <c r="A4151" s="2" t="s">
        <v>308</v>
      </c>
      <c r="B4151" s="3" t="str">
        <f ca="1">IFERROR(__xludf.DUMMYFUNCTION("REGEXEXTRACT(C4151, ""https?:\/\/(?:.*\.)*(.+\..+?)\/"")"),"direktbygg.se")</f>
        <v>direktbygg.se</v>
      </c>
      <c r="C4151" s="4" t="s">
        <v>7079</v>
      </c>
      <c r="D4151" s="4" t="s">
        <v>310</v>
      </c>
      <c r="E4151" s="5" t="s">
        <v>7080</v>
      </c>
      <c r="F4151" s="5" t="str">
        <f t="shared" si="64"/>
        <v>lansfast.se</v>
      </c>
      <c r="G4151" s="5" t="s">
        <v>4</v>
      </c>
      <c r="H4151" s="5" t="s">
        <v>5</v>
      </c>
      <c r="I4151" s="6"/>
    </row>
    <row r="4152" spans="1:9" ht="13.5">
      <c r="A4152" s="2" t="s">
        <v>308</v>
      </c>
      <c r="B4152" s="3" t="str">
        <f ca="1">IFERROR(__xludf.DUMMYFUNCTION("REGEXEXTRACT(C4152, ""https?:\/\/(?:.*\.)*(.+\..+?)\/"")"),"husmedia.se")</f>
        <v>husmedia.se</v>
      </c>
      <c r="C4152" s="4" t="s">
        <v>7081</v>
      </c>
      <c r="D4152" s="4" t="s">
        <v>310</v>
      </c>
      <c r="E4152" s="5" t="s">
        <v>569</v>
      </c>
      <c r="F4152" s="5" t="str">
        <f t="shared" si="64"/>
        <v>lansfast.se</v>
      </c>
      <c r="G4152" s="5" t="s">
        <v>4</v>
      </c>
      <c r="H4152" s="5" t="s">
        <v>5</v>
      </c>
      <c r="I4152" s="6"/>
    </row>
    <row r="4153" spans="1:9" ht="13.5">
      <c r="A4153" s="2" t="s">
        <v>308</v>
      </c>
      <c r="B4153" s="3" t="str">
        <f ca="1">IFERROR(__xludf.DUMMYFUNCTION("REGEXEXTRACT(C4153, ""https?:\/\/(?:.*\.)*(.+\..+?)\/"")"),"tidskriftenskeppet.se")</f>
        <v>tidskriftenskeppet.se</v>
      </c>
      <c r="C4153" s="4" t="s">
        <v>7082</v>
      </c>
      <c r="D4153" s="4" t="s">
        <v>310</v>
      </c>
      <c r="E4153" s="5" t="s">
        <v>7083</v>
      </c>
      <c r="F4153" s="5" t="str">
        <f t="shared" si="64"/>
        <v>lansfast.se</v>
      </c>
      <c r="G4153" s="5" t="s">
        <v>4</v>
      </c>
      <c r="H4153" s="5" t="s">
        <v>5</v>
      </c>
      <c r="I4153" s="6"/>
    </row>
    <row r="4154" spans="1:9" ht="13.5">
      <c r="A4154" s="2" t="s">
        <v>11</v>
      </c>
      <c r="B4154" s="3" t="str">
        <f ca="1">IFERROR(__xludf.DUMMYFUNCTION("REGEXEXTRACT(C4154, ""https?:\/\/(?:.*\.)*(.+\..+?)\/"")"),"eventeffect.se")</f>
        <v>eventeffect.se</v>
      </c>
      <c r="C4154" s="4" t="s">
        <v>7084</v>
      </c>
      <c r="D4154" s="4" t="s">
        <v>13</v>
      </c>
      <c r="E4154" s="5" t="s">
        <v>7085</v>
      </c>
      <c r="F4154" s="5" t="str">
        <f t="shared" si="64"/>
        <v>ljusgrossisten.se</v>
      </c>
      <c r="G4154" s="5" t="s">
        <v>4</v>
      </c>
      <c r="H4154" s="5" t="s">
        <v>5</v>
      </c>
      <c r="I4154" s="6"/>
    </row>
    <row r="4155" spans="1:9" ht="13.5">
      <c r="A4155" s="2" t="s">
        <v>11</v>
      </c>
      <c r="B4155" s="3" t="str">
        <f ca="1">IFERROR(__xludf.DUMMYFUNCTION("REGEXEXTRACT(C4155, ""https?:\/\/(?:.*\.)*(.+\..+?)\/"")"),"executiveeffect.se")</f>
        <v>executiveeffect.se</v>
      </c>
      <c r="C4155" s="4" t="s">
        <v>7086</v>
      </c>
      <c r="D4155" s="4" t="s">
        <v>13</v>
      </c>
      <c r="E4155" s="5" t="s">
        <v>7087</v>
      </c>
      <c r="F4155" s="5" t="str">
        <f t="shared" si="64"/>
        <v>ljusgrossisten.se</v>
      </c>
      <c r="G4155" s="5" t="s">
        <v>4</v>
      </c>
      <c r="H4155" s="5" t="s">
        <v>5</v>
      </c>
      <c r="I4155" s="6"/>
    </row>
    <row r="4156" spans="1:9" ht="13.5">
      <c r="A4156" s="2" t="s">
        <v>11</v>
      </c>
      <c r="B4156" s="3" t="str">
        <f ca="1">IFERROR(__xludf.DUMMYFUNCTION("REGEXEXTRACT(C4156, ""https?:\/\/(?:.*\.)*(.+\..+?)\/"")"),"modernalivet.se")</f>
        <v>modernalivet.se</v>
      </c>
      <c r="C4156" s="4" t="s">
        <v>7088</v>
      </c>
      <c r="D4156" s="4" t="s">
        <v>13</v>
      </c>
      <c r="E4156" s="5" t="s">
        <v>7087</v>
      </c>
      <c r="F4156" s="5" t="str">
        <f t="shared" si="64"/>
        <v>ljusgrossisten.se</v>
      </c>
      <c r="G4156" s="5" t="s">
        <v>4</v>
      </c>
      <c r="H4156" s="5" t="s">
        <v>5</v>
      </c>
      <c r="I4156" s="6"/>
    </row>
    <row r="4157" spans="1:9" ht="13.5">
      <c r="A4157" s="2" t="s">
        <v>11</v>
      </c>
      <c r="B4157" s="3" t="str">
        <f ca="1">IFERROR(__xludf.DUMMYFUNCTION("REGEXEXTRACT(C4157, ""https?:\/\/(?:.*\.)*(.+\..+?)\/"")"),"industritorget.se")</f>
        <v>industritorget.se</v>
      </c>
      <c r="C4157" s="4" t="s">
        <v>7089</v>
      </c>
      <c r="D4157" s="4" t="s">
        <v>13</v>
      </c>
      <c r="E4157" s="5" t="s">
        <v>14</v>
      </c>
      <c r="F4157" s="5" t="str">
        <f t="shared" si="64"/>
        <v>ljusgrossisten.se</v>
      </c>
      <c r="G4157" s="5" t="s">
        <v>4</v>
      </c>
      <c r="H4157" s="5" t="s">
        <v>5</v>
      </c>
      <c r="I4157" s="6"/>
    </row>
    <row r="4158" spans="1:9" ht="13.5">
      <c r="A4158" s="2" t="s">
        <v>632</v>
      </c>
      <c r="B4158" s="3" t="str">
        <f ca="1">IFERROR(__xludf.DUMMYFUNCTION("REGEXEXTRACT(C4158, ""https?:\/\/(?:.*\.)*(.+\..+?)\/"")"),"svalan.se")</f>
        <v>svalan.se</v>
      </c>
      <c r="C4158" s="4" t="s">
        <v>7090</v>
      </c>
      <c r="D4158" s="4" t="s">
        <v>634</v>
      </c>
      <c r="E4158" s="5" t="s">
        <v>773</v>
      </c>
      <c r="F4158" s="5" t="str">
        <f t="shared" si="64"/>
        <v>miamipool.se</v>
      </c>
      <c r="G4158" s="5" t="s">
        <v>4</v>
      </c>
      <c r="H4158" s="5" t="s">
        <v>5</v>
      </c>
      <c r="I4158" s="6"/>
    </row>
    <row r="4159" spans="1:9" ht="13.5">
      <c r="A4159" s="7" t="s">
        <v>67</v>
      </c>
      <c r="B4159" s="3" t="str">
        <f ca="1">IFERROR(__xludf.DUMMYFUNCTION("REGEXEXTRACT(C4159, ""https?:\/\/(?:.*\.)*(.+\..+?)\/"")"),"ledarsidorna.se")</f>
        <v>ledarsidorna.se</v>
      </c>
      <c r="C4159" s="4" t="s">
        <v>7091</v>
      </c>
      <c r="D4159" s="4" t="s">
        <v>69</v>
      </c>
      <c r="E4159" s="5" t="s">
        <v>7092</v>
      </c>
      <c r="F4159" s="5" t="str">
        <f t="shared" si="64"/>
        <v>nem.health</v>
      </c>
      <c r="G4159" s="5" t="s">
        <v>4</v>
      </c>
      <c r="H4159" s="5" t="s">
        <v>5</v>
      </c>
      <c r="I4159" s="6"/>
    </row>
    <row r="4160" spans="1:9" ht="13.5">
      <c r="A4160" s="7" t="s">
        <v>67</v>
      </c>
      <c r="B4160" s="3" t="str">
        <f ca="1">IFERROR(__xludf.DUMMYFUNCTION("REGEXEXTRACT(C4160, ""https?:\/\/(?:.*\.)*(.+\..+?)\/"")"),"veckomagasinet.com")</f>
        <v>veckomagasinet.com</v>
      </c>
      <c r="C4160" s="4" t="s">
        <v>7093</v>
      </c>
      <c r="D4160" s="4" t="s">
        <v>69</v>
      </c>
      <c r="E4160" s="5" t="s">
        <v>7094</v>
      </c>
      <c r="F4160" s="5" t="str">
        <f t="shared" si="64"/>
        <v>nem.health</v>
      </c>
      <c r="G4160" s="5" t="s">
        <v>4</v>
      </c>
      <c r="H4160" s="5" t="s">
        <v>5</v>
      </c>
      <c r="I4160" s="6"/>
    </row>
    <row r="4161" spans="1:9" ht="13.5">
      <c r="A4161" s="7" t="s">
        <v>67</v>
      </c>
      <c r="B4161" s="3" t="str">
        <f ca="1">IFERROR(__xludf.DUMMYFUNCTION("REGEXEXTRACT(C4161, ""https?:\/\/(?:.*\.)*(.+\..+?)\/"")"),"affarsstaden.se")</f>
        <v>affarsstaden.se</v>
      </c>
      <c r="C4161" s="4" t="s">
        <v>7095</v>
      </c>
      <c r="D4161" s="4" t="s">
        <v>69</v>
      </c>
      <c r="E4161" s="9" t="s">
        <v>69</v>
      </c>
      <c r="F4161" s="5" t="str">
        <f t="shared" si="64"/>
        <v>nem.health</v>
      </c>
      <c r="G4161" s="5" t="s">
        <v>4</v>
      </c>
      <c r="H4161" s="5" t="s">
        <v>5</v>
      </c>
      <c r="I4161" s="6"/>
    </row>
    <row r="4162" spans="1:9" ht="13.5">
      <c r="A4162" s="7" t="s">
        <v>67</v>
      </c>
      <c r="B4162" s="3" t="str">
        <f ca="1">IFERROR(__xludf.DUMMYFUNCTION("REGEXEXTRACT(C4162, ""https?:\/\/(?:.*\.)*(.+\..+?)\/"")"),"sahlstorm.se")</f>
        <v>sahlstorm.se</v>
      </c>
      <c r="C4162" s="4" t="s">
        <v>7096</v>
      </c>
      <c r="D4162" s="4" t="s">
        <v>69</v>
      </c>
      <c r="E4162" s="5" t="s">
        <v>7097</v>
      </c>
      <c r="F4162" s="5" t="str">
        <f t="shared" si="64"/>
        <v>nem.health</v>
      </c>
      <c r="G4162" s="5" t="s">
        <v>4</v>
      </c>
      <c r="H4162" s="5" t="s">
        <v>5</v>
      </c>
      <c r="I4162" s="6"/>
    </row>
    <row r="4163" spans="1:9" ht="13.5">
      <c r="A4163" s="7" t="s">
        <v>67</v>
      </c>
      <c r="B4163" s="3" t="str">
        <f ca="1">IFERROR(__xludf.DUMMYFUNCTION("REGEXEXTRACT(C4163, ""https?:\/\/(?:.*\.)*(.+\..+?)\/"")"),"zelium.se")</f>
        <v>zelium.se</v>
      </c>
      <c r="C4163" s="4" t="s">
        <v>7098</v>
      </c>
      <c r="D4163" s="4" t="s">
        <v>69</v>
      </c>
      <c r="E4163" s="9" t="s">
        <v>69</v>
      </c>
      <c r="F4163" s="5" t="str">
        <f t="shared" ref="F4163:F4226" si="65">A4163</f>
        <v>nem.health</v>
      </c>
      <c r="G4163" s="5" t="s">
        <v>4</v>
      </c>
      <c r="H4163" s="5" t="s">
        <v>5</v>
      </c>
      <c r="I4163" s="6"/>
    </row>
    <row r="4164" spans="1:9" ht="13.5">
      <c r="A4164" s="7" t="s">
        <v>67</v>
      </c>
      <c r="B4164" s="3" t="str">
        <f ca="1">IFERROR(__xludf.DUMMYFUNCTION("REGEXEXTRACT(C4164, ""https?:\/\/(?:.*\.)*(.+\..+?)\/"")"),"dinlokalabokhandel.se")</f>
        <v>dinlokalabokhandel.se</v>
      </c>
      <c r="C4164" s="4" t="s">
        <v>7099</v>
      </c>
      <c r="D4164" s="4" t="s">
        <v>69</v>
      </c>
      <c r="E4164" s="5" t="s">
        <v>142</v>
      </c>
      <c r="F4164" s="5" t="str">
        <f t="shared" si="65"/>
        <v>nem.health</v>
      </c>
      <c r="G4164" s="5" t="s">
        <v>4</v>
      </c>
      <c r="H4164" s="5" t="s">
        <v>5</v>
      </c>
      <c r="I4164" s="6"/>
    </row>
    <row r="4165" spans="1:9" ht="13.5">
      <c r="A4165" s="7" t="s">
        <v>67</v>
      </c>
      <c r="B4165" s="3" t="str">
        <f ca="1">IFERROR(__xludf.DUMMYFUNCTION("REGEXEXTRACT(C4165, ""https?:\/\/(?:.*\.)*(.+\..+?)\/"")"),"eteriskaoljorna.se")</f>
        <v>eteriskaoljorna.se</v>
      </c>
      <c r="C4165" s="4" t="s">
        <v>7100</v>
      </c>
      <c r="D4165" s="4" t="s">
        <v>69</v>
      </c>
      <c r="E4165" s="5" t="s">
        <v>195</v>
      </c>
      <c r="F4165" s="5" t="str">
        <f t="shared" si="65"/>
        <v>nem.health</v>
      </c>
      <c r="G4165" s="5" t="s">
        <v>4</v>
      </c>
      <c r="H4165" s="5" t="s">
        <v>5</v>
      </c>
      <c r="I4165" s="6"/>
    </row>
    <row r="4166" spans="1:9" ht="13.5">
      <c r="A4166" s="7" t="s">
        <v>67</v>
      </c>
      <c r="B4166" s="3" t="str">
        <f ca="1">IFERROR(__xludf.DUMMYFUNCTION("REGEXEXTRACT(C4166, ""https?:\/\/(?:.*\.)*(.+\..+?)\/"")"),"citygoldmedia.com")</f>
        <v>citygoldmedia.com</v>
      </c>
      <c r="C4166" s="4" t="s">
        <v>7101</v>
      </c>
      <c r="D4166" s="4" t="s">
        <v>7102</v>
      </c>
      <c r="E4166" s="5" t="s">
        <v>7103</v>
      </c>
      <c r="F4166" s="5" t="str">
        <f t="shared" si="65"/>
        <v>nem.health</v>
      </c>
      <c r="G4166" s="5" t="s">
        <v>4</v>
      </c>
      <c r="H4166" s="5" t="s">
        <v>345</v>
      </c>
      <c r="I4166" s="6"/>
    </row>
    <row r="4167" spans="1:9" ht="13.5">
      <c r="A4167" s="2" t="s">
        <v>663</v>
      </c>
      <c r="B4167" s="3" t="str">
        <f ca="1">IFERROR(__xludf.DUMMYFUNCTION("REGEXEXTRACT(C4167, ""https?:\/\/(?:.*\.)*(.+\..+?)\/"")"),"ekonomistart.se")</f>
        <v>ekonomistart.se</v>
      </c>
      <c r="C4167" s="8" t="s">
        <v>2683</v>
      </c>
      <c r="D4167" s="4" t="s">
        <v>770</v>
      </c>
      <c r="E4167" s="5" t="s">
        <v>7104</v>
      </c>
      <c r="F4167" s="5" t="str">
        <f t="shared" si="65"/>
        <v>robomarkets.com</v>
      </c>
      <c r="G4167" s="5" t="s">
        <v>4</v>
      </c>
      <c r="H4167" s="5" t="s">
        <v>5</v>
      </c>
      <c r="I4167" s="6"/>
    </row>
    <row r="4168" spans="1:9" ht="13.5">
      <c r="A4168" s="2" t="s">
        <v>663</v>
      </c>
      <c r="B4168" s="3" t="str">
        <f ca="1">IFERROR(__xludf.DUMMYFUNCTION("REGEXEXTRACT(C4168, ""https?:\/\/(?:.*\.)*(.+\..+?)\/"")"),"xn--brafretagsln-3cb4u.se")</f>
        <v>xn--brafretagsln-3cb4u.se</v>
      </c>
      <c r="C4168" s="4" t="s">
        <v>7105</v>
      </c>
      <c r="D4168" s="4" t="s">
        <v>770</v>
      </c>
      <c r="E4168" s="5" t="s">
        <v>7106</v>
      </c>
      <c r="F4168" s="5" t="str">
        <f t="shared" si="65"/>
        <v>robomarkets.com</v>
      </c>
      <c r="G4168" s="5" t="s">
        <v>34</v>
      </c>
      <c r="H4168" s="5" t="s">
        <v>5</v>
      </c>
      <c r="I4168" s="6"/>
    </row>
    <row r="4169" spans="1:9" ht="13.5">
      <c r="A4169" s="2" t="s">
        <v>663</v>
      </c>
      <c r="B4169" s="3" t="str">
        <f ca="1">IFERROR(__xludf.DUMMYFUNCTION("REGEXEXTRACT(C4169, ""https?:\/\/(?:.*\.)*(.+\..+?)\/"")"),"sek-converter.se")</f>
        <v>sek-converter.se</v>
      </c>
      <c r="C4169" s="4" t="s">
        <v>7107</v>
      </c>
      <c r="D4169" s="4" t="s">
        <v>770</v>
      </c>
      <c r="E4169" s="5" t="s">
        <v>7108</v>
      </c>
      <c r="F4169" s="5" t="str">
        <f t="shared" si="65"/>
        <v>robomarkets.com</v>
      </c>
      <c r="G4169" s="5" t="s">
        <v>4</v>
      </c>
      <c r="H4169" s="5" t="s">
        <v>5</v>
      </c>
      <c r="I4169" s="6"/>
    </row>
    <row r="4170" spans="1:9" ht="13.5">
      <c r="A4170" s="2" t="s">
        <v>663</v>
      </c>
      <c r="B4170" s="3" t="str">
        <f ca="1">IFERROR(__xludf.DUMMYFUNCTION("REGEXEXTRACT(C4170, ""https?:\/\/(?:.*\.)*(.+\..+?)\/"")"),"financefinder.se")</f>
        <v>financefinder.se</v>
      </c>
      <c r="C4170" s="4" t="s">
        <v>7109</v>
      </c>
      <c r="D4170" s="4" t="s">
        <v>770</v>
      </c>
      <c r="E4170" s="5" t="s">
        <v>7110</v>
      </c>
      <c r="F4170" s="5" t="str">
        <f t="shared" si="65"/>
        <v>robomarkets.com</v>
      </c>
      <c r="G4170" s="5" t="s">
        <v>4</v>
      </c>
      <c r="H4170" s="5" t="s">
        <v>5</v>
      </c>
      <c r="I4170" s="6"/>
    </row>
    <row r="4171" spans="1:9" ht="13.5">
      <c r="A4171" s="2" t="s">
        <v>663</v>
      </c>
      <c r="B4171" s="3" t="str">
        <f ca="1">IFERROR(__xludf.DUMMYFUNCTION("REGEXEXTRACT(C4171, ""https?:\/\/(?:.*\.)*(.+\..+?)\/"")"),"coinmixer.se")</f>
        <v>coinmixer.se</v>
      </c>
      <c r="C4171" s="4" t="s">
        <v>7111</v>
      </c>
      <c r="D4171" s="4" t="s">
        <v>770</v>
      </c>
      <c r="E4171" s="5" t="s">
        <v>7112</v>
      </c>
      <c r="F4171" s="5" t="str">
        <f t="shared" si="65"/>
        <v>robomarkets.com</v>
      </c>
      <c r="G4171" s="5" t="s">
        <v>4</v>
      </c>
      <c r="H4171" s="5" t="s">
        <v>5</v>
      </c>
      <c r="I4171" s="6"/>
    </row>
    <row r="4172" spans="1:9" ht="13.5">
      <c r="A4172" s="2" t="s">
        <v>663</v>
      </c>
      <c r="B4172" s="3" t="str">
        <f ca="1">IFERROR(__xludf.DUMMYFUNCTION("REGEXEXTRACT(C4172, ""https?:\/\/(?:.*\.)*(.+\..+?)\/"")"),"bolagshistorik.se")</f>
        <v>bolagshistorik.se</v>
      </c>
      <c r="C4172" s="4" t="s">
        <v>7113</v>
      </c>
      <c r="D4172" s="4" t="s">
        <v>792</v>
      </c>
      <c r="E4172" s="5" t="s">
        <v>7114</v>
      </c>
      <c r="F4172" s="5" t="str">
        <f t="shared" si="65"/>
        <v>robomarkets.com</v>
      </c>
      <c r="G4172" s="5" t="s">
        <v>4</v>
      </c>
      <c r="H4172" s="5" t="s">
        <v>5</v>
      </c>
      <c r="I4172" s="6"/>
    </row>
    <row r="4173" spans="1:9" ht="13.5">
      <c r="A4173" s="2" t="s">
        <v>663</v>
      </c>
      <c r="B4173" s="3" t="str">
        <f ca="1">IFERROR(__xludf.DUMMYFUNCTION("REGEXEXTRACT(C4173, ""https?:\/\/(?:.*\.)*(.+\..+?)\/"")"),"#N/A")</f>
        <v>#N/A</v>
      </c>
      <c r="C4173" s="4" t="s">
        <v>7115</v>
      </c>
      <c r="D4173" s="4" t="s">
        <v>770</v>
      </c>
      <c r="E4173" s="5" t="s">
        <v>948</v>
      </c>
      <c r="F4173" s="5" t="str">
        <f t="shared" si="65"/>
        <v>robomarkets.com</v>
      </c>
      <c r="G4173" s="5" t="s">
        <v>4</v>
      </c>
      <c r="H4173" s="5" t="s">
        <v>5</v>
      </c>
      <c r="I4173" s="6"/>
    </row>
    <row r="4174" spans="1:9" ht="13.5">
      <c r="A4174" s="2" t="s">
        <v>663</v>
      </c>
      <c r="B4174" s="3" t="str">
        <f ca="1">IFERROR(__xludf.DUMMYFUNCTION("REGEXEXTRACT(C4174, ""https?:\/\/(?:.*\.)*(.+\..+?)\/"")"),"bonuskillen.se")</f>
        <v>bonuskillen.se</v>
      </c>
      <c r="C4174" s="4" t="s">
        <v>7116</v>
      </c>
      <c r="D4174" s="4" t="s">
        <v>941</v>
      </c>
      <c r="E4174" s="5" t="s">
        <v>7117</v>
      </c>
      <c r="F4174" s="5" t="str">
        <f t="shared" si="65"/>
        <v>robomarkets.com</v>
      </c>
      <c r="G4174" s="5" t="s">
        <v>4</v>
      </c>
      <c r="H4174" s="5" t="s">
        <v>5</v>
      </c>
      <c r="I4174" s="6"/>
    </row>
    <row r="4175" spans="1:9" ht="13.5">
      <c r="A4175" s="2" t="s">
        <v>663</v>
      </c>
      <c r="B4175" s="3" t="str">
        <f ca="1">IFERROR(__xludf.DUMMYFUNCTION("REGEXEXTRACT(C4175, ""https?:\/\/(?:.*\.)*(.+\..+?)\/"")"),"businesshelper.se")</f>
        <v>businesshelper.se</v>
      </c>
      <c r="C4175" s="4" t="s">
        <v>7118</v>
      </c>
      <c r="D4175" s="4" t="s">
        <v>770</v>
      </c>
      <c r="E4175" s="5" t="s">
        <v>7119</v>
      </c>
      <c r="F4175" s="5" t="str">
        <f t="shared" si="65"/>
        <v>robomarkets.com</v>
      </c>
      <c r="G4175" s="5" t="s">
        <v>4</v>
      </c>
      <c r="H4175" s="5" t="s">
        <v>5</v>
      </c>
      <c r="I4175" s="6"/>
    </row>
    <row r="4176" spans="1:9" ht="13.5">
      <c r="A4176" s="2" t="s">
        <v>663</v>
      </c>
      <c r="B4176" s="3" t="str">
        <f ca="1">IFERROR(__xludf.DUMMYFUNCTION("REGEXEXTRACT(C4176, ""https?:\/\/(?:.*\.)*(.+\..+?)\/"")"),"egenvilla.se")</f>
        <v>egenvilla.se</v>
      </c>
      <c r="C4176" s="4" t="s">
        <v>7120</v>
      </c>
      <c r="D4176" s="4" t="s">
        <v>795</v>
      </c>
      <c r="E4176" s="9" t="s">
        <v>795</v>
      </c>
      <c r="F4176" s="5" t="str">
        <f t="shared" si="65"/>
        <v>robomarkets.com</v>
      </c>
      <c r="G4176" s="5" t="s">
        <v>4</v>
      </c>
      <c r="H4176" s="5" t="s">
        <v>5</v>
      </c>
      <c r="I4176" s="6"/>
    </row>
    <row r="4177" spans="1:9" ht="13.5">
      <c r="A4177" s="2" t="s">
        <v>272</v>
      </c>
      <c r="B4177" s="3" t="str">
        <f ca="1">IFERROR(__xludf.DUMMYFUNCTION("REGEXEXTRACT(C4177, ""https?:\/\/(?:.*\.)*(.+\..+?)\/"")"),"#N/A")</f>
        <v>#N/A</v>
      </c>
      <c r="C4177" s="5"/>
      <c r="D4177" s="4" t="s">
        <v>274</v>
      </c>
      <c r="E4177" s="5"/>
      <c r="F4177" s="5" t="str">
        <f t="shared" si="65"/>
        <v>schjodt.com</v>
      </c>
      <c r="G4177" s="5"/>
      <c r="H4177" s="5"/>
      <c r="I4177" s="6"/>
    </row>
    <row r="4178" spans="1:9" ht="13.5">
      <c r="A4178" s="2" t="s">
        <v>272</v>
      </c>
      <c r="B4178" s="3" t="str">
        <f ca="1">IFERROR(__xludf.DUMMYFUNCTION("REGEXEXTRACT(C4178, ""https?:\/\/(?:.*\.)*(.+\..+?)\/"")"),"finansassistans.se")</f>
        <v>finansassistans.se</v>
      </c>
      <c r="C4178" s="8" t="s">
        <v>7121</v>
      </c>
      <c r="D4178" s="4" t="s">
        <v>274</v>
      </c>
      <c r="E4178" s="5" t="s">
        <v>413</v>
      </c>
      <c r="F4178" s="5" t="str">
        <f t="shared" si="65"/>
        <v>schjodt.com</v>
      </c>
      <c r="G4178" s="5" t="s">
        <v>4</v>
      </c>
      <c r="H4178" s="5" t="s">
        <v>5</v>
      </c>
      <c r="I4178" s="6"/>
    </row>
    <row r="4179" spans="1:9" ht="13.5">
      <c r="A4179" s="2" t="s">
        <v>272</v>
      </c>
      <c r="B4179" s="3" t="str">
        <f ca="1">IFERROR(__xludf.DUMMYFUNCTION("REGEXEXTRACT(C4179, ""https?:\/\/(?:.*\.)*(.+\..+?)\/"")"),"valutor.nu")</f>
        <v>valutor.nu</v>
      </c>
      <c r="C4179" s="4" t="s">
        <v>2685</v>
      </c>
      <c r="D4179" s="4" t="s">
        <v>274</v>
      </c>
      <c r="E4179" s="5" t="s">
        <v>7122</v>
      </c>
      <c r="F4179" s="5" t="str">
        <f t="shared" si="65"/>
        <v>schjodt.com</v>
      </c>
      <c r="G4179" s="5" t="s">
        <v>4</v>
      </c>
      <c r="H4179" s="5" t="s">
        <v>5</v>
      </c>
      <c r="I4179" s="6"/>
    </row>
    <row r="4180" spans="1:9" ht="13.5">
      <c r="A4180" s="2" t="s">
        <v>312</v>
      </c>
      <c r="B4180" s="3" t="str">
        <f ca="1">IFERROR(__xludf.DUMMYFUNCTION("REGEXEXTRACT(C4180, ""https?:\/\/(?:.*\.)*(.+\..+?)\/"")"),"beautymama.se")</f>
        <v>beautymama.se</v>
      </c>
      <c r="C4180" s="4" t="s">
        <v>7123</v>
      </c>
      <c r="D4180" s="13" t="s">
        <v>458</v>
      </c>
      <c r="E4180" s="5" t="s">
        <v>7124</v>
      </c>
      <c r="F4180" s="5" t="str">
        <f t="shared" si="65"/>
        <v>sufracofinebrands.com</v>
      </c>
      <c r="G4180" s="5" t="s">
        <v>4</v>
      </c>
      <c r="H4180" s="5" t="s">
        <v>5</v>
      </c>
      <c r="I4180" s="6"/>
    </row>
    <row r="4181" spans="1:9" ht="13.5">
      <c r="A4181" s="2" t="s">
        <v>312</v>
      </c>
      <c r="B4181" s="3" t="str">
        <f ca="1">IFERROR(__xludf.DUMMYFUNCTION("REGEXEXTRACT(C4181, ""https?:\/\/(?:.*\.)*(.+\..+?)\/"")"),"veckomagasinet.com")</f>
        <v>veckomagasinet.com</v>
      </c>
      <c r="C4181" s="4" t="s">
        <v>7125</v>
      </c>
      <c r="D4181" s="4" t="s">
        <v>7126</v>
      </c>
      <c r="E4181" s="5" t="s">
        <v>7127</v>
      </c>
      <c r="F4181" s="5" t="str">
        <f t="shared" si="65"/>
        <v>sufracofinebrands.com</v>
      </c>
      <c r="G4181" s="5" t="s">
        <v>4</v>
      </c>
      <c r="H4181" s="5" t="s">
        <v>5</v>
      </c>
      <c r="I4181" s="6"/>
    </row>
    <row r="4182" spans="1:9" ht="13.5">
      <c r="A4182" s="2" t="s">
        <v>312</v>
      </c>
      <c r="B4182" s="3" t="str">
        <f ca="1">IFERROR(__xludf.DUMMYFUNCTION("REGEXEXTRACT(C4182, ""https?:\/\/(?:.*\.)*(.+\..+?)\/"")"),"modernalivet.se")</f>
        <v>modernalivet.se</v>
      </c>
      <c r="C4182" s="4" t="s">
        <v>7128</v>
      </c>
      <c r="D4182" s="4" t="s">
        <v>7129</v>
      </c>
      <c r="E4182" s="9" t="s">
        <v>7129</v>
      </c>
      <c r="F4182" s="5" t="str">
        <f t="shared" si="65"/>
        <v>sufracofinebrands.com</v>
      </c>
      <c r="G4182" s="5" t="s">
        <v>34</v>
      </c>
      <c r="H4182" s="5" t="s">
        <v>5</v>
      </c>
      <c r="I4182" s="6"/>
    </row>
    <row r="4183" spans="1:9" ht="13.5">
      <c r="A4183" s="2" t="s">
        <v>312</v>
      </c>
      <c r="B4183" s="3" t="str">
        <f ca="1">IFERROR(__xludf.DUMMYFUNCTION("REGEXEXTRACT(C4183, ""https?:\/\/(?:.*\.)*(.+\..+?)\/"")"),"#N/A")</f>
        <v>#N/A</v>
      </c>
      <c r="C4183" s="4" t="s">
        <v>7130</v>
      </c>
      <c r="D4183" s="4" t="s">
        <v>7129</v>
      </c>
      <c r="E4183" s="9" t="s">
        <v>7129</v>
      </c>
      <c r="F4183" s="5" t="str">
        <f t="shared" si="65"/>
        <v>sufracofinebrands.com</v>
      </c>
      <c r="G4183" s="5" t="s">
        <v>34</v>
      </c>
      <c r="H4183" s="5" t="s">
        <v>5</v>
      </c>
      <c r="I4183" s="6"/>
    </row>
    <row r="4184" spans="1:9" ht="13.5">
      <c r="A4184" s="2" t="s">
        <v>312</v>
      </c>
      <c r="B4184" s="3" t="str">
        <f ca="1">IFERROR(__xludf.DUMMYFUNCTION("REGEXEXTRACT(C4184, ""https?:\/\/(?:.*\.)*(.+\..+?)\/"")"),"eventeffect.se")</f>
        <v>eventeffect.se</v>
      </c>
      <c r="C4184" s="4" t="s">
        <v>7131</v>
      </c>
      <c r="D4184" s="4" t="s">
        <v>7132</v>
      </c>
      <c r="E4184" s="5" t="s">
        <v>7133</v>
      </c>
      <c r="F4184" s="5" t="str">
        <f t="shared" si="65"/>
        <v>sufracofinebrands.com</v>
      </c>
      <c r="G4184" s="5" t="s">
        <v>4</v>
      </c>
      <c r="H4184" s="5" t="s">
        <v>5</v>
      </c>
      <c r="I4184" s="6"/>
    </row>
    <row r="4185" spans="1:9" ht="13.5">
      <c r="A4185" s="2" t="s">
        <v>312</v>
      </c>
      <c r="B4185" s="3" t="str">
        <f ca="1">IFERROR(__xludf.DUMMYFUNCTION("REGEXEXTRACT(C4185, ""https?:\/\/(?:.*\.)*(.+\..+?)\/"")"),"myaloevera.nu")</f>
        <v>myaloevera.nu</v>
      </c>
      <c r="C4185" s="4" t="s">
        <v>7134</v>
      </c>
      <c r="D4185" s="4" t="s">
        <v>7129</v>
      </c>
      <c r="E4185" s="5" t="s">
        <v>459</v>
      </c>
      <c r="F4185" s="5" t="str">
        <f t="shared" si="65"/>
        <v>sufracofinebrands.com</v>
      </c>
      <c r="G4185" s="5" t="s">
        <v>4</v>
      </c>
      <c r="H4185" s="5" t="s">
        <v>5</v>
      </c>
      <c r="I4185" s="6"/>
    </row>
    <row r="4186" spans="1:9" ht="13.5">
      <c r="A4186" s="2" t="s">
        <v>312</v>
      </c>
      <c r="B4186" s="3" t="str">
        <f ca="1">IFERROR(__xludf.DUMMYFUNCTION("REGEXEXTRACT(C4186, ""https?:\/\/(?:.*\.)*(.+\..+?)\/"")"),"stilero.se")</f>
        <v>stilero.se</v>
      </c>
      <c r="C4186" s="4" t="s">
        <v>7135</v>
      </c>
      <c r="D4186" s="4" t="s">
        <v>7136</v>
      </c>
      <c r="E4186" s="5" t="s">
        <v>7137</v>
      </c>
      <c r="F4186" s="5" t="str">
        <f t="shared" si="65"/>
        <v>sufracofinebrands.com</v>
      </c>
      <c r="G4186" s="5" t="s">
        <v>34</v>
      </c>
      <c r="H4186" s="5" t="s">
        <v>5</v>
      </c>
      <c r="I4186" s="6"/>
    </row>
    <row r="4187" spans="1:9" ht="13.5">
      <c r="A4187" s="2" t="s">
        <v>312</v>
      </c>
      <c r="B4187" s="3" t="str">
        <f ca="1">IFERROR(__xludf.DUMMYFUNCTION("REGEXEXTRACT(C4187, ""https?:\/\/(?:.*\.)*(.+\..+?)\/"")"),"poolstart.se")</f>
        <v>poolstart.se</v>
      </c>
      <c r="C4187" s="4" t="s">
        <v>7138</v>
      </c>
      <c r="D4187" s="4" t="s">
        <v>7132</v>
      </c>
      <c r="E4187" s="5" t="s">
        <v>7124</v>
      </c>
      <c r="F4187" s="5" t="str">
        <f t="shared" si="65"/>
        <v>sufracofinebrands.com</v>
      </c>
      <c r="G4187" s="5" t="s">
        <v>4</v>
      </c>
      <c r="H4187" s="5" t="s">
        <v>5</v>
      </c>
      <c r="I4187" s="6"/>
    </row>
    <row r="4188" spans="1:9" ht="13.5">
      <c r="A4188" s="2" t="s">
        <v>312</v>
      </c>
      <c r="B4188" s="3" t="str">
        <f ca="1">IFERROR(__xludf.DUMMYFUNCTION("REGEXEXTRACT(C4188, ""https?:\/\/(?:.*\.)*(.+\..+?)\/"")"),"andrashop.se")</f>
        <v>andrashop.se</v>
      </c>
      <c r="C4188" s="4" t="s">
        <v>7139</v>
      </c>
      <c r="D4188" s="4" t="s">
        <v>7129</v>
      </c>
      <c r="E4188" s="9" t="s">
        <v>7129</v>
      </c>
      <c r="F4188" s="5" t="str">
        <f t="shared" si="65"/>
        <v>sufracofinebrands.com</v>
      </c>
      <c r="G4188" s="5" t="s">
        <v>4</v>
      </c>
      <c r="H4188" s="5" t="s">
        <v>5</v>
      </c>
      <c r="I4188" s="6"/>
    </row>
    <row r="4189" spans="1:9" ht="13.5">
      <c r="A4189" s="2" t="s">
        <v>312</v>
      </c>
      <c r="B4189" s="3" t="str">
        <f ca="1">IFERROR(__xludf.DUMMYFUNCTION("REGEXEXTRACT(C4189, ""https?:\/\/(?:.*\.)*(.+\..+?)\/"")"),"traningskort.se")</f>
        <v>traningskort.se</v>
      </c>
      <c r="C4189" s="4" t="s">
        <v>7140</v>
      </c>
      <c r="D4189" s="4" t="s">
        <v>458</v>
      </c>
      <c r="E4189" s="5" t="s">
        <v>7124</v>
      </c>
      <c r="F4189" s="5" t="str">
        <f t="shared" si="65"/>
        <v>sufracofinebrands.com</v>
      </c>
      <c r="G4189" s="5" t="s">
        <v>4</v>
      </c>
      <c r="H4189" s="5" t="s">
        <v>5</v>
      </c>
      <c r="I4189" s="6"/>
    </row>
    <row r="4190" spans="1:9" ht="13.5">
      <c r="A4190" s="2" t="s">
        <v>312</v>
      </c>
      <c r="B4190" s="3" t="str">
        <f ca="1">IFERROR(__xludf.DUMMYFUNCTION("REGEXEXTRACT(C4190, ""https?:\/\/(?:.*\.)*(.+\..+?)\/"")"),"eventeffect.se")</f>
        <v>eventeffect.se</v>
      </c>
      <c r="C4190" s="4" t="s">
        <v>7141</v>
      </c>
      <c r="D4190" s="4" t="s">
        <v>7142</v>
      </c>
      <c r="E4190" s="5" t="s">
        <v>7143</v>
      </c>
      <c r="F4190" s="5" t="str">
        <f t="shared" si="65"/>
        <v>sufracofinebrands.com</v>
      </c>
      <c r="G4190" s="5" t="s">
        <v>4</v>
      </c>
      <c r="H4190" s="5" t="s">
        <v>5</v>
      </c>
      <c r="I4190" s="6"/>
    </row>
    <row r="4191" spans="1:9" ht="13.5">
      <c r="A4191" s="2" t="s">
        <v>312</v>
      </c>
      <c r="B4191" s="3" t="str">
        <f ca="1">IFERROR(__xludf.DUMMYFUNCTION("REGEXEXTRACT(C4191, ""https?:\/\/(?:.*\.)*(.+\..+?)\/"")"),"isla.se")</f>
        <v>isla.se</v>
      </c>
      <c r="C4191" s="4" t="s">
        <v>7144</v>
      </c>
      <c r="D4191" s="4" t="s">
        <v>314</v>
      </c>
      <c r="E4191" s="5" t="s">
        <v>315</v>
      </c>
      <c r="F4191" s="5" t="str">
        <f t="shared" si="65"/>
        <v>sufracofinebrands.com</v>
      </c>
      <c r="G4191" s="5" t="s">
        <v>34</v>
      </c>
      <c r="H4191" s="5" t="s">
        <v>5</v>
      </c>
      <c r="I4191" s="6"/>
    </row>
    <row r="4192" spans="1:9" ht="13.5">
      <c r="A4192" s="2" t="s">
        <v>312</v>
      </c>
      <c r="B4192" s="3" t="str">
        <f ca="1">IFERROR(__xludf.DUMMYFUNCTION("REGEXEXTRACT(C4192, ""https?:\/\/(?:.*\.)*(.+\..+?)\/"")"),"sipski.se")</f>
        <v>sipski.se</v>
      </c>
      <c r="C4192" s="4" t="s">
        <v>133</v>
      </c>
      <c r="D4192" s="4" t="s">
        <v>7145</v>
      </c>
      <c r="E4192" s="5" t="s">
        <v>7146</v>
      </c>
      <c r="F4192" s="5" t="str">
        <f t="shared" si="65"/>
        <v>sufracofinebrands.com</v>
      </c>
      <c r="G4192" s="5" t="s">
        <v>34</v>
      </c>
      <c r="H4192" s="5" t="s">
        <v>5</v>
      </c>
      <c r="I4192" s="6"/>
    </row>
    <row r="4193" spans="1:9" ht="13.5">
      <c r="A4193" s="2" t="s">
        <v>312</v>
      </c>
      <c r="B4193" s="3" t="str">
        <f ca="1">IFERROR(__xludf.DUMMYFUNCTION("REGEXEXTRACT(C4193, ""https?:\/\/(?:.*\.)*(.+\..+?)\/"")"),"playhd.se")</f>
        <v>playhd.se</v>
      </c>
      <c r="C4193" s="4" t="s">
        <v>7147</v>
      </c>
      <c r="D4193" s="4" t="s">
        <v>7148</v>
      </c>
      <c r="E4193" s="5" t="s">
        <v>7149</v>
      </c>
      <c r="F4193" s="5" t="str">
        <f t="shared" si="65"/>
        <v>sufracofinebrands.com</v>
      </c>
      <c r="G4193" s="5" t="s">
        <v>4</v>
      </c>
      <c r="H4193" s="5" t="s">
        <v>5</v>
      </c>
      <c r="I4193" s="6"/>
    </row>
    <row r="4194" spans="1:9" ht="13.5">
      <c r="A4194" s="2" t="s">
        <v>312</v>
      </c>
      <c r="B4194" s="3" t="str">
        <f ca="1">IFERROR(__xludf.DUMMYFUNCTION("REGEXEXTRACT(C4194, ""https?:\/\/(?:.*\.)*(.+\..+?)\/"")"),"healthyliving.se")</f>
        <v>healthyliving.se</v>
      </c>
      <c r="C4194" s="4" t="s">
        <v>7150</v>
      </c>
      <c r="D4194" s="4" t="s">
        <v>458</v>
      </c>
      <c r="E4194" s="5" t="s">
        <v>7151</v>
      </c>
      <c r="F4194" s="5" t="str">
        <f t="shared" si="65"/>
        <v>sufracofinebrands.com</v>
      </c>
      <c r="G4194" s="5" t="s">
        <v>4</v>
      </c>
      <c r="H4194" s="5" t="s">
        <v>5</v>
      </c>
      <c r="I4194" s="6"/>
    </row>
    <row r="4195" spans="1:9" ht="13.5">
      <c r="A4195" s="2" t="s">
        <v>312</v>
      </c>
      <c r="B4195" s="3" t="str">
        <f ca="1">IFERROR(__xludf.DUMMYFUNCTION("REGEXEXTRACT(C4195, ""https?:\/\/(?:.*\.)*(.+\..+?)\/"")"),"guldkorn.nu")</f>
        <v>guldkorn.nu</v>
      </c>
      <c r="C4195" s="4" t="s">
        <v>7152</v>
      </c>
      <c r="D4195" s="4" t="s">
        <v>7148</v>
      </c>
      <c r="E4195" s="5" t="s">
        <v>7153</v>
      </c>
      <c r="F4195" s="5" t="str">
        <f t="shared" si="65"/>
        <v>sufracofinebrands.com</v>
      </c>
      <c r="G4195" s="5" t="s">
        <v>4</v>
      </c>
      <c r="H4195" s="5" t="s">
        <v>5</v>
      </c>
      <c r="I4195" s="6"/>
    </row>
    <row r="4196" spans="1:9" ht="13.5">
      <c r="A4196" s="2" t="s">
        <v>312</v>
      </c>
      <c r="B4196" s="3" t="str">
        <f ca="1">IFERROR(__xludf.DUMMYFUNCTION("REGEXEXTRACT(C4196, ""https?:\/\/(?:.*\.)*(.+\..+?)\/"")"),"alltombeauty.se")</f>
        <v>alltombeauty.se</v>
      </c>
      <c r="C4196" s="4" t="s">
        <v>7154</v>
      </c>
      <c r="D4196" s="4" t="s">
        <v>314</v>
      </c>
      <c r="E4196" s="5" t="s">
        <v>315</v>
      </c>
      <c r="F4196" s="5" t="str">
        <f t="shared" si="65"/>
        <v>sufracofinebrands.com</v>
      </c>
      <c r="G4196" s="5" t="s">
        <v>4</v>
      </c>
      <c r="H4196" s="5" t="s">
        <v>5</v>
      </c>
      <c r="I4196" s="6"/>
    </row>
    <row r="4197" spans="1:9" ht="13.5">
      <c r="A4197" s="2" t="s">
        <v>312</v>
      </c>
      <c r="B4197" s="3" t="str">
        <f ca="1">IFERROR(__xludf.DUMMYFUNCTION("REGEXEXTRACT(C4197, ""https?:\/\/(?:.*\.)*(.+\..+?)\/"")"),"fitnessplaneten.se")</f>
        <v>fitnessplaneten.se</v>
      </c>
      <c r="C4197" s="4" t="s">
        <v>7155</v>
      </c>
      <c r="D4197" s="4" t="s">
        <v>458</v>
      </c>
      <c r="E4197" s="5" t="s">
        <v>7156</v>
      </c>
      <c r="F4197" s="5" t="str">
        <f t="shared" si="65"/>
        <v>sufracofinebrands.com</v>
      </c>
      <c r="G4197" s="5" t="s">
        <v>4</v>
      </c>
      <c r="H4197" s="5" t="s">
        <v>5</v>
      </c>
      <c r="I4197" s="6"/>
    </row>
    <row r="4198" spans="1:9" ht="13.5">
      <c r="A4198" s="2" t="s">
        <v>312</v>
      </c>
      <c r="B4198" s="3" t="str">
        <f ca="1">IFERROR(__xludf.DUMMYFUNCTION("REGEXEXTRACT(C4198, ""https?:\/\/(?:.*\.)*(.+\..+?)\/"")"),"nutidshuset.se")</f>
        <v>nutidshuset.se</v>
      </c>
      <c r="C4198" s="4" t="s">
        <v>7157</v>
      </c>
      <c r="D4198" s="4" t="s">
        <v>7158</v>
      </c>
      <c r="E4198" s="5" t="s">
        <v>7159</v>
      </c>
      <c r="F4198" s="5" t="str">
        <f t="shared" si="65"/>
        <v>sufracofinebrands.com</v>
      </c>
      <c r="G4198" s="5" t="s">
        <v>4</v>
      </c>
      <c r="H4198" s="5" t="s">
        <v>5</v>
      </c>
      <c r="I4198" s="6"/>
    </row>
    <row r="4199" spans="1:9" ht="13.5">
      <c r="A4199" s="2" t="s">
        <v>312</v>
      </c>
      <c r="B4199" s="3" t="str">
        <f ca="1">IFERROR(__xludf.DUMMYFUNCTION("REGEXEXTRACT(C4199, ""https?:\/\/(?:.*\.)*(.+\..+?)\/"")"),"fashionablefit.net")</f>
        <v>fashionablefit.net</v>
      </c>
      <c r="C4199" s="4" t="s">
        <v>98</v>
      </c>
      <c r="D4199" s="4" t="s">
        <v>379</v>
      </c>
      <c r="E4199" s="5" t="s">
        <v>315</v>
      </c>
      <c r="F4199" s="5" t="str">
        <f t="shared" si="65"/>
        <v>sufracofinebrands.com</v>
      </c>
      <c r="G4199" s="5" t="s">
        <v>34</v>
      </c>
      <c r="H4199" s="5" t="s">
        <v>5</v>
      </c>
      <c r="I4199" s="6"/>
    </row>
    <row r="4200" spans="1:9" ht="13.5">
      <c r="A4200" s="2" t="s">
        <v>312</v>
      </c>
      <c r="B4200" s="3" t="str">
        <f ca="1">IFERROR(__xludf.DUMMYFUNCTION("REGEXEXTRACT(C4200, ""https?:\/\/(?:.*\.)*(.+\..+?)\/"")"),"veckodag.nu")</f>
        <v>veckodag.nu</v>
      </c>
      <c r="C4200" s="4" t="s">
        <v>347</v>
      </c>
      <c r="D4200" s="4" t="s">
        <v>7160</v>
      </c>
      <c r="E4200" s="5" t="s">
        <v>7161</v>
      </c>
      <c r="F4200" s="5" t="str">
        <f t="shared" si="65"/>
        <v>sufracofinebrands.com</v>
      </c>
      <c r="G4200" s="5" t="s">
        <v>34</v>
      </c>
      <c r="H4200" s="5" t="s">
        <v>5</v>
      </c>
      <c r="I4200" s="6"/>
    </row>
    <row r="4201" spans="1:9" ht="13.5">
      <c r="A4201" s="2" t="s">
        <v>312</v>
      </c>
      <c r="B4201" s="3" t="str">
        <f ca="1">IFERROR(__xludf.DUMMYFUNCTION("REGEXEXTRACT(C4201, ""https?:\/\/(?:.*\.)*(.+\..+?)\/"")"),"passioneffect.se")</f>
        <v>passioneffect.se</v>
      </c>
      <c r="C4201" s="4" t="s">
        <v>7162</v>
      </c>
      <c r="D4201" s="4" t="s">
        <v>7163</v>
      </c>
      <c r="E4201" s="5" t="s">
        <v>7164</v>
      </c>
      <c r="F4201" s="5" t="str">
        <f t="shared" si="65"/>
        <v>sufracofinebrands.com</v>
      </c>
      <c r="G4201" s="5" t="s">
        <v>4</v>
      </c>
      <c r="H4201" s="5" t="s">
        <v>5</v>
      </c>
      <c r="I4201" s="6"/>
    </row>
    <row r="4202" spans="1:9" ht="13.5">
      <c r="A4202" s="2" t="s">
        <v>312</v>
      </c>
      <c r="B4202" s="3" t="str">
        <f ca="1">IFERROR(__xludf.DUMMYFUNCTION("REGEXEXTRACT(C4202, ""https?:\/\/(?:.*\.)*(.+\..+?)\/"")"),"kvinnan.se")</f>
        <v>kvinnan.se</v>
      </c>
      <c r="C4202" s="4" t="s">
        <v>7165</v>
      </c>
      <c r="D4202" s="4" t="s">
        <v>458</v>
      </c>
      <c r="E4202" s="5" t="s">
        <v>559</v>
      </c>
      <c r="F4202" s="5" t="str">
        <f t="shared" si="65"/>
        <v>sufracofinebrands.com</v>
      </c>
      <c r="G4202" s="5" t="s">
        <v>4</v>
      </c>
      <c r="H4202" s="5" t="s">
        <v>5</v>
      </c>
      <c r="I4202" s="6"/>
    </row>
    <row r="4203" spans="1:9" ht="13.5">
      <c r="A4203" s="7" t="s">
        <v>224</v>
      </c>
      <c r="B4203" s="3" t="str">
        <f ca="1">IFERROR(__xludf.DUMMYFUNCTION("REGEXEXTRACT(C4203, ""https?:\/\/(?:.*\.)*(.+\..+?)\/"")"),"#N/A")</f>
        <v>#N/A</v>
      </c>
      <c r="C4203" s="5"/>
      <c r="D4203" s="4" t="s">
        <v>226</v>
      </c>
      <c r="E4203" s="5" t="s">
        <v>227</v>
      </c>
      <c r="F4203" s="5" t="str">
        <f t="shared" si="65"/>
        <v>swedoffice</v>
      </c>
      <c r="G4203" s="5"/>
      <c r="H4203" s="5" t="s">
        <v>5</v>
      </c>
      <c r="I4203" s="6"/>
    </row>
    <row r="4204" spans="1:9" ht="13.5">
      <c r="A4204" s="7" t="s">
        <v>224</v>
      </c>
      <c r="B4204" s="3" t="str">
        <f ca="1">IFERROR(__xludf.DUMMYFUNCTION("REGEXEXTRACT(C4204, ""https?:\/\/(?:.*\.)*(.+\..+?)\/"")"),"#N/A")</f>
        <v>#N/A</v>
      </c>
      <c r="C4204" s="5"/>
      <c r="D4204" s="8" t="s">
        <v>337</v>
      </c>
      <c r="E4204" s="5" t="s">
        <v>338</v>
      </c>
      <c r="F4204" s="5" t="str">
        <f t="shared" si="65"/>
        <v>swedoffice</v>
      </c>
      <c r="G4204" s="5"/>
      <c r="H4204" s="5" t="s">
        <v>5</v>
      </c>
      <c r="I4204" s="6"/>
    </row>
    <row r="4205" spans="1:9" ht="13.5">
      <c r="A4205" s="7" t="s">
        <v>224</v>
      </c>
      <c r="B4205" s="3" t="str">
        <f ca="1">IFERROR(__xludf.DUMMYFUNCTION("REGEXEXTRACT(C4205, ""https?:\/\/(?:.*\.)*(.+\..+?)\/"")"),"#N/A")</f>
        <v>#N/A</v>
      </c>
      <c r="C4205" s="5"/>
      <c r="D4205" s="4" t="s">
        <v>461</v>
      </c>
      <c r="E4205" s="5" t="s">
        <v>291</v>
      </c>
      <c r="F4205" s="5" t="str">
        <f t="shared" si="65"/>
        <v>swedoffice</v>
      </c>
      <c r="G4205" s="5"/>
      <c r="H4205" s="5" t="s">
        <v>5</v>
      </c>
      <c r="I4205" s="6"/>
    </row>
    <row r="4206" spans="1:9" ht="13.5">
      <c r="A4206" s="7" t="s">
        <v>224</v>
      </c>
      <c r="B4206" s="3" t="str">
        <f ca="1">IFERROR(__xludf.DUMMYFUNCTION("REGEXEXTRACT(C4206, ""https?:\/\/(?:.*\.)*(.+\..+?)\/"")"),"dinlokalabokhandel.se")</f>
        <v>dinlokalabokhandel.se</v>
      </c>
      <c r="C4206" s="350" t="s">
        <v>7166</v>
      </c>
      <c r="D4206" s="20" t="s">
        <v>226</v>
      </c>
      <c r="E4206" s="5" t="s">
        <v>227</v>
      </c>
      <c r="F4206" s="5" t="str">
        <f t="shared" si="65"/>
        <v>swedoffice</v>
      </c>
      <c r="G4206" s="5" t="s">
        <v>4</v>
      </c>
      <c r="H4206" s="5" t="s">
        <v>5</v>
      </c>
      <c r="I4206" s="6"/>
    </row>
    <row r="4207" spans="1:9" ht="13.5">
      <c r="A4207" s="2" t="s">
        <v>325</v>
      </c>
      <c r="B4207" s="3" t="str">
        <f ca="1">IFERROR(__xludf.DUMMYFUNCTION("REGEXEXTRACT(C4207, ""https?:\/\/(?:.*\.)*(.+\..+?)\/"")"),"eventeffect.se")</f>
        <v>eventeffect.se</v>
      </c>
      <c r="C4207" s="4" t="s">
        <v>7167</v>
      </c>
      <c r="D4207" s="4" t="s">
        <v>327</v>
      </c>
      <c r="E4207" s="5" t="s">
        <v>463</v>
      </c>
      <c r="F4207" s="5" t="str">
        <f t="shared" si="65"/>
        <v>tiotak.se</v>
      </c>
      <c r="G4207" s="5" t="s">
        <v>4</v>
      </c>
      <c r="H4207" s="5" t="s">
        <v>5</v>
      </c>
      <c r="I4207" s="6"/>
    </row>
    <row r="4208" spans="1:9" ht="13.5">
      <c r="A4208" s="24" t="s">
        <v>325</v>
      </c>
      <c r="B4208" s="3" t="str">
        <f ca="1">IFERROR(__xludf.DUMMYFUNCTION("REGEXEXTRACT(C4208, ""https?:\/\/(?:.*\.)*(.+\..+?)\/"")"),"savethefuture.se")</f>
        <v>savethefuture.se</v>
      </c>
      <c r="C4208" s="19" t="s">
        <v>7168</v>
      </c>
      <c r="D4208" s="20" t="s">
        <v>327</v>
      </c>
      <c r="E4208" s="5" t="s">
        <v>2497</v>
      </c>
      <c r="F4208" s="5" t="str">
        <f t="shared" si="65"/>
        <v>tiotak.se</v>
      </c>
      <c r="G4208" s="5" t="s">
        <v>4</v>
      </c>
      <c r="H4208" s="5" t="s">
        <v>5</v>
      </c>
      <c r="I4208" s="6"/>
    </row>
    <row r="4209" spans="1:9" ht="13.5">
      <c r="A4209" s="24" t="s">
        <v>325</v>
      </c>
      <c r="B4209" s="3" t="str">
        <f ca="1">IFERROR(__xludf.DUMMYFUNCTION("REGEXEXTRACT(C4209, ""https?:\/\/(?:.*\.)*(.+\..+?)\/"")"),"serviceteknikerkarlstad.se")</f>
        <v>serviceteknikerkarlstad.se</v>
      </c>
      <c r="C4209" s="19" t="s">
        <v>7169</v>
      </c>
      <c r="D4209" s="20" t="s">
        <v>327</v>
      </c>
      <c r="E4209" s="5" t="s">
        <v>2497</v>
      </c>
      <c r="F4209" s="5" t="str">
        <f t="shared" si="65"/>
        <v>tiotak.se</v>
      </c>
      <c r="G4209" s="5" t="s">
        <v>4</v>
      </c>
      <c r="H4209" s="5" t="s">
        <v>5</v>
      </c>
      <c r="I4209" s="6"/>
    </row>
    <row r="4210" spans="1:9" ht="13.5">
      <c r="A4210" s="2" t="s">
        <v>277</v>
      </c>
      <c r="B4210" s="3" t="str">
        <f ca="1">IFERROR(__xludf.DUMMYFUNCTION("REGEXEXTRACT(C4210, ""https?:\/\/(?:.*\.)*(.+\..+?)\/"")"),"industritorget.se")</f>
        <v>industritorget.se</v>
      </c>
      <c r="C4210" s="4" t="s">
        <v>7170</v>
      </c>
      <c r="D4210" s="4" t="s">
        <v>420</v>
      </c>
      <c r="E4210" s="12" t="s">
        <v>652</v>
      </c>
      <c r="F4210" s="5" t="str">
        <f t="shared" si="65"/>
        <v>toyota-forklifts.se</v>
      </c>
      <c r="G4210" s="5" t="s">
        <v>4</v>
      </c>
      <c r="H4210" s="5" t="s">
        <v>5</v>
      </c>
      <c r="I4210" s="6"/>
    </row>
    <row r="4211" spans="1:9" ht="13.5">
      <c r="A4211" s="2" t="s">
        <v>464</v>
      </c>
      <c r="B4211" s="3"/>
      <c r="C4211" s="4" t="s">
        <v>7171</v>
      </c>
      <c r="D4211" s="4" t="s">
        <v>466</v>
      </c>
      <c r="E4211" s="5" t="s">
        <v>710</v>
      </c>
      <c r="F4211" s="5" t="str">
        <f t="shared" si="65"/>
        <v>villarelining.se</v>
      </c>
      <c r="G4211" s="5" t="s">
        <v>4</v>
      </c>
      <c r="H4211" s="5" t="s">
        <v>5</v>
      </c>
      <c r="I4211" s="351"/>
    </row>
    <row r="4212" spans="1:9" ht="13.5">
      <c r="A4212" s="2" t="s">
        <v>464</v>
      </c>
      <c r="B4212" s="3" t="str">
        <f ca="1">IFERROR(__xludf.DUMMYFUNCTION("REGEXEXTRACT(C4212, ""https?:\/\/(?:.*\.)*(.+\..+?)\/"")"),"poolstart.se")</f>
        <v>poolstart.se</v>
      </c>
      <c r="C4212" s="4" t="s">
        <v>7172</v>
      </c>
      <c r="D4212" s="4" t="s">
        <v>466</v>
      </c>
      <c r="E4212" s="5" t="s">
        <v>467</v>
      </c>
      <c r="F4212" s="5" t="str">
        <f t="shared" si="65"/>
        <v>villarelining.se</v>
      </c>
      <c r="G4212" s="5" t="s">
        <v>4</v>
      </c>
      <c r="H4212" s="5" t="s">
        <v>5</v>
      </c>
      <c r="I4212" s="6"/>
    </row>
    <row r="4213" spans="1:9" ht="13.5">
      <c r="A4213" s="7" t="s">
        <v>329</v>
      </c>
      <c r="B4213" s="3" t="str">
        <f ca="1">IFERROR(__xludf.DUMMYFUNCTION("REGEXEXTRACT(C4213, ""https?:\/\/(?:.*\.)*(.+\..+?)\/"")"),"brafiler.se")</f>
        <v>brafiler.se</v>
      </c>
      <c r="C4213" s="4" t="s">
        <v>7173</v>
      </c>
      <c r="D4213" s="4" t="s">
        <v>331</v>
      </c>
      <c r="E4213" s="5" t="s">
        <v>655</v>
      </c>
      <c r="F4213" s="5" t="str">
        <f t="shared" si="65"/>
        <v>vont</v>
      </c>
      <c r="G4213" s="5" t="s">
        <v>4</v>
      </c>
      <c r="H4213" s="5" t="s">
        <v>5</v>
      </c>
      <c r="I4213" s="6"/>
    </row>
    <row r="4214" spans="1:9" ht="13.5">
      <c r="A4214" s="7" t="s">
        <v>329</v>
      </c>
      <c r="B4214" s="3" t="str">
        <f ca="1">IFERROR(__xludf.DUMMYFUNCTION("REGEXEXTRACT(C4214, ""https?:\/\/(?:.*\.)*(.+\..+?)\/"")"),"mynewsdesk.com")</f>
        <v>mynewsdesk.com</v>
      </c>
      <c r="C4214" s="4" t="s">
        <v>7174</v>
      </c>
      <c r="D4214" s="4" t="s">
        <v>331</v>
      </c>
      <c r="E4214" s="5" t="s">
        <v>542</v>
      </c>
      <c r="F4214" s="5" t="str">
        <f t="shared" si="65"/>
        <v>vont</v>
      </c>
      <c r="G4214" s="5" t="s">
        <v>4</v>
      </c>
      <c r="H4214" s="5" t="s">
        <v>5</v>
      </c>
      <c r="I4214" s="6"/>
    </row>
    <row r="4215" spans="1:9" ht="13.5">
      <c r="A4215" s="2" t="s">
        <v>295</v>
      </c>
      <c r="B4215" s="3" t="str">
        <f ca="1">IFERROR(__xludf.DUMMYFUNCTION("REGEXEXTRACT(C4215, ""https?:\/\/(?:.*\.)*(.+\..+?)\/"")"),"borsbolag.se")</f>
        <v>borsbolag.se</v>
      </c>
      <c r="C4215" s="352" t="s">
        <v>990</v>
      </c>
      <c r="D4215" s="353" t="s">
        <v>7175</v>
      </c>
      <c r="E4215" s="5" t="s">
        <v>7176</v>
      </c>
      <c r="F4215" s="5" t="str">
        <f t="shared" si="65"/>
        <v>vontabel.com</v>
      </c>
      <c r="G4215" s="328" t="s">
        <v>4</v>
      </c>
      <c r="H4215" s="5" t="s">
        <v>5</v>
      </c>
      <c r="I4215" s="116"/>
    </row>
    <row r="4216" spans="1:9" ht="13.5">
      <c r="A4216" s="2" t="s">
        <v>295</v>
      </c>
      <c r="B4216" s="3" t="str">
        <f ca="1">IFERROR(__xludf.DUMMYFUNCTION("REGEXEXTRACT(C4216, ""https?:\/\/(?:.*\.)*(.+\..+?)\/"")"),"viekonomi.se")</f>
        <v>viekonomi.se</v>
      </c>
      <c r="C4216" s="352" t="s">
        <v>560</v>
      </c>
      <c r="D4216" s="8" t="s">
        <v>297</v>
      </c>
      <c r="E4216" s="5" t="s">
        <v>7177</v>
      </c>
      <c r="F4216" s="5" t="str">
        <f t="shared" si="65"/>
        <v>vontabel.com</v>
      </c>
      <c r="G4216" s="5" t="s">
        <v>4</v>
      </c>
      <c r="H4216" s="5" t="s">
        <v>5</v>
      </c>
      <c r="I4216" s="6"/>
    </row>
    <row r="4217" spans="1:9" ht="13.5">
      <c r="A4217" s="2" t="s">
        <v>295</v>
      </c>
      <c r="B4217" s="3" t="str">
        <f ca="1">IFERROR(__xludf.DUMMYFUNCTION("REGEXEXTRACT(C4217, ""https?:\/\/(?:.*\.)*(.+\..+?)\/"")"),"pengar.in")</f>
        <v>pengar.in</v>
      </c>
      <c r="C4217" s="4" t="s">
        <v>7178</v>
      </c>
      <c r="D4217" s="4" t="s">
        <v>7179</v>
      </c>
      <c r="E4217" s="5" t="s">
        <v>7180</v>
      </c>
      <c r="F4217" s="5" t="str">
        <f t="shared" si="65"/>
        <v>vontabel.com</v>
      </c>
      <c r="G4217" s="5" t="s">
        <v>4</v>
      </c>
      <c r="H4217" s="5" t="s">
        <v>5</v>
      </c>
      <c r="I4217" s="6"/>
    </row>
    <row r="4218" spans="1:9" ht="13.5">
      <c r="A4218" s="2" t="s">
        <v>295</v>
      </c>
      <c r="B4218" s="3" t="str">
        <f ca="1">IFERROR(__xludf.DUMMYFUNCTION("REGEXEXTRACT(C4218, ""https?:\/\/(?:.*\.)*(.+\..+?)\/"")"),"#N/A")</f>
        <v>#N/A</v>
      </c>
      <c r="C4218" s="5"/>
      <c r="D4218" s="4" t="s">
        <v>300</v>
      </c>
      <c r="E4218" s="5" t="s">
        <v>301</v>
      </c>
      <c r="F4218" s="5" t="str">
        <f t="shared" si="65"/>
        <v>vontabel.com</v>
      </c>
      <c r="G4218" s="5"/>
      <c r="H4218" s="5" t="s">
        <v>5</v>
      </c>
      <c r="I4218" s="6"/>
    </row>
    <row r="4219" spans="1:9" ht="13.5">
      <c r="A4219" s="2" t="s">
        <v>295</v>
      </c>
      <c r="B4219" s="3" t="str">
        <f ca="1">IFERROR(__xludf.DUMMYFUNCTION("REGEXEXTRACT(C4219, ""https?:\/\/(?:.*\.)*(.+\..+?)\/"")"),"aktieskole.com")</f>
        <v>aktieskole.com</v>
      </c>
      <c r="C4219" s="4" t="s">
        <v>7181</v>
      </c>
      <c r="D4219" s="4" t="s">
        <v>7182</v>
      </c>
      <c r="E4219" s="5" t="s">
        <v>7183</v>
      </c>
      <c r="F4219" s="5" t="str">
        <f t="shared" si="65"/>
        <v>vontabel.com</v>
      </c>
      <c r="G4219" s="5" t="s">
        <v>4</v>
      </c>
      <c r="H4219" s="5" t="s">
        <v>267</v>
      </c>
      <c r="I4219" s="6"/>
    </row>
    <row r="4220" spans="1:9" ht="13.5">
      <c r="A4220" s="2" t="s">
        <v>295</v>
      </c>
      <c r="B4220" s="3" t="str">
        <f ca="1">IFERROR(__xludf.DUMMYFUNCTION("REGEXEXTRACT(C4220, ""https?:\/\/(?:.*\.)*(.+\..+?)\/"")"),"vafo.dk")</f>
        <v>vafo.dk</v>
      </c>
      <c r="C4220" s="4" t="s">
        <v>7184</v>
      </c>
      <c r="D4220" s="4" t="s">
        <v>7185</v>
      </c>
      <c r="E4220" s="5" t="s">
        <v>7186</v>
      </c>
      <c r="F4220" s="5" t="str">
        <f t="shared" si="65"/>
        <v>vontabel.com</v>
      </c>
      <c r="G4220" s="5" t="s">
        <v>4</v>
      </c>
      <c r="H4220" s="5" t="s">
        <v>267</v>
      </c>
      <c r="I4220" s="6"/>
    </row>
    <row r="4221" spans="1:9" ht="13.5">
      <c r="A4221" s="2" t="s">
        <v>295</v>
      </c>
      <c r="B4221" s="3" t="str">
        <f ca="1">IFERROR(__xludf.DUMMYFUNCTION("REGEXEXTRACT(C4221, ""https?:\/\/(?:.*\.)*(.+\..+?)\/"")"),"osakekoulu.com")</f>
        <v>osakekoulu.com</v>
      </c>
      <c r="C4221" s="4" t="s">
        <v>7187</v>
      </c>
      <c r="D4221" s="4" t="s">
        <v>7188</v>
      </c>
      <c r="E4221" s="5" t="s">
        <v>7189</v>
      </c>
      <c r="F4221" s="5" t="str">
        <f t="shared" si="65"/>
        <v>vontabel.com</v>
      </c>
      <c r="G4221" s="5" t="s">
        <v>4</v>
      </c>
      <c r="H4221" s="5" t="s">
        <v>1618</v>
      </c>
      <c r="I4221" s="6"/>
    </row>
    <row r="4222" spans="1:9" ht="13.5">
      <c r="A4222" s="2" t="s">
        <v>295</v>
      </c>
      <c r="B4222" s="3" t="str">
        <f ca="1">IFERROR(__xludf.DUMMYFUNCTION("REGEXEXTRACT(C4222, ""https?:\/\/(?:.*\.)*(.+\..+?)\/"")"),"#N/A")</f>
        <v>#N/A</v>
      </c>
      <c r="C4222" s="5"/>
      <c r="D4222" s="4" t="s">
        <v>7190</v>
      </c>
      <c r="E4222" s="5" t="s">
        <v>7191</v>
      </c>
      <c r="F4222" s="5" t="str">
        <f t="shared" si="65"/>
        <v>vontabel.com</v>
      </c>
      <c r="G4222" s="5"/>
      <c r="H4222" s="5" t="s">
        <v>1618</v>
      </c>
      <c r="I4222" s="6"/>
    </row>
    <row r="4223" spans="1:9" ht="13.5">
      <c r="A4223" s="2" t="s">
        <v>295</v>
      </c>
      <c r="B4223" s="3" t="str">
        <f ca="1">IFERROR(__xludf.DUMMYFUNCTION("REGEXEXTRACT(C4223, ""https?:\/\/(?:.*\.)*(.+\..+?)\/"")"),"#N/A")</f>
        <v>#N/A</v>
      </c>
      <c r="C4223" s="5"/>
      <c r="D4223" s="4" t="s">
        <v>7192</v>
      </c>
      <c r="E4223" s="5" t="s">
        <v>7193</v>
      </c>
      <c r="F4223" s="5" t="str">
        <f t="shared" si="65"/>
        <v>vontabel.com</v>
      </c>
      <c r="G4223" s="5"/>
      <c r="H4223" s="5" t="s">
        <v>1618</v>
      </c>
      <c r="I4223" s="6"/>
    </row>
    <row r="4224" spans="1:9" ht="13.5">
      <c r="A4224" s="2" t="s">
        <v>295</v>
      </c>
      <c r="B4224" s="3" t="str">
        <f ca="1">IFERROR(__xludf.DUMMYFUNCTION("REGEXEXTRACT(C4224, ""https?:\/\/(?:.*\.)*(.+\..+?)\/"")"),"#VALUE!")</f>
        <v>#VALUE!</v>
      </c>
      <c r="C4224" s="5">
        <v>4</v>
      </c>
      <c r="D4224" s="4" t="s">
        <v>7194</v>
      </c>
      <c r="E4224" s="5" t="s">
        <v>7195</v>
      </c>
      <c r="F4224" s="5" t="str">
        <f t="shared" si="65"/>
        <v>vontabel.com</v>
      </c>
      <c r="G4224" s="5"/>
      <c r="H4224" s="5" t="s">
        <v>1618</v>
      </c>
      <c r="I4224" s="6"/>
    </row>
    <row r="4225" spans="1:9" ht="13.5">
      <c r="A4225" s="2" t="s">
        <v>295</v>
      </c>
      <c r="B4225" s="3" t="str">
        <f ca="1">IFERROR(__xludf.DUMMYFUNCTION("REGEXEXTRACT(C4225, ""https?:\/\/(?:.*\.)*(.+\..+?)\/"")"),"#N/A")</f>
        <v>#N/A</v>
      </c>
      <c r="C4225" s="5"/>
      <c r="D4225" s="4" t="s">
        <v>381</v>
      </c>
      <c r="E4225" s="5" t="s">
        <v>7196</v>
      </c>
      <c r="F4225" s="5" t="str">
        <f t="shared" si="65"/>
        <v>vontabel.com</v>
      </c>
      <c r="G4225" s="5"/>
      <c r="H4225" s="5" t="s">
        <v>382</v>
      </c>
      <c r="I4225" s="6"/>
    </row>
    <row r="4226" spans="1:9" ht="13.5">
      <c r="A4226" s="2" t="s">
        <v>295</v>
      </c>
      <c r="B4226" s="3" t="str">
        <f ca="1">IFERROR(__xludf.DUMMYFUNCTION("REGEXEXTRACT(C4226, ""https?:\/\/(?:.*\.)*(.+\..+?)\/"")"),"borsbolag.se")</f>
        <v>borsbolag.se</v>
      </c>
      <c r="C4226" s="4" t="s">
        <v>990</v>
      </c>
      <c r="D4226" s="4" t="s">
        <v>7175</v>
      </c>
      <c r="E4226" s="5" t="s">
        <v>7176</v>
      </c>
      <c r="F4226" s="5" t="str">
        <f t="shared" si="65"/>
        <v>vontabel.com</v>
      </c>
      <c r="G4226" s="5" t="s">
        <v>4</v>
      </c>
      <c r="H4226" s="5" t="s">
        <v>5</v>
      </c>
      <c r="I4226" s="6"/>
    </row>
    <row r="4227" spans="1:9" ht="13.5">
      <c r="A4227" s="2" t="s">
        <v>295</v>
      </c>
      <c r="B4227" s="3" t="str">
        <f ca="1">IFERROR(__xludf.DUMMYFUNCTION("REGEXEXTRACT(C4227, ""https?:\/\/(?:.*\.)*(.+\..+?)\/"")"),"bolagsekonomen.se")</f>
        <v>bolagsekonomen.se</v>
      </c>
      <c r="C4227" s="4" t="s">
        <v>7197</v>
      </c>
      <c r="D4227" s="4" t="s">
        <v>7175</v>
      </c>
      <c r="E4227" s="5" t="s">
        <v>7176</v>
      </c>
      <c r="F4227" s="5" t="str">
        <f t="shared" ref="F4227:F4290" si="66">A4227</f>
        <v>vontabel.com</v>
      </c>
      <c r="G4227" s="5" t="s">
        <v>4</v>
      </c>
      <c r="H4227" s="5" t="s">
        <v>5</v>
      </c>
      <c r="I4227" s="6"/>
    </row>
    <row r="4228" spans="1:9" ht="13.5">
      <c r="A4228" s="2" t="s">
        <v>295</v>
      </c>
      <c r="B4228" s="3" t="str">
        <f ca="1">IFERROR(__xludf.DUMMYFUNCTION("REGEXEXTRACT(C4228, ""https?:\/\/(?:.*\.)*(.+\..+?)\/"")"),"viekonomi.se")</f>
        <v>viekonomi.se</v>
      </c>
      <c r="C4228" s="4" t="s">
        <v>560</v>
      </c>
      <c r="D4228" s="4" t="s">
        <v>297</v>
      </c>
      <c r="E4228" s="5" t="s">
        <v>7177</v>
      </c>
      <c r="F4228" s="5" t="str">
        <f t="shared" si="66"/>
        <v>vontabel.com</v>
      </c>
      <c r="G4228" s="5" t="s">
        <v>4</v>
      </c>
      <c r="H4228" s="5" t="s">
        <v>5</v>
      </c>
      <c r="I4228" s="6"/>
    </row>
    <row r="4229" spans="1:9" ht="13.5">
      <c r="A4229" s="2" t="s">
        <v>295</v>
      </c>
      <c r="B4229" s="3" t="str">
        <f ca="1">IFERROR(__xludf.DUMMYFUNCTION("REGEXEXTRACT(C4229, ""https?:\/\/(?:.*\.)*(.+\..+?)\/"")"),"pengar.in")</f>
        <v>pengar.in</v>
      </c>
      <c r="C4229" s="4" t="s">
        <v>7178</v>
      </c>
      <c r="D4229" s="4" t="s">
        <v>7179</v>
      </c>
      <c r="E4229" s="5" t="s">
        <v>7180</v>
      </c>
      <c r="F4229" s="5" t="str">
        <f t="shared" si="66"/>
        <v>vontabel.com</v>
      </c>
      <c r="G4229" s="5" t="s">
        <v>4</v>
      </c>
      <c r="H4229" s="5" t="s">
        <v>5</v>
      </c>
      <c r="I4229" s="6"/>
    </row>
    <row r="4230" spans="1:9" ht="13.5">
      <c r="A4230" s="2" t="s">
        <v>295</v>
      </c>
      <c r="B4230" s="3" t="str">
        <f ca="1">IFERROR(__xludf.DUMMYFUNCTION("REGEXEXTRACT(C4230, ""https?:\/\/(?:.*\.)*(.+\..+?)\/"")"),"aktieskole.com")</f>
        <v>aktieskole.com</v>
      </c>
      <c r="C4230" s="4" t="s">
        <v>7181</v>
      </c>
      <c r="D4230" s="4" t="s">
        <v>7182</v>
      </c>
      <c r="E4230" s="5" t="s">
        <v>7183</v>
      </c>
      <c r="F4230" s="5" t="str">
        <f t="shared" si="66"/>
        <v>vontabel.com</v>
      </c>
      <c r="G4230" s="5" t="s">
        <v>4</v>
      </c>
      <c r="H4230" s="5" t="s">
        <v>267</v>
      </c>
      <c r="I4230" s="6"/>
    </row>
    <row r="4231" spans="1:9" ht="13.5">
      <c r="A4231" s="2" t="s">
        <v>295</v>
      </c>
      <c r="B4231" s="3" t="str">
        <f ca="1">IFERROR(__xludf.DUMMYFUNCTION("REGEXEXTRACT(C4231, ""https?:\/\/(?:.*\.)*(.+\..+?)\/"")"),"vafo.dk")</f>
        <v>vafo.dk</v>
      </c>
      <c r="C4231" s="4" t="s">
        <v>7184</v>
      </c>
      <c r="D4231" s="4" t="s">
        <v>7185</v>
      </c>
      <c r="E4231" s="5" t="s">
        <v>7186</v>
      </c>
      <c r="F4231" s="5" t="str">
        <f t="shared" si="66"/>
        <v>vontabel.com</v>
      </c>
      <c r="G4231" s="5" t="s">
        <v>4</v>
      </c>
      <c r="H4231" s="5" t="s">
        <v>267</v>
      </c>
      <c r="I4231" s="6"/>
    </row>
    <row r="4232" spans="1:9" ht="13.5">
      <c r="A4232" s="2" t="s">
        <v>295</v>
      </c>
      <c r="B4232" s="3" t="str">
        <f ca="1">IFERROR(__xludf.DUMMYFUNCTION("REGEXEXTRACT(C4232, ""https?:\/\/(?:.*\.)*(.+\..+?)\/"")"),"osakekoulu.com")</f>
        <v>osakekoulu.com</v>
      </c>
      <c r="C4232" s="4" t="s">
        <v>7187</v>
      </c>
      <c r="D4232" s="4" t="s">
        <v>7188</v>
      </c>
      <c r="E4232" s="5" t="s">
        <v>7189</v>
      </c>
      <c r="F4232" s="5" t="str">
        <f t="shared" si="66"/>
        <v>vontabel.com</v>
      </c>
      <c r="G4232" s="5" t="s">
        <v>4</v>
      </c>
      <c r="H4232" s="5" t="s">
        <v>1618</v>
      </c>
      <c r="I4232" s="6"/>
    </row>
    <row r="4233" spans="1:9" ht="13.5">
      <c r="A4233" s="2" t="s">
        <v>295</v>
      </c>
      <c r="B4233" s="3" t="str">
        <f ca="1">IFERROR(__xludf.DUMMYFUNCTION("REGEXEXTRACT(C4233, ""https?:\/\/(?:.*\.)*(.+\..+?)\/"")"),"brafiler.se")</f>
        <v>brafiler.se</v>
      </c>
      <c r="C4233" s="4" t="s">
        <v>7198</v>
      </c>
      <c r="D4233" s="4" t="s">
        <v>7179</v>
      </c>
      <c r="E4233" s="5" t="s">
        <v>7199</v>
      </c>
      <c r="F4233" s="5" t="str">
        <f t="shared" si="66"/>
        <v>vontabel.com</v>
      </c>
      <c r="G4233" s="5" t="s">
        <v>4</v>
      </c>
      <c r="H4233" s="5" t="s">
        <v>5</v>
      </c>
      <c r="I4233" s="6"/>
    </row>
    <row r="4234" spans="1:9" ht="13.5">
      <c r="A4234" s="2" t="s">
        <v>295</v>
      </c>
      <c r="B4234" s="3" t="str">
        <f ca="1">IFERROR(__xludf.DUMMYFUNCTION("REGEXEXTRACT(C4234, ""https?:\/\/(?:.*\.)*(.+\..+?)\/"")"),"finansoplysning.dk")</f>
        <v>finansoplysning.dk</v>
      </c>
      <c r="C4234" s="354" t="s">
        <v>7200</v>
      </c>
      <c r="D4234" s="355" t="s">
        <v>7185</v>
      </c>
      <c r="E4234" s="5" t="s">
        <v>7183</v>
      </c>
      <c r="F4234" s="5" t="str">
        <f t="shared" si="66"/>
        <v>vontabel.com</v>
      </c>
      <c r="G4234" s="5" t="s">
        <v>4</v>
      </c>
      <c r="H4234" s="5" t="s">
        <v>267</v>
      </c>
      <c r="I4234" s="6"/>
    </row>
    <row r="4235" spans="1:9" ht="13.5">
      <c r="A4235" s="2" t="s">
        <v>295</v>
      </c>
      <c r="B4235" s="3" t="str">
        <f ca="1">IFERROR(__xludf.DUMMYFUNCTION("REGEXEXTRACT(C4235, ""https?:\/\/(?:.*\.)*(.+\..+?)\/"")"),"stabilokonomi.dk")</f>
        <v>stabilokonomi.dk</v>
      </c>
      <c r="C4235" s="4" t="s">
        <v>7201</v>
      </c>
      <c r="D4235" s="4" t="s">
        <v>7182</v>
      </c>
      <c r="E4235" s="5" t="s">
        <v>7186</v>
      </c>
      <c r="F4235" s="5" t="str">
        <f t="shared" si="66"/>
        <v>vontabel.com</v>
      </c>
      <c r="G4235" s="5" t="s">
        <v>4</v>
      </c>
      <c r="H4235" s="5" t="s">
        <v>267</v>
      </c>
      <c r="I4235" s="6"/>
    </row>
    <row r="4236" spans="1:9" ht="13.5">
      <c r="A4236" s="2" t="s">
        <v>295</v>
      </c>
      <c r="B4236" s="3"/>
      <c r="C4236" s="13" t="s">
        <v>7190</v>
      </c>
      <c r="D4236" s="4" t="s">
        <v>7190</v>
      </c>
      <c r="E4236" s="5" t="s">
        <v>7202</v>
      </c>
      <c r="F4236" s="5" t="str">
        <f t="shared" si="66"/>
        <v>vontabel.com</v>
      </c>
      <c r="G4236" s="5" t="s">
        <v>4</v>
      </c>
      <c r="H4236" s="5" t="s">
        <v>5</v>
      </c>
      <c r="I4236" s="6"/>
    </row>
    <row r="4237" spans="1:9" ht="13.5">
      <c r="A4237" s="2" t="s">
        <v>295</v>
      </c>
      <c r="B4237" s="3" t="str">
        <f ca="1">IFERROR(__xludf.DUMMYFUNCTION("REGEXEXTRACT(C4237, ""https?:\/\/(?:.*\.)*(.+\..+?)\/"")"),"rahaapu.fi")</f>
        <v>rahaapu.fi</v>
      </c>
      <c r="C4237" s="8" t="s">
        <v>7203</v>
      </c>
      <c r="D4237" s="4" t="s">
        <v>7192</v>
      </c>
      <c r="E4237" s="5" t="s">
        <v>7204</v>
      </c>
      <c r="F4237" s="5" t="str">
        <f t="shared" si="66"/>
        <v>vontabel.com</v>
      </c>
      <c r="G4237" s="5" t="s">
        <v>4</v>
      </c>
      <c r="H4237" s="5" t="s">
        <v>1618</v>
      </c>
      <c r="I4237" s="6"/>
    </row>
    <row r="4238" spans="1:9" ht="13.5">
      <c r="A4238" s="2" t="s">
        <v>295</v>
      </c>
      <c r="B4238" s="3" t="str">
        <f ca="1">IFERROR(__xludf.DUMMYFUNCTION("REGEXEXTRACT(C4238, ""https?:\/\/(?:.*\.)*(.+\..+?)\/"")"),"sampo-osake.fi")</f>
        <v>sampo-osake.fi</v>
      </c>
      <c r="C4238" s="8" t="s">
        <v>7205</v>
      </c>
      <c r="D4238" s="4" t="s">
        <v>7188</v>
      </c>
      <c r="E4238" s="5" t="s">
        <v>7206</v>
      </c>
      <c r="F4238" s="5" t="str">
        <f t="shared" si="66"/>
        <v>vontabel.com</v>
      </c>
      <c r="G4238" s="5" t="s">
        <v>4</v>
      </c>
      <c r="H4238" s="5" t="s">
        <v>1618</v>
      </c>
      <c r="I4238" s="6"/>
    </row>
    <row r="4239" spans="1:9" ht="13.5">
      <c r="A4239" s="2" t="s">
        <v>295</v>
      </c>
      <c r="B4239" s="3" t="str">
        <f ca="1">IFERROR(__xludf.DUMMYFUNCTION("REGEXEXTRACT(C4239, ""https?:\/\/(?:.*\.)*(.+\..+?)\/"")"),"outokumpu-osake.fi")</f>
        <v>outokumpu-osake.fi</v>
      </c>
      <c r="C4239" s="8" t="s">
        <v>7207</v>
      </c>
      <c r="D4239" s="4" t="s">
        <v>7192</v>
      </c>
      <c r="E4239" s="5" t="s">
        <v>7208</v>
      </c>
      <c r="F4239" s="5" t="str">
        <f t="shared" si="66"/>
        <v>vontabel.com</v>
      </c>
      <c r="G4239" s="5" t="s">
        <v>4</v>
      </c>
      <c r="H4239" s="5" t="s">
        <v>1618</v>
      </c>
      <c r="I4239" s="6"/>
    </row>
    <row r="4240" spans="1:9" ht="13.5">
      <c r="A4240" s="2" t="s">
        <v>295</v>
      </c>
      <c r="B4240" s="3" t="str">
        <f ca="1">IFERROR(__xludf.DUMMYFUNCTION("REGEXEXTRACT(C4240, ""https?:\/\/(?:.*\.)*(.+\..+?)\/"")"),"downloadcentral.no")</f>
        <v>downloadcentral.no</v>
      </c>
      <c r="C4240" s="8" t="s">
        <v>7209</v>
      </c>
      <c r="D4240" s="4" t="s">
        <v>497</v>
      </c>
      <c r="E4240" s="9" t="s">
        <v>497</v>
      </c>
      <c r="F4240" s="5" t="str">
        <f t="shared" si="66"/>
        <v>vontabel.com</v>
      </c>
      <c r="G4240" s="5" t="s">
        <v>4</v>
      </c>
      <c r="H4240" s="5" t="s">
        <v>382</v>
      </c>
      <c r="I4240" s="6"/>
    </row>
    <row r="4241" spans="1:9" ht="13.5">
      <c r="A4241" s="2" t="s">
        <v>295</v>
      </c>
      <c r="B4241" s="3" t="str">
        <f ca="1">IFERROR(__xludf.DUMMYFUNCTION("REGEXEXTRACT(C4241, ""https?:\/\/(?:.*\.)*(.+\..+?)\/"")"),"nordea-osake.fi")</f>
        <v>nordea-osake.fi</v>
      </c>
      <c r="C4241" s="8" t="s">
        <v>7210</v>
      </c>
      <c r="D4241" s="4" t="s">
        <v>7192</v>
      </c>
      <c r="E4241" s="5" t="s">
        <v>7211</v>
      </c>
      <c r="F4241" s="5" t="str">
        <f t="shared" si="66"/>
        <v>vontabel.com</v>
      </c>
      <c r="G4241" s="5" t="s">
        <v>4</v>
      </c>
      <c r="H4241" s="5" t="s">
        <v>1618</v>
      </c>
      <c r="I4241" s="6"/>
    </row>
    <row r="4242" spans="1:9" ht="13.5">
      <c r="A4242" s="2" t="s">
        <v>295</v>
      </c>
      <c r="B4242" s="3" t="str">
        <f ca="1">IFERROR(__xludf.DUMMYFUNCTION("REGEXEXTRACT(C4242, ""https?:\/\/(?:.*\.)*(.+\..+?)\/"")"),"nokia-osake.fi")</f>
        <v>nokia-osake.fi</v>
      </c>
      <c r="C4242" s="8" t="s">
        <v>7212</v>
      </c>
      <c r="D4242" s="4" t="s">
        <v>7192</v>
      </c>
      <c r="E4242" s="5" t="s">
        <v>7213</v>
      </c>
      <c r="F4242" s="5" t="str">
        <f t="shared" si="66"/>
        <v>vontabel.com</v>
      </c>
      <c r="G4242" s="5" t="s">
        <v>4</v>
      </c>
      <c r="H4242" s="5" t="s">
        <v>1618</v>
      </c>
      <c r="I4242" s="6"/>
    </row>
    <row r="4243" spans="1:9" ht="13.5">
      <c r="A4243" s="2" t="s">
        <v>295</v>
      </c>
      <c r="B4243" s="3" t="str">
        <f ca="1">IFERROR(__xludf.DUMMYFUNCTION("REGEXEXTRACT(C4243, ""https?:\/\/(?:.*\.)*(.+\..+?)\/"")"),"kone-osake.fi")</f>
        <v>kone-osake.fi</v>
      </c>
      <c r="C4243" s="4" t="s">
        <v>7214</v>
      </c>
      <c r="D4243" s="4" t="s">
        <v>7192</v>
      </c>
      <c r="E4243" s="5" t="s">
        <v>7215</v>
      </c>
      <c r="F4243" s="5" t="str">
        <f t="shared" si="66"/>
        <v>vontabel.com</v>
      </c>
      <c r="G4243" s="5" t="s">
        <v>4</v>
      </c>
      <c r="H4243" s="5" t="s">
        <v>1618</v>
      </c>
      <c r="I4243" s="6"/>
    </row>
    <row r="4244" spans="1:9" ht="13.5">
      <c r="A4244" s="2" t="s">
        <v>295</v>
      </c>
      <c r="B4244" s="3" t="str">
        <f ca="1">IFERROR(__xludf.DUMMYFUNCTION("REGEXEXTRACT(C4244, ""https?:\/\/(?:.*\.)*(.+\..+?)\/"")"),"downloadcentral.fi")</f>
        <v>downloadcentral.fi</v>
      </c>
      <c r="C4244" s="4" t="s">
        <v>7216</v>
      </c>
      <c r="D4244" s="4" t="s">
        <v>7192</v>
      </c>
      <c r="E4244" s="5" t="s">
        <v>7211</v>
      </c>
      <c r="F4244" s="5" t="str">
        <f t="shared" si="66"/>
        <v>vontabel.com</v>
      </c>
      <c r="G4244" s="5" t="s">
        <v>4</v>
      </c>
      <c r="H4244" s="5" t="s">
        <v>1618</v>
      </c>
      <c r="I4244" s="6"/>
    </row>
    <row r="4245" spans="1:9" ht="13.5">
      <c r="A4245" s="2" t="s">
        <v>295</v>
      </c>
      <c r="B4245" s="3" t="str">
        <f ca="1">IFERROR(__xludf.DUMMYFUNCTION("REGEXEXTRACT(C4245, ""https?:\/\/(?:.*\.)*(.+\..+?)\/"")"),"wartsila-osake.fi")</f>
        <v>wartsila-osake.fi</v>
      </c>
      <c r="C4245" s="8" t="s">
        <v>7217</v>
      </c>
      <c r="D4245" s="4" t="s">
        <v>7192</v>
      </c>
      <c r="E4245" s="5" t="s">
        <v>7204</v>
      </c>
      <c r="F4245" s="5" t="str">
        <f t="shared" si="66"/>
        <v>vontabel.com</v>
      </c>
      <c r="G4245" s="5" t="s">
        <v>4</v>
      </c>
      <c r="H4245" s="5" t="s">
        <v>1618</v>
      </c>
      <c r="I4245" s="6"/>
    </row>
    <row r="4246" spans="1:9" ht="13.5">
      <c r="A4246" s="2" t="s">
        <v>295</v>
      </c>
      <c r="B4246" s="3" t="str">
        <f ca="1">IFERROR(__xludf.DUMMYFUNCTION("REGEXEXTRACT(C4246, ""https?:\/\/(?:.*\.)*(.+\..+?)\/"")"),"radionordkapp.no")</f>
        <v>radionordkapp.no</v>
      </c>
      <c r="C4246" s="4" t="s">
        <v>7218</v>
      </c>
      <c r="D4246" s="8" t="s">
        <v>497</v>
      </c>
      <c r="E4246" s="9" t="s">
        <v>7219</v>
      </c>
      <c r="F4246" s="5" t="str">
        <f t="shared" si="66"/>
        <v>vontabel.com</v>
      </c>
      <c r="G4246" s="5" t="s">
        <v>4</v>
      </c>
      <c r="H4246" s="5" t="s">
        <v>382</v>
      </c>
      <c r="I4246" s="6"/>
    </row>
    <row r="4247" spans="1:9" ht="13.5">
      <c r="A4247" s="2" t="s">
        <v>394</v>
      </c>
      <c r="B4247" s="3" t="str">
        <f ca="1">IFERROR(__xludf.DUMMYFUNCTION("REGEXEXTRACT(C4247, ""https?:\/\/(?:.*\.)*(.+\..+?)\/"")"),"finansassistans.se")</f>
        <v>finansassistans.se</v>
      </c>
      <c r="C4247" s="4" t="s">
        <v>7220</v>
      </c>
      <c r="D4247" s="4" t="s">
        <v>601</v>
      </c>
      <c r="E4247" s="5" t="s">
        <v>604</v>
      </c>
      <c r="F4247" s="5" t="str">
        <f t="shared" si="66"/>
        <v>www.adligo.io</v>
      </c>
      <c r="G4247" s="5" t="s">
        <v>4</v>
      </c>
      <c r="H4247" s="5" t="s">
        <v>5</v>
      </c>
      <c r="I4247" s="6"/>
    </row>
    <row r="4248" spans="1:9" ht="13.5">
      <c r="A4248" s="2" t="s">
        <v>7221</v>
      </c>
      <c r="B4248" s="3" t="str">
        <f ca="1">IFERROR(__xludf.DUMMYFUNCTION("REGEXEXTRACT(C4248, ""https?:\/\/(?:.*\.)*(.+\..+?)\/"")"),"theplaidhorse.com")</f>
        <v>theplaidhorse.com</v>
      </c>
      <c r="C4248" s="4" t="s">
        <v>7222</v>
      </c>
      <c r="D4248" s="4" t="s">
        <v>7223</v>
      </c>
      <c r="E4248" s="5" t="s">
        <v>7224</v>
      </c>
      <c r="F4248" s="5" t="str">
        <f t="shared" si="66"/>
        <v>yagya.com</v>
      </c>
      <c r="G4248" s="5" t="s">
        <v>4</v>
      </c>
      <c r="H4248" s="5" t="s">
        <v>23</v>
      </c>
      <c r="I4248" s="6"/>
    </row>
    <row r="4249" spans="1:9" ht="13.5">
      <c r="A4249" s="2" t="s">
        <v>7221</v>
      </c>
      <c r="B4249" s="3" t="str">
        <f ca="1">IFERROR(__xludf.DUMMYFUNCTION("REGEXEXTRACT(C4249, ""https?:\/\/(?:.*\.)*(.+\..+?)\/"")"),"horsesinthemorning.com")</f>
        <v>horsesinthemorning.com</v>
      </c>
      <c r="C4249" s="4" t="s">
        <v>7225</v>
      </c>
      <c r="D4249" s="4" t="s">
        <v>7226</v>
      </c>
      <c r="E4249" s="5" t="s">
        <v>7227</v>
      </c>
      <c r="F4249" s="5" t="str">
        <f t="shared" si="66"/>
        <v>yagya.com</v>
      </c>
      <c r="G4249" s="5" t="s">
        <v>4</v>
      </c>
      <c r="H4249" s="5" t="s">
        <v>23</v>
      </c>
      <c r="I4249" s="6"/>
    </row>
    <row r="4250" spans="1:9" ht="13.5">
      <c r="A4250" s="2" t="s">
        <v>7221</v>
      </c>
      <c r="B4250" s="3" t="str">
        <f ca="1">IFERROR(__xludf.DUMMYFUNCTION("REGEXEXTRACT(C4250, ""https?:\/\/(?:.*\.)*(.+\..+?)\/"")"),"camdenclothesline.com")</f>
        <v>camdenclothesline.com</v>
      </c>
      <c r="C4250" s="4" t="s">
        <v>7228</v>
      </c>
      <c r="D4250" s="4" t="s">
        <v>7223</v>
      </c>
      <c r="E4250" s="9" t="s">
        <v>7229</v>
      </c>
      <c r="F4250" s="5" t="str">
        <f t="shared" si="66"/>
        <v>yagya.com</v>
      </c>
      <c r="G4250" s="5" t="s">
        <v>4</v>
      </c>
      <c r="H4250" s="5" t="s">
        <v>23</v>
      </c>
      <c r="I4250" s="6"/>
    </row>
    <row r="4251" spans="1:9" ht="13.5">
      <c r="A4251" s="2" t="s">
        <v>7221</v>
      </c>
      <c r="B4251" s="3" t="str">
        <f ca="1">IFERROR(__xludf.DUMMYFUNCTION("REGEXEXTRACT(C4251, ""https?:\/\/(?:.*\.)*(.+\..+?)\/"")"),"backstageviral.com")</f>
        <v>backstageviral.com</v>
      </c>
      <c r="C4251" s="4" t="s">
        <v>7230</v>
      </c>
      <c r="D4251" s="4" t="s">
        <v>7223</v>
      </c>
      <c r="E4251" s="5" t="s">
        <v>7231</v>
      </c>
      <c r="F4251" s="5" t="str">
        <f t="shared" si="66"/>
        <v>yagya.com</v>
      </c>
      <c r="G4251" s="5" t="s">
        <v>4</v>
      </c>
      <c r="H4251" s="5" t="s">
        <v>23</v>
      </c>
      <c r="I4251" s="6"/>
    </row>
    <row r="4252" spans="1:9" ht="13.5">
      <c r="A4252" s="2" t="s">
        <v>7221</v>
      </c>
      <c r="B4252" s="3" t="str">
        <f ca="1">IFERROR(__xludf.DUMMYFUNCTION("REGEXEXTRACT(C4252, ""https?:\/\/(?:.*\.)*(.+\..+?)\/"")"),"worldnewscontent.com")</f>
        <v>worldnewscontent.com</v>
      </c>
      <c r="C4252" s="4" t="s">
        <v>7232</v>
      </c>
      <c r="D4252" s="4" t="s">
        <v>7223</v>
      </c>
      <c r="E4252" s="5" t="s">
        <v>7233</v>
      </c>
      <c r="F4252" s="5" t="str">
        <f t="shared" si="66"/>
        <v>yagya.com</v>
      </c>
      <c r="G4252" s="5" t="s">
        <v>4</v>
      </c>
      <c r="H4252" s="5" t="s">
        <v>23</v>
      </c>
      <c r="I4252" s="6"/>
    </row>
    <row r="4253" spans="1:9" ht="13.5">
      <c r="A4253" s="2" t="s">
        <v>7221</v>
      </c>
      <c r="B4253" s="3" t="str">
        <f ca="1">IFERROR(__xludf.DUMMYFUNCTION("REGEXEXTRACT(C4253, ""https?:\/\/(?:.*\.)*(.+\..+?)\/"")"),"ixprl.com")</f>
        <v>ixprl.com</v>
      </c>
      <c r="C4253" s="4" t="s">
        <v>7234</v>
      </c>
      <c r="D4253" s="4" t="s">
        <v>7223</v>
      </c>
      <c r="E4253" s="5" t="s">
        <v>7235</v>
      </c>
      <c r="F4253" s="5" t="str">
        <f t="shared" si="66"/>
        <v>yagya.com</v>
      </c>
      <c r="G4253" s="5" t="s">
        <v>4</v>
      </c>
      <c r="H4253" s="5" t="s">
        <v>23</v>
      </c>
      <c r="I4253" s="6"/>
    </row>
    <row r="4254" spans="1:9" ht="13.5">
      <c r="A4254" s="2" t="s">
        <v>7221</v>
      </c>
      <c r="B4254" s="3" t="str">
        <f ca="1">IFERROR(__xludf.DUMMYFUNCTION("REGEXEXTRACT(C4254, ""https?:\/\/(?:.*\.)*(.+\..+?)\/"")"),"yc.edu")</f>
        <v>yc.edu</v>
      </c>
      <c r="C4254" s="4" t="s">
        <v>7236</v>
      </c>
      <c r="D4254" s="4" t="s">
        <v>7223</v>
      </c>
      <c r="E4254" s="5" t="s">
        <v>7237</v>
      </c>
      <c r="F4254" s="5" t="str">
        <f t="shared" si="66"/>
        <v>yagya.com</v>
      </c>
      <c r="G4254" s="5" t="s">
        <v>4</v>
      </c>
      <c r="H4254" s="5" t="s">
        <v>23</v>
      </c>
      <c r="I4254" s="6"/>
    </row>
    <row r="4255" spans="1:9" ht="13.5">
      <c r="A4255" s="2" t="s">
        <v>7221</v>
      </c>
      <c r="B4255" s="3" t="str">
        <f ca="1">IFERROR(__xludf.DUMMYFUNCTION("REGEXEXTRACT(C4255, ""https?:\/\/(?:.*\.)*(.+\..+?)\/"")"),"krafitis.com")</f>
        <v>krafitis.com</v>
      </c>
      <c r="C4255" s="4" t="s">
        <v>7238</v>
      </c>
      <c r="D4255" s="4" t="s">
        <v>7223</v>
      </c>
      <c r="E4255" s="5" t="s">
        <v>7239</v>
      </c>
      <c r="F4255" s="5" t="str">
        <f t="shared" si="66"/>
        <v>yagya.com</v>
      </c>
      <c r="G4255" s="5" t="s">
        <v>4</v>
      </c>
      <c r="H4255" s="5" t="s">
        <v>23</v>
      </c>
      <c r="I4255" s="6"/>
    </row>
    <row r="4256" spans="1:9" ht="13.5">
      <c r="A4256" s="2" t="s">
        <v>7221</v>
      </c>
      <c r="B4256" s="3" t="str">
        <f ca="1">IFERROR(__xludf.DUMMYFUNCTION("REGEXEXTRACT(C4256, ""https?:\/\/(?:.*\.)*(.+\..+?)\/"")"),"voguefreaks.com")</f>
        <v>voguefreaks.com</v>
      </c>
      <c r="C4256" s="4" t="s">
        <v>7240</v>
      </c>
      <c r="D4256" s="4" t="s">
        <v>7223</v>
      </c>
      <c r="E4256" s="5" t="s">
        <v>7227</v>
      </c>
      <c r="F4256" s="5" t="str">
        <f t="shared" si="66"/>
        <v>yagya.com</v>
      </c>
      <c r="G4256" s="5" t="s">
        <v>4</v>
      </c>
      <c r="H4256" s="5" t="s">
        <v>23</v>
      </c>
      <c r="I4256" s="6"/>
    </row>
    <row r="4257" spans="1:9" ht="13.5">
      <c r="A4257" s="2" t="s">
        <v>7221</v>
      </c>
      <c r="B4257" s="3" t="str">
        <f ca="1">IFERROR(__xludf.DUMMYFUNCTION("REGEXEXTRACT(C4257, ""https?:\/\/(?:.*\.)*(.+\..+?)\/"")"),"americanracehorse.com")</f>
        <v>americanracehorse.com</v>
      </c>
      <c r="C4257" s="4" t="s">
        <v>7241</v>
      </c>
      <c r="D4257" s="4" t="s">
        <v>7223</v>
      </c>
      <c r="E4257" s="5" t="s">
        <v>7227</v>
      </c>
      <c r="F4257" s="5" t="str">
        <f t="shared" si="66"/>
        <v>yagya.com</v>
      </c>
      <c r="G4257" s="5" t="s">
        <v>4</v>
      </c>
      <c r="H4257" s="5" t="s">
        <v>23</v>
      </c>
      <c r="I4257" s="6"/>
    </row>
    <row r="4258" spans="1:9" ht="13.5">
      <c r="A4258" s="2" t="s">
        <v>7221</v>
      </c>
      <c r="B4258" s="3" t="str">
        <f ca="1">IFERROR(__xludf.DUMMYFUNCTION("REGEXEXTRACT(C4258, ""https?:\/\/(?:.*\.)*(.+\..+?)\/"")"),"ridzeal.com")</f>
        <v>ridzeal.com</v>
      </c>
      <c r="C4258" s="4" t="s">
        <v>7242</v>
      </c>
      <c r="D4258" s="4" t="s">
        <v>7223</v>
      </c>
      <c r="E4258" s="5" t="s">
        <v>7227</v>
      </c>
      <c r="F4258" s="5" t="str">
        <f t="shared" si="66"/>
        <v>yagya.com</v>
      </c>
      <c r="G4258" s="5" t="s">
        <v>4</v>
      </c>
      <c r="H4258" s="5" t="s">
        <v>23</v>
      </c>
      <c r="I4258" s="6"/>
    </row>
    <row r="4259" spans="1:9" ht="13.5">
      <c r="A4259" s="2" t="s">
        <v>7221</v>
      </c>
      <c r="B4259" s="3" t="str">
        <f ca="1">IFERROR(__xludf.DUMMYFUNCTION("REGEXEXTRACT(C4259, ""https?:\/\/(?:.*\.)*(.+\..+?)\/"")"),"whatsnew2day.com")</f>
        <v>whatsnew2day.com</v>
      </c>
      <c r="C4259" s="4" t="s">
        <v>7243</v>
      </c>
      <c r="D4259" s="4" t="s">
        <v>7223</v>
      </c>
      <c r="E4259" s="9" t="s">
        <v>7223</v>
      </c>
      <c r="F4259" s="5" t="str">
        <f t="shared" si="66"/>
        <v>yagya.com</v>
      </c>
      <c r="G4259" s="5" t="s">
        <v>4</v>
      </c>
      <c r="H4259" s="5" t="s">
        <v>23</v>
      </c>
      <c r="I4259" s="6"/>
    </row>
    <row r="4260" spans="1:9" ht="13.5">
      <c r="A4260" s="2" t="s">
        <v>7221</v>
      </c>
      <c r="B4260" s="3" t="str">
        <f ca="1">IFERROR(__xludf.DUMMYFUNCTION("REGEXEXTRACT(C4260, ""https?:\/\/(?:.*\.)*(.+\..+?)\/"")"),"publicistpaper.com")</f>
        <v>publicistpaper.com</v>
      </c>
      <c r="C4260" s="4" t="s">
        <v>7244</v>
      </c>
      <c r="D4260" s="4" t="s">
        <v>7223</v>
      </c>
      <c r="E4260" s="5" t="s">
        <v>7245</v>
      </c>
      <c r="F4260" s="5" t="str">
        <f t="shared" si="66"/>
        <v>yagya.com</v>
      </c>
      <c r="G4260" s="5" t="s">
        <v>4</v>
      </c>
      <c r="H4260" s="5" t="s">
        <v>23</v>
      </c>
      <c r="I4260" s="6"/>
    </row>
    <row r="4261" spans="1:9" ht="13.5">
      <c r="A4261" s="2" t="s">
        <v>7221</v>
      </c>
      <c r="B4261" s="3" t="str">
        <f ca="1">IFERROR(__xludf.DUMMYFUNCTION("REGEXEXTRACT(C4261, ""https?:\/\/(?:.*\.)*(.+\..+?)\/"")"),"whatsnew2day.com")</f>
        <v>whatsnew2day.com</v>
      </c>
      <c r="C4261" s="4" t="s">
        <v>7246</v>
      </c>
      <c r="D4261" s="4" t="s">
        <v>7223</v>
      </c>
      <c r="E4261" s="9" t="s">
        <v>7223</v>
      </c>
      <c r="F4261" s="5" t="str">
        <f t="shared" si="66"/>
        <v>yagya.com</v>
      </c>
      <c r="G4261" s="5" t="s">
        <v>4</v>
      </c>
      <c r="H4261" s="5" t="s">
        <v>23</v>
      </c>
      <c r="I4261" s="6"/>
    </row>
    <row r="4262" spans="1:9" ht="13.5">
      <c r="A4262" s="2" t="s">
        <v>7221</v>
      </c>
      <c r="B4262" s="3" t="str">
        <f ca="1">IFERROR(__xludf.DUMMYFUNCTION("REGEXEXTRACT(C4262, ""https?:\/\/(?:.*\.)*(.+\..+?)\/"")"),"co.uk")</f>
        <v>co.uk</v>
      </c>
      <c r="C4262" s="4" t="s">
        <v>7247</v>
      </c>
      <c r="D4262" s="4" t="s">
        <v>7223</v>
      </c>
      <c r="E4262" s="5" t="s">
        <v>7227</v>
      </c>
      <c r="F4262" s="5" t="str">
        <f t="shared" si="66"/>
        <v>yagya.com</v>
      </c>
      <c r="G4262" s="5" t="s">
        <v>4</v>
      </c>
      <c r="H4262" s="5" t="s">
        <v>23</v>
      </c>
      <c r="I4262" s="6"/>
    </row>
    <row r="4263" spans="1:9" ht="13.5">
      <c r="A4263" s="2" t="s">
        <v>7221</v>
      </c>
      <c r="B4263" s="3" t="str">
        <f ca="1">IFERROR(__xludf.DUMMYFUNCTION("REGEXEXTRACT(C4263, ""https?:\/\/(?:.*\.)*(.+\..+?)\/"")"),"citygoldmedia.com")</f>
        <v>citygoldmedia.com</v>
      </c>
      <c r="C4263" s="8" t="s">
        <v>7101</v>
      </c>
      <c r="D4263" s="4" t="s">
        <v>7102</v>
      </c>
      <c r="E4263" s="5" t="s">
        <v>7248</v>
      </c>
      <c r="F4263" s="5" t="str">
        <f t="shared" si="66"/>
        <v>yagya.com</v>
      </c>
      <c r="G4263" s="5" t="s">
        <v>4</v>
      </c>
      <c r="H4263" s="5" t="s">
        <v>345</v>
      </c>
      <c r="I4263" s="6"/>
    </row>
    <row r="4264" spans="1:9" ht="13.5">
      <c r="A4264" s="2" t="s">
        <v>7221</v>
      </c>
      <c r="B4264" s="3" t="str">
        <f ca="1">IFERROR(__xludf.DUMMYFUNCTION("REGEXEXTRACT(C4264, ""https?:\/\/(?:.*\.)*(.+\..+?)\/"")"),"lifestylebyps.com")</f>
        <v>lifestylebyps.com</v>
      </c>
      <c r="C4264" s="4" t="s">
        <v>7249</v>
      </c>
      <c r="D4264" s="4" t="s">
        <v>7250</v>
      </c>
      <c r="E4264" s="5" t="s">
        <v>7251</v>
      </c>
      <c r="F4264" s="5" t="str">
        <f t="shared" si="66"/>
        <v>yagya.com</v>
      </c>
      <c r="G4264" s="5" t="s">
        <v>4</v>
      </c>
      <c r="H4264" s="5" t="s">
        <v>345</v>
      </c>
      <c r="I4264" s="6"/>
    </row>
    <row r="4265" spans="1:9" ht="13.5">
      <c r="A4265" s="2" t="s">
        <v>7221</v>
      </c>
      <c r="B4265" s="3" t="str">
        <f ca="1">IFERROR(__xludf.DUMMYFUNCTION("REGEXEXTRACT(C4265, ""https?:\/\/(?:.*\.)*(.+\..+?)\/"")"),"nighthelper.com")</f>
        <v>nighthelper.com</v>
      </c>
      <c r="C4265" s="4" t="s">
        <v>7252</v>
      </c>
      <c r="D4265" s="4" t="s">
        <v>7102</v>
      </c>
      <c r="E4265" s="5" t="s">
        <v>7248</v>
      </c>
      <c r="F4265" s="5" t="str">
        <f t="shared" si="66"/>
        <v>yagya.com</v>
      </c>
      <c r="G4265" s="5" t="s">
        <v>4</v>
      </c>
      <c r="H4265" s="5" t="s">
        <v>345</v>
      </c>
      <c r="I4265" s="6"/>
    </row>
    <row r="4266" spans="1:9" ht="13.5">
      <c r="A4266" s="2" t="s">
        <v>7221</v>
      </c>
      <c r="B4266" s="3" t="str">
        <f ca="1">IFERROR(__xludf.DUMMYFUNCTION("REGEXEXTRACT(C4266, ""https?:\/\/(?:.*\.)*(.+\..+?)\/"")"),"womendailymagazine.com")</f>
        <v>womendailymagazine.com</v>
      </c>
      <c r="C4266" s="4" t="s">
        <v>7253</v>
      </c>
      <c r="D4266" s="4" t="s">
        <v>7250</v>
      </c>
      <c r="E4266" s="5" t="s">
        <v>7254</v>
      </c>
      <c r="F4266" s="5" t="str">
        <f t="shared" si="66"/>
        <v>yagya.com</v>
      </c>
      <c r="G4266" s="5" t="s">
        <v>4</v>
      </c>
      <c r="H4266" s="5" t="s">
        <v>345</v>
      </c>
      <c r="I4266" s="6"/>
    </row>
    <row r="4267" spans="1:9" ht="13.5">
      <c r="A4267" s="2" t="s">
        <v>663</v>
      </c>
      <c r="B4267" s="3" t="str">
        <f ca="1">IFERROR(__xludf.DUMMYFUNCTION("REGEXEXTRACT(C4267, ""https?:\/\/(?:.*\.)*(.+\..+?)\/"")"),"executiveeffect.se")</f>
        <v>executiveeffect.se</v>
      </c>
      <c r="C4267" s="4" t="s">
        <v>7255</v>
      </c>
      <c r="D4267" s="4" t="s">
        <v>795</v>
      </c>
      <c r="E4267" s="5" t="s">
        <v>7256</v>
      </c>
      <c r="F4267" s="5" t="str">
        <f t="shared" si="66"/>
        <v>robomarkets.com</v>
      </c>
      <c r="G4267" s="5" t="s">
        <v>4</v>
      </c>
      <c r="H4267" s="5" t="s">
        <v>5</v>
      </c>
      <c r="I4267" s="6"/>
    </row>
    <row r="4268" spans="1:9" ht="13.5">
      <c r="A4268" s="2" t="s">
        <v>663</v>
      </c>
      <c r="B4268" s="3" t="str">
        <f ca="1">IFERROR(__xludf.DUMMYFUNCTION("REGEXEXTRACT(C4268, ""https?:\/\/(?:.*\.)*(.+\..+?)\/"")"),"saleseffect.se")</f>
        <v>saleseffect.se</v>
      </c>
      <c r="C4268" s="4" t="s">
        <v>7257</v>
      </c>
      <c r="D4268" s="4" t="s">
        <v>795</v>
      </c>
      <c r="E4268" s="12" t="s">
        <v>7258</v>
      </c>
      <c r="F4268" s="5" t="str">
        <f t="shared" si="66"/>
        <v>robomarkets.com</v>
      </c>
      <c r="G4268" s="5" t="s">
        <v>4</v>
      </c>
      <c r="H4268" s="5" t="s">
        <v>5</v>
      </c>
      <c r="I4268" s="6"/>
    </row>
    <row r="4269" spans="1:9" ht="13.5">
      <c r="A4269" s="2" t="s">
        <v>663</v>
      </c>
      <c r="B4269" s="3" t="str">
        <f ca="1">IFERROR(__xludf.DUMMYFUNCTION("REGEXEXTRACT(C4269, ""https?:\/\/(?:.*\.)*(.+\..+?)\/"")"),"eventeffect.se")</f>
        <v>eventeffect.se</v>
      </c>
      <c r="C4269" s="4" t="s">
        <v>7259</v>
      </c>
      <c r="D4269" s="4" t="s">
        <v>795</v>
      </c>
      <c r="E4269" s="5" t="s">
        <v>7260</v>
      </c>
      <c r="F4269" s="5" t="str">
        <f t="shared" si="66"/>
        <v>robomarkets.com</v>
      </c>
      <c r="G4269" s="5" t="s">
        <v>4</v>
      </c>
      <c r="H4269" s="5" t="s">
        <v>5</v>
      </c>
      <c r="I4269" s="6"/>
    </row>
    <row r="4270" spans="1:9" ht="13.5">
      <c r="A4270" s="101" t="s">
        <v>329</v>
      </c>
      <c r="B4270" s="3" t="str">
        <f ca="1">IFERROR(__xludf.DUMMYFUNCTION("REGEXEXTRACT(C4270, ""https?:\/\/(?:.*\.)*(.+\..+?)\/"")"),"eventeffect.se")</f>
        <v>eventeffect.se</v>
      </c>
      <c r="C4270" s="4" t="s">
        <v>7261</v>
      </c>
      <c r="D4270" s="4" t="s">
        <v>331</v>
      </c>
      <c r="E4270" s="5" t="s">
        <v>332</v>
      </c>
      <c r="F4270" s="5" t="str">
        <f t="shared" si="66"/>
        <v>vont</v>
      </c>
      <c r="G4270" s="5" t="s">
        <v>4</v>
      </c>
      <c r="H4270" s="5" t="s">
        <v>5</v>
      </c>
      <c r="I4270" s="6"/>
    </row>
    <row r="4271" spans="1:9" ht="13.5">
      <c r="A4271" s="2" t="s">
        <v>435</v>
      </c>
      <c r="B4271" s="3" t="str">
        <f ca="1">IFERROR(__xludf.DUMMYFUNCTION("REGEXEXTRACT(C4271, ""https?:\/\/(?:.*\.)*(.+\..+?)\/"")"),"eventeffect.se")</f>
        <v>eventeffect.se</v>
      </c>
      <c r="C4271" s="4" t="s">
        <v>7262</v>
      </c>
      <c r="D4271" s="4" t="s">
        <v>517</v>
      </c>
      <c r="E4271" s="5" t="s">
        <v>7263</v>
      </c>
      <c r="F4271" s="5" t="str">
        <f t="shared" si="66"/>
        <v>fairinvestments.se</v>
      </c>
      <c r="G4271" s="5" t="s">
        <v>4</v>
      </c>
      <c r="H4271" s="5" t="s">
        <v>5</v>
      </c>
      <c r="I4271" s="6"/>
    </row>
    <row r="4272" spans="1:9" ht="13.5">
      <c r="A4272" s="2" t="s">
        <v>325</v>
      </c>
      <c r="B4272" s="3" t="str">
        <f ca="1">IFERROR(__xludf.DUMMYFUNCTION("REGEXEXTRACT(C4272, ""https?:\/\/(?:.*\.)*(.+\..+?)\/"")"),"saleseffect.se")</f>
        <v>saleseffect.se</v>
      </c>
      <c r="C4272" s="4" t="s">
        <v>7264</v>
      </c>
      <c r="D4272" s="4" t="s">
        <v>327</v>
      </c>
      <c r="E4272" s="5" t="s">
        <v>328</v>
      </c>
      <c r="F4272" s="5" t="str">
        <f t="shared" si="66"/>
        <v>tiotak.se</v>
      </c>
      <c r="G4272" s="5" t="s">
        <v>4</v>
      </c>
      <c r="H4272" s="5" t="s">
        <v>5</v>
      </c>
      <c r="I4272" s="6"/>
    </row>
    <row r="4273" spans="1:9" ht="13.5">
      <c r="A4273" s="2" t="s">
        <v>803</v>
      </c>
      <c r="B4273" s="3" t="str">
        <f ca="1">IFERROR(__xludf.DUMMYFUNCTION("REGEXEXTRACT(C4273, ""https?:\/\/(?:.*\.)*(.+\..+?)\/"")"),"executiveeffect.se")</f>
        <v>executiveeffect.se</v>
      </c>
      <c r="C4273" s="4" t="s">
        <v>7265</v>
      </c>
      <c r="D4273" s="4" t="s">
        <v>953</v>
      </c>
      <c r="E4273" s="5" t="s">
        <v>806</v>
      </c>
      <c r="F4273" s="5" t="str">
        <f t="shared" si="66"/>
        <v>foyen.se</v>
      </c>
      <c r="G4273" s="5" t="s">
        <v>4</v>
      </c>
      <c r="H4273" s="5" t="s">
        <v>5</v>
      </c>
      <c r="I4273" s="6"/>
    </row>
    <row r="4274" spans="1:9" ht="13.5">
      <c r="A4274" s="2" t="s">
        <v>535</v>
      </c>
      <c r="B4274" s="3" t="str">
        <f ca="1">IFERROR(__xludf.DUMMYFUNCTION("REGEXEXTRACT(C4274, ""https?:\/\/(?:.*\.)*(.+\..+?)\/"")"),"eventeffect.se")</f>
        <v>eventeffect.se</v>
      </c>
      <c r="C4274" s="4" t="s">
        <v>7266</v>
      </c>
      <c r="D4274" s="4" t="s">
        <v>536</v>
      </c>
      <c r="E4274" s="356" t="s">
        <v>7267</v>
      </c>
      <c r="F4274" s="5" t="str">
        <f t="shared" si="66"/>
        <v>tryggbil.se</v>
      </c>
      <c r="G4274" s="5" t="s">
        <v>4</v>
      </c>
      <c r="H4274" s="5" t="s">
        <v>5</v>
      </c>
      <c r="I4274" s="6"/>
    </row>
    <row r="4275" spans="1:9" ht="13.5">
      <c r="A4275" s="2" t="s">
        <v>689</v>
      </c>
      <c r="B4275" s="3" t="str">
        <f ca="1">IFERROR(__xludf.DUMMYFUNCTION("REGEXEXTRACT(C4275, ""https?:\/\/(?:.*\.)*(.+\..+?)\/"")"),"havstomt.se")</f>
        <v>havstomt.se</v>
      </c>
      <c r="C4275" s="4" t="s">
        <v>44</v>
      </c>
      <c r="D4275" s="4" t="s">
        <v>691</v>
      </c>
      <c r="E4275" s="5" t="s">
        <v>2874</v>
      </c>
      <c r="F4275" s="5" t="str">
        <f t="shared" si="66"/>
        <v>conclean.se</v>
      </c>
      <c r="G4275" s="5" t="s">
        <v>4</v>
      </c>
      <c r="H4275" s="5" t="s">
        <v>5</v>
      </c>
      <c r="I4275" s="6"/>
    </row>
    <row r="4276" spans="1:9" ht="13.5">
      <c r="A4276" s="2" t="s">
        <v>264</v>
      </c>
      <c r="B4276" s="3" t="str">
        <f ca="1">IFERROR(__xludf.DUMMYFUNCTION("REGEXEXTRACT(C4276, ""https?:\/\/(?:.*\.)*(.+\..+?)\/"")"),"amagerliv.dk")</f>
        <v>amagerliv.dk</v>
      </c>
      <c r="C4276" s="4" t="s">
        <v>7268</v>
      </c>
      <c r="D4276" s="4" t="s">
        <v>626</v>
      </c>
      <c r="E4276" s="5" t="s">
        <v>268</v>
      </c>
      <c r="F4276" s="5" t="str">
        <f t="shared" si="66"/>
        <v>creditsafe.se</v>
      </c>
      <c r="G4276" s="5" t="s">
        <v>4</v>
      </c>
      <c r="H4276" s="5" t="s">
        <v>267</v>
      </c>
      <c r="I4276" s="6"/>
    </row>
    <row r="4277" spans="1:9" ht="13.5">
      <c r="A4277" s="2" t="s">
        <v>264</v>
      </c>
      <c r="B4277" s="3" t="str">
        <f ca="1">IFERROR(__xludf.DUMMYFUNCTION("REGEXEXTRACT(C4277, ""https?:\/\/(?:.*\.)*(.+\..+?)\/"")"),"kobenhavnliv.dk")</f>
        <v>kobenhavnliv.dk</v>
      </c>
      <c r="C4277" s="4" t="s">
        <v>7269</v>
      </c>
      <c r="D4277" s="4" t="s">
        <v>626</v>
      </c>
      <c r="E4277" s="5" t="s">
        <v>268</v>
      </c>
      <c r="F4277" s="5" t="str">
        <f t="shared" si="66"/>
        <v>creditsafe.se</v>
      </c>
      <c r="G4277" s="5" t="s">
        <v>4</v>
      </c>
      <c r="H4277" s="5" t="s">
        <v>267</v>
      </c>
      <c r="I4277" s="6"/>
    </row>
    <row r="4278" spans="1:9" ht="13.5">
      <c r="A4278" s="7" t="s">
        <v>1071</v>
      </c>
      <c r="B4278" s="3" t="str">
        <f ca="1">IFERROR(__xludf.DUMMYFUNCTION("REGEXEXTRACT(C4278, ""https?:\/\/(?:.*\.)*(.+\..+?)\/"")"),"#N/A")</f>
        <v>#N/A</v>
      </c>
      <c r="C4278" s="357"/>
      <c r="D4278" s="41" t="s">
        <v>830</v>
      </c>
      <c r="E4278" s="37" t="s">
        <v>831</v>
      </c>
      <c r="F4278" s="5" t="str">
        <f t="shared" si="66"/>
        <v>???</v>
      </c>
      <c r="G4278" s="5" t="s">
        <v>4</v>
      </c>
      <c r="H4278" s="5" t="s">
        <v>5</v>
      </c>
      <c r="I4278" s="6"/>
    </row>
    <row r="4279" spans="1:9" ht="13.5">
      <c r="A4279" s="7" t="s">
        <v>1071</v>
      </c>
      <c r="B4279" s="3" t="str">
        <f ca="1">IFERROR(__xludf.DUMMYFUNCTION("REGEXEXTRACT(C4279, ""https?:\/\/(?:.*\.)*(.+\..+?)\/"")"),"#N/A")</f>
        <v>#N/A</v>
      </c>
      <c r="C4279" s="357"/>
      <c r="D4279" s="41" t="s">
        <v>830</v>
      </c>
      <c r="E4279" s="37" t="s">
        <v>831</v>
      </c>
      <c r="F4279" s="5" t="str">
        <f t="shared" si="66"/>
        <v>???</v>
      </c>
      <c r="G4279" s="5" t="s">
        <v>4</v>
      </c>
      <c r="H4279" s="5" t="s">
        <v>5</v>
      </c>
      <c r="I4279" s="6"/>
    </row>
    <row r="4280" spans="1:9" ht="13.5">
      <c r="A4280" s="2" t="s">
        <v>295</v>
      </c>
      <c r="B4280" s="3" t="str">
        <f ca="1">IFERROR(__xludf.DUMMYFUNCTION("REGEXEXTRACT(C4280, ""https?:\/\/(?:.*\.)*(.+\..+?)\/"")"),"dagens.no")</f>
        <v>dagens.no</v>
      </c>
      <c r="C4280" s="4" t="s">
        <v>7270</v>
      </c>
      <c r="D4280" s="4" t="s">
        <v>497</v>
      </c>
      <c r="E4280" s="9" t="s">
        <v>497</v>
      </c>
      <c r="F4280" s="5" t="str">
        <f t="shared" si="66"/>
        <v>vontabel.com</v>
      </c>
      <c r="G4280" s="5" t="s">
        <v>4</v>
      </c>
      <c r="H4280" s="5" t="s">
        <v>382</v>
      </c>
      <c r="I4280" s="6"/>
    </row>
    <row r="4281" spans="1:9" ht="13.5">
      <c r="A4281" s="2" t="s">
        <v>264</v>
      </c>
      <c r="B4281" s="3" t="str">
        <f ca="1">IFERROR(__xludf.DUMMYFUNCTION("REGEXEXTRACT(C4281, ""https?:\/\/(?:.*\.)*(.+\..+?)\/"")"),"amerikanskeaktier.dk")</f>
        <v>amerikanskeaktier.dk</v>
      </c>
      <c r="C4281" s="4" t="s">
        <v>7271</v>
      </c>
      <c r="D4281" s="4" t="s">
        <v>626</v>
      </c>
      <c r="E4281" s="5" t="s">
        <v>514</v>
      </c>
      <c r="F4281" s="5" t="str">
        <f t="shared" si="66"/>
        <v>creditsafe.se</v>
      </c>
      <c r="G4281" s="5" t="s">
        <v>4</v>
      </c>
      <c r="H4281" s="5" t="s">
        <v>267</v>
      </c>
      <c r="I4281" s="6"/>
    </row>
    <row r="4282" spans="1:9" ht="13.5">
      <c r="A4282" s="2" t="s">
        <v>264</v>
      </c>
      <c r="B4282" s="3" t="str">
        <f ca="1">IFERROR(__xludf.DUMMYFUNCTION("REGEXEXTRACT(C4282, ""https?:\/\/(?:.*\.)*(.+\..+?)\/"")"),"migogaalborg.dk")</f>
        <v>migogaalborg.dk</v>
      </c>
      <c r="C4282" s="4" t="s">
        <v>7272</v>
      </c>
      <c r="D4282" s="4" t="s">
        <v>626</v>
      </c>
      <c r="E4282" s="5" t="s">
        <v>514</v>
      </c>
      <c r="F4282" s="5" t="str">
        <f t="shared" si="66"/>
        <v>creditsafe.se</v>
      </c>
      <c r="G4282" s="5" t="s">
        <v>4</v>
      </c>
      <c r="H4282" s="5" t="s">
        <v>267</v>
      </c>
      <c r="I4282" s="6"/>
    </row>
    <row r="4283" spans="1:9" ht="13.5">
      <c r="A4283" s="2" t="s">
        <v>20</v>
      </c>
      <c r="B4283" s="3" t="str">
        <f ca="1">IFERROR(__xludf.DUMMYFUNCTION("REGEXEXTRACT(C4283, ""https?:\/\/(?:.*\.)*(.+\..+?)\/"")"),"bgfashion.net")</f>
        <v>bgfashion.net</v>
      </c>
      <c r="C4283" s="4" t="s">
        <v>7273</v>
      </c>
      <c r="D4283" s="4" t="s">
        <v>676</v>
      </c>
      <c r="E4283" s="5" t="s">
        <v>7274</v>
      </c>
      <c r="F4283" s="5" t="str">
        <f t="shared" si="66"/>
        <v>blugiallo.com</v>
      </c>
      <c r="G4283" s="5" t="s">
        <v>4</v>
      </c>
      <c r="H4283" s="5" t="s">
        <v>345</v>
      </c>
      <c r="I4283" s="6"/>
    </row>
    <row r="4284" spans="1:9" ht="13.5">
      <c r="A4284" s="2" t="s">
        <v>295</v>
      </c>
      <c r="B4284" s="3" t="str">
        <f ca="1">IFERROR(__xludf.DUMMYFUNCTION("REGEXEXTRACT(C4284, ""https?:\/\/(?:.*\.)*(.+\..+?)\/"")"),"faa.dk")</f>
        <v>faa.dk</v>
      </c>
      <c r="C4284" s="4" t="s">
        <v>7275</v>
      </c>
      <c r="D4284" s="4" t="s">
        <v>1015</v>
      </c>
      <c r="E4284" s="9" t="s">
        <v>1015</v>
      </c>
      <c r="F4284" s="5" t="str">
        <f t="shared" si="66"/>
        <v>vontabel.com</v>
      </c>
      <c r="G4284" s="5" t="s">
        <v>4</v>
      </c>
      <c r="H4284" s="5" t="s">
        <v>267</v>
      </c>
      <c r="I4284" s="6"/>
    </row>
    <row r="4285" spans="1:9" ht="13.5">
      <c r="A4285" s="2" t="s">
        <v>7221</v>
      </c>
      <c r="B4285" s="3" t="str">
        <f ca="1">IFERROR(__xludf.DUMMYFUNCTION("REGEXEXTRACT(C4285, ""https?:\/\/(?:.*\.)*(.+\..+?)\/"")"),"newsbreak.com")</f>
        <v>newsbreak.com</v>
      </c>
      <c r="C4285" s="4" t="s">
        <v>7276</v>
      </c>
      <c r="D4285" s="4" t="s">
        <v>7223</v>
      </c>
      <c r="E4285" s="5" t="s">
        <v>7277</v>
      </c>
      <c r="F4285" s="5" t="str">
        <f t="shared" si="66"/>
        <v>yagya.com</v>
      </c>
      <c r="G4285" s="5" t="s">
        <v>4</v>
      </c>
      <c r="H4285" s="5" t="s">
        <v>345</v>
      </c>
      <c r="I4285" s="6"/>
    </row>
    <row r="4286" spans="1:9" ht="13.5">
      <c r="A4286" s="2" t="s">
        <v>1</v>
      </c>
      <c r="B4286" s="3" t="str">
        <f ca="1">IFERROR(__xludf.DUMMYFUNCTION("REGEXEXTRACT(C4286, ""https?:\/\/(?:.*\.)*(.+\..+?)\/"")"),"vackerthem.se")</f>
        <v>vackerthem.se</v>
      </c>
      <c r="C4286" s="4" t="s">
        <v>7278</v>
      </c>
      <c r="D4286" s="4" t="s">
        <v>3</v>
      </c>
      <c r="E4286" s="5" t="s">
        <v>660</v>
      </c>
      <c r="F4286" s="5" t="str">
        <f t="shared" si="66"/>
        <v>haxan.se</v>
      </c>
      <c r="G4286" s="5" t="s">
        <v>4</v>
      </c>
      <c r="H4286" s="5" t="s">
        <v>5</v>
      </c>
      <c r="I4286" s="6"/>
    </row>
    <row r="4287" spans="1:9" ht="13.5">
      <c r="A4287" s="7" t="s">
        <v>329</v>
      </c>
      <c r="B4287" s="3" t="str">
        <f ca="1">IFERROR(__xludf.DUMMYFUNCTION("REGEXEXTRACT(C4287, ""https?:\/\/(?:.*\.)*(.+\..+?)\/"")"),"listor.se")</f>
        <v>listor.se</v>
      </c>
      <c r="C4287" s="4" t="s">
        <v>7279</v>
      </c>
      <c r="D4287" s="4" t="s">
        <v>331</v>
      </c>
      <c r="E4287" s="5" t="s">
        <v>332</v>
      </c>
      <c r="F4287" s="5" t="str">
        <f t="shared" si="66"/>
        <v>vont</v>
      </c>
      <c r="G4287" s="5" t="s">
        <v>4</v>
      </c>
      <c r="H4287" s="5" t="s">
        <v>5</v>
      </c>
      <c r="I4287" s="6"/>
    </row>
    <row r="4288" spans="1:9" ht="13.5">
      <c r="A4288" s="2" t="s">
        <v>156</v>
      </c>
      <c r="B4288" s="3" t="str">
        <f ca="1">IFERROR(__xludf.DUMMYFUNCTION("REGEXEXTRACT(C4288, ""https?:\/\/(?:.*\.)*(.+\..+?)\/"")"),"kvinnan.se")</f>
        <v>kvinnan.se</v>
      </c>
      <c r="C4288" s="4" t="s">
        <v>7280</v>
      </c>
      <c r="D4288" s="4" t="s">
        <v>317</v>
      </c>
      <c r="E4288" s="5" t="s">
        <v>7281</v>
      </c>
      <c r="F4288" s="5" t="str">
        <f t="shared" si="66"/>
        <v>askskinfo.com</v>
      </c>
      <c r="G4288" s="5" t="s">
        <v>4</v>
      </c>
      <c r="H4288" s="5" t="s">
        <v>5</v>
      </c>
      <c r="I4288" s="6"/>
    </row>
    <row r="4289" spans="1:9" ht="13.5">
      <c r="A4289" s="2" t="s">
        <v>156</v>
      </c>
      <c r="B4289" s="3" t="str">
        <f ca="1">IFERROR(__xludf.DUMMYFUNCTION("REGEXEXTRACT(C4289, ""https?:\/\/(?:.*\.)*(.+\..+?)\/"")"),"frii.se")</f>
        <v>frii.se</v>
      </c>
      <c r="C4289" s="19" t="s">
        <v>7282</v>
      </c>
      <c r="D4289" s="20" t="s">
        <v>317</v>
      </c>
      <c r="E4289" s="5" t="s">
        <v>7281</v>
      </c>
      <c r="F4289" s="5" t="str">
        <f t="shared" si="66"/>
        <v>askskinfo.com</v>
      </c>
      <c r="G4289" s="5" t="s">
        <v>4</v>
      </c>
      <c r="H4289" s="5" t="s">
        <v>5</v>
      </c>
      <c r="I4289" s="6"/>
    </row>
    <row r="4290" spans="1:9" ht="13.5">
      <c r="A4290" s="2" t="s">
        <v>20</v>
      </c>
      <c r="B4290" s="3"/>
      <c r="C4290" s="4" t="s">
        <v>7283</v>
      </c>
      <c r="D4290" s="4" t="s">
        <v>876</v>
      </c>
      <c r="E4290" s="5" t="s">
        <v>7284</v>
      </c>
      <c r="F4290" s="5" t="str">
        <f t="shared" si="66"/>
        <v>blugiallo.com</v>
      </c>
      <c r="G4290" s="5" t="s">
        <v>4</v>
      </c>
      <c r="H4290" s="5" t="s">
        <v>5</v>
      </c>
      <c r="I4290" s="6"/>
    </row>
    <row r="4291" spans="1:9" ht="13.5">
      <c r="A4291" s="2" t="s">
        <v>264</v>
      </c>
      <c r="B4291" s="3"/>
      <c r="C4291" s="4" t="s">
        <v>7285</v>
      </c>
      <c r="D4291" s="4" t="s">
        <v>626</v>
      </c>
      <c r="E4291" s="5" t="s">
        <v>268</v>
      </c>
      <c r="F4291" s="5" t="str">
        <f t="shared" ref="F4291:F4354" si="67">A4291</f>
        <v>creditsafe.se</v>
      </c>
      <c r="G4291" s="5" t="s">
        <v>4</v>
      </c>
      <c r="H4291" s="5" t="s">
        <v>267</v>
      </c>
      <c r="I4291" s="6"/>
    </row>
    <row r="4292" spans="1:9" ht="13.5">
      <c r="A4292" s="7"/>
      <c r="B4292" s="3"/>
      <c r="C4292" s="5"/>
      <c r="D4292" s="5"/>
      <c r="E4292" s="5"/>
      <c r="F4292" s="5">
        <f t="shared" si="67"/>
        <v>0</v>
      </c>
      <c r="G4292" s="5"/>
      <c r="H4292" s="5"/>
      <c r="I4292" s="6"/>
    </row>
    <row r="4293" spans="1:9" ht="13.5">
      <c r="A4293" s="2" t="s">
        <v>535</v>
      </c>
      <c r="B4293" s="3"/>
      <c r="C4293" s="4" t="s">
        <v>7286</v>
      </c>
      <c r="D4293" s="4" t="s">
        <v>536</v>
      </c>
      <c r="E4293" s="5" t="s">
        <v>7267</v>
      </c>
      <c r="F4293" s="5" t="str">
        <f t="shared" si="67"/>
        <v>tryggbil.se</v>
      </c>
      <c r="G4293" s="5" t="s">
        <v>4</v>
      </c>
      <c r="H4293" s="5" t="s">
        <v>5</v>
      </c>
      <c r="I4293" s="6"/>
    </row>
    <row r="4294" spans="1:9" ht="13.5">
      <c r="A4294" s="2" t="s">
        <v>171</v>
      </c>
      <c r="B4294" s="3"/>
      <c r="C4294" s="4" t="s">
        <v>7287</v>
      </c>
      <c r="D4294" s="8" t="s">
        <v>486</v>
      </c>
      <c r="E4294" s="5" t="s">
        <v>684</v>
      </c>
      <c r="F4294" s="5" t="str">
        <f t="shared" si="67"/>
        <v>arctic.se</v>
      </c>
      <c r="G4294" s="5" t="s">
        <v>4</v>
      </c>
      <c r="H4294" s="5" t="s">
        <v>262</v>
      </c>
      <c r="I4294" s="6"/>
    </row>
    <row r="4295" spans="1:9" ht="13.5">
      <c r="A4295" s="2" t="s">
        <v>1239</v>
      </c>
      <c r="B4295" s="3"/>
      <c r="C4295" s="73" t="s">
        <v>7288</v>
      </c>
      <c r="D4295" s="4" t="s">
        <v>1241</v>
      </c>
      <c r="E4295" s="5" t="s">
        <v>7289</v>
      </c>
      <c r="F4295" s="5" t="str">
        <f t="shared" si="67"/>
        <v>freckeus.se</v>
      </c>
      <c r="G4295" s="5" t="s">
        <v>4</v>
      </c>
      <c r="H4295" s="5" t="s">
        <v>5</v>
      </c>
      <c r="I4295" s="6"/>
    </row>
    <row r="4296" spans="1:9" ht="13.5">
      <c r="A4296" s="2" t="s">
        <v>1239</v>
      </c>
      <c r="B4296" s="3"/>
      <c r="C4296" s="73" t="s">
        <v>7290</v>
      </c>
      <c r="D4296" s="4" t="s">
        <v>1241</v>
      </c>
      <c r="E4296" s="5" t="s">
        <v>7291</v>
      </c>
      <c r="F4296" s="5" t="str">
        <f t="shared" si="67"/>
        <v>freckeus.se</v>
      </c>
      <c r="G4296" s="5" t="s">
        <v>4</v>
      </c>
      <c r="H4296" s="5" t="s">
        <v>5</v>
      </c>
      <c r="I4296" s="6"/>
    </row>
    <row r="4297" spans="1:9" ht="13.5">
      <c r="A4297" s="2" t="s">
        <v>1247</v>
      </c>
      <c r="B4297" s="3"/>
      <c r="C4297" s="71" t="s">
        <v>7292</v>
      </c>
      <c r="D4297" s="4" t="s">
        <v>1249</v>
      </c>
      <c r="E4297" s="5" t="s">
        <v>1250</v>
      </c>
      <c r="F4297" s="5" t="str">
        <f t="shared" si="67"/>
        <v>carpcon.se</v>
      </c>
      <c r="G4297" s="5" t="s">
        <v>4</v>
      </c>
      <c r="H4297" s="5" t="s">
        <v>5</v>
      </c>
      <c r="I4297" s="6"/>
    </row>
    <row r="4298" spans="1:9" ht="13.5">
      <c r="A4298" s="2" t="s">
        <v>1</v>
      </c>
      <c r="B4298" s="3"/>
      <c r="C4298" s="73" t="s">
        <v>7293</v>
      </c>
      <c r="D4298" s="4" t="s">
        <v>1659</v>
      </c>
      <c r="E4298" s="5" t="s">
        <v>1661</v>
      </c>
      <c r="F4298" s="5" t="str">
        <f t="shared" si="67"/>
        <v>haxan.se</v>
      </c>
      <c r="G4298" s="5" t="s">
        <v>4</v>
      </c>
      <c r="H4298" s="5" t="s">
        <v>5</v>
      </c>
      <c r="I4298" s="6"/>
    </row>
    <row r="4299" spans="1:9" ht="13.5">
      <c r="A4299" s="2" t="s">
        <v>1</v>
      </c>
      <c r="B4299" s="3"/>
      <c r="C4299" s="73" t="s">
        <v>7294</v>
      </c>
      <c r="D4299" s="4" t="s">
        <v>7295</v>
      </c>
      <c r="E4299" s="5" t="s">
        <v>7296</v>
      </c>
      <c r="F4299" s="5" t="str">
        <f t="shared" si="67"/>
        <v>haxan.se</v>
      </c>
      <c r="G4299" s="5" t="s">
        <v>4</v>
      </c>
      <c r="H4299" s="5" t="s">
        <v>5</v>
      </c>
      <c r="I4299" s="6"/>
    </row>
    <row r="4300" spans="1:9" ht="13.5">
      <c r="A4300" s="2" t="s">
        <v>325</v>
      </c>
      <c r="B4300" s="3"/>
      <c r="C4300" s="73" t="s">
        <v>7297</v>
      </c>
      <c r="D4300" s="4" t="s">
        <v>867</v>
      </c>
      <c r="E4300" s="5" t="s">
        <v>868</v>
      </c>
      <c r="F4300" s="5" t="str">
        <f t="shared" si="67"/>
        <v>tiotak.se</v>
      </c>
      <c r="G4300" s="5" t="s">
        <v>4</v>
      </c>
      <c r="H4300" s="5" t="s">
        <v>5</v>
      </c>
      <c r="I4300" s="6"/>
    </row>
    <row r="4301" spans="1:9" ht="13.5">
      <c r="A4301" s="2" t="s">
        <v>325</v>
      </c>
      <c r="B4301" s="3"/>
      <c r="C4301" s="73" t="s">
        <v>7298</v>
      </c>
      <c r="D4301" s="4" t="s">
        <v>870</v>
      </c>
      <c r="E4301" s="5" t="s">
        <v>871</v>
      </c>
      <c r="F4301" s="5" t="str">
        <f t="shared" si="67"/>
        <v>tiotak.se</v>
      </c>
      <c r="G4301" s="5" t="s">
        <v>4</v>
      </c>
      <c r="H4301" s="5" t="s">
        <v>5</v>
      </c>
      <c r="I4301" s="6"/>
    </row>
    <row r="4302" spans="1:9" ht="13.5">
      <c r="A4302" s="2" t="s">
        <v>325</v>
      </c>
      <c r="B4302" s="3"/>
      <c r="C4302" s="73" t="s">
        <v>7299</v>
      </c>
      <c r="D4302" s="4" t="s">
        <v>873</v>
      </c>
      <c r="E4302" s="5" t="s">
        <v>874</v>
      </c>
      <c r="F4302" s="5" t="str">
        <f t="shared" si="67"/>
        <v>tiotak.se</v>
      </c>
      <c r="G4302" s="5" t="s">
        <v>4</v>
      </c>
      <c r="H4302" s="5" t="s">
        <v>5</v>
      </c>
      <c r="I4302" s="6"/>
    </row>
    <row r="4303" spans="1:9" ht="13.5">
      <c r="A4303" s="2" t="s">
        <v>386</v>
      </c>
      <c r="B4303" s="3"/>
      <c r="C4303" s="73" t="s">
        <v>7300</v>
      </c>
      <c r="D4303" s="4" t="s">
        <v>452</v>
      </c>
      <c r="E4303" s="5" t="s">
        <v>1179</v>
      </c>
      <c r="F4303" s="5" t="str">
        <f t="shared" si="67"/>
        <v>pontech</v>
      </c>
      <c r="G4303" s="5" t="s">
        <v>4</v>
      </c>
      <c r="H4303" s="5" t="s">
        <v>5</v>
      </c>
      <c r="I4303" s="6"/>
    </row>
    <row r="4304" spans="1:9" ht="13.5">
      <c r="A4304" s="2" t="s">
        <v>535</v>
      </c>
      <c r="B4304" s="3"/>
      <c r="C4304" s="73" t="s">
        <v>7301</v>
      </c>
      <c r="D4304" s="4" t="s">
        <v>536</v>
      </c>
      <c r="E4304" s="5" t="s">
        <v>7302</v>
      </c>
      <c r="F4304" s="5" t="str">
        <f t="shared" si="67"/>
        <v>tryggbil.se</v>
      </c>
      <c r="G4304" s="5" t="s">
        <v>4</v>
      </c>
      <c r="H4304" s="5" t="s">
        <v>5</v>
      </c>
      <c r="I4304" s="6"/>
    </row>
    <row r="4305" spans="1:9" ht="13.5">
      <c r="A4305" s="7" t="s">
        <v>329</v>
      </c>
      <c r="B4305" s="3"/>
      <c r="C4305" s="358" t="s">
        <v>7303</v>
      </c>
      <c r="D4305" s="4" t="s">
        <v>472</v>
      </c>
      <c r="E4305" s="5" t="s">
        <v>7304</v>
      </c>
      <c r="F4305" s="5" t="str">
        <f t="shared" si="67"/>
        <v>vont</v>
      </c>
      <c r="G4305" s="5" t="s">
        <v>4</v>
      </c>
      <c r="H4305" s="5" t="s">
        <v>5</v>
      </c>
      <c r="I4305" s="6"/>
    </row>
    <row r="4306" spans="1:9" ht="13.5">
      <c r="A4306" s="7" t="s">
        <v>329</v>
      </c>
      <c r="B4306" s="3"/>
      <c r="C4306" s="73" t="s">
        <v>7305</v>
      </c>
      <c r="D4306" s="4" t="s">
        <v>331</v>
      </c>
      <c r="E4306" s="5" t="s">
        <v>332</v>
      </c>
      <c r="F4306" s="5" t="str">
        <f t="shared" si="67"/>
        <v>vont</v>
      </c>
      <c r="G4306" s="5" t="s">
        <v>4</v>
      </c>
      <c r="H4306" s="5" t="s">
        <v>5</v>
      </c>
      <c r="I4306" s="6"/>
    </row>
    <row r="4307" spans="1:9" ht="13.5">
      <c r="A4307" s="2" t="s">
        <v>464</v>
      </c>
      <c r="B4307" s="3"/>
      <c r="C4307" s="73" t="s">
        <v>7306</v>
      </c>
      <c r="D4307" s="4" t="s">
        <v>7307</v>
      </c>
      <c r="E4307" s="5" t="s">
        <v>7308</v>
      </c>
      <c r="F4307" s="5" t="str">
        <f t="shared" si="67"/>
        <v>villarelining.se</v>
      </c>
      <c r="G4307" s="5" t="s">
        <v>4</v>
      </c>
      <c r="H4307" s="5" t="s">
        <v>5</v>
      </c>
      <c r="I4307" s="6"/>
    </row>
    <row r="4308" spans="1:9" ht="13.5">
      <c r="A4308" s="2" t="s">
        <v>464</v>
      </c>
      <c r="B4308" s="3"/>
      <c r="C4308" s="73" t="s">
        <v>7309</v>
      </c>
      <c r="D4308" s="4" t="s">
        <v>466</v>
      </c>
      <c r="E4308" s="5" t="s">
        <v>708</v>
      </c>
      <c r="F4308" s="5" t="str">
        <f t="shared" si="67"/>
        <v>villarelining.se</v>
      </c>
      <c r="G4308" s="5" t="s">
        <v>4</v>
      </c>
      <c r="H4308" s="5" t="s">
        <v>5</v>
      </c>
      <c r="I4308" s="6"/>
    </row>
    <row r="4309" spans="1:9" ht="13.5">
      <c r="A4309" s="2" t="s">
        <v>272</v>
      </c>
      <c r="B4309" s="3"/>
      <c r="C4309" s="73" t="s">
        <v>7310</v>
      </c>
      <c r="D4309" s="4" t="s">
        <v>274</v>
      </c>
      <c r="E4309" s="5" t="s">
        <v>577</v>
      </c>
      <c r="F4309" s="5" t="str">
        <f t="shared" si="67"/>
        <v>schjodt.com</v>
      </c>
      <c r="G4309" s="5" t="s">
        <v>4</v>
      </c>
      <c r="H4309" s="5" t="s">
        <v>5</v>
      </c>
      <c r="I4309" s="6"/>
    </row>
    <row r="4310" spans="1:9" ht="13.5">
      <c r="A4310" s="2" t="s">
        <v>272</v>
      </c>
      <c r="B4310" s="3"/>
      <c r="C4310" s="73" t="s">
        <v>7311</v>
      </c>
      <c r="D4310" s="4" t="s">
        <v>274</v>
      </c>
      <c r="E4310" s="5" t="s">
        <v>577</v>
      </c>
      <c r="F4310" s="5" t="str">
        <f t="shared" si="67"/>
        <v>schjodt.com</v>
      </c>
      <c r="G4310" s="5" t="s">
        <v>4</v>
      </c>
      <c r="H4310" s="5" t="s">
        <v>5</v>
      </c>
      <c r="I4310" s="6"/>
    </row>
    <row r="4311" spans="1:9" ht="13.5">
      <c r="A4311" s="2" t="s">
        <v>312</v>
      </c>
      <c r="B4311" s="3"/>
      <c r="C4311" s="73" t="s">
        <v>7312</v>
      </c>
      <c r="D4311" s="4" t="s">
        <v>925</v>
      </c>
      <c r="E4311" s="5" t="s">
        <v>7313</v>
      </c>
      <c r="F4311" s="5" t="str">
        <f t="shared" si="67"/>
        <v>sufracofinebrands.com</v>
      </c>
      <c r="G4311" s="5" t="s">
        <v>4</v>
      </c>
      <c r="H4311" s="5" t="s">
        <v>5</v>
      </c>
      <c r="I4311" s="6"/>
    </row>
    <row r="4312" spans="1:9" ht="13.5">
      <c r="A4312" s="2" t="s">
        <v>308</v>
      </c>
      <c r="B4312" s="3"/>
      <c r="C4312" s="73" t="s">
        <v>7314</v>
      </c>
      <c r="D4312" s="4" t="s">
        <v>310</v>
      </c>
      <c r="E4312" s="5" t="s">
        <v>7315</v>
      </c>
      <c r="F4312" s="5" t="str">
        <f t="shared" si="67"/>
        <v>lansfast.se</v>
      </c>
      <c r="G4312" s="5" t="s">
        <v>4</v>
      </c>
      <c r="H4312" s="5" t="s">
        <v>5</v>
      </c>
      <c r="I4312" s="6"/>
    </row>
    <row r="4313" spans="1:9" ht="13.5">
      <c r="A4313" s="2" t="s">
        <v>663</v>
      </c>
      <c r="B4313" s="3"/>
      <c r="C4313" s="73" t="s">
        <v>7316</v>
      </c>
      <c r="D4313" s="4" t="s">
        <v>770</v>
      </c>
      <c r="E4313" s="5" t="s">
        <v>934</v>
      </c>
      <c r="F4313" s="5" t="str">
        <f t="shared" si="67"/>
        <v>robomarkets.com</v>
      </c>
      <c r="G4313" s="5" t="s">
        <v>4</v>
      </c>
      <c r="H4313" s="5" t="s">
        <v>5</v>
      </c>
      <c r="I4313" s="6"/>
    </row>
    <row r="4314" spans="1:9" ht="13.5">
      <c r="A4314" s="2" t="s">
        <v>663</v>
      </c>
      <c r="B4314" s="3"/>
      <c r="C4314" s="73" t="s">
        <v>7317</v>
      </c>
      <c r="D4314" s="4" t="s">
        <v>770</v>
      </c>
      <c r="E4314" s="5" t="s">
        <v>7318</v>
      </c>
      <c r="F4314" s="5" t="str">
        <f t="shared" si="67"/>
        <v>robomarkets.com</v>
      </c>
      <c r="G4314" s="5" t="s">
        <v>4</v>
      </c>
      <c r="H4314" s="5" t="s">
        <v>5</v>
      </c>
      <c r="I4314" s="6"/>
    </row>
    <row r="4315" spans="1:9" ht="13.5">
      <c r="A4315" s="2" t="s">
        <v>663</v>
      </c>
      <c r="B4315" s="3"/>
      <c r="C4315" s="271" t="s">
        <v>7319</v>
      </c>
      <c r="D4315" s="4" t="s">
        <v>770</v>
      </c>
      <c r="E4315" s="5" t="s">
        <v>796</v>
      </c>
      <c r="F4315" s="5" t="str">
        <f t="shared" si="67"/>
        <v>robomarkets.com</v>
      </c>
      <c r="G4315" s="5" t="s">
        <v>4</v>
      </c>
      <c r="H4315" s="5" t="s">
        <v>5</v>
      </c>
      <c r="I4315" s="6"/>
    </row>
    <row r="4316" spans="1:9" ht="13.5">
      <c r="A4316" s="2" t="s">
        <v>663</v>
      </c>
      <c r="B4316" s="3"/>
      <c r="C4316" s="73" t="s">
        <v>7320</v>
      </c>
      <c r="D4316" s="4" t="s">
        <v>770</v>
      </c>
      <c r="E4316" s="5" t="s">
        <v>7321</v>
      </c>
      <c r="F4316" s="5" t="str">
        <f t="shared" si="67"/>
        <v>robomarkets.com</v>
      </c>
      <c r="G4316" s="5" t="s">
        <v>4</v>
      </c>
      <c r="H4316" s="5" t="s">
        <v>5</v>
      </c>
      <c r="I4316" s="6"/>
    </row>
    <row r="4317" spans="1:9" ht="13.5">
      <c r="A4317" s="2" t="s">
        <v>663</v>
      </c>
      <c r="B4317" s="3"/>
      <c r="C4317" s="73" t="s">
        <v>7322</v>
      </c>
      <c r="D4317" s="4" t="s">
        <v>770</v>
      </c>
      <c r="E4317" s="5" t="s">
        <v>944</v>
      </c>
      <c r="F4317" s="5" t="str">
        <f t="shared" si="67"/>
        <v>robomarkets.com</v>
      </c>
      <c r="G4317" s="5" t="s">
        <v>4</v>
      </c>
      <c r="H4317" s="5" t="s">
        <v>5</v>
      </c>
      <c r="I4317" s="6"/>
    </row>
    <row r="4318" spans="1:9" ht="13.5">
      <c r="A4318" s="2" t="s">
        <v>663</v>
      </c>
      <c r="B4318" s="3"/>
      <c r="C4318" s="73" t="s">
        <v>7323</v>
      </c>
      <c r="D4318" s="4" t="s">
        <v>770</v>
      </c>
      <c r="E4318" s="5" t="s">
        <v>7324</v>
      </c>
      <c r="F4318" s="5" t="str">
        <f t="shared" si="67"/>
        <v>robomarkets.com</v>
      </c>
      <c r="G4318" s="5" t="s">
        <v>4</v>
      </c>
      <c r="H4318" s="5" t="s">
        <v>5</v>
      </c>
      <c r="I4318" s="6"/>
    </row>
    <row r="4319" spans="1:9" ht="13.5">
      <c r="A4319" s="2" t="s">
        <v>663</v>
      </c>
      <c r="B4319" s="3"/>
      <c r="C4319" s="73" t="s">
        <v>7325</v>
      </c>
      <c r="D4319" s="4" t="s">
        <v>770</v>
      </c>
      <c r="E4319" s="5" t="s">
        <v>800</v>
      </c>
      <c r="F4319" s="5" t="str">
        <f t="shared" si="67"/>
        <v>robomarkets.com</v>
      </c>
      <c r="G4319" s="5" t="s">
        <v>4</v>
      </c>
      <c r="H4319" s="5" t="s">
        <v>5</v>
      </c>
      <c r="I4319" s="6"/>
    </row>
    <row r="4320" spans="1:9" ht="13.5">
      <c r="A4320" s="2" t="s">
        <v>100</v>
      </c>
      <c r="B4320" s="3"/>
      <c r="C4320" s="271" t="s">
        <v>7326</v>
      </c>
      <c r="D4320" s="4" t="s">
        <v>102</v>
      </c>
      <c r="E4320" s="5" t="s">
        <v>7327</v>
      </c>
      <c r="F4320" s="5" t="str">
        <f t="shared" si="67"/>
        <v>bigbenstandup.com</v>
      </c>
      <c r="G4320" s="5" t="s">
        <v>4</v>
      </c>
      <c r="H4320" s="5" t="s">
        <v>5</v>
      </c>
      <c r="I4320" s="6"/>
    </row>
    <row r="4321" spans="1:9" ht="13.5">
      <c r="A4321" s="2" t="s">
        <v>803</v>
      </c>
      <c r="B4321" s="3"/>
      <c r="C4321" s="73" t="s">
        <v>7328</v>
      </c>
      <c r="D4321" s="4" t="s">
        <v>991</v>
      </c>
      <c r="E4321" s="5" t="s">
        <v>806</v>
      </c>
      <c r="F4321" s="5" t="str">
        <f t="shared" si="67"/>
        <v>foyen.se</v>
      </c>
      <c r="G4321" s="5" t="s">
        <v>4</v>
      </c>
      <c r="H4321" s="5" t="s">
        <v>5</v>
      </c>
      <c r="I4321" s="6"/>
    </row>
    <row r="4322" spans="1:9" ht="13.5">
      <c r="A4322" s="2" t="s">
        <v>819</v>
      </c>
      <c r="B4322" s="3"/>
      <c r="C4322" s="73" t="s">
        <v>7329</v>
      </c>
      <c r="D4322" s="4" t="s">
        <v>821</v>
      </c>
      <c r="E4322" s="5" t="s">
        <v>7330</v>
      </c>
      <c r="F4322" s="5" t="str">
        <f t="shared" si="67"/>
        <v>isakstrafikskola.se</v>
      </c>
      <c r="G4322" s="5" t="s">
        <v>4</v>
      </c>
      <c r="H4322" s="5" t="s">
        <v>5</v>
      </c>
      <c r="I4322" s="6"/>
    </row>
    <row r="4323" spans="1:9" ht="13.5">
      <c r="A4323" s="2" t="s">
        <v>632</v>
      </c>
      <c r="B4323" s="3"/>
      <c r="C4323" s="73" t="s">
        <v>7331</v>
      </c>
      <c r="D4323" s="4" t="s">
        <v>634</v>
      </c>
      <c r="E4323" s="5" t="s">
        <v>635</v>
      </c>
      <c r="F4323" s="5" t="str">
        <f t="shared" si="67"/>
        <v>miamipool.se</v>
      </c>
      <c r="G4323" s="5" t="s">
        <v>4</v>
      </c>
      <c r="H4323" s="5" t="s">
        <v>5</v>
      </c>
      <c r="I4323" s="6"/>
    </row>
    <row r="4324" spans="1:9" ht="13.5">
      <c r="A4324" s="2" t="s">
        <v>765</v>
      </c>
      <c r="B4324" s="3"/>
      <c r="C4324" s="73" t="s">
        <v>7332</v>
      </c>
      <c r="D4324" s="4" t="s">
        <v>767</v>
      </c>
      <c r="E4324" s="5" t="s">
        <v>843</v>
      </c>
      <c r="F4324" s="5" t="str">
        <f t="shared" si="67"/>
        <v>lemontree.se</v>
      </c>
      <c r="G4324" s="5" t="s">
        <v>4</v>
      </c>
      <c r="H4324" s="5" t="s">
        <v>5</v>
      </c>
      <c r="I4324" s="6"/>
    </row>
    <row r="4325" spans="1:9" ht="13.5">
      <c r="A4325" s="2" t="s">
        <v>958</v>
      </c>
      <c r="B4325" s="3"/>
      <c r="C4325" s="73" t="s">
        <v>7333</v>
      </c>
      <c r="D4325" s="4" t="s">
        <v>960</v>
      </c>
      <c r="E4325" s="5" t="s">
        <v>7334</v>
      </c>
      <c r="F4325" s="5" t="str">
        <f t="shared" si="67"/>
        <v>oconnors.se</v>
      </c>
      <c r="G4325" s="5" t="s">
        <v>4</v>
      </c>
      <c r="H4325" s="5" t="s">
        <v>5</v>
      </c>
      <c r="I4325" s="6"/>
    </row>
    <row r="4326" spans="1:9" ht="13.5">
      <c r="A4326" s="2" t="s">
        <v>689</v>
      </c>
      <c r="B4326" s="3"/>
      <c r="C4326" s="73" t="s">
        <v>7335</v>
      </c>
      <c r="D4326" s="4" t="s">
        <v>691</v>
      </c>
      <c r="E4326" s="5" t="s">
        <v>2874</v>
      </c>
      <c r="F4326" s="5" t="str">
        <f t="shared" si="67"/>
        <v>conclean.se</v>
      </c>
      <c r="G4326" s="5" t="s">
        <v>4</v>
      </c>
      <c r="H4326" s="5" t="s">
        <v>5</v>
      </c>
      <c r="I4326" s="6"/>
    </row>
    <row r="4327" spans="1:9" ht="13.5">
      <c r="A4327" s="2" t="s">
        <v>435</v>
      </c>
      <c r="B4327" s="3"/>
      <c r="C4327" s="73" t="s">
        <v>7336</v>
      </c>
      <c r="D4327" s="4" t="s">
        <v>834</v>
      </c>
      <c r="E4327" s="5" t="s">
        <v>438</v>
      </c>
      <c r="F4327" s="5" t="str">
        <f t="shared" si="67"/>
        <v>fairinvestments.se</v>
      </c>
      <c r="G4327" s="5" t="s">
        <v>4</v>
      </c>
      <c r="H4327" s="5" t="s">
        <v>5</v>
      </c>
      <c r="I4327" s="6"/>
    </row>
    <row r="4328" spans="1:9" ht="13.5">
      <c r="A4328" s="2" t="s">
        <v>435</v>
      </c>
      <c r="B4328" s="3"/>
      <c r="C4328" s="73" t="s">
        <v>7337</v>
      </c>
      <c r="D4328" s="4" t="s">
        <v>517</v>
      </c>
      <c r="E4328" s="5" t="s">
        <v>438</v>
      </c>
      <c r="F4328" s="5" t="str">
        <f t="shared" si="67"/>
        <v>fairinvestments.se</v>
      </c>
      <c r="G4328" s="5" t="s">
        <v>4</v>
      </c>
      <c r="H4328" s="5" t="s">
        <v>5</v>
      </c>
      <c r="I4328" s="6"/>
    </row>
    <row r="4329" spans="1:9" ht="13.5">
      <c r="A4329" s="2" t="s">
        <v>435</v>
      </c>
      <c r="B4329" s="3"/>
      <c r="C4329" s="73" t="s">
        <v>7338</v>
      </c>
      <c r="D4329" s="4" t="s">
        <v>836</v>
      </c>
      <c r="E4329" s="5" t="s">
        <v>438</v>
      </c>
      <c r="F4329" s="5" t="str">
        <f t="shared" si="67"/>
        <v>fairinvestments.se</v>
      </c>
      <c r="G4329" s="5" t="s">
        <v>4</v>
      </c>
      <c r="H4329" s="5" t="s">
        <v>5</v>
      </c>
      <c r="I4329" s="6"/>
    </row>
    <row r="4330" spans="1:9" ht="13.5">
      <c r="A4330" s="2" t="s">
        <v>435</v>
      </c>
      <c r="B4330" s="3"/>
      <c r="C4330" s="73" t="s">
        <v>7339</v>
      </c>
      <c r="D4330" s="4" t="s">
        <v>973</v>
      </c>
      <c r="E4330" s="5" t="s">
        <v>438</v>
      </c>
      <c r="F4330" s="5" t="str">
        <f t="shared" si="67"/>
        <v>fairinvestments.se</v>
      </c>
      <c r="G4330" s="5" t="s">
        <v>4</v>
      </c>
      <c r="H4330" s="5" t="s">
        <v>5</v>
      </c>
      <c r="I4330" s="6"/>
    </row>
    <row r="4331" spans="1:9" ht="13.5">
      <c r="A4331" s="2" t="s">
        <v>992</v>
      </c>
      <c r="B4331" s="3"/>
      <c r="C4331" s="358" t="s">
        <v>7340</v>
      </c>
      <c r="D4331" s="4" t="s">
        <v>1392</v>
      </c>
      <c r="E4331" s="5" t="s">
        <v>7341</v>
      </c>
      <c r="F4331" s="5" t="str">
        <f t="shared" si="67"/>
        <v>ledkungen.se</v>
      </c>
      <c r="G4331" s="5" t="s">
        <v>4</v>
      </c>
      <c r="H4331" s="5" t="s">
        <v>5</v>
      </c>
      <c r="I4331" s="6"/>
    </row>
    <row r="4332" spans="1:9" ht="13.5">
      <c r="A4332" s="7" t="s">
        <v>329</v>
      </c>
      <c r="B4332" s="3"/>
      <c r="C4332" s="4" t="s">
        <v>7342</v>
      </c>
      <c r="D4332" s="4" t="s">
        <v>7343</v>
      </c>
      <c r="E4332" s="5" t="s">
        <v>7344</v>
      </c>
      <c r="F4332" s="5" t="str">
        <f t="shared" si="67"/>
        <v>vont</v>
      </c>
      <c r="G4332" s="5" t="s">
        <v>4</v>
      </c>
      <c r="H4332" s="5" t="s">
        <v>262</v>
      </c>
      <c r="I4332" s="6"/>
    </row>
    <row r="4333" spans="1:9" ht="13.5">
      <c r="A4333" s="2" t="s">
        <v>20</v>
      </c>
      <c r="B4333" s="3"/>
      <c r="C4333" s="4" t="s">
        <v>7345</v>
      </c>
      <c r="D4333" s="4" t="s">
        <v>986</v>
      </c>
      <c r="E4333" s="5" t="s">
        <v>7346</v>
      </c>
      <c r="F4333" s="5" t="str">
        <f t="shared" si="67"/>
        <v>blugiallo.com</v>
      </c>
      <c r="G4333" s="5" t="s">
        <v>4</v>
      </c>
      <c r="H4333" s="5" t="s">
        <v>5</v>
      </c>
      <c r="I4333" s="6"/>
    </row>
    <row r="4334" spans="1:9" ht="13.5">
      <c r="A4334" s="2" t="s">
        <v>264</v>
      </c>
      <c r="B4334" s="3"/>
      <c r="C4334" s="4" t="s">
        <v>7347</v>
      </c>
      <c r="D4334" s="4" t="s">
        <v>626</v>
      </c>
      <c r="E4334" s="5" t="s">
        <v>268</v>
      </c>
      <c r="F4334" s="5" t="str">
        <f t="shared" si="67"/>
        <v>creditsafe.se</v>
      </c>
      <c r="G4334" s="5" t="s">
        <v>4</v>
      </c>
      <c r="H4334" s="5" t="s">
        <v>267</v>
      </c>
      <c r="I4334" s="6"/>
    </row>
    <row r="4335" spans="1:9" ht="13.5">
      <c r="A4335" s="2" t="s">
        <v>435</v>
      </c>
      <c r="B4335" s="3"/>
      <c r="C4335" s="4" t="s">
        <v>7337</v>
      </c>
      <c r="D4335" s="4" t="s">
        <v>517</v>
      </c>
      <c r="E4335" s="5" t="s">
        <v>438</v>
      </c>
      <c r="F4335" s="5" t="str">
        <f t="shared" si="67"/>
        <v>fairinvestments.se</v>
      </c>
      <c r="G4335" s="5" t="s">
        <v>4</v>
      </c>
      <c r="H4335" s="5" t="s">
        <v>5</v>
      </c>
      <c r="I4335" s="6"/>
    </row>
    <row r="4336" spans="1:9" ht="13.5">
      <c r="A4336" s="2" t="s">
        <v>435</v>
      </c>
      <c r="B4336" s="3"/>
      <c r="C4336" s="4" t="s">
        <v>7339</v>
      </c>
      <c r="D4336" s="4" t="s">
        <v>973</v>
      </c>
      <c r="E4336" s="5" t="s">
        <v>3881</v>
      </c>
      <c r="F4336" s="5" t="str">
        <f t="shared" si="67"/>
        <v>fairinvestments.se</v>
      </c>
      <c r="G4336" s="5" t="s">
        <v>4</v>
      </c>
      <c r="H4336" s="5" t="s">
        <v>5</v>
      </c>
      <c r="I4336" s="6"/>
    </row>
    <row r="4337" spans="1:9" ht="13.5">
      <c r="A4337" s="7" t="s">
        <v>329</v>
      </c>
      <c r="B4337" s="3"/>
      <c r="C4337" s="4" t="s">
        <v>7348</v>
      </c>
      <c r="D4337" s="8" t="s">
        <v>7349</v>
      </c>
      <c r="E4337" s="5" t="s">
        <v>7350</v>
      </c>
      <c r="F4337" s="5" t="str">
        <f t="shared" si="67"/>
        <v>vont</v>
      </c>
      <c r="G4337" s="5" t="s">
        <v>4</v>
      </c>
      <c r="H4337" s="5" t="s">
        <v>5</v>
      </c>
      <c r="I4337" s="6"/>
    </row>
    <row r="4338" spans="1:9" ht="13.5">
      <c r="A4338" s="2" t="s">
        <v>1138</v>
      </c>
      <c r="B4338" s="3"/>
      <c r="C4338" s="4" t="s">
        <v>7351</v>
      </c>
      <c r="D4338" s="4" t="s">
        <v>1236</v>
      </c>
      <c r="E4338" s="5" t="s">
        <v>1141</v>
      </c>
      <c r="F4338" s="5" t="str">
        <f t="shared" si="67"/>
        <v>hemplybalance.com</v>
      </c>
      <c r="G4338" s="5" t="s">
        <v>4</v>
      </c>
      <c r="H4338" s="5" t="s">
        <v>5</v>
      </c>
      <c r="I4338" s="6"/>
    </row>
    <row r="4339" spans="1:9" ht="13.5">
      <c r="A4339" s="7" t="s">
        <v>1275</v>
      </c>
      <c r="B4339" s="3"/>
      <c r="C4339" s="8" t="s">
        <v>7352</v>
      </c>
      <c r="D4339" s="4" t="s">
        <v>1443</v>
      </c>
      <c r="E4339" s="5" t="s">
        <v>7353</v>
      </c>
      <c r="F4339" s="5" t="str">
        <f t="shared" si="67"/>
        <v>spoors.health</v>
      </c>
      <c r="G4339" s="5" t="s">
        <v>4</v>
      </c>
      <c r="H4339" s="5" t="s">
        <v>5</v>
      </c>
      <c r="I4339" s="6"/>
    </row>
    <row r="4340" spans="1:9" ht="13.5">
      <c r="A4340" s="7" t="s">
        <v>329</v>
      </c>
      <c r="B4340" s="3"/>
      <c r="C4340" s="4" t="s">
        <v>7354</v>
      </c>
      <c r="D4340" s="4" t="s">
        <v>331</v>
      </c>
      <c r="E4340" s="5" t="s">
        <v>655</v>
      </c>
      <c r="F4340" s="5" t="str">
        <f t="shared" si="67"/>
        <v>vont</v>
      </c>
      <c r="G4340" s="5" t="s">
        <v>4</v>
      </c>
      <c r="H4340" s="5" t="s">
        <v>5</v>
      </c>
      <c r="I4340" s="6"/>
    </row>
    <row r="4341" spans="1:9" ht="13.5">
      <c r="A4341" s="2" t="s">
        <v>765</v>
      </c>
      <c r="B4341" s="3"/>
      <c r="C4341" s="4" t="s">
        <v>7355</v>
      </c>
      <c r="D4341" s="4" t="s">
        <v>767</v>
      </c>
      <c r="E4341" s="5" t="s">
        <v>851</v>
      </c>
      <c r="F4341" s="5" t="str">
        <f t="shared" si="67"/>
        <v>lemontree.se</v>
      </c>
      <c r="G4341" s="5" t="s">
        <v>4</v>
      </c>
      <c r="H4341" s="5" t="s">
        <v>5</v>
      </c>
      <c r="I4341" s="6"/>
    </row>
    <row r="4342" spans="1:9" ht="13.5">
      <c r="A4342" s="7" t="s">
        <v>1275</v>
      </c>
      <c r="B4342" s="3"/>
      <c r="C4342" s="4" t="s">
        <v>7356</v>
      </c>
      <c r="D4342" s="4" t="s">
        <v>1443</v>
      </c>
      <c r="E4342" s="5" t="s">
        <v>7357</v>
      </c>
      <c r="F4342" s="5" t="str">
        <f t="shared" si="67"/>
        <v>spoors.health</v>
      </c>
      <c r="G4342" s="5" t="s">
        <v>4</v>
      </c>
      <c r="H4342" s="5" t="s">
        <v>5</v>
      </c>
      <c r="I4342" s="6"/>
    </row>
    <row r="4343" spans="1:9" ht="13.5">
      <c r="A4343" s="7" t="s">
        <v>329</v>
      </c>
      <c r="B4343" s="3"/>
      <c r="C4343" s="4" t="s">
        <v>7358</v>
      </c>
      <c r="D4343" s="4" t="s">
        <v>331</v>
      </c>
      <c r="E4343" s="5" t="s">
        <v>1959</v>
      </c>
      <c r="F4343" s="5" t="str">
        <f t="shared" si="67"/>
        <v>vont</v>
      </c>
      <c r="G4343" s="5" t="s">
        <v>4</v>
      </c>
      <c r="H4343" s="5" t="s">
        <v>5</v>
      </c>
      <c r="I4343" s="6"/>
    </row>
    <row r="4344" spans="1:9" ht="13.5">
      <c r="A4344" s="2" t="s">
        <v>803</v>
      </c>
      <c r="B4344" s="3"/>
      <c r="C4344" s="8" t="s">
        <v>7359</v>
      </c>
      <c r="D4344" s="4" t="s">
        <v>991</v>
      </c>
      <c r="E4344" s="5" t="s">
        <v>806</v>
      </c>
      <c r="F4344" s="5" t="str">
        <f t="shared" si="67"/>
        <v>foyen.se</v>
      </c>
      <c r="G4344" s="5" t="s">
        <v>4</v>
      </c>
      <c r="H4344" s="5" t="s">
        <v>5</v>
      </c>
      <c r="I4344" s="6"/>
    </row>
    <row r="4345" spans="1:9" ht="13.5">
      <c r="A4345" s="2" t="s">
        <v>171</v>
      </c>
      <c r="B4345" s="3"/>
      <c r="C4345" s="4" t="s">
        <v>7360</v>
      </c>
      <c r="D4345" s="8" t="s">
        <v>173</v>
      </c>
      <c r="E4345" s="5" t="s">
        <v>7361</v>
      </c>
      <c r="F4345" s="5" t="str">
        <f t="shared" si="67"/>
        <v>arctic.se</v>
      </c>
      <c r="G4345" s="5" t="s">
        <v>4</v>
      </c>
      <c r="H4345" s="5" t="s">
        <v>5</v>
      </c>
      <c r="I4345" s="6"/>
    </row>
    <row r="4346" spans="1:9" ht="13.5">
      <c r="A4346" s="2" t="s">
        <v>992</v>
      </c>
      <c r="B4346" s="3"/>
      <c r="C4346" s="4" t="s">
        <v>7362</v>
      </c>
      <c r="D4346" s="4" t="s">
        <v>1392</v>
      </c>
      <c r="E4346" s="5" t="s">
        <v>7363</v>
      </c>
      <c r="F4346" s="5" t="str">
        <f t="shared" si="67"/>
        <v>ledkungen.se</v>
      </c>
      <c r="G4346" s="5" t="s">
        <v>4</v>
      </c>
      <c r="H4346" s="5" t="s">
        <v>5</v>
      </c>
      <c r="I4346" s="6"/>
    </row>
    <row r="4347" spans="1:9" ht="13.5">
      <c r="A4347" s="2" t="s">
        <v>264</v>
      </c>
      <c r="B4347" s="3"/>
      <c r="C4347" s="4" t="s">
        <v>7364</v>
      </c>
      <c r="D4347" s="4" t="s">
        <v>626</v>
      </c>
      <c r="E4347" s="5" t="s">
        <v>514</v>
      </c>
      <c r="F4347" s="5" t="str">
        <f t="shared" si="67"/>
        <v>creditsafe.se</v>
      </c>
      <c r="G4347" s="5" t="s">
        <v>4</v>
      </c>
      <c r="H4347" s="5" t="s">
        <v>267</v>
      </c>
      <c r="I4347" s="6"/>
    </row>
    <row r="4348" spans="1:9" ht="13.5">
      <c r="A4348" s="2" t="s">
        <v>325</v>
      </c>
      <c r="B4348" s="3"/>
      <c r="C4348" s="4" t="s">
        <v>7365</v>
      </c>
      <c r="D4348" s="4" t="s">
        <v>7366</v>
      </c>
      <c r="E4348" s="5" t="s">
        <v>7367</v>
      </c>
      <c r="F4348" s="5" t="str">
        <f t="shared" si="67"/>
        <v>tiotak.se</v>
      </c>
      <c r="G4348" s="5" t="s">
        <v>4</v>
      </c>
      <c r="H4348" s="5" t="s">
        <v>5</v>
      </c>
      <c r="I4348" s="6"/>
    </row>
    <row r="4349" spans="1:9" ht="13.5">
      <c r="A4349" s="2" t="s">
        <v>535</v>
      </c>
      <c r="B4349" s="3"/>
      <c r="C4349" s="4" t="s">
        <v>7368</v>
      </c>
      <c r="D4349" s="4" t="s">
        <v>536</v>
      </c>
      <c r="E4349" s="5" t="s">
        <v>7369</v>
      </c>
      <c r="F4349" s="5" t="str">
        <f t="shared" si="67"/>
        <v>tryggbil.se</v>
      </c>
      <c r="G4349" s="5" t="s">
        <v>4</v>
      </c>
      <c r="H4349" s="5" t="s">
        <v>5</v>
      </c>
      <c r="I4349" s="6"/>
    </row>
    <row r="4350" spans="1:9" ht="13.5">
      <c r="A4350" s="2" t="s">
        <v>100</v>
      </c>
      <c r="B4350" s="3"/>
      <c r="C4350" s="4" t="s">
        <v>7370</v>
      </c>
      <c r="D4350" s="4" t="s">
        <v>102</v>
      </c>
      <c r="E4350" s="5" t="s">
        <v>3308</v>
      </c>
      <c r="F4350" s="5" t="str">
        <f t="shared" si="67"/>
        <v>bigbenstandup.com</v>
      </c>
      <c r="G4350" s="5" t="s">
        <v>4</v>
      </c>
      <c r="H4350" s="5" t="s">
        <v>5</v>
      </c>
      <c r="I4350" s="6"/>
    </row>
    <row r="4351" spans="1:9" ht="13.5">
      <c r="A4351" s="2" t="s">
        <v>632</v>
      </c>
      <c r="B4351" s="3"/>
      <c r="C4351" s="4" t="s">
        <v>7371</v>
      </c>
      <c r="D4351" s="4" t="s">
        <v>7372</v>
      </c>
      <c r="E4351" s="5" t="s">
        <v>7373</v>
      </c>
      <c r="F4351" s="5" t="str">
        <f t="shared" si="67"/>
        <v>miamipool.se</v>
      </c>
      <c r="G4351" s="5" t="s">
        <v>4</v>
      </c>
      <c r="H4351" s="5" t="s">
        <v>5</v>
      </c>
      <c r="I4351" s="6"/>
    </row>
    <row r="4352" spans="1:9" ht="13.5">
      <c r="A4352" s="2" t="s">
        <v>1</v>
      </c>
      <c r="B4352" s="3"/>
      <c r="C4352" s="4" t="s">
        <v>7374</v>
      </c>
      <c r="D4352" s="4" t="s">
        <v>3</v>
      </c>
      <c r="E4352" s="5" t="s">
        <v>566</v>
      </c>
      <c r="F4352" s="5" t="str">
        <f t="shared" si="67"/>
        <v>haxan.se</v>
      </c>
      <c r="G4352" s="5" t="s">
        <v>4</v>
      </c>
      <c r="H4352" s="5" t="s">
        <v>5</v>
      </c>
      <c r="I4352" s="6"/>
    </row>
    <row r="4353" spans="1:9" ht="13.5">
      <c r="A4353" s="2" t="s">
        <v>1271</v>
      </c>
      <c r="B4353" s="3"/>
      <c r="C4353" s="4" t="s">
        <v>7375</v>
      </c>
      <c r="D4353" s="4" t="s">
        <v>1420</v>
      </c>
      <c r="E4353" s="5" t="s">
        <v>7376</v>
      </c>
      <c r="F4353" s="5" t="str">
        <f t="shared" si="67"/>
        <v>alexbyggkonsult.se</v>
      </c>
      <c r="G4353" s="5" t="s">
        <v>4</v>
      </c>
      <c r="H4353" s="5" t="s">
        <v>5</v>
      </c>
      <c r="I4353" s="6"/>
    </row>
    <row r="4354" spans="1:9" ht="13.5">
      <c r="A4354" s="7" t="s">
        <v>329</v>
      </c>
      <c r="B4354" s="3"/>
      <c r="C4354" s="4" t="s">
        <v>7377</v>
      </c>
      <c r="D4354" s="4" t="s">
        <v>331</v>
      </c>
      <c r="E4354" s="5" t="s">
        <v>655</v>
      </c>
      <c r="F4354" s="5" t="str">
        <f t="shared" si="67"/>
        <v>vont</v>
      </c>
      <c r="G4354" s="5" t="s">
        <v>4</v>
      </c>
      <c r="H4354" s="5" t="s">
        <v>5</v>
      </c>
      <c r="I4354" s="6"/>
    </row>
    <row r="4355" spans="1:9" ht="13.5">
      <c r="A4355" s="2" t="s">
        <v>7378</v>
      </c>
      <c r="B4355" s="3"/>
      <c r="C4355" s="4" t="s">
        <v>7379</v>
      </c>
      <c r="D4355" s="4" t="s">
        <v>7380</v>
      </c>
      <c r="E4355" s="5" t="s">
        <v>7381</v>
      </c>
      <c r="F4355" s="5" t="str">
        <f t="shared" ref="F4355:F4418" si="68">A4355</f>
        <v>rosmarinolja.nu</v>
      </c>
      <c r="G4355" s="5" t="s">
        <v>4</v>
      </c>
      <c r="H4355" s="5" t="s">
        <v>5</v>
      </c>
      <c r="I4355" s="6"/>
    </row>
    <row r="4356" spans="1:9" ht="13.5">
      <c r="A4356" s="2" t="s">
        <v>7378</v>
      </c>
      <c r="B4356" s="3"/>
      <c r="C4356" s="4" t="s">
        <v>7382</v>
      </c>
      <c r="D4356" s="4" t="s">
        <v>7380</v>
      </c>
      <c r="E4356" s="5" t="s">
        <v>7383</v>
      </c>
      <c r="F4356" s="5" t="str">
        <f t="shared" si="68"/>
        <v>rosmarinolja.nu</v>
      </c>
      <c r="G4356" s="5" t="s">
        <v>4</v>
      </c>
      <c r="H4356" s="5" t="s">
        <v>5</v>
      </c>
      <c r="I4356" s="6"/>
    </row>
    <row r="4357" spans="1:9" ht="13.5">
      <c r="A4357" s="7" t="s">
        <v>329</v>
      </c>
      <c r="B4357" s="3"/>
      <c r="C4357" s="4" t="s">
        <v>7384</v>
      </c>
      <c r="D4357" s="4" t="s">
        <v>331</v>
      </c>
      <c r="E4357" s="5" t="s">
        <v>332</v>
      </c>
      <c r="F4357" s="5" t="str">
        <f t="shared" si="68"/>
        <v>vont</v>
      </c>
      <c r="G4357" s="5" t="s">
        <v>34</v>
      </c>
      <c r="H4357" s="5" t="s">
        <v>5</v>
      </c>
      <c r="I4357" s="6"/>
    </row>
    <row r="4358" spans="1:9" ht="13.5">
      <c r="A4358" s="2" t="s">
        <v>632</v>
      </c>
      <c r="B4358" s="3"/>
      <c r="C4358" s="8" t="s">
        <v>7385</v>
      </c>
      <c r="D4358" s="4" t="s">
        <v>634</v>
      </c>
      <c r="E4358" s="5" t="s">
        <v>845</v>
      </c>
      <c r="F4358" s="5" t="str">
        <f t="shared" si="68"/>
        <v>miamipool.se</v>
      </c>
      <c r="G4358" s="5" t="s">
        <v>34</v>
      </c>
      <c r="H4358" s="5" t="s">
        <v>5</v>
      </c>
      <c r="I4358" s="6"/>
    </row>
    <row r="4359" spans="1:9" ht="13.5">
      <c r="A4359" s="7" t="s">
        <v>329</v>
      </c>
      <c r="B4359" s="3"/>
      <c r="C4359" s="4" t="s">
        <v>7386</v>
      </c>
      <c r="D4359" s="8" t="s">
        <v>7343</v>
      </c>
      <c r="E4359" s="5" t="s">
        <v>7387</v>
      </c>
      <c r="F4359" s="5" t="str">
        <f t="shared" si="68"/>
        <v>vont</v>
      </c>
      <c r="G4359" s="5" t="s">
        <v>4</v>
      </c>
      <c r="H4359" s="5" t="s">
        <v>262</v>
      </c>
      <c r="I4359" s="6"/>
    </row>
    <row r="4360" spans="1:9" ht="13.5">
      <c r="A4360" s="7" t="s">
        <v>329</v>
      </c>
      <c r="B4360" s="3"/>
      <c r="C4360" s="4" t="s">
        <v>7388</v>
      </c>
      <c r="D4360" s="8" t="s">
        <v>7343</v>
      </c>
      <c r="E4360" s="5" t="s">
        <v>7387</v>
      </c>
      <c r="F4360" s="5" t="str">
        <f t="shared" si="68"/>
        <v>vont</v>
      </c>
      <c r="G4360" s="5" t="s">
        <v>4</v>
      </c>
      <c r="H4360" s="5" t="s">
        <v>262</v>
      </c>
      <c r="I4360" s="6"/>
    </row>
    <row r="4361" spans="1:9" ht="13.5">
      <c r="A4361" s="7" t="s">
        <v>329</v>
      </c>
      <c r="B4361" s="3"/>
      <c r="C4361" s="4" t="s">
        <v>7389</v>
      </c>
      <c r="D4361" s="8" t="s">
        <v>7343</v>
      </c>
      <c r="E4361" s="5" t="s">
        <v>7390</v>
      </c>
      <c r="F4361" s="5" t="str">
        <f t="shared" si="68"/>
        <v>vont</v>
      </c>
      <c r="G4361" s="5" t="s">
        <v>4</v>
      </c>
      <c r="H4361" s="5" t="s">
        <v>262</v>
      </c>
      <c r="I4361" s="6"/>
    </row>
    <row r="4362" spans="1:9" ht="13.5">
      <c r="A4362" s="2" t="s">
        <v>663</v>
      </c>
      <c r="B4362" s="3"/>
      <c r="C4362" s="4" t="s">
        <v>7391</v>
      </c>
      <c r="D4362" s="4" t="s">
        <v>664</v>
      </c>
      <c r="E4362" s="5" t="s">
        <v>7392</v>
      </c>
      <c r="F4362" s="5" t="str">
        <f t="shared" si="68"/>
        <v>robomarkets.com</v>
      </c>
      <c r="G4362" s="5" t="s">
        <v>4</v>
      </c>
      <c r="H4362" s="5" t="s">
        <v>5</v>
      </c>
      <c r="I4362" s="6"/>
    </row>
    <row r="4363" spans="1:9" ht="13.5">
      <c r="A4363" s="2" t="s">
        <v>663</v>
      </c>
      <c r="B4363" s="3"/>
      <c r="C4363" s="4" t="s">
        <v>7393</v>
      </c>
      <c r="D4363" s="4" t="s">
        <v>664</v>
      </c>
      <c r="E4363" s="5" t="s">
        <v>7394</v>
      </c>
      <c r="F4363" s="5" t="str">
        <f t="shared" si="68"/>
        <v>robomarkets.com</v>
      </c>
      <c r="G4363" s="5" t="s">
        <v>4</v>
      </c>
      <c r="H4363" s="5" t="s">
        <v>5</v>
      </c>
      <c r="I4363" s="6"/>
    </row>
    <row r="4364" spans="1:9" ht="13.5">
      <c r="A4364" s="2" t="s">
        <v>663</v>
      </c>
      <c r="B4364" s="3"/>
      <c r="C4364" s="4" t="s">
        <v>7395</v>
      </c>
      <c r="D4364" s="4" t="s">
        <v>664</v>
      </c>
      <c r="E4364" s="5" t="s">
        <v>7396</v>
      </c>
      <c r="F4364" s="5" t="str">
        <f t="shared" si="68"/>
        <v>robomarkets.com</v>
      </c>
      <c r="G4364" s="5" t="s">
        <v>4</v>
      </c>
      <c r="H4364" s="5" t="s">
        <v>5</v>
      </c>
      <c r="I4364" s="6"/>
    </row>
    <row r="4365" spans="1:9" ht="15.4">
      <c r="A4365" s="7" t="s">
        <v>329</v>
      </c>
      <c r="B4365" s="3"/>
      <c r="C4365" s="4" t="s">
        <v>7397</v>
      </c>
      <c r="D4365" s="4" t="s">
        <v>331</v>
      </c>
      <c r="E4365" s="359" t="s">
        <v>3958</v>
      </c>
      <c r="F4365" s="5" t="str">
        <f t="shared" si="68"/>
        <v>vont</v>
      </c>
      <c r="G4365" s="5" t="s">
        <v>4</v>
      </c>
      <c r="H4365" s="5" t="s">
        <v>5</v>
      </c>
      <c r="I4365" s="6"/>
    </row>
    <row r="4366" spans="1:9" ht="13.5">
      <c r="A4366" s="2" t="s">
        <v>156</v>
      </c>
      <c r="B4366" s="3"/>
      <c r="C4366" s="4" t="s">
        <v>7398</v>
      </c>
      <c r="D4366" s="8" t="s">
        <v>983</v>
      </c>
      <c r="E4366" s="5" t="s">
        <v>7399</v>
      </c>
      <c r="F4366" s="5" t="str">
        <f t="shared" si="68"/>
        <v>askskinfo.com</v>
      </c>
      <c r="G4366" s="5" t="s">
        <v>4</v>
      </c>
      <c r="H4366" s="5" t="s">
        <v>5</v>
      </c>
      <c r="I4366" s="6"/>
    </row>
    <row r="4367" spans="1:9" ht="13.5">
      <c r="A4367" s="2" t="s">
        <v>689</v>
      </c>
      <c r="B4367" s="3"/>
      <c r="C4367" s="4" t="s">
        <v>7400</v>
      </c>
      <c r="D4367" s="8" t="s">
        <v>691</v>
      </c>
      <c r="E4367" s="5" t="s">
        <v>2874</v>
      </c>
      <c r="F4367" s="5" t="str">
        <f t="shared" si="68"/>
        <v>conclean.se</v>
      </c>
      <c r="G4367" s="5" t="s">
        <v>4</v>
      </c>
      <c r="H4367" s="5" t="s">
        <v>5</v>
      </c>
      <c r="I4367" s="6"/>
    </row>
    <row r="4368" spans="1:9" ht="13.5">
      <c r="A4368" s="2" t="s">
        <v>171</v>
      </c>
      <c r="B4368" s="3"/>
      <c r="C4368" s="5"/>
      <c r="D4368" s="5"/>
      <c r="E4368" s="5"/>
      <c r="F4368" s="5" t="str">
        <f t="shared" si="68"/>
        <v>arctic.se</v>
      </c>
      <c r="G4368" s="5"/>
      <c r="H4368" s="5"/>
      <c r="I4368" s="6"/>
    </row>
    <row r="4369" spans="1:9" ht="13.5">
      <c r="A4369" s="2" t="s">
        <v>171</v>
      </c>
      <c r="B4369" s="3"/>
      <c r="C4369" s="4" t="s">
        <v>7401</v>
      </c>
      <c r="D4369" s="8" t="s">
        <v>1708</v>
      </c>
      <c r="E4369" s="5" t="s">
        <v>684</v>
      </c>
      <c r="F4369" s="5" t="str">
        <f t="shared" si="68"/>
        <v>arctic.se</v>
      </c>
      <c r="G4369" s="5" t="s">
        <v>4</v>
      </c>
      <c r="H4369" s="5" t="s">
        <v>262</v>
      </c>
      <c r="I4369" s="6"/>
    </row>
    <row r="4370" spans="1:9" ht="13.5">
      <c r="A4370" s="2" t="s">
        <v>663</v>
      </c>
      <c r="B4370" s="3"/>
      <c r="C4370" s="4" t="s">
        <v>7402</v>
      </c>
      <c r="D4370" s="4" t="s">
        <v>7403</v>
      </c>
      <c r="E4370" s="5" t="s">
        <v>7404</v>
      </c>
      <c r="F4370" s="5" t="str">
        <f t="shared" si="68"/>
        <v>robomarkets.com</v>
      </c>
      <c r="G4370" s="5" t="s">
        <v>4</v>
      </c>
      <c r="H4370" s="5" t="s">
        <v>5</v>
      </c>
      <c r="I4370" s="6"/>
    </row>
    <row r="4371" spans="1:9" ht="13.5">
      <c r="A4371" s="2" t="s">
        <v>295</v>
      </c>
      <c r="B4371" s="3"/>
      <c r="C4371" s="8" t="s">
        <v>7405</v>
      </c>
      <c r="D4371" s="4" t="s">
        <v>297</v>
      </c>
      <c r="E4371" s="5" t="s">
        <v>7406</v>
      </c>
      <c r="F4371" s="5" t="str">
        <f t="shared" si="68"/>
        <v>vontabel.com</v>
      </c>
      <c r="G4371" s="5" t="s">
        <v>4</v>
      </c>
      <c r="H4371" s="5" t="s">
        <v>5</v>
      </c>
      <c r="I4371" s="6"/>
    </row>
    <row r="4372" spans="1:9" ht="13.5">
      <c r="A4372" s="7" t="s">
        <v>224</v>
      </c>
      <c r="B4372" s="3"/>
      <c r="C4372" s="4" t="s">
        <v>7407</v>
      </c>
      <c r="D4372" s="4" t="s">
        <v>226</v>
      </c>
      <c r="E4372" s="5" t="s">
        <v>591</v>
      </c>
      <c r="F4372" s="5" t="str">
        <f t="shared" si="68"/>
        <v>swedoffice</v>
      </c>
      <c r="G4372" s="5" t="s">
        <v>4</v>
      </c>
      <c r="H4372" s="5" t="s">
        <v>5</v>
      </c>
      <c r="I4372" s="6"/>
    </row>
    <row r="4373" spans="1:9" ht="13.5">
      <c r="A4373" s="2" t="s">
        <v>1</v>
      </c>
      <c r="B4373" s="3"/>
      <c r="C4373" s="4" t="s">
        <v>7408</v>
      </c>
      <c r="D4373" s="4" t="s">
        <v>1659</v>
      </c>
      <c r="E4373" s="5" t="s">
        <v>7409</v>
      </c>
      <c r="F4373" s="5" t="str">
        <f t="shared" si="68"/>
        <v>haxan.se</v>
      </c>
      <c r="G4373" s="5" t="s">
        <v>4</v>
      </c>
      <c r="H4373" s="5" t="s">
        <v>5</v>
      </c>
      <c r="I4373" s="6"/>
    </row>
    <row r="4374" spans="1:9" ht="13.5">
      <c r="A4374" s="2" t="s">
        <v>325</v>
      </c>
      <c r="B4374" s="3"/>
      <c r="C4374" s="8" t="s">
        <v>7410</v>
      </c>
      <c r="D4374" s="4" t="s">
        <v>327</v>
      </c>
      <c r="E4374" s="5" t="s">
        <v>2497</v>
      </c>
      <c r="F4374" s="5" t="str">
        <f t="shared" si="68"/>
        <v>tiotak.se</v>
      </c>
      <c r="G4374" s="5" t="s">
        <v>4</v>
      </c>
      <c r="H4374" s="5" t="s">
        <v>5</v>
      </c>
      <c r="I4374" s="6"/>
    </row>
    <row r="4375" spans="1:9" ht="13.5">
      <c r="A4375" s="2" t="s">
        <v>464</v>
      </c>
      <c r="B4375" s="3"/>
      <c r="C4375" s="4" t="s">
        <v>7411</v>
      </c>
      <c r="D4375" s="4" t="s">
        <v>7307</v>
      </c>
      <c r="E4375" s="5" t="s">
        <v>7412</v>
      </c>
      <c r="F4375" s="5" t="str">
        <f t="shared" si="68"/>
        <v>villarelining.se</v>
      </c>
      <c r="G4375" s="5" t="s">
        <v>4</v>
      </c>
      <c r="H4375" s="5" t="s">
        <v>5</v>
      </c>
      <c r="I4375" s="6"/>
    </row>
    <row r="4376" spans="1:9" ht="13.5">
      <c r="A4376" s="2" t="s">
        <v>464</v>
      </c>
      <c r="B4376" s="3"/>
      <c r="C4376" s="4" t="s">
        <v>7413</v>
      </c>
      <c r="D4376" s="4" t="s">
        <v>466</v>
      </c>
      <c r="E4376" s="5" t="s">
        <v>7414</v>
      </c>
      <c r="F4376" s="5" t="str">
        <f t="shared" si="68"/>
        <v>villarelining.se</v>
      </c>
      <c r="G4376" s="5" t="s">
        <v>4</v>
      </c>
      <c r="H4376" s="5" t="s">
        <v>5</v>
      </c>
      <c r="I4376" s="6"/>
    </row>
    <row r="4377" spans="1:9" ht="13.5">
      <c r="A4377" s="2" t="s">
        <v>272</v>
      </c>
      <c r="B4377" s="3"/>
      <c r="C4377" s="4" t="s">
        <v>7415</v>
      </c>
      <c r="D4377" s="4" t="s">
        <v>274</v>
      </c>
      <c r="E4377" s="5" t="s">
        <v>637</v>
      </c>
      <c r="F4377" s="5" t="str">
        <f t="shared" si="68"/>
        <v>schjodt.com</v>
      </c>
      <c r="G4377" s="5" t="s">
        <v>4</v>
      </c>
      <c r="H4377" s="5" t="s">
        <v>5</v>
      </c>
      <c r="I4377" s="6"/>
    </row>
    <row r="4378" spans="1:9" ht="13.5">
      <c r="A4378" s="2" t="s">
        <v>272</v>
      </c>
      <c r="B4378" s="3"/>
      <c r="C4378" s="4" t="s">
        <v>7416</v>
      </c>
      <c r="D4378" s="4" t="s">
        <v>274</v>
      </c>
      <c r="E4378" s="5" t="s">
        <v>1356</v>
      </c>
      <c r="F4378" s="5" t="str">
        <f t="shared" si="68"/>
        <v>schjodt.com</v>
      </c>
      <c r="G4378" s="5" t="s">
        <v>4</v>
      </c>
      <c r="H4378" s="5" t="s">
        <v>5</v>
      </c>
      <c r="I4378" s="6"/>
    </row>
    <row r="4379" spans="1:9" ht="13.5">
      <c r="A4379" s="2" t="s">
        <v>312</v>
      </c>
      <c r="B4379" s="3"/>
      <c r="C4379" s="4" t="s">
        <v>7417</v>
      </c>
      <c r="D4379" s="4" t="s">
        <v>7418</v>
      </c>
      <c r="E4379" s="5" t="s">
        <v>7419</v>
      </c>
      <c r="F4379" s="5" t="str">
        <f t="shared" si="68"/>
        <v>sufracofinebrands.com</v>
      </c>
      <c r="G4379" s="5" t="s">
        <v>4</v>
      </c>
      <c r="H4379" s="5" t="s">
        <v>5</v>
      </c>
      <c r="I4379" s="6"/>
    </row>
    <row r="4380" spans="1:9" ht="13.5">
      <c r="A4380" s="2" t="s">
        <v>803</v>
      </c>
      <c r="B4380" s="3"/>
      <c r="C4380" s="4" t="s">
        <v>7420</v>
      </c>
      <c r="D4380" s="4" t="s">
        <v>991</v>
      </c>
      <c r="E4380" s="5" t="s">
        <v>7421</v>
      </c>
      <c r="F4380" s="5" t="str">
        <f t="shared" si="68"/>
        <v>foyen.se</v>
      </c>
      <c r="G4380" s="5" t="s">
        <v>4</v>
      </c>
      <c r="H4380" s="5" t="s">
        <v>5</v>
      </c>
      <c r="I4380" s="6"/>
    </row>
    <row r="4381" spans="1:9" ht="13.5">
      <c r="A4381" s="2" t="s">
        <v>689</v>
      </c>
      <c r="B4381" s="3"/>
      <c r="C4381" s="4" t="s">
        <v>7422</v>
      </c>
      <c r="D4381" s="4" t="s">
        <v>691</v>
      </c>
      <c r="E4381" s="5" t="s">
        <v>7423</v>
      </c>
      <c r="F4381" s="5" t="str">
        <f t="shared" si="68"/>
        <v>conclean.se</v>
      </c>
      <c r="G4381" s="5" t="s">
        <v>4</v>
      </c>
      <c r="H4381" s="5" t="s">
        <v>5</v>
      </c>
      <c r="I4381" s="6"/>
    </row>
    <row r="4382" spans="1:9" ht="13.5">
      <c r="A4382" s="2" t="s">
        <v>992</v>
      </c>
      <c r="B4382" s="3"/>
      <c r="C4382" s="4" t="s">
        <v>7424</v>
      </c>
      <c r="D4382" s="4" t="s">
        <v>1392</v>
      </c>
      <c r="E4382" s="5" t="s">
        <v>7341</v>
      </c>
      <c r="F4382" s="5" t="str">
        <f t="shared" si="68"/>
        <v>ledkungen.se</v>
      </c>
      <c r="G4382" s="5" t="s">
        <v>4</v>
      </c>
      <c r="H4382" s="5" t="s">
        <v>5</v>
      </c>
      <c r="I4382" s="6"/>
    </row>
    <row r="4383" spans="1:9" ht="13.5">
      <c r="A4383" s="7" t="s">
        <v>1275</v>
      </c>
      <c r="B4383" s="3"/>
      <c r="C4383" s="4" t="s">
        <v>7425</v>
      </c>
      <c r="D4383" s="5"/>
      <c r="E4383" s="5" t="s">
        <v>7426</v>
      </c>
      <c r="F4383" s="5" t="str">
        <f t="shared" si="68"/>
        <v>spoors.health</v>
      </c>
      <c r="G4383" s="5" t="s">
        <v>4</v>
      </c>
      <c r="H4383" s="5" t="s">
        <v>5</v>
      </c>
      <c r="I4383" s="6"/>
    </row>
    <row r="4384" spans="1:9" ht="13.5">
      <c r="A4384" s="7" t="s">
        <v>1275</v>
      </c>
      <c r="B4384" s="3"/>
      <c r="C4384" s="4" t="s">
        <v>7425</v>
      </c>
      <c r="D4384" s="5" t="s">
        <v>1277</v>
      </c>
      <c r="E4384" s="5" t="s">
        <v>7427</v>
      </c>
      <c r="F4384" s="5" t="str">
        <f t="shared" si="68"/>
        <v>spoors.health</v>
      </c>
      <c r="G4384" s="5" t="s">
        <v>4</v>
      </c>
      <c r="H4384" s="5" t="s">
        <v>5</v>
      </c>
      <c r="I4384" s="6"/>
    </row>
    <row r="4385" spans="1:9" ht="13.5">
      <c r="A4385" s="2" t="s">
        <v>663</v>
      </c>
      <c r="B4385" s="3"/>
      <c r="C4385" s="4" t="s">
        <v>7428</v>
      </c>
      <c r="D4385" s="4" t="s">
        <v>664</v>
      </c>
      <c r="E4385" s="5" t="s">
        <v>7429</v>
      </c>
      <c r="F4385" s="5" t="str">
        <f t="shared" si="68"/>
        <v>robomarkets.com</v>
      </c>
      <c r="G4385" s="5" t="s">
        <v>4</v>
      </c>
      <c r="H4385" s="5" t="s">
        <v>5</v>
      </c>
      <c r="I4385" s="6"/>
    </row>
    <row r="4386" spans="1:9" ht="13.5">
      <c r="A4386" s="2" t="s">
        <v>663</v>
      </c>
      <c r="B4386" s="3"/>
      <c r="C4386" s="4" t="s">
        <v>7430</v>
      </c>
      <c r="D4386" s="4" t="s">
        <v>770</v>
      </c>
      <c r="E4386" s="5" t="s">
        <v>7431</v>
      </c>
      <c r="F4386" s="5" t="str">
        <f t="shared" si="68"/>
        <v>robomarkets.com</v>
      </c>
      <c r="G4386" s="5" t="s">
        <v>4</v>
      </c>
      <c r="H4386" s="5" t="s">
        <v>5</v>
      </c>
      <c r="I4386" s="6"/>
    </row>
    <row r="4387" spans="1:9" ht="13.5">
      <c r="A4387" s="2" t="s">
        <v>1112</v>
      </c>
      <c r="B4387" s="3"/>
      <c r="C4387" s="4" t="s">
        <v>1161</v>
      </c>
      <c r="D4387" s="5"/>
      <c r="E4387" s="5"/>
      <c r="F4387" s="5" t="str">
        <f t="shared" si="68"/>
        <v>triwa.com</v>
      </c>
      <c r="G4387" s="5"/>
      <c r="H4387" s="5"/>
      <c r="I4387" s="6"/>
    </row>
    <row r="4388" spans="1:9" ht="13.5">
      <c r="A4388" s="2" t="s">
        <v>20</v>
      </c>
      <c r="B4388" s="3"/>
      <c r="C4388" s="4" t="s">
        <v>7432</v>
      </c>
      <c r="D4388" s="4" t="s">
        <v>986</v>
      </c>
      <c r="E4388" s="5" t="s">
        <v>987</v>
      </c>
      <c r="F4388" s="5" t="str">
        <f t="shared" si="68"/>
        <v>blugiallo.com</v>
      </c>
      <c r="G4388" s="5" t="s">
        <v>4</v>
      </c>
      <c r="H4388" s="5" t="s">
        <v>5</v>
      </c>
      <c r="I4388" s="6"/>
    </row>
    <row r="4389" spans="1:9" ht="13.5">
      <c r="A4389" s="2" t="s">
        <v>20</v>
      </c>
      <c r="B4389" s="3"/>
      <c r="C4389" s="4" t="s">
        <v>7433</v>
      </c>
      <c r="D4389" s="4" t="s">
        <v>876</v>
      </c>
      <c r="E4389" s="5" t="s">
        <v>989</v>
      </c>
      <c r="F4389" s="5" t="str">
        <f t="shared" si="68"/>
        <v>blugiallo.com</v>
      </c>
      <c r="G4389" s="5" t="s">
        <v>4</v>
      </c>
      <c r="H4389" s="5" t="s">
        <v>5</v>
      </c>
      <c r="I4389" s="6"/>
    </row>
    <row r="4390" spans="1:9" ht="13.5">
      <c r="A4390" s="2" t="s">
        <v>171</v>
      </c>
      <c r="B4390" s="3"/>
      <c r="C4390" s="4" t="s">
        <v>7401</v>
      </c>
      <c r="D4390" s="4" t="s">
        <v>1708</v>
      </c>
      <c r="E4390" s="5" t="s">
        <v>7434</v>
      </c>
      <c r="F4390" s="5" t="str">
        <f t="shared" si="68"/>
        <v>arctic.se</v>
      </c>
      <c r="G4390" s="5" t="s">
        <v>4</v>
      </c>
      <c r="H4390" s="5" t="s">
        <v>262</v>
      </c>
      <c r="I4390" s="6"/>
    </row>
    <row r="4391" spans="1:9" ht="13.5">
      <c r="A4391" s="7" t="s">
        <v>329</v>
      </c>
      <c r="B4391" s="3"/>
      <c r="C4391" s="4" t="s">
        <v>7435</v>
      </c>
      <c r="D4391" s="4" t="s">
        <v>7436</v>
      </c>
      <c r="E4391" s="5" t="s">
        <v>655</v>
      </c>
      <c r="F4391" s="5" t="str">
        <f t="shared" si="68"/>
        <v>vont</v>
      </c>
      <c r="G4391" s="5" t="s">
        <v>4</v>
      </c>
      <c r="H4391" s="5" t="s">
        <v>23</v>
      </c>
      <c r="I4391" s="6"/>
    </row>
    <row r="4392" spans="1:9" ht="13.5">
      <c r="A4392" s="2" t="s">
        <v>632</v>
      </c>
      <c r="B4392" s="3"/>
      <c r="C4392" s="4" t="s">
        <v>7437</v>
      </c>
      <c r="D4392" s="4" t="s">
        <v>7372</v>
      </c>
      <c r="E4392" s="5" t="s">
        <v>7438</v>
      </c>
      <c r="F4392" s="5" t="str">
        <f t="shared" si="68"/>
        <v>miamipool.se</v>
      </c>
      <c r="G4392" s="5" t="s">
        <v>34</v>
      </c>
      <c r="H4392" s="5" t="s">
        <v>5</v>
      </c>
      <c r="I4392" s="6"/>
    </row>
    <row r="4393" spans="1:9" ht="13.5">
      <c r="A4393" s="7" t="s">
        <v>329</v>
      </c>
      <c r="B4393" s="3"/>
      <c r="C4393" s="4" t="s">
        <v>7439</v>
      </c>
      <c r="D4393" s="4" t="s">
        <v>472</v>
      </c>
      <c r="E4393" s="5" t="s">
        <v>7304</v>
      </c>
      <c r="F4393" s="5" t="str">
        <f t="shared" si="68"/>
        <v>vont</v>
      </c>
      <c r="G4393" s="5" t="s">
        <v>4</v>
      </c>
      <c r="H4393" s="5" t="s">
        <v>5</v>
      </c>
      <c r="I4393" s="6"/>
    </row>
    <row r="4394" spans="1:9" ht="13.5">
      <c r="A4394" s="2" t="s">
        <v>171</v>
      </c>
      <c r="B4394" s="3"/>
      <c r="C4394" s="4" t="s">
        <v>7440</v>
      </c>
      <c r="D4394" s="4" t="s">
        <v>1095</v>
      </c>
      <c r="E4394" s="5" t="s">
        <v>7441</v>
      </c>
      <c r="F4394" s="5" t="str">
        <f t="shared" si="68"/>
        <v>arctic.se</v>
      </c>
      <c r="G4394" s="5" t="s">
        <v>4</v>
      </c>
      <c r="H4394" s="5" t="s">
        <v>5</v>
      </c>
      <c r="I4394" s="6"/>
    </row>
    <row r="4395" spans="1:9" ht="13.5">
      <c r="A4395" s="2" t="s">
        <v>20</v>
      </c>
      <c r="B4395" s="3"/>
      <c r="C4395" s="4" t="s">
        <v>7442</v>
      </c>
      <c r="D4395" s="4" t="s">
        <v>529</v>
      </c>
      <c r="E4395" s="5" t="s">
        <v>7443</v>
      </c>
      <c r="F4395" s="5" t="str">
        <f t="shared" si="68"/>
        <v>blugiallo.com</v>
      </c>
      <c r="G4395" s="5" t="s">
        <v>4</v>
      </c>
      <c r="H4395" s="5" t="s">
        <v>5</v>
      </c>
      <c r="I4395" s="6"/>
    </row>
    <row r="4396" spans="1:9" ht="13.5">
      <c r="A4396" s="7" t="s">
        <v>329</v>
      </c>
      <c r="B4396" s="3"/>
      <c r="C4396" s="4" t="s">
        <v>7444</v>
      </c>
      <c r="D4396" s="4" t="s">
        <v>331</v>
      </c>
      <c r="E4396" s="5" t="s">
        <v>655</v>
      </c>
      <c r="F4396" s="5" t="str">
        <f t="shared" si="68"/>
        <v>vont</v>
      </c>
      <c r="G4396" s="5" t="s">
        <v>4</v>
      </c>
      <c r="H4396" s="5" t="s">
        <v>5</v>
      </c>
      <c r="I4396" s="6"/>
    </row>
    <row r="4397" spans="1:9" ht="13.5">
      <c r="A4397" s="7" t="s">
        <v>329</v>
      </c>
      <c r="B4397" s="3"/>
      <c r="C4397" s="4" t="s">
        <v>7445</v>
      </c>
      <c r="D4397" s="4" t="s">
        <v>331</v>
      </c>
      <c r="E4397" s="5" t="s">
        <v>7446</v>
      </c>
      <c r="F4397" s="5" t="str">
        <f t="shared" si="68"/>
        <v>vont</v>
      </c>
      <c r="G4397" s="5" t="s">
        <v>4</v>
      </c>
      <c r="H4397" s="5" t="s">
        <v>5</v>
      </c>
      <c r="I4397" s="6"/>
    </row>
    <row r="4398" spans="1:9" ht="13.5">
      <c r="A4398" s="2" t="s">
        <v>803</v>
      </c>
      <c r="B4398" s="3"/>
      <c r="C4398" s="73" t="s">
        <v>7447</v>
      </c>
      <c r="D4398" s="71" t="s">
        <v>7448</v>
      </c>
      <c r="E4398" s="76" t="s">
        <v>7449</v>
      </c>
      <c r="F4398" s="5" t="str">
        <f t="shared" si="68"/>
        <v>foyen.se</v>
      </c>
      <c r="G4398" s="76" t="s">
        <v>4</v>
      </c>
      <c r="H4398" s="76" t="s">
        <v>5</v>
      </c>
      <c r="I4398" s="6"/>
    </row>
    <row r="4399" spans="1:9" ht="13.5">
      <c r="A4399" s="2" t="s">
        <v>1239</v>
      </c>
      <c r="B4399" s="3"/>
      <c r="C4399" s="73" t="s">
        <v>7450</v>
      </c>
      <c r="D4399" s="71" t="s">
        <v>1241</v>
      </c>
      <c r="E4399" s="76" t="s">
        <v>7451</v>
      </c>
      <c r="F4399" s="5" t="str">
        <f t="shared" si="68"/>
        <v>freckeus.se</v>
      </c>
      <c r="G4399" s="76" t="s">
        <v>4</v>
      </c>
      <c r="H4399" s="76" t="s">
        <v>5</v>
      </c>
      <c r="I4399" s="6"/>
    </row>
    <row r="4400" spans="1:9" ht="13.5">
      <c r="A4400" s="2" t="s">
        <v>1</v>
      </c>
      <c r="B4400" s="3"/>
      <c r="C4400" s="73" t="s">
        <v>7452</v>
      </c>
      <c r="D4400" s="71" t="s">
        <v>1659</v>
      </c>
      <c r="E4400" s="76" t="s">
        <v>7453</v>
      </c>
      <c r="F4400" s="5" t="str">
        <f t="shared" si="68"/>
        <v>haxan.se</v>
      </c>
      <c r="G4400" s="76" t="s">
        <v>4</v>
      </c>
      <c r="H4400" s="76" t="s">
        <v>5</v>
      </c>
      <c r="I4400" s="6"/>
    </row>
    <row r="4401" spans="1:9" ht="13.5">
      <c r="A4401" s="2" t="s">
        <v>1</v>
      </c>
      <c r="B4401" s="3"/>
      <c r="C4401" s="73" t="s">
        <v>7454</v>
      </c>
      <c r="D4401" s="71" t="s">
        <v>1069</v>
      </c>
      <c r="E4401" s="76" t="s">
        <v>999</v>
      </c>
      <c r="F4401" s="5" t="str">
        <f t="shared" si="68"/>
        <v>haxan.se</v>
      </c>
      <c r="G4401" s="76" t="s">
        <v>4</v>
      </c>
      <c r="H4401" s="76" t="s">
        <v>5</v>
      </c>
      <c r="I4401" s="6"/>
    </row>
    <row r="4402" spans="1:9" ht="13.5">
      <c r="A4402" s="2" t="s">
        <v>325</v>
      </c>
      <c r="B4402" s="3"/>
      <c r="C4402" s="73" t="s">
        <v>7455</v>
      </c>
      <c r="D4402" s="93" t="s">
        <v>1244</v>
      </c>
      <c r="E4402" s="76" t="s">
        <v>463</v>
      </c>
      <c r="F4402" s="5" t="str">
        <f t="shared" si="68"/>
        <v>tiotak.se</v>
      </c>
      <c r="G4402" s="76" t="s">
        <v>4</v>
      </c>
      <c r="H4402" s="76" t="s">
        <v>5</v>
      </c>
      <c r="I4402" s="6"/>
    </row>
    <row r="4403" spans="1:9" ht="13.5">
      <c r="A4403" s="2" t="s">
        <v>325</v>
      </c>
      <c r="B4403" s="3"/>
      <c r="C4403" s="360" t="s">
        <v>7456</v>
      </c>
      <c r="D4403" s="93" t="s">
        <v>1244</v>
      </c>
      <c r="E4403" s="76" t="s">
        <v>463</v>
      </c>
      <c r="F4403" s="5" t="str">
        <f t="shared" si="68"/>
        <v>tiotak.se</v>
      </c>
      <c r="G4403" s="76" t="s">
        <v>4</v>
      </c>
      <c r="H4403" s="76" t="s">
        <v>5</v>
      </c>
      <c r="I4403" s="6"/>
    </row>
    <row r="4404" spans="1:9" ht="13.5">
      <c r="A4404" s="2" t="s">
        <v>535</v>
      </c>
      <c r="B4404" s="3"/>
      <c r="C4404" s="73" t="s">
        <v>7457</v>
      </c>
      <c r="D4404" s="4" t="s">
        <v>536</v>
      </c>
      <c r="E4404" s="5" t="s">
        <v>7458</v>
      </c>
      <c r="F4404" s="5" t="str">
        <f t="shared" si="68"/>
        <v>tryggbil.se</v>
      </c>
      <c r="G4404" s="5" t="s">
        <v>4</v>
      </c>
      <c r="H4404" s="5" t="s">
        <v>5</v>
      </c>
      <c r="I4404" s="6"/>
    </row>
    <row r="4405" spans="1:9" ht="13.5">
      <c r="A4405" s="7" t="s">
        <v>329</v>
      </c>
      <c r="B4405" s="3"/>
      <c r="C4405" s="73" t="s">
        <v>7459</v>
      </c>
      <c r="D4405" s="4" t="s">
        <v>331</v>
      </c>
      <c r="E4405" s="5" t="s">
        <v>655</v>
      </c>
      <c r="F4405" s="5" t="str">
        <f t="shared" si="68"/>
        <v>vont</v>
      </c>
      <c r="G4405" s="5" t="s">
        <v>4</v>
      </c>
      <c r="H4405" s="5" t="s">
        <v>5</v>
      </c>
      <c r="I4405" s="6"/>
    </row>
    <row r="4406" spans="1:9" ht="13.5">
      <c r="A4406" s="7" t="s">
        <v>329</v>
      </c>
      <c r="B4406" s="3"/>
      <c r="C4406" s="73" t="s">
        <v>7460</v>
      </c>
      <c r="D4406" s="4" t="s">
        <v>472</v>
      </c>
      <c r="E4406" s="5" t="s">
        <v>473</v>
      </c>
      <c r="F4406" s="5" t="str">
        <f t="shared" si="68"/>
        <v>vont</v>
      </c>
      <c r="G4406" s="5" t="s">
        <v>4</v>
      </c>
      <c r="H4406" s="5" t="s">
        <v>5</v>
      </c>
      <c r="I4406" s="6"/>
    </row>
    <row r="4407" spans="1:9" ht="13.5">
      <c r="A4407" s="2" t="s">
        <v>464</v>
      </c>
      <c r="B4407" s="3"/>
      <c r="C4407" s="73" t="s">
        <v>7461</v>
      </c>
      <c r="D4407" s="4" t="s">
        <v>466</v>
      </c>
      <c r="E4407" s="5" t="s">
        <v>7462</v>
      </c>
      <c r="F4407" s="5" t="str">
        <f t="shared" si="68"/>
        <v>villarelining.se</v>
      </c>
      <c r="G4407" s="5" t="s">
        <v>4</v>
      </c>
      <c r="H4407" s="5" t="s">
        <v>5</v>
      </c>
      <c r="I4407" s="6"/>
    </row>
    <row r="4408" spans="1:9" ht="13.5">
      <c r="A4408" s="2" t="s">
        <v>464</v>
      </c>
      <c r="B4408" s="3"/>
      <c r="C4408" s="73" t="s">
        <v>7463</v>
      </c>
      <c r="D4408" s="4" t="s">
        <v>466</v>
      </c>
      <c r="E4408" s="5" t="s">
        <v>7464</v>
      </c>
      <c r="F4408" s="5" t="str">
        <f t="shared" si="68"/>
        <v>villarelining.se</v>
      </c>
      <c r="G4408" s="5" t="s">
        <v>4</v>
      </c>
      <c r="H4408" s="5" t="s">
        <v>5</v>
      </c>
      <c r="I4408" s="6"/>
    </row>
    <row r="4409" spans="1:9" ht="13.5">
      <c r="A4409" s="2" t="s">
        <v>272</v>
      </c>
      <c r="B4409" s="3"/>
      <c r="C4409" s="73" t="s">
        <v>7465</v>
      </c>
      <c r="D4409" s="4" t="s">
        <v>274</v>
      </c>
      <c r="E4409" s="5" t="s">
        <v>577</v>
      </c>
      <c r="F4409" s="5" t="str">
        <f t="shared" si="68"/>
        <v>schjodt.com</v>
      </c>
      <c r="G4409" s="5" t="s">
        <v>4</v>
      </c>
      <c r="H4409" s="5" t="s">
        <v>5</v>
      </c>
      <c r="I4409" s="6"/>
    </row>
    <row r="4410" spans="1:9" ht="13.5">
      <c r="A4410" s="2" t="s">
        <v>272</v>
      </c>
      <c r="B4410" s="3"/>
      <c r="C4410" s="73" t="s">
        <v>7466</v>
      </c>
      <c r="D4410" s="4" t="s">
        <v>274</v>
      </c>
      <c r="E4410" s="5" t="s">
        <v>577</v>
      </c>
      <c r="F4410" s="5" t="str">
        <f t="shared" si="68"/>
        <v>schjodt.com</v>
      </c>
      <c r="G4410" s="5" t="s">
        <v>4</v>
      </c>
      <c r="H4410" s="5" t="s">
        <v>5</v>
      </c>
      <c r="I4410" s="6"/>
    </row>
    <row r="4411" spans="1:9" ht="13.5">
      <c r="A4411" s="2" t="s">
        <v>312</v>
      </c>
      <c r="B4411" s="3"/>
      <c r="C4411" s="73" t="s">
        <v>7467</v>
      </c>
      <c r="D4411" s="4" t="s">
        <v>7418</v>
      </c>
      <c r="E4411" s="5" t="s">
        <v>7419</v>
      </c>
      <c r="F4411" s="5" t="str">
        <f t="shared" si="68"/>
        <v>sufracofinebrands.com</v>
      </c>
      <c r="G4411" s="5" t="s">
        <v>4</v>
      </c>
      <c r="H4411" s="5" t="s">
        <v>5</v>
      </c>
      <c r="I4411" s="6"/>
    </row>
    <row r="4412" spans="1:9" ht="13.5">
      <c r="A4412" s="2" t="s">
        <v>308</v>
      </c>
      <c r="B4412" s="3"/>
      <c r="C4412" s="73" t="s">
        <v>7468</v>
      </c>
      <c r="D4412" s="4" t="s">
        <v>1395</v>
      </c>
      <c r="E4412" s="5" t="s">
        <v>1396</v>
      </c>
      <c r="F4412" s="5" t="str">
        <f t="shared" si="68"/>
        <v>lansfast.se</v>
      </c>
      <c r="G4412" s="5" t="s">
        <v>4</v>
      </c>
      <c r="H4412" s="5" t="s">
        <v>5</v>
      </c>
      <c r="I4412" s="6"/>
    </row>
    <row r="4413" spans="1:9" ht="13.5">
      <c r="A4413" s="2" t="s">
        <v>100</v>
      </c>
      <c r="B4413" s="3"/>
      <c r="C4413" s="73" t="s">
        <v>7469</v>
      </c>
      <c r="D4413" s="4" t="s">
        <v>950</v>
      </c>
      <c r="E4413" s="5" t="s">
        <v>7470</v>
      </c>
      <c r="F4413" s="5" t="str">
        <f t="shared" si="68"/>
        <v>bigbenstandup.com</v>
      </c>
      <c r="G4413" s="5" t="s">
        <v>4</v>
      </c>
      <c r="H4413" s="5" t="s">
        <v>5</v>
      </c>
      <c r="I4413" s="6"/>
    </row>
    <row r="4414" spans="1:9" ht="13.5">
      <c r="A4414" s="2" t="s">
        <v>632</v>
      </c>
      <c r="B4414" s="3"/>
      <c r="C4414" s="73" t="s">
        <v>7471</v>
      </c>
      <c r="D4414" s="4" t="s">
        <v>634</v>
      </c>
      <c r="E4414" s="5" t="s">
        <v>845</v>
      </c>
      <c r="F4414" s="5" t="str">
        <f t="shared" si="68"/>
        <v>miamipool.se</v>
      </c>
      <c r="G4414" s="5" t="s">
        <v>4</v>
      </c>
      <c r="H4414" s="5" t="s">
        <v>5</v>
      </c>
      <c r="I4414" s="6"/>
    </row>
    <row r="4415" spans="1:9" ht="13.5">
      <c r="A4415" s="2" t="s">
        <v>958</v>
      </c>
      <c r="B4415" s="3"/>
      <c r="C4415" s="73" t="s">
        <v>7472</v>
      </c>
      <c r="D4415" s="4" t="s">
        <v>960</v>
      </c>
      <c r="E4415" s="5" t="s">
        <v>7473</v>
      </c>
      <c r="F4415" s="5" t="str">
        <f t="shared" si="68"/>
        <v>oconnors.se</v>
      </c>
      <c r="G4415" s="5" t="s">
        <v>4</v>
      </c>
      <c r="H4415" s="5" t="s">
        <v>5</v>
      </c>
      <c r="I4415" s="6"/>
    </row>
    <row r="4416" spans="1:9" ht="13.5">
      <c r="A4416" s="2" t="s">
        <v>689</v>
      </c>
      <c r="B4416" s="3"/>
      <c r="C4416" s="358" t="s">
        <v>7474</v>
      </c>
      <c r="D4416" s="4" t="s">
        <v>691</v>
      </c>
      <c r="E4416" s="5" t="s">
        <v>7423</v>
      </c>
      <c r="F4416" s="5" t="str">
        <f t="shared" si="68"/>
        <v>conclean.se</v>
      </c>
      <c r="G4416" s="5" t="s">
        <v>4</v>
      </c>
      <c r="H4416" s="5" t="s">
        <v>5</v>
      </c>
      <c r="I4416" s="6"/>
    </row>
    <row r="4417" spans="1:9" ht="13.5">
      <c r="A4417" s="2" t="s">
        <v>435</v>
      </c>
      <c r="B4417" s="3"/>
      <c r="C4417" s="73" t="s">
        <v>7475</v>
      </c>
      <c r="D4417" s="4" t="s">
        <v>1012</v>
      </c>
      <c r="E4417" s="5" t="s">
        <v>7476</v>
      </c>
      <c r="F4417" s="5" t="str">
        <f t="shared" si="68"/>
        <v>fairinvestments.se</v>
      </c>
      <c r="G4417" s="5" t="s">
        <v>4</v>
      </c>
      <c r="H4417" s="5" t="s">
        <v>5</v>
      </c>
      <c r="I4417" s="6"/>
    </row>
    <row r="4418" spans="1:9" ht="13.5">
      <c r="A4418" s="2" t="s">
        <v>435</v>
      </c>
      <c r="B4418" s="3"/>
      <c r="C4418" s="73" t="s">
        <v>7477</v>
      </c>
      <c r="D4418" s="4" t="s">
        <v>1093</v>
      </c>
      <c r="E4418" s="5" t="s">
        <v>7476</v>
      </c>
      <c r="F4418" s="5" t="str">
        <f t="shared" si="68"/>
        <v>fairinvestments.se</v>
      </c>
      <c r="G4418" s="5" t="s">
        <v>4</v>
      </c>
      <c r="H4418" s="5" t="s">
        <v>5</v>
      </c>
      <c r="I4418" s="6"/>
    </row>
    <row r="4419" spans="1:9" ht="13.5">
      <c r="A4419" s="2" t="s">
        <v>435</v>
      </c>
      <c r="B4419" s="3"/>
      <c r="C4419" s="73" t="s">
        <v>7478</v>
      </c>
      <c r="D4419" s="4" t="s">
        <v>3777</v>
      </c>
      <c r="E4419" s="5" t="s">
        <v>7476</v>
      </c>
      <c r="F4419" s="5" t="str">
        <f t="shared" ref="F4419:F4482" si="69">A4419</f>
        <v>fairinvestments.se</v>
      </c>
      <c r="G4419" s="5" t="s">
        <v>4</v>
      </c>
      <c r="H4419" s="5" t="s">
        <v>5</v>
      </c>
      <c r="I4419" s="6"/>
    </row>
    <row r="4420" spans="1:9" ht="13.5">
      <c r="A4420" s="2" t="s">
        <v>992</v>
      </c>
      <c r="B4420" s="3"/>
      <c r="C4420" s="73" t="s">
        <v>7479</v>
      </c>
      <c r="D4420" s="4" t="s">
        <v>1392</v>
      </c>
      <c r="E4420" s="5" t="s">
        <v>1393</v>
      </c>
      <c r="F4420" s="5" t="str">
        <f t="shared" si="69"/>
        <v>ledkungen.se</v>
      </c>
      <c r="G4420" s="5" t="s">
        <v>4</v>
      </c>
      <c r="H4420" s="5" t="s">
        <v>5</v>
      </c>
      <c r="I4420" s="6"/>
    </row>
    <row r="4421" spans="1:9" ht="13.5">
      <c r="A4421" s="7" t="s">
        <v>1275</v>
      </c>
      <c r="B4421" s="3"/>
      <c r="C4421" s="73" t="s">
        <v>7480</v>
      </c>
      <c r="D4421" s="4" t="s">
        <v>1443</v>
      </c>
      <c r="E4421" s="5" t="s">
        <v>7481</v>
      </c>
      <c r="F4421" s="5" t="str">
        <f t="shared" si="69"/>
        <v>spoors.health</v>
      </c>
      <c r="G4421" s="5" t="s">
        <v>4</v>
      </c>
      <c r="H4421" s="5" t="s">
        <v>5</v>
      </c>
      <c r="I4421" s="6"/>
    </row>
    <row r="4422" spans="1:9" ht="13.5">
      <c r="A4422" s="2" t="s">
        <v>1138</v>
      </c>
      <c r="B4422" s="3"/>
      <c r="C4422" s="73" t="s">
        <v>7482</v>
      </c>
      <c r="D4422" s="4" t="s">
        <v>1140</v>
      </c>
      <c r="E4422" s="5" t="s">
        <v>7483</v>
      </c>
      <c r="F4422" s="5" t="str">
        <f t="shared" si="69"/>
        <v>hemplybalance.com</v>
      </c>
      <c r="G4422" s="5" t="s">
        <v>4</v>
      </c>
      <c r="H4422" s="5" t="s">
        <v>5</v>
      </c>
      <c r="I4422" s="6"/>
    </row>
    <row r="4423" spans="1:9" ht="13.5">
      <c r="A4423" s="2" t="s">
        <v>1105</v>
      </c>
      <c r="B4423" s="3"/>
      <c r="C4423" s="73" t="s">
        <v>7484</v>
      </c>
      <c r="D4423" s="4" t="s">
        <v>1110</v>
      </c>
      <c r="E4423" s="5" t="s">
        <v>1433</v>
      </c>
      <c r="F4423" s="5" t="str">
        <f t="shared" si="69"/>
        <v>ritty.se</v>
      </c>
      <c r="G4423" s="5" t="s">
        <v>4</v>
      </c>
      <c r="H4423" s="5" t="s">
        <v>5</v>
      </c>
      <c r="I4423" s="6"/>
    </row>
    <row r="4424" spans="1:9" ht="13.5">
      <c r="A4424" s="2" t="s">
        <v>435</v>
      </c>
      <c r="B4424" s="3"/>
      <c r="C4424" s="73" t="s">
        <v>7485</v>
      </c>
      <c r="D4424" s="4" t="s">
        <v>7486</v>
      </c>
      <c r="E4424" s="5" t="s">
        <v>2682</v>
      </c>
      <c r="F4424" s="5" t="str">
        <f t="shared" si="69"/>
        <v>fairinvestments.se</v>
      </c>
      <c r="G4424" s="5" t="s">
        <v>4</v>
      </c>
      <c r="H4424" s="5" t="s">
        <v>5</v>
      </c>
      <c r="I4424" s="6"/>
    </row>
    <row r="4425" spans="1:9" ht="13.5">
      <c r="A4425" s="2" t="s">
        <v>435</v>
      </c>
      <c r="B4425" s="3"/>
      <c r="C4425" s="73" t="s">
        <v>7487</v>
      </c>
      <c r="D4425" s="4" t="s">
        <v>1446</v>
      </c>
      <c r="E4425" s="5" t="s">
        <v>1398</v>
      </c>
      <c r="F4425" s="5" t="str">
        <f t="shared" si="69"/>
        <v>fairinvestments.se</v>
      </c>
      <c r="G4425" s="5" t="s">
        <v>4</v>
      </c>
      <c r="H4425" s="5" t="s">
        <v>5</v>
      </c>
      <c r="I4425" s="6"/>
    </row>
    <row r="4426" spans="1:9" ht="13.5">
      <c r="A4426" s="2" t="s">
        <v>435</v>
      </c>
      <c r="B4426" s="3"/>
      <c r="C4426" s="73" t="s">
        <v>7488</v>
      </c>
      <c r="D4426" s="4" t="s">
        <v>1384</v>
      </c>
      <c r="E4426" s="5" t="s">
        <v>1398</v>
      </c>
      <c r="F4426" s="5" t="str">
        <f t="shared" si="69"/>
        <v>fairinvestments.se</v>
      </c>
      <c r="G4426" s="5" t="s">
        <v>4</v>
      </c>
      <c r="H4426" s="5" t="s">
        <v>5</v>
      </c>
      <c r="I4426" s="6"/>
    </row>
    <row r="4427" spans="1:9" ht="13.5">
      <c r="A4427" s="2" t="s">
        <v>992</v>
      </c>
      <c r="B4427" s="3"/>
      <c r="C4427" s="73" t="s">
        <v>7489</v>
      </c>
      <c r="D4427" s="4" t="s">
        <v>993</v>
      </c>
      <c r="E4427" s="5" t="s">
        <v>7490</v>
      </c>
      <c r="F4427" s="5" t="str">
        <f t="shared" si="69"/>
        <v>ledkungen.se</v>
      </c>
      <c r="G4427" s="5" t="s">
        <v>4</v>
      </c>
      <c r="H4427" s="5" t="s">
        <v>5</v>
      </c>
      <c r="I4427" s="6"/>
    </row>
    <row r="4428" spans="1:9" ht="13.5">
      <c r="A4428" s="2" t="s">
        <v>435</v>
      </c>
      <c r="B4428" s="3"/>
      <c r="C4428" s="358" t="s">
        <v>7491</v>
      </c>
      <c r="D4428" s="4" t="s">
        <v>1446</v>
      </c>
      <c r="E4428" s="5" t="s">
        <v>7492</v>
      </c>
      <c r="F4428" s="5" t="str">
        <f t="shared" si="69"/>
        <v>fairinvestments.se</v>
      </c>
      <c r="G4428" s="5" t="s">
        <v>4</v>
      </c>
      <c r="H4428" s="5" t="s">
        <v>5</v>
      </c>
      <c r="I4428" s="6"/>
    </row>
    <row r="4429" spans="1:9" ht="13.5">
      <c r="A4429" s="7" t="s">
        <v>329</v>
      </c>
      <c r="B4429" s="3"/>
      <c r="C4429" s="71" t="s">
        <v>7493</v>
      </c>
      <c r="D4429" s="4" t="s">
        <v>7494</v>
      </c>
      <c r="E4429" s="5" t="s">
        <v>7495</v>
      </c>
      <c r="F4429" s="5" t="str">
        <f t="shared" si="69"/>
        <v>vont</v>
      </c>
      <c r="G4429" s="5" t="s">
        <v>4</v>
      </c>
      <c r="H4429" s="5" t="s">
        <v>262</v>
      </c>
      <c r="I4429" s="6"/>
    </row>
    <row r="4430" spans="1:9" ht="13.5">
      <c r="A4430" s="2" t="s">
        <v>20</v>
      </c>
      <c r="B4430" s="3"/>
      <c r="C4430" s="71" t="s">
        <v>7496</v>
      </c>
      <c r="D4430" s="8" t="s">
        <v>529</v>
      </c>
      <c r="E4430" s="5" t="s">
        <v>642</v>
      </c>
      <c r="F4430" s="5" t="str">
        <f t="shared" si="69"/>
        <v>blugiallo.com</v>
      </c>
      <c r="G4430" s="5" t="s">
        <v>4</v>
      </c>
      <c r="H4430" s="5" t="s">
        <v>5</v>
      </c>
      <c r="I4430" s="6"/>
    </row>
    <row r="4431" spans="1:9" ht="13.5">
      <c r="A4431" s="2" t="s">
        <v>663</v>
      </c>
      <c r="B4431" s="3"/>
      <c r="C4431" s="71" t="s">
        <v>7497</v>
      </c>
      <c r="D4431" s="4" t="s">
        <v>664</v>
      </c>
      <c r="E4431" s="5" t="s">
        <v>7431</v>
      </c>
      <c r="F4431" s="5" t="str">
        <f t="shared" si="69"/>
        <v>robomarkets.com</v>
      </c>
      <c r="G4431" s="5" t="s">
        <v>4</v>
      </c>
      <c r="H4431" s="5" t="s">
        <v>5</v>
      </c>
      <c r="I4431" s="6"/>
    </row>
    <row r="4432" spans="1:9" ht="13.5">
      <c r="A4432" s="2" t="s">
        <v>663</v>
      </c>
      <c r="B4432" s="3"/>
      <c r="C4432" s="71" t="s">
        <v>7498</v>
      </c>
      <c r="D4432" s="4" t="s">
        <v>7403</v>
      </c>
      <c r="E4432" s="5" t="s">
        <v>7499</v>
      </c>
      <c r="F4432" s="5" t="str">
        <f t="shared" si="69"/>
        <v>robomarkets.com</v>
      </c>
      <c r="G4432" s="5" t="s">
        <v>4</v>
      </c>
      <c r="H4432" s="5" t="s">
        <v>5</v>
      </c>
      <c r="I4432" s="6"/>
    </row>
    <row r="4433" spans="1:9" ht="13.5">
      <c r="A4433" s="2" t="s">
        <v>663</v>
      </c>
      <c r="B4433" s="3"/>
      <c r="C4433" s="71" t="s">
        <v>7500</v>
      </c>
      <c r="D4433" s="71" t="s">
        <v>664</v>
      </c>
      <c r="E4433" s="5" t="s">
        <v>7501</v>
      </c>
      <c r="F4433" s="5" t="str">
        <f t="shared" si="69"/>
        <v>robomarkets.com</v>
      </c>
      <c r="G4433" s="5" t="s">
        <v>4</v>
      </c>
      <c r="H4433" s="5" t="s">
        <v>5</v>
      </c>
      <c r="I4433" s="6"/>
    </row>
    <row r="4434" spans="1:9" ht="13.5">
      <c r="A4434" s="7" t="s">
        <v>329</v>
      </c>
      <c r="B4434" s="3"/>
      <c r="C4434" s="71" t="s">
        <v>7502</v>
      </c>
      <c r="D4434" s="4" t="s">
        <v>331</v>
      </c>
      <c r="E4434" s="5" t="s">
        <v>655</v>
      </c>
      <c r="F4434" s="5" t="str">
        <f t="shared" si="69"/>
        <v>vont</v>
      </c>
      <c r="G4434" s="5" t="s">
        <v>4</v>
      </c>
      <c r="H4434" s="5" t="s">
        <v>5</v>
      </c>
      <c r="I4434" s="6"/>
    </row>
    <row r="4435" spans="1:9" ht="13.5">
      <c r="A4435" s="7" t="s">
        <v>224</v>
      </c>
      <c r="B4435" s="3"/>
      <c r="C4435" s="71" t="s">
        <v>7503</v>
      </c>
      <c r="D4435" s="4" t="s">
        <v>226</v>
      </c>
      <c r="E4435" s="5" t="s">
        <v>591</v>
      </c>
      <c r="F4435" s="5" t="str">
        <f t="shared" si="69"/>
        <v>swedoffice</v>
      </c>
      <c r="G4435" s="5" t="s">
        <v>4</v>
      </c>
      <c r="H4435" s="5" t="s">
        <v>5</v>
      </c>
      <c r="I4435" s="6"/>
    </row>
    <row r="4436" spans="1:9" ht="13.5">
      <c r="A4436" s="2" t="s">
        <v>1112</v>
      </c>
      <c r="B4436" s="3"/>
      <c r="C4436" s="71" t="s">
        <v>7504</v>
      </c>
      <c r="D4436" s="4" t="s">
        <v>1114</v>
      </c>
      <c r="E4436" s="5" t="s">
        <v>7505</v>
      </c>
      <c r="F4436" s="5" t="str">
        <f t="shared" si="69"/>
        <v>triwa.com</v>
      </c>
      <c r="G4436" s="5" t="s">
        <v>4</v>
      </c>
      <c r="H4436" s="5" t="s">
        <v>345</v>
      </c>
      <c r="I4436" s="6"/>
    </row>
    <row r="4437" spans="1:9" ht="13.5">
      <c r="A4437" s="7" t="s">
        <v>224</v>
      </c>
      <c r="B4437" s="3"/>
      <c r="C4437" s="71" t="s">
        <v>7506</v>
      </c>
      <c r="D4437" s="4" t="s">
        <v>226</v>
      </c>
      <c r="E4437" s="5" t="s">
        <v>368</v>
      </c>
      <c r="F4437" s="5" t="str">
        <f t="shared" si="69"/>
        <v>swedoffice</v>
      </c>
      <c r="G4437" s="5"/>
      <c r="H4437" s="5"/>
      <c r="I4437" s="6"/>
    </row>
    <row r="4438" spans="1:9" ht="13.5">
      <c r="A4438" s="2" t="s">
        <v>20</v>
      </c>
      <c r="B4438" s="3"/>
      <c r="C4438" s="71" t="s">
        <v>7507</v>
      </c>
      <c r="D4438" s="4" t="s">
        <v>529</v>
      </c>
      <c r="E4438" s="5" t="s">
        <v>642</v>
      </c>
      <c r="F4438" s="5" t="str">
        <f t="shared" si="69"/>
        <v>blugiallo.com</v>
      </c>
      <c r="G4438" s="5" t="s">
        <v>4</v>
      </c>
      <c r="H4438" s="5" t="s">
        <v>5</v>
      </c>
      <c r="I4438" s="6"/>
    </row>
    <row r="4439" spans="1:9" ht="13.5">
      <c r="A4439" s="2" t="s">
        <v>1112</v>
      </c>
      <c r="B4439" s="3"/>
      <c r="C4439" s="119" t="s">
        <v>7508</v>
      </c>
      <c r="D4439" s="4" t="s">
        <v>1162</v>
      </c>
      <c r="E4439" s="9" t="s">
        <v>1112</v>
      </c>
      <c r="F4439" s="5" t="str">
        <f t="shared" si="69"/>
        <v>triwa.com</v>
      </c>
      <c r="G4439" s="5" t="s">
        <v>4</v>
      </c>
      <c r="H4439" s="5" t="s">
        <v>345</v>
      </c>
      <c r="I4439" s="6"/>
    </row>
    <row r="4440" spans="1:9" ht="13.5">
      <c r="A4440" s="2" t="s">
        <v>20</v>
      </c>
      <c r="B4440" s="3"/>
      <c r="C4440" s="71" t="s">
        <v>7509</v>
      </c>
      <c r="D4440" s="4" t="s">
        <v>986</v>
      </c>
      <c r="E4440" s="9" t="s">
        <v>7509</v>
      </c>
      <c r="F4440" s="5" t="str">
        <f t="shared" si="69"/>
        <v>blugiallo.com</v>
      </c>
      <c r="G4440" s="5" t="s">
        <v>4</v>
      </c>
      <c r="H4440" s="5" t="s">
        <v>5</v>
      </c>
      <c r="I4440" s="6"/>
    </row>
    <row r="4441" spans="1:9" ht="13.5">
      <c r="A4441" s="2" t="s">
        <v>689</v>
      </c>
      <c r="B4441" s="3"/>
      <c r="C4441" s="71" t="s">
        <v>7510</v>
      </c>
      <c r="D4441" s="4" t="s">
        <v>691</v>
      </c>
      <c r="E4441" s="5" t="s">
        <v>2874</v>
      </c>
      <c r="F4441" s="5" t="str">
        <f t="shared" si="69"/>
        <v>conclean.se</v>
      </c>
      <c r="G4441" s="5" t="s">
        <v>4</v>
      </c>
      <c r="H4441" s="5" t="s">
        <v>5</v>
      </c>
      <c r="I4441" s="6"/>
    </row>
    <row r="4442" spans="1:9" ht="13.5">
      <c r="A4442" s="2" t="s">
        <v>156</v>
      </c>
      <c r="B4442" s="3"/>
      <c r="C4442" s="71" t="s">
        <v>7511</v>
      </c>
      <c r="D4442" s="4" t="s">
        <v>983</v>
      </c>
      <c r="E4442" s="5" t="s">
        <v>7512</v>
      </c>
      <c r="F4442" s="5" t="str">
        <f t="shared" si="69"/>
        <v>askskinfo.com</v>
      </c>
      <c r="G4442" s="5" t="s">
        <v>4</v>
      </c>
      <c r="H4442" s="5" t="s">
        <v>5</v>
      </c>
      <c r="I4442" s="6"/>
    </row>
    <row r="4443" spans="1:9" ht="13.5">
      <c r="A4443" s="7" t="s">
        <v>1275</v>
      </c>
      <c r="B4443" s="3"/>
      <c r="C4443" s="71" t="s">
        <v>7513</v>
      </c>
      <c r="D4443" s="5" t="s">
        <v>7514</v>
      </c>
      <c r="E4443" s="5" t="s">
        <v>7515</v>
      </c>
      <c r="F4443" s="5" t="str">
        <f t="shared" si="69"/>
        <v>spoors.health</v>
      </c>
      <c r="G4443" s="5" t="s">
        <v>4</v>
      </c>
      <c r="H4443" s="5" t="s">
        <v>5</v>
      </c>
      <c r="I4443" s="6"/>
    </row>
    <row r="4444" spans="1:9" ht="13.5">
      <c r="A4444" s="2" t="s">
        <v>171</v>
      </c>
      <c r="B4444" s="3"/>
      <c r="C4444" s="71" t="s">
        <v>7516</v>
      </c>
      <c r="D4444" s="4" t="s">
        <v>1095</v>
      </c>
      <c r="E4444" s="5" t="s">
        <v>1533</v>
      </c>
      <c r="F4444" s="5" t="str">
        <f t="shared" si="69"/>
        <v>arctic.se</v>
      </c>
      <c r="G4444" s="5" t="s">
        <v>4</v>
      </c>
      <c r="H4444" s="5" t="s">
        <v>5</v>
      </c>
      <c r="I4444" s="6"/>
    </row>
    <row r="4445" spans="1:9" ht="13.5">
      <c r="A4445" s="2" t="s">
        <v>1259</v>
      </c>
      <c r="B4445" s="3"/>
      <c r="C4445" s="71" t="s">
        <v>7517</v>
      </c>
      <c r="D4445" s="4" t="s">
        <v>7517</v>
      </c>
      <c r="E4445" s="5" t="s">
        <v>7518</v>
      </c>
      <c r="F4445" s="5" t="str">
        <f t="shared" si="69"/>
        <v>saneringscompaniet.se</v>
      </c>
      <c r="G4445" s="5" t="s">
        <v>4</v>
      </c>
      <c r="H4445" s="5" t="s">
        <v>5</v>
      </c>
      <c r="I4445" s="6"/>
    </row>
    <row r="4446" spans="1:9" ht="13.5">
      <c r="A4446" s="2" t="s">
        <v>1271</v>
      </c>
      <c r="B4446" s="3"/>
      <c r="C4446" s="71" t="s">
        <v>7519</v>
      </c>
      <c r="D4446" s="4" t="s">
        <v>1420</v>
      </c>
      <c r="E4446" s="5" t="s">
        <v>7520</v>
      </c>
      <c r="F4446" s="5" t="str">
        <f t="shared" si="69"/>
        <v>alexbyggkonsult.se</v>
      </c>
      <c r="G4446" s="5" t="s">
        <v>4</v>
      </c>
      <c r="H4446" s="5" t="s">
        <v>5</v>
      </c>
      <c r="I4446" s="6"/>
    </row>
    <row r="4447" spans="1:9" ht="13.5">
      <c r="A4447" s="2" t="s">
        <v>663</v>
      </c>
      <c r="B4447" s="3"/>
      <c r="C4447" s="71" t="s">
        <v>7521</v>
      </c>
      <c r="D4447" s="4" t="s">
        <v>664</v>
      </c>
      <c r="E4447" s="5" t="s">
        <v>7114</v>
      </c>
      <c r="F4447" s="5" t="str">
        <f t="shared" si="69"/>
        <v>robomarkets.com</v>
      </c>
      <c r="G4447" s="5" t="s">
        <v>4</v>
      </c>
      <c r="H4447" s="5" t="s">
        <v>5</v>
      </c>
      <c r="I4447" s="6"/>
    </row>
    <row r="4448" spans="1:9" ht="13.5">
      <c r="A4448" s="2" t="s">
        <v>663</v>
      </c>
      <c r="B4448" s="3"/>
      <c r="C4448" s="71" t="s">
        <v>7522</v>
      </c>
      <c r="D4448" s="4" t="s">
        <v>664</v>
      </c>
      <c r="E4448" s="5" t="s">
        <v>7523</v>
      </c>
      <c r="F4448" s="5" t="str">
        <f t="shared" si="69"/>
        <v>robomarkets.com</v>
      </c>
      <c r="G4448" s="5" t="s">
        <v>4</v>
      </c>
      <c r="H4448" s="5" t="s">
        <v>5</v>
      </c>
      <c r="I4448" s="6"/>
    </row>
    <row r="4449" spans="1:9" ht="13.5">
      <c r="A4449" s="2" t="s">
        <v>663</v>
      </c>
      <c r="B4449" s="3"/>
      <c r="C4449" s="71" t="s">
        <v>7524</v>
      </c>
      <c r="D4449" s="4" t="s">
        <v>664</v>
      </c>
      <c r="E4449" s="5" t="s">
        <v>7525</v>
      </c>
      <c r="F4449" s="5" t="str">
        <f t="shared" si="69"/>
        <v>robomarkets.com</v>
      </c>
      <c r="G4449" s="5" t="s">
        <v>4</v>
      </c>
      <c r="H4449" s="5" t="s">
        <v>5</v>
      </c>
      <c r="I4449" s="6"/>
    </row>
    <row r="4450" spans="1:9" ht="13.5">
      <c r="A4450" s="2" t="s">
        <v>663</v>
      </c>
      <c r="B4450" s="3"/>
      <c r="C4450" s="71" t="s">
        <v>7526</v>
      </c>
      <c r="D4450" s="4" t="s">
        <v>941</v>
      </c>
      <c r="E4450" s="5" t="s">
        <v>7527</v>
      </c>
      <c r="F4450" s="5" t="str">
        <f t="shared" si="69"/>
        <v>robomarkets.com</v>
      </c>
      <c r="G4450" s="5" t="s">
        <v>4</v>
      </c>
      <c r="H4450" s="5" t="s">
        <v>5</v>
      </c>
      <c r="I4450" s="6"/>
    </row>
    <row r="4451" spans="1:9" ht="13.5">
      <c r="A4451" s="2" t="s">
        <v>464</v>
      </c>
      <c r="B4451" s="3"/>
      <c r="C4451" s="71" t="s">
        <v>7528</v>
      </c>
      <c r="D4451" s="4" t="s">
        <v>466</v>
      </c>
      <c r="E4451" s="5" t="s">
        <v>708</v>
      </c>
      <c r="F4451" s="5" t="str">
        <f t="shared" si="69"/>
        <v>villarelining.se</v>
      </c>
      <c r="G4451" s="5" t="s">
        <v>4</v>
      </c>
      <c r="H4451" s="5" t="s">
        <v>5</v>
      </c>
      <c r="I4451" s="6"/>
    </row>
    <row r="4452" spans="1:9" ht="13.5">
      <c r="A4452" s="2" t="s">
        <v>464</v>
      </c>
      <c r="B4452" s="3"/>
      <c r="C4452" s="71" t="s">
        <v>7529</v>
      </c>
      <c r="D4452" s="4" t="s">
        <v>466</v>
      </c>
      <c r="E4452" s="5" t="s">
        <v>708</v>
      </c>
      <c r="F4452" s="5" t="str">
        <f t="shared" si="69"/>
        <v>villarelining.se</v>
      </c>
      <c r="G4452" s="5" t="s">
        <v>4</v>
      </c>
      <c r="H4452" s="5" t="s">
        <v>5</v>
      </c>
      <c r="I4452" s="6"/>
    </row>
    <row r="4453" spans="1:9" ht="13.5">
      <c r="A4453" s="7" t="s">
        <v>329</v>
      </c>
      <c r="B4453" s="3"/>
      <c r="C4453" s="71" t="s">
        <v>7530</v>
      </c>
      <c r="D4453" s="4" t="s">
        <v>1365</v>
      </c>
      <c r="E4453" s="5" t="s">
        <v>2571</v>
      </c>
      <c r="F4453" s="5" t="str">
        <f t="shared" si="69"/>
        <v>vont</v>
      </c>
      <c r="G4453" s="5" t="s">
        <v>4</v>
      </c>
      <c r="H4453" s="5" t="s">
        <v>5</v>
      </c>
      <c r="I4453" s="6"/>
    </row>
    <row r="4454" spans="1:9" ht="13.5">
      <c r="A4454" s="2" t="s">
        <v>992</v>
      </c>
      <c r="B4454" s="3"/>
      <c r="C4454" s="71" t="s">
        <v>7531</v>
      </c>
      <c r="D4454" s="4" t="s">
        <v>1392</v>
      </c>
      <c r="E4454" s="5" t="s">
        <v>7341</v>
      </c>
      <c r="F4454" s="5" t="str">
        <f t="shared" si="69"/>
        <v>ledkungen.se</v>
      </c>
      <c r="G4454" s="5" t="s">
        <v>4</v>
      </c>
      <c r="H4454" s="5" t="s">
        <v>5</v>
      </c>
      <c r="I4454" s="6"/>
    </row>
    <row r="4455" spans="1:9" ht="13.5">
      <c r="A4455" s="2" t="s">
        <v>689</v>
      </c>
      <c r="B4455" s="3"/>
      <c r="C4455" s="71" t="s">
        <v>7532</v>
      </c>
      <c r="D4455" s="4" t="s">
        <v>691</v>
      </c>
      <c r="E4455" s="5" t="s">
        <v>7423</v>
      </c>
      <c r="F4455" s="5" t="str">
        <f t="shared" si="69"/>
        <v>conclean.se</v>
      </c>
      <c r="G4455" s="5" t="s">
        <v>4</v>
      </c>
      <c r="H4455" s="5" t="s">
        <v>5</v>
      </c>
      <c r="I4455" s="6"/>
    </row>
    <row r="4456" spans="1:9" ht="13.5">
      <c r="A4456" s="7" t="s">
        <v>1275</v>
      </c>
      <c r="B4456" s="3"/>
      <c r="C4456" s="71" t="s">
        <v>7533</v>
      </c>
      <c r="D4456" s="4" t="s">
        <v>1443</v>
      </c>
      <c r="E4456" s="5" t="s">
        <v>7357</v>
      </c>
      <c r="F4456" s="5" t="str">
        <f t="shared" si="69"/>
        <v>spoors.health</v>
      </c>
      <c r="G4456" s="5" t="s">
        <v>4</v>
      </c>
      <c r="H4456" s="5" t="s">
        <v>5</v>
      </c>
      <c r="I4456" s="6"/>
    </row>
    <row r="4457" spans="1:9" ht="13.5">
      <c r="A4457" s="2" t="s">
        <v>1271</v>
      </c>
      <c r="B4457" s="3"/>
      <c r="C4457" s="71" t="s">
        <v>7534</v>
      </c>
      <c r="D4457" s="4" t="s">
        <v>1420</v>
      </c>
      <c r="E4457" s="5" t="s">
        <v>7535</v>
      </c>
      <c r="F4457" s="5" t="str">
        <f t="shared" si="69"/>
        <v>alexbyggkonsult.se</v>
      </c>
      <c r="G4457" s="5" t="s">
        <v>4</v>
      </c>
      <c r="H4457" s="5" t="s">
        <v>5</v>
      </c>
      <c r="I4457" s="6"/>
    </row>
    <row r="4458" spans="1:9" ht="13.5">
      <c r="A4458" s="7" t="s">
        <v>1275</v>
      </c>
      <c r="B4458" s="3"/>
      <c r="C4458" s="71" t="s">
        <v>7536</v>
      </c>
      <c r="D4458" s="4" t="s">
        <v>1443</v>
      </c>
      <c r="E4458" s="5" t="s">
        <v>7537</v>
      </c>
      <c r="F4458" s="5" t="str">
        <f t="shared" si="69"/>
        <v>spoors.health</v>
      </c>
      <c r="G4458" s="5" t="s">
        <v>4</v>
      </c>
      <c r="H4458" s="5" t="s">
        <v>5</v>
      </c>
      <c r="I4458" s="6"/>
    </row>
    <row r="4459" spans="1:9" ht="13.5">
      <c r="A4459" s="2" t="s">
        <v>156</v>
      </c>
      <c r="B4459" s="3"/>
      <c r="C4459" s="71" t="s">
        <v>7538</v>
      </c>
      <c r="D4459" s="4" t="s">
        <v>7539</v>
      </c>
      <c r="E4459" s="5" t="s">
        <v>7540</v>
      </c>
      <c r="F4459" s="5" t="str">
        <f t="shared" si="69"/>
        <v>askskinfo.com</v>
      </c>
      <c r="G4459" s="5" t="s">
        <v>4</v>
      </c>
      <c r="H4459" s="5" t="s">
        <v>5</v>
      </c>
      <c r="I4459" s="6"/>
    </row>
    <row r="4460" spans="1:9" ht="13.5">
      <c r="A4460" s="2" t="s">
        <v>171</v>
      </c>
      <c r="B4460" s="3"/>
      <c r="C4460" s="71" t="s">
        <v>7541</v>
      </c>
      <c r="D4460" s="4" t="s">
        <v>1095</v>
      </c>
      <c r="E4460" s="5" t="s">
        <v>1655</v>
      </c>
      <c r="F4460" s="5" t="str">
        <f t="shared" si="69"/>
        <v>arctic.se</v>
      </c>
      <c r="G4460" s="5" t="s">
        <v>4</v>
      </c>
      <c r="H4460" s="5" t="s">
        <v>5</v>
      </c>
      <c r="I4460" s="6"/>
    </row>
    <row r="4461" spans="1:9" ht="13.5">
      <c r="A4461" s="2" t="s">
        <v>1247</v>
      </c>
      <c r="B4461" s="3"/>
      <c r="C4461" s="71" t="s">
        <v>7542</v>
      </c>
      <c r="D4461" s="4" t="s">
        <v>7543</v>
      </c>
      <c r="E4461" s="9" t="s">
        <v>7543</v>
      </c>
      <c r="F4461" s="5" t="str">
        <f t="shared" si="69"/>
        <v>carpcon.se</v>
      </c>
      <c r="G4461" s="5" t="s">
        <v>4</v>
      </c>
      <c r="H4461" s="5" t="s">
        <v>5</v>
      </c>
      <c r="I4461" s="6"/>
    </row>
    <row r="4462" spans="1:9" ht="13.5">
      <c r="A4462" s="7" t="s">
        <v>329</v>
      </c>
      <c r="B4462" s="3"/>
      <c r="C4462" s="71" t="s">
        <v>7544</v>
      </c>
      <c r="D4462" s="4" t="s">
        <v>331</v>
      </c>
      <c r="E4462" s="5" t="s">
        <v>1959</v>
      </c>
      <c r="F4462" s="5" t="str">
        <f t="shared" si="69"/>
        <v>vont</v>
      </c>
      <c r="G4462" s="5" t="s">
        <v>4</v>
      </c>
      <c r="H4462" s="5" t="s">
        <v>5</v>
      </c>
      <c r="I4462" s="6"/>
    </row>
    <row r="4463" spans="1:9" ht="13.5">
      <c r="A4463" s="7" t="s">
        <v>329</v>
      </c>
      <c r="B4463" s="3"/>
      <c r="C4463" s="71" t="s">
        <v>7545</v>
      </c>
      <c r="D4463" s="4" t="s">
        <v>1388</v>
      </c>
      <c r="E4463" s="5" t="s">
        <v>7546</v>
      </c>
      <c r="F4463" s="5" t="str">
        <f t="shared" si="69"/>
        <v>vont</v>
      </c>
      <c r="G4463" s="5" t="s">
        <v>4</v>
      </c>
      <c r="H4463" s="5" t="s">
        <v>5</v>
      </c>
      <c r="I4463" s="6"/>
    </row>
    <row r="4464" spans="1:9" ht="13.5">
      <c r="A4464" s="7" t="s">
        <v>329</v>
      </c>
      <c r="B4464" s="3"/>
      <c r="C4464" s="71" t="s">
        <v>7547</v>
      </c>
      <c r="D4464" s="4" t="s">
        <v>1365</v>
      </c>
      <c r="E4464" s="5" t="s">
        <v>7548</v>
      </c>
      <c r="F4464" s="5" t="str">
        <f t="shared" si="69"/>
        <v>vont</v>
      </c>
      <c r="G4464" s="5" t="s">
        <v>4</v>
      </c>
      <c r="H4464" s="5" t="s">
        <v>5</v>
      </c>
      <c r="I4464" s="6"/>
    </row>
    <row r="4465" spans="1:9" ht="13.5">
      <c r="A4465" s="2" t="s">
        <v>846</v>
      </c>
      <c r="B4465" s="3"/>
      <c r="C4465" s="71" t="s">
        <v>7549</v>
      </c>
      <c r="D4465" s="4" t="s">
        <v>848</v>
      </c>
      <c r="E4465" s="5" t="s">
        <v>1039</v>
      </c>
      <c r="F4465" s="5" t="str">
        <f t="shared" si="69"/>
        <v>tandea.se</v>
      </c>
      <c r="G4465" s="5" t="s">
        <v>4</v>
      </c>
      <c r="H4465" s="5" t="s">
        <v>5</v>
      </c>
      <c r="I4465" s="6"/>
    </row>
    <row r="4466" spans="1:9" ht="13.5">
      <c r="A4466" s="2" t="s">
        <v>435</v>
      </c>
      <c r="B4466" s="3"/>
      <c r="C4466" s="71" t="s">
        <v>7550</v>
      </c>
      <c r="D4466" s="4" t="s">
        <v>1384</v>
      </c>
      <c r="E4466" s="5" t="s">
        <v>7551</v>
      </c>
      <c r="F4466" s="5" t="str">
        <f t="shared" si="69"/>
        <v>fairinvestments.se</v>
      </c>
      <c r="G4466" s="5" t="s">
        <v>4</v>
      </c>
      <c r="H4466" s="5" t="s">
        <v>5</v>
      </c>
      <c r="I4466" s="6"/>
    </row>
    <row r="4467" spans="1:9" ht="13.5">
      <c r="A4467" s="2" t="s">
        <v>171</v>
      </c>
      <c r="B4467" s="3"/>
      <c r="C4467" s="71" t="s">
        <v>7552</v>
      </c>
      <c r="D4467" s="4" t="s">
        <v>1095</v>
      </c>
      <c r="E4467" s="5" t="s">
        <v>7441</v>
      </c>
      <c r="F4467" s="5" t="str">
        <f t="shared" si="69"/>
        <v>arctic.se</v>
      </c>
      <c r="G4467" s="5" t="s">
        <v>4</v>
      </c>
      <c r="H4467" s="5" t="s">
        <v>5</v>
      </c>
      <c r="I4467" s="6"/>
    </row>
    <row r="4468" spans="1:9" ht="13.5">
      <c r="A4468" s="2" t="s">
        <v>689</v>
      </c>
      <c r="B4468" s="3"/>
      <c r="C4468" s="71" t="s">
        <v>7553</v>
      </c>
      <c r="D4468" s="4" t="s">
        <v>691</v>
      </c>
      <c r="E4468" s="5" t="s">
        <v>692</v>
      </c>
      <c r="F4468" s="5" t="str">
        <f t="shared" si="69"/>
        <v>conclean.se</v>
      </c>
      <c r="G4468" s="5" t="s">
        <v>4</v>
      </c>
      <c r="H4468" s="5" t="s">
        <v>5</v>
      </c>
      <c r="I4468" s="6"/>
    </row>
    <row r="4469" spans="1:9" ht="13.5">
      <c r="A4469" s="2" t="s">
        <v>765</v>
      </c>
      <c r="B4469" s="3"/>
      <c r="C4469" s="71" t="s">
        <v>7554</v>
      </c>
      <c r="D4469" s="4" t="s">
        <v>7555</v>
      </c>
      <c r="E4469" s="5" t="s">
        <v>1380</v>
      </c>
      <c r="F4469" s="5" t="str">
        <f t="shared" si="69"/>
        <v>lemontree.se</v>
      </c>
      <c r="G4469" s="5" t="s">
        <v>4</v>
      </c>
      <c r="H4469" s="5" t="s">
        <v>5</v>
      </c>
      <c r="I4469" s="6"/>
    </row>
    <row r="4470" spans="1:9" ht="13.5">
      <c r="A4470" s="2" t="s">
        <v>1112</v>
      </c>
      <c r="B4470" s="3"/>
      <c r="C4470" s="71" t="s">
        <v>7556</v>
      </c>
      <c r="D4470" s="4" t="s">
        <v>1423</v>
      </c>
      <c r="E4470" s="5" t="s">
        <v>1115</v>
      </c>
      <c r="F4470" s="5" t="str">
        <f t="shared" si="69"/>
        <v>triwa.com</v>
      </c>
      <c r="G4470" s="5" t="s">
        <v>4</v>
      </c>
      <c r="H4470" s="5" t="s">
        <v>345</v>
      </c>
      <c r="I4470" s="6"/>
    </row>
    <row r="4471" spans="1:9" ht="13.5">
      <c r="A4471" s="2" t="s">
        <v>1112</v>
      </c>
      <c r="B4471" s="3"/>
      <c r="C4471" s="71" t="s">
        <v>7557</v>
      </c>
      <c r="D4471" s="4" t="s">
        <v>1423</v>
      </c>
      <c r="E4471" s="5" t="s">
        <v>1403</v>
      </c>
      <c r="F4471" s="5" t="str">
        <f t="shared" si="69"/>
        <v>triwa.com</v>
      </c>
      <c r="G4471" s="5" t="s">
        <v>4</v>
      </c>
      <c r="H4471" s="5" t="s">
        <v>345</v>
      </c>
      <c r="I4471" s="6"/>
    </row>
    <row r="4472" spans="1:9" ht="13.5">
      <c r="A4472" s="7" t="s">
        <v>329</v>
      </c>
      <c r="B4472" s="3"/>
      <c r="C4472" s="71" t="s">
        <v>7558</v>
      </c>
      <c r="D4472" s="8" t="s">
        <v>7343</v>
      </c>
      <c r="E4472" s="5" t="s">
        <v>1531</v>
      </c>
      <c r="F4472" s="5" t="str">
        <f t="shared" si="69"/>
        <v>vont</v>
      </c>
      <c r="G4472" s="5" t="s">
        <v>4</v>
      </c>
      <c r="H4472" s="5" t="s">
        <v>262</v>
      </c>
      <c r="I4472" s="6"/>
    </row>
    <row r="4473" spans="1:9" ht="13.5">
      <c r="A4473" s="7" t="s">
        <v>329</v>
      </c>
      <c r="B4473" s="3"/>
      <c r="C4473" s="71" t="s">
        <v>7559</v>
      </c>
      <c r="D4473" s="8" t="s">
        <v>7343</v>
      </c>
      <c r="E4473" s="5" t="s">
        <v>7560</v>
      </c>
      <c r="F4473" s="5" t="str">
        <f t="shared" si="69"/>
        <v>vont</v>
      </c>
      <c r="G4473" s="5" t="s">
        <v>4</v>
      </c>
      <c r="H4473" s="5" t="s">
        <v>262</v>
      </c>
      <c r="I4473" s="6"/>
    </row>
    <row r="4474" spans="1:9" ht="13.5">
      <c r="A4474" s="2" t="s">
        <v>171</v>
      </c>
      <c r="B4474" s="3"/>
      <c r="C4474" s="71" t="s">
        <v>7561</v>
      </c>
      <c r="D4474" s="8" t="s">
        <v>7343</v>
      </c>
      <c r="E4474" s="5" t="s">
        <v>7562</v>
      </c>
      <c r="F4474" s="5" t="str">
        <f t="shared" si="69"/>
        <v>arctic.se</v>
      </c>
      <c r="G4474" s="5" t="s">
        <v>4</v>
      </c>
      <c r="H4474" s="5" t="s">
        <v>262</v>
      </c>
      <c r="I4474" s="6"/>
    </row>
    <row r="4475" spans="1:9" ht="13.5">
      <c r="A4475" s="7" t="s">
        <v>329</v>
      </c>
      <c r="B4475" s="3"/>
      <c r="C4475" s="71" t="s">
        <v>7563</v>
      </c>
      <c r="D4475" s="4" t="s">
        <v>331</v>
      </c>
      <c r="E4475" s="5" t="s">
        <v>1959</v>
      </c>
      <c r="F4475" s="5" t="str">
        <f t="shared" si="69"/>
        <v>vont</v>
      </c>
      <c r="G4475" s="5" t="s">
        <v>4</v>
      </c>
      <c r="H4475" s="5" t="s">
        <v>5</v>
      </c>
      <c r="I4475" s="6"/>
    </row>
    <row r="4476" spans="1:9" ht="13.5">
      <c r="A4476" s="7" t="s">
        <v>329</v>
      </c>
      <c r="B4476" s="3"/>
      <c r="C4476" s="71" t="s">
        <v>7564</v>
      </c>
      <c r="D4476" s="8" t="s">
        <v>712</v>
      </c>
      <c r="E4476" s="5" t="s">
        <v>1959</v>
      </c>
      <c r="F4476" s="5" t="str">
        <f t="shared" si="69"/>
        <v>vont</v>
      </c>
      <c r="G4476" s="5" t="s">
        <v>4</v>
      </c>
      <c r="H4476" s="5" t="s">
        <v>5</v>
      </c>
      <c r="I4476" s="6"/>
    </row>
    <row r="4477" spans="1:9" ht="13.5">
      <c r="A4477" s="7"/>
      <c r="B4477" s="3"/>
      <c r="C4477" s="76"/>
      <c r="D4477" s="5"/>
      <c r="E4477" s="5"/>
      <c r="F4477" s="5">
        <f t="shared" si="69"/>
        <v>0</v>
      </c>
      <c r="G4477" s="5"/>
      <c r="H4477" s="5"/>
      <c r="I4477" s="6"/>
    </row>
    <row r="4478" spans="1:9" ht="13.5">
      <c r="A4478" s="2" t="s">
        <v>1247</v>
      </c>
      <c r="B4478" s="3"/>
      <c r="C4478" s="71" t="s">
        <v>7565</v>
      </c>
      <c r="D4478" s="4" t="s">
        <v>1249</v>
      </c>
      <c r="E4478" s="5" t="s">
        <v>1250</v>
      </c>
      <c r="F4478" s="5" t="str">
        <f t="shared" si="69"/>
        <v>carpcon.se</v>
      </c>
      <c r="G4478" s="5" t="s">
        <v>4</v>
      </c>
      <c r="H4478" s="5" t="s">
        <v>5</v>
      </c>
      <c r="I4478" s="6"/>
    </row>
    <row r="4479" spans="1:9" ht="13.5">
      <c r="A4479" s="2" t="s">
        <v>1105</v>
      </c>
      <c r="B4479" s="3"/>
      <c r="C4479" s="71" t="s">
        <v>7566</v>
      </c>
      <c r="D4479" s="4" t="s">
        <v>1110</v>
      </c>
      <c r="E4479" s="5" t="s">
        <v>7567</v>
      </c>
      <c r="F4479" s="5" t="str">
        <f t="shared" si="69"/>
        <v>ritty.se</v>
      </c>
      <c r="G4479" s="5" t="s">
        <v>4</v>
      </c>
      <c r="H4479" s="5" t="s">
        <v>5</v>
      </c>
      <c r="I4479" s="6"/>
    </row>
    <row r="4480" spans="1:9" ht="13.5">
      <c r="A4480" s="2" t="s">
        <v>632</v>
      </c>
      <c r="B4480" s="3"/>
      <c r="C4480" s="71" t="s">
        <v>7568</v>
      </c>
      <c r="D4480" s="4" t="s">
        <v>634</v>
      </c>
      <c r="E4480" s="5" t="s">
        <v>7569</v>
      </c>
      <c r="F4480" s="5" t="str">
        <f t="shared" si="69"/>
        <v>miamipool.se</v>
      </c>
      <c r="G4480" s="5" t="s">
        <v>4</v>
      </c>
      <c r="H4480" s="5" t="s">
        <v>5</v>
      </c>
      <c r="I4480" s="6"/>
    </row>
    <row r="4481" spans="1:9" ht="14.25">
      <c r="A4481" s="7"/>
      <c r="B4481" s="3"/>
      <c r="C4481" s="76"/>
      <c r="D4481" s="361"/>
      <c r="E4481" s="362"/>
      <c r="F4481" s="5">
        <f t="shared" si="69"/>
        <v>0</v>
      </c>
      <c r="G4481" s="5"/>
      <c r="H4481" s="5"/>
      <c r="I4481" s="6"/>
    </row>
    <row r="4482" spans="1:9" ht="13.5">
      <c r="A4482" s="7"/>
      <c r="B4482" s="3"/>
      <c r="C4482" s="76"/>
      <c r="D4482" s="7"/>
      <c r="E4482" s="5"/>
      <c r="F4482" s="5">
        <f t="shared" si="69"/>
        <v>0</v>
      </c>
      <c r="G4482" s="5"/>
      <c r="H4482" s="5"/>
      <c r="I4482" s="6"/>
    </row>
    <row r="4483" spans="1:9" ht="13.5">
      <c r="A4483" s="7"/>
      <c r="B4483" s="3"/>
      <c r="C4483" s="76"/>
      <c r="D4483" s="5"/>
      <c r="E4483" s="5"/>
      <c r="F4483" s="5">
        <f t="shared" ref="F4483:F4546" si="70">A4483</f>
        <v>0</v>
      </c>
      <c r="G4483" s="5"/>
      <c r="H4483" s="5"/>
      <c r="I4483" s="6"/>
    </row>
    <row r="4484" spans="1:9" ht="13.5">
      <c r="A4484" s="7"/>
      <c r="B4484" s="3"/>
      <c r="C4484" s="76"/>
      <c r="D4484" s="5"/>
      <c r="E4484" s="5"/>
      <c r="F4484" s="5">
        <f t="shared" si="70"/>
        <v>0</v>
      </c>
      <c r="G4484" s="5"/>
      <c r="H4484" s="5"/>
      <c r="I4484" s="6"/>
    </row>
    <row r="4485" spans="1:9" ht="13.5">
      <c r="A4485" s="7"/>
      <c r="B4485" s="3"/>
      <c r="C4485" s="76"/>
      <c r="D4485" s="5"/>
      <c r="E4485" s="5"/>
      <c r="F4485" s="5">
        <f t="shared" si="70"/>
        <v>0</v>
      </c>
      <c r="G4485" s="5"/>
      <c r="H4485" s="5"/>
      <c r="I4485" s="6"/>
    </row>
    <row r="4486" spans="1:9" ht="13.5">
      <c r="A4486" s="7"/>
      <c r="B4486" s="3"/>
      <c r="C4486" s="76"/>
      <c r="D4486" s="5"/>
      <c r="E4486" s="5"/>
      <c r="F4486" s="5">
        <f t="shared" si="70"/>
        <v>0</v>
      </c>
      <c r="G4486" s="5"/>
      <c r="H4486" s="5"/>
      <c r="I4486" s="6"/>
    </row>
    <row r="4487" spans="1:9" ht="13.5">
      <c r="A4487" s="2" t="s">
        <v>1263</v>
      </c>
      <c r="B4487" s="3"/>
      <c r="C4487" s="71" t="s">
        <v>7570</v>
      </c>
      <c r="D4487" s="4" t="s">
        <v>1717</v>
      </c>
      <c r="E4487" s="5" t="s">
        <v>7571</v>
      </c>
      <c r="F4487" s="5" t="str">
        <f t="shared" si="70"/>
        <v>notyfile.se/sv</v>
      </c>
      <c r="G4487" s="5" t="s">
        <v>4</v>
      </c>
      <c r="H4487" s="5" t="s">
        <v>5</v>
      </c>
      <c r="I4487" s="6"/>
    </row>
    <row r="4488" spans="1:9" ht="13.5">
      <c r="A4488" s="2" t="s">
        <v>308</v>
      </c>
      <c r="B4488" s="3"/>
      <c r="C4488" s="87" t="s">
        <v>1394</v>
      </c>
      <c r="D4488" s="91" t="s">
        <v>1395</v>
      </c>
      <c r="E4488" s="79" t="s">
        <v>7572</v>
      </c>
      <c r="F4488" s="5" t="str">
        <f t="shared" si="70"/>
        <v>lansfast.se</v>
      </c>
      <c r="G4488" s="5" t="s">
        <v>4</v>
      </c>
      <c r="H4488" s="5" t="s">
        <v>5</v>
      </c>
      <c r="I4488" s="6"/>
    </row>
    <row r="4489" spans="1:9" ht="13.5">
      <c r="A4489" s="2" t="s">
        <v>435</v>
      </c>
      <c r="B4489" s="3"/>
      <c r="C4489" s="91" t="s">
        <v>1522</v>
      </c>
      <c r="D4489" s="91" t="s">
        <v>1446</v>
      </c>
      <c r="E4489" s="79" t="s">
        <v>1398</v>
      </c>
      <c r="F4489" s="5" t="str">
        <f t="shared" si="70"/>
        <v>fairinvestments.se</v>
      </c>
      <c r="G4489" s="5" t="s">
        <v>4</v>
      </c>
      <c r="H4489" s="5" t="s">
        <v>5</v>
      </c>
      <c r="I4489" s="6"/>
    </row>
    <row r="4490" spans="1:9" ht="13.5">
      <c r="A4490" s="2" t="s">
        <v>435</v>
      </c>
      <c r="B4490" s="3"/>
      <c r="C4490" s="71" t="s">
        <v>1551</v>
      </c>
      <c r="D4490" s="4" t="s">
        <v>1384</v>
      </c>
      <c r="E4490" s="9" t="s">
        <v>1384</v>
      </c>
      <c r="F4490" s="5" t="str">
        <f t="shared" si="70"/>
        <v>fairinvestments.se</v>
      </c>
      <c r="G4490" s="5" t="s">
        <v>4</v>
      </c>
      <c r="H4490" s="5" t="s">
        <v>5</v>
      </c>
      <c r="I4490" s="6"/>
    </row>
    <row r="4491" spans="1:9" ht="13.5">
      <c r="A4491" s="7" t="s">
        <v>329</v>
      </c>
      <c r="B4491" s="3"/>
      <c r="C4491" s="71" t="s">
        <v>1552</v>
      </c>
      <c r="D4491" s="4" t="s">
        <v>1388</v>
      </c>
      <c r="E4491" s="5" t="s">
        <v>1959</v>
      </c>
      <c r="F4491" s="5" t="str">
        <f t="shared" si="70"/>
        <v>vont</v>
      </c>
      <c r="G4491" s="5" t="s">
        <v>4</v>
      </c>
      <c r="H4491" s="5" t="s">
        <v>5</v>
      </c>
      <c r="I4491" s="6"/>
    </row>
    <row r="4492" spans="1:9" ht="13.5">
      <c r="A4492" s="7" t="s">
        <v>329</v>
      </c>
      <c r="B4492" s="3"/>
      <c r="C4492" s="71" t="s">
        <v>1622</v>
      </c>
      <c r="D4492" s="4" t="s">
        <v>472</v>
      </c>
      <c r="E4492" s="5" t="s">
        <v>7573</v>
      </c>
      <c r="F4492" s="5" t="str">
        <f t="shared" si="70"/>
        <v>vont</v>
      </c>
      <c r="G4492" s="5" t="s">
        <v>4</v>
      </c>
      <c r="H4492" s="5" t="s">
        <v>5</v>
      </c>
      <c r="I4492" s="6"/>
    </row>
    <row r="4493" spans="1:9" ht="13.5">
      <c r="A4493" s="7"/>
      <c r="B4493" s="3"/>
      <c r="C4493" s="5"/>
      <c r="D4493" s="5"/>
      <c r="E4493" s="5"/>
      <c r="F4493" s="5">
        <f t="shared" si="70"/>
        <v>0</v>
      </c>
      <c r="G4493" s="5"/>
      <c r="H4493" s="5"/>
      <c r="I4493" s="6"/>
    </row>
    <row r="4494" spans="1:9" ht="13.5">
      <c r="A4494" s="2" t="s">
        <v>1239</v>
      </c>
      <c r="B4494" s="3"/>
      <c r="C4494" s="93" t="s">
        <v>7574</v>
      </c>
      <c r="D4494" s="363" t="s">
        <v>1241</v>
      </c>
      <c r="E4494" s="79" t="s">
        <v>1426</v>
      </c>
      <c r="F4494" s="5" t="str">
        <f t="shared" si="70"/>
        <v>freckeus.se</v>
      </c>
      <c r="G4494" s="5" t="s">
        <v>4</v>
      </c>
      <c r="H4494" s="5" t="s">
        <v>5</v>
      </c>
      <c r="I4494" s="6"/>
    </row>
    <row r="4495" spans="1:9" ht="13.5">
      <c r="A4495" s="2" t="s">
        <v>1291</v>
      </c>
      <c r="B4495" s="3"/>
      <c r="C4495" s="93" t="s">
        <v>7575</v>
      </c>
      <c r="D4495" s="87" t="s">
        <v>1293</v>
      </c>
      <c r="E4495" s="79" t="s">
        <v>1296</v>
      </c>
      <c r="F4495" s="5" t="str">
        <f t="shared" si="70"/>
        <v>hvvs.se</v>
      </c>
      <c r="G4495" s="5" t="s">
        <v>4</v>
      </c>
      <c r="H4495" s="5" t="s">
        <v>5</v>
      </c>
      <c r="I4495" s="6"/>
    </row>
    <row r="4496" spans="1:9" ht="13.5">
      <c r="A4496" s="2" t="s">
        <v>535</v>
      </c>
      <c r="B4496" s="3"/>
      <c r="C4496" s="93" t="s">
        <v>7576</v>
      </c>
      <c r="D4496" s="87" t="s">
        <v>536</v>
      </c>
      <c r="E4496" s="79" t="s">
        <v>1448</v>
      </c>
      <c r="F4496" s="5" t="str">
        <f t="shared" si="70"/>
        <v>tryggbil.se</v>
      </c>
      <c r="G4496" s="5" t="s">
        <v>4</v>
      </c>
      <c r="H4496" s="5" t="s">
        <v>5</v>
      </c>
      <c r="I4496" s="6"/>
    </row>
    <row r="4497" spans="1:9" ht="13.5">
      <c r="A4497" s="2" t="s">
        <v>535</v>
      </c>
      <c r="B4497" s="3"/>
      <c r="C4497" s="93" t="s">
        <v>7577</v>
      </c>
      <c r="D4497" s="87" t="s">
        <v>536</v>
      </c>
      <c r="E4497" s="79" t="s">
        <v>1475</v>
      </c>
      <c r="F4497" s="5" t="str">
        <f t="shared" si="70"/>
        <v>tryggbil.se</v>
      </c>
      <c r="G4497" s="5" t="s">
        <v>4</v>
      </c>
      <c r="H4497" s="5" t="s">
        <v>5</v>
      </c>
      <c r="I4497" s="6"/>
    </row>
    <row r="4498" spans="1:9" ht="13.5">
      <c r="A4498" s="2" t="s">
        <v>464</v>
      </c>
      <c r="B4498" s="3"/>
      <c r="C4498" s="93" t="s">
        <v>7578</v>
      </c>
      <c r="D4498" s="87" t="s">
        <v>466</v>
      </c>
      <c r="E4498" s="79" t="s">
        <v>710</v>
      </c>
      <c r="F4498" s="5" t="str">
        <f t="shared" si="70"/>
        <v>villarelining.se</v>
      </c>
      <c r="G4498" s="5" t="s">
        <v>4</v>
      </c>
      <c r="H4498" s="5" t="s">
        <v>5</v>
      </c>
      <c r="I4498" s="6"/>
    </row>
    <row r="4499" spans="1:9" ht="13.5">
      <c r="A4499" s="2" t="s">
        <v>308</v>
      </c>
      <c r="B4499" s="3"/>
      <c r="C4499" s="71" t="s">
        <v>7579</v>
      </c>
      <c r="D4499" s="87" t="s">
        <v>1395</v>
      </c>
      <c r="E4499" s="79" t="s">
        <v>7580</v>
      </c>
      <c r="F4499" s="5" t="str">
        <f t="shared" si="70"/>
        <v>lansfast.se</v>
      </c>
      <c r="G4499" s="5" t="s">
        <v>4</v>
      </c>
      <c r="H4499" s="5" t="s">
        <v>5</v>
      </c>
      <c r="I4499" s="6"/>
    </row>
    <row r="4500" spans="1:9" ht="13.5">
      <c r="A4500" s="2" t="s">
        <v>100</v>
      </c>
      <c r="B4500" s="3"/>
      <c r="C4500" s="93" t="s">
        <v>7581</v>
      </c>
      <c r="D4500" s="87" t="s">
        <v>1252</v>
      </c>
      <c r="E4500" s="79" t="s">
        <v>2039</v>
      </c>
      <c r="F4500" s="5" t="str">
        <f t="shared" si="70"/>
        <v>bigbenstandup.com</v>
      </c>
      <c r="G4500" s="5" t="s">
        <v>4</v>
      </c>
      <c r="H4500" s="5" t="s">
        <v>5</v>
      </c>
      <c r="I4500" s="6"/>
    </row>
    <row r="4501" spans="1:9" ht="13.5">
      <c r="A4501" s="2" t="s">
        <v>803</v>
      </c>
      <c r="B4501" s="3"/>
      <c r="C4501" s="93" t="s">
        <v>7582</v>
      </c>
      <c r="D4501" s="87" t="s">
        <v>1222</v>
      </c>
      <c r="E4501" s="79" t="s">
        <v>1428</v>
      </c>
      <c r="F4501" s="5" t="str">
        <f t="shared" si="70"/>
        <v>foyen.se</v>
      </c>
      <c r="G4501" s="5" t="s">
        <v>4</v>
      </c>
      <c r="H4501" s="5" t="s">
        <v>5</v>
      </c>
      <c r="I4501" s="6"/>
    </row>
    <row r="4502" spans="1:9" ht="13.5">
      <c r="A4502" s="2" t="s">
        <v>958</v>
      </c>
      <c r="B4502" s="3"/>
      <c r="C4502" s="93" t="s">
        <v>7583</v>
      </c>
      <c r="D4502" s="87" t="s">
        <v>960</v>
      </c>
      <c r="E4502" s="79" t="s">
        <v>1256</v>
      </c>
      <c r="F4502" s="5" t="str">
        <f t="shared" si="70"/>
        <v>oconnors.se</v>
      </c>
      <c r="G4502" s="5" t="s">
        <v>4</v>
      </c>
      <c r="H4502" s="5" t="s">
        <v>5</v>
      </c>
      <c r="I4502" s="6"/>
    </row>
    <row r="4503" spans="1:9" ht="13.5">
      <c r="A4503" s="2" t="s">
        <v>1263</v>
      </c>
      <c r="B4503" s="3"/>
      <c r="C4503" s="93" t="s">
        <v>7584</v>
      </c>
      <c r="D4503" s="87" t="s">
        <v>1265</v>
      </c>
      <c r="E4503" s="79" t="s">
        <v>1266</v>
      </c>
      <c r="F4503" s="5" t="str">
        <f t="shared" si="70"/>
        <v>notyfile.se/sv</v>
      </c>
      <c r="G4503" s="5" t="s">
        <v>4</v>
      </c>
      <c r="H4503" s="5" t="s">
        <v>5</v>
      </c>
      <c r="I4503" s="6"/>
    </row>
    <row r="4504" spans="1:9" ht="13.5">
      <c r="A4504" s="2" t="s">
        <v>1291</v>
      </c>
      <c r="B4504" s="3"/>
      <c r="C4504" s="71" t="s">
        <v>7585</v>
      </c>
      <c r="D4504" s="364" t="s">
        <v>1293</v>
      </c>
      <c r="E4504" s="79" t="s">
        <v>2028</v>
      </c>
      <c r="F4504" s="5" t="str">
        <f t="shared" si="70"/>
        <v>hvvs.se</v>
      </c>
      <c r="G4504" s="5" t="s">
        <v>4</v>
      </c>
      <c r="H4504" s="5" t="s">
        <v>5</v>
      </c>
      <c r="I4504" s="6"/>
    </row>
    <row r="4505" spans="1:9" ht="13.5">
      <c r="A4505" s="2" t="s">
        <v>2043</v>
      </c>
      <c r="B4505" s="3"/>
      <c r="C4505" s="93" t="s">
        <v>7586</v>
      </c>
      <c r="D4505" s="105" t="s">
        <v>2045</v>
      </c>
      <c r="E4505" s="76" t="s">
        <v>7587</v>
      </c>
      <c r="F4505" s="5" t="str">
        <f t="shared" si="70"/>
        <v>heteknik.se</v>
      </c>
      <c r="G4505" s="5" t="s">
        <v>4</v>
      </c>
      <c r="H4505" s="5" t="s">
        <v>5</v>
      </c>
      <c r="I4505" s="6"/>
    </row>
    <row r="4506" spans="1:9" ht="13.5">
      <c r="A4506" s="2" t="s">
        <v>2029</v>
      </c>
      <c r="B4506" s="3"/>
      <c r="C4506" s="71" t="s">
        <v>7588</v>
      </c>
      <c r="D4506" s="4" t="s">
        <v>2031</v>
      </c>
      <c r="E4506" s="5" t="s">
        <v>7589</v>
      </c>
      <c r="F4506" s="5" t="str">
        <f t="shared" si="70"/>
        <v>legendbygg.com</v>
      </c>
      <c r="G4506" s="5" t="s">
        <v>4</v>
      </c>
      <c r="H4506" s="5" t="s">
        <v>5</v>
      </c>
      <c r="I4506" s="6"/>
    </row>
    <row r="4507" spans="1:9" ht="13.5">
      <c r="A4507" s="2" t="s">
        <v>2029</v>
      </c>
      <c r="B4507" s="3"/>
      <c r="C4507" s="93" t="s">
        <v>7590</v>
      </c>
      <c r="D4507" s="105" t="s">
        <v>2031</v>
      </c>
      <c r="E4507" s="76" t="s">
        <v>7591</v>
      </c>
      <c r="F4507" s="5" t="str">
        <f t="shared" si="70"/>
        <v>legendbygg.com</v>
      </c>
      <c r="G4507" s="5" t="s">
        <v>4</v>
      </c>
      <c r="H4507" s="5" t="s">
        <v>5</v>
      </c>
      <c r="I4507" s="6"/>
    </row>
    <row r="4508" spans="1:9" ht="13.5">
      <c r="A4508" s="2" t="s">
        <v>2073</v>
      </c>
      <c r="B4508" s="3"/>
      <c r="C4508" s="93" t="s">
        <v>7592</v>
      </c>
      <c r="D4508" s="87" t="s">
        <v>2075</v>
      </c>
      <c r="E4508" s="79" t="s">
        <v>2266</v>
      </c>
      <c r="F4508" s="5" t="str">
        <f t="shared" si="70"/>
        <v>alvtorpet.se</v>
      </c>
      <c r="G4508" s="5" t="s">
        <v>4</v>
      </c>
      <c r="H4508" s="5" t="s">
        <v>5</v>
      </c>
      <c r="I4508" s="6"/>
    </row>
    <row r="4509" spans="1:9" ht="13.5">
      <c r="A4509" s="2" t="s">
        <v>2073</v>
      </c>
      <c r="B4509" s="3"/>
      <c r="C4509" s="93" t="s">
        <v>7593</v>
      </c>
      <c r="D4509" s="87" t="s">
        <v>2075</v>
      </c>
      <c r="E4509" s="79" t="s">
        <v>7594</v>
      </c>
      <c r="F4509" s="5" t="str">
        <f t="shared" si="70"/>
        <v>alvtorpet.se</v>
      </c>
      <c r="G4509" s="5" t="s">
        <v>4</v>
      </c>
      <c r="H4509" s="5" t="s">
        <v>5</v>
      </c>
      <c r="I4509" s="6"/>
    </row>
    <row r="4510" spans="1:9" ht="13.5">
      <c r="A4510" s="7"/>
      <c r="B4510" s="3"/>
      <c r="C4510" s="76"/>
      <c r="D4510" s="5"/>
      <c r="E4510" s="5"/>
      <c r="F4510" s="5">
        <f t="shared" si="70"/>
        <v>0</v>
      </c>
      <c r="G4510" s="5"/>
      <c r="H4510" s="5"/>
      <c r="I4510" s="6"/>
    </row>
    <row r="4511" spans="1:9" ht="13.5">
      <c r="A4511" s="7"/>
      <c r="B4511" s="3"/>
      <c r="C4511" s="76"/>
      <c r="D4511" s="5"/>
      <c r="E4511" s="5"/>
      <c r="F4511" s="5">
        <f t="shared" si="70"/>
        <v>0</v>
      </c>
      <c r="G4511" s="5"/>
      <c r="H4511" s="5"/>
      <c r="I4511" s="6"/>
    </row>
    <row r="4512" spans="1:9" ht="13.5">
      <c r="A4512" s="7"/>
      <c r="B4512" s="3"/>
      <c r="C4512" s="76"/>
      <c r="D4512" s="5"/>
      <c r="E4512" s="5"/>
      <c r="F4512" s="5">
        <f t="shared" si="70"/>
        <v>0</v>
      </c>
      <c r="G4512" s="5"/>
      <c r="H4512" s="5"/>
      <c r="I4512" s="6"/>
    </row>
    <row r="4513" spans="1:9" ht="13.5">
      <c r="A4513" s="2" t="s">
        <v>2033</v>
      </c>
      <c r="B4513" s="3"/>
      <c r="C4513" s="93" t="s">
        <v>7595</v>
      </c>
      <c r="D4513" s="105" t="s">
        <v>2033</v>
      </c>
      <c r="E4513" s="76" t="s">
        <v>7596</v>
      </c>
      <c r="F4513" s="5" t="str">
        <f t="shared" si="70"/>
        <v>qsundsvall.se</v>
      </c>
      <c r="G4513" s="5" t="s">
        <v>4</v>
      </c>
      <c r="H4513" s="5" t="s">
        <v>5</v>
      </c>
      <c r="I4513" s="6"/>
    </row>
    <row r="4514" spans="1:9" ht="13.9">
      <c r="A4514" s="7"/>
      <c r="B4514" s="3"/>
      <c r="C4514" s="91"/>
      <c r="D4514" s="76"/>
      <c r="E4514" s="79"/>
      <c r="F4514" s="5">
        <f t="shared" si="70"/>
        <v>0</v>
      </c>
      <c r="G4514" s="5"/>
      <c r="H4514" s="5"/>
      <c r="I4514" s="99"/>
    </row>
    <row r="4515" spans="1:9" ht="13.9">
      <c r="A4515" s="7"/>
      <c r="B4515" s="3"/>
      <c r="C4515" s="91"/>
      <c r="D4515" s="91"/>
      <c r="E4515" s="79"/>
      <c r="F4515" s="5">
        <f t="shared" si="70"/>
        <v>0</v>
      </c>
      <c r="G4515" s="5"/>
      <c r="H4515" s="5"/>
      <c r="I4515" s="99"/>
    </row>
    <row r="4516" spans="1:9" ht="13.5">
      <c r="A4516" s="2" t="s">
        <v>435</v>
      </c>
      <c r="B4516" s="3"/>
      <c r="C4516" s="71" t="s">
        <v>7597</v>
      </c>
      <c r="D4516" s="4" t="s">
        <v>1012</v>
      </c>
      <c r="E4516" s="5" t="s">
        <v>839</v>
      </c>
      <c r="F4516" s="5" t="str">
        <f t="shared" si="70"/>
        <v>fairinvestments.se</v>
      </c>
      <c r="G4516" s="5" t="s">
        <v>4</v>
      </c>
      <c r="H4516" s="5" t="s">
        <v>5</v>
      </c>
      <c r="I4516" s="6"/>
    </row>
    <row r="4517" spans="1:9" ht="13.5">
      <c r="A4517" s="2" t="s">
        <v>435</v>
      </c>
      <c r="B4517" s="3"/>
      <c r="C4517" s="71" t="s">
        <v>7598</v>
      </c>
      <c r="D4517" s="4" t="s">
        <v>1413</v>
      </c>
      <c r="E4517" s="5" t="s">
        <v>438</v>
      </c>
      <c r="F4517" s="5" t="str">
        <f t="shared" si="70"/>
        <v>fairinvestments.se</v>
      </c>
      <c r="G4517" s="5" t="s">
        <v>4</v>
      </c>
      <c r="H4517" s="5" t="s">
        <v>5</v>
      </c>
      <c r="I4517" s="6"/>
    </row>
    <row r="4518" spans="1:9" ht="13.5">
      <c r="A4518" s="2" t="s">
        <v>2073</v>
      </c>
      <c r="B4518" s="3"/>
      <c r="C4518" s="365" t="s">
        <v>7593</v>
      </c>
      <c r="D4518" s="4" t="s">
        <v>2075</v>
      </c>
      <c r="E4518" s="5" t="s">
        <v>7599</v>
      </c>
      <c r="F4518" s="5" t="str">
        <f t="shared" si="70"/>
        <v>alvtorpet.se</v>
      </c>
      <c r="G4518" s="5" t="s">
        <v>4</v>
      </c>
      <c r="H4518" s="5" t="s">
        <v>5</v>
      </c>
      <c r="I4518" s="6"/>
    </row>
    <row r="4519" spans="1:9" ht="13.5">
      <c r="A4519" s="2" t="s">
        <v>2073</v>
      </c>
      <c r="B4519" s="3"/>
      <c r="C4519" s="71" t="s">
        <v>7600</v>
      </c>
      <c r="D4519" s="4" t="s">
        <v>2075</v>
      </c>
      <c r="E4519" s="5" t="s">
        <v>7601</v>
      </c>
      <c r="F4519" s="5" t="str">
        <f t="shared" si="70"/>
        <v>alvtorpet.se</v>
      </c>
      <c r="G4519" s="5" t="s">
        <v>4</v>
      </c>
      <c r="H4519" s="5" t="s">
        <v>5</v>
      </c>
      <c r="I4519" s="6"/>
    </row>
    <row r="4520" spans="1:9" ht="13.5">
      <c r="A4520" s="7"/>
      <c r="B4520" s="3"/>
      <c r="C4520" s="87" t="s">
        <v>1388</v>
      </c>
      <c r="D4520" s="87" t="s">
        <v>1388</v>
      </c>
      <c r="E4520" s="5"/>
      <c r="F4520" s="5">
        <f t="shared" si="70"/>
        <v>0</v>
      </c>
      <c r="G4520" s="5"/>
      <c r="H4520" s="5"/>
      <c r="I4520" s="6"/>
    </row>
    <row r="4521" spans="1:9" ht="13.5">
      <c r="A4521" s="2" t="s">
        <v>2058</v>
      </c>
      <c r="B4521" s="3"/>
      <c r="C4521" s="71" t="s">
        <v>7602</v>
      </c>
      <c r="D4521" s="4" t="s">
        <v>2058</v>
      </c>
      <c r="E4521" s="9" t="s">
        <v>2058</v>
      </c>
      <c r="F4521" s="5" t="str">
        <f t="shared" si="70"/>
        <v>m6bygg.se</v>
      </c>
      <c r="G4521" s="5" t="s">
        <v>4</v>
      </c>
      <c r="H4521" s="5" t="s">
        <v>5</v>
      </c>
      <c r="I4521" s="6"/>
    </row>
    <row r="4522" spans="1:9" ht="13.5">
      <c r="A4522" s="2" t="s">
        <v>435</v>
      </c>
      <c r="B4522" s="3"/>
      <c r="C4522" s="71" t="s">
        <v>7603</v>
      </c>
      <c r="D4522" s="4" t="s">
        <v>973</v>
      </c>
      <c r="E4522" s="5" t="s">
        <v>839</v>
      </c>
      <c r="F4522" s="5" t="str">
        <f t="shared" si="70"/>
        <v>fairinvestments.se</v>
      </c>
      <c r="G4522" s="5" t="s">
        <v>4</v>
      </c>
      <c r="H4522" s="5" t="s">
        <v>5</v>
      </c>
      <c r="I4522" s="6"/>
    </row>
    <row r="4523" spans="1:9" ht="13.5">
      <c r="A4523" s="2" t="s">
        <v>435</v>
      </c>
      <c r="B4523" s="3"/>
      <c r="C4523" s="71" t="s">
        <v>7604</v>
      </c>
      <c r="D4523" s="4" t="s">
        <v>7604</v>
      </c>
      <c r="E4523" s="5" t="s">
        <v>839</v>
      </c>
      <c r="F4523" s="5" t="str">
        <f t="shared" si="70"/>
        <v>fairinvestments.se</v>
      </c>
      <c r="G4523" s="5" t="s">
        <v>4</v>
      </c>
      <c r="H4523" s="5" t="s">
        <v>5</v>
      </c>
      <c r="I4523" s="6"/>
    </row>
    <row r="4524" spans="1:9" ht="13.5">
      <c r="A4524" s="2" t="s">
        <v>435</v>
      </c>
      <c r="B4524" s="3"/>
      <c r="C4524" s="71" t="s">
        <v>7605</v>
      </c>
      <c r="D4524" s="4" t="s">
        <v>1446</v>
      </c>
      <c r="E4524" s="5" t="s">
        <v>839</v>
      </c>
      <c r="F4524" s="5" t="str">
        <f t="shared" si="70"/>
        <v>fairinvestments.se</v>
      </c>
      <c r="G4524" s="5" t="s">
        <v>4</v>
      </c>
      <c r="H4524" s="5" t="s">
        <v>5</v>
      </c>
      <c r="I4524" s="6"/>
    </row>
    <row r="4525" spans="1:9" ht="13.5">
      <c r="A4525" s="7"/>
      <c r="B4525" s="3"/>
      <c r="C4525" s="76"/>
      <c r="D4525" s="5"/>
      <c r="E4525" s="5"/>
      <c r="F4525" s="5">
        <f t="shared" si="70"/>
        <v>0</v>
      </c>
      <c r="G4525" s="5"/>
      <c r="H4525" s="5"/>
      <c r="I4525" s="6"/>
    </row>
    <row r="4526" spans="1:9" ht="13.5">
      <c r="A4526" s="7"/>
      <c r="B4526" s="3"/>
      <c r="C4526" s="76"/>
      <c r="D4526" s="5"/>
      <c r="E4526" s="5"/>
      <c r="F4526" s="5">
        <f t="shared" si="70"/>
        <v>0</v>
      </c>
      <c r="G4526" s="5"/>
      <c r="H4526" s="5"/>
      <c r="I4526" s="6"/>
    </row>
    <row r="4527" spans="1:9" ht="13.5">
      <c r="A4527" s="2" t="s">
        <v>435</v>
      </c>
      <c r="B4527" s="3"/>
      <c r="C4527" s="71" t="s">
        <v>7606</v>
      </c>
      <c r="D4527" s="4" t="s">
        <v>1012</v>
      </c>
      <c r="E4527" s="5" t="s">
        <v>839</v>
      </c>
      <c r="F4527" s="5" t="str">
        <f t="shared" si="70"/>
        <v>fairinvestments.se</v>
      </c>
      <c r="G4527" s="5" t="s">
        <v>4</v>
      </c>
      <c r="H4527" s="5" t="s">
        <v>5</v>
      </c>
      <c r="I4527" s="6"/>
    </row>
    <row r="4528" spans="1:9" ht="13.5">
      <c r="A4528" s="2" t="s">
        <v>435</v>
      </c>
      <c r="B4528" s="3"/>
      <c r="C4528" s="71" t="s">
        <v>7607</v>
      </c>
      <c r="D4528" s="4" t="s">
        <v>1413</v>
      </c>
      <c r="E4528" s="5" t="s">
        <v>839</v>
      </c>
      <c r="F4528" s="5" t="str">
        <f t="shared" si="70"/>
        <v>fairinvestments.se</v>
      </c>
      <c r="G4528" s="5" t="s">
        <v>4</v>
      </c>
      <c r="H4528" s="5" t="s">
        <v>5</v>
      </c>
      <c r="I4528" s="6"/>
    </row>
    <row r="4529" spans="1:9" ht="13.5">
      <c r="A4529" s="2" t="s">
        <v>435</v>
      </c>
      <c r="B4529" s="3"/>
      <c r="C4529" s="71" t="s">
        <v>7608</v>
      </c>
      <c r="D4529" s="4" t="s">
        <v>1446</v>
      </c>
      <c r="E4529" s="5" t="s">
        <v>839</v>
      </c>
      <c r="F4529" s="5" t="str">
        <f t="shared" si="70"/>
        <v>fairinvestments.se</v>
      </c>
      <c r="G4529" s="5" t="s">
        <v>4</v>
      </c>
      <c r="H4529" s="5" t="s">
        <v>5</v>
      </c>
      <c r="I4529" s="6"/>
    </row>
    <row r="4530" spans="1:9" ht="13.5">
      <c r="A4530" s="2" t="s">
        <v>435</v>
      </c>
      <c r="B4530" s="3"/>
      <c r="C4530" s="71" t="s">
        <v>7609</v>
      </c>
      <c r="D4530" s="4" t="s">
        <v>1012</v>
      </c>
      <c r="E4530" s="5" t="s">
        <v>839</v>
      </c>
      <c r="F4530" s="5" t="str">
        <f t="shared" si="70"/>
        <v>fairinvestments.se</v>
      </c>
      <c r="G4530" s="5" t="s">
        <v>4</v>
      </c>
      <c r="H4530" s="5" t="s">
        <v>5</v>
      </c>
      <c r="I4530" s="6"/>
    </row>
    <row r="4531" spans="1:9" ht="13.5">
      <c r="A4531" s="2" t="s">
        <v>435</v>
      </c>
      <c r="B4531" s="3"/>
      <c r="C4531" s="71" t="s">
        <v>7610</v>
      </c>
      <c r="D4531" s="4" t="s">
        <v>1734</v>
      </c>
      <c r="E4531" s="5" t="s">
        <v>839</v>
      </c>
      <c r="F4531" s="5" t="str">
        <f t="shared" si="70"/>
        <v>fairinvestments.se</v>
      </c>
      <c r="G4531" s="5" t="s">
        <v>4</v>
      </c>
      <c r="H4531" s="5" t="s">
        <v>5</v>
      </c>
      <c r="I4531" s="6"/>
    </row>
    <row r="4532" spans="1:9" ht="13.5">
      <c r="A4532" s="2" t="s">
        <v>435</v>
      </c>
      <c r="B4532" s="3"/>
      <c r="C4532" s="71" t="s">
        <v>7611</v>
      </c>
      <c r="D4532" s="4" t="s">
        <v>437</v>
      </c>
      <c r="E4532" s="5" t="s">
        <v>839</v>
      </c>
      <c r="F4532" s="5" t="str">
        <f t="shared" si="70"/>
        <v>fairinvestments.se</v>
      </c>
      <c r="G4532" s="5" t="s">
        <v>4</v>
      </c>
      <c r="H4532" s="5" t="s">
        <v>5</v>
      </c>
      <c r="I4532" s="6"/>
    </row>
    <row r="4533" spans="1:9" ht="13.5">
      <c r="A4533" s="2" t="s">
        <v>435</v>
      </c>
      <c r="B4533" s="3"/>
      <c r="C4533" s="71" t="s">
        <v>7612</v>
      </c>
      <c r="D4533" s="4" t="s">
        <v>7613</v>
      </c>
      <c r="E4533" s="5" t="s">
        <v>839</v>
      </c>
      <c r="F4533" s="5" t="str">
        <f t="shared" si="70"/>
        <v>fairinvestments.se</v>
      </c>
      <c r="G4533" s="5" t="s">
        <v>4</v>
      </c>
      <c r="H4533" s="5" t="s">
        <v>5</v>
      </c>
      <c r="I4533" s="6"/>
    </row>
    <row r="4534" spans="1:9" ht="13.5">
      <c r="A4534" s="2" t="s">
        <v>435</v>
      </c>
      <c r="B4534" s="3"/>
      <c r="C4534" s="71" t="s">
        <v>7614</v>
      </c>
      <c r="D4534" s="4" t="s">
        <v>1012</v>
      </c>
      <c r="E4534" s="5" t="s">
        <v>839</v>
      </c>
      <c r="F4534" s="5" t="str">
        <f t="shared" si="70"/>
        <v>fairinvestments.se</v>
      </c>
      <c r="G4534" s="5" t="s">
        <v>4</v>
      </c>
      <c r="H4534" s="5" t="s">
        <v>5</v>
      </c>
      <c r="I4534" s="6"/>
    </row>
    <row r="4535" spans="1:9" ht="13.5">
      <c r="A4535" s="2" t="s">
        <v>435</v>
      </c>
      <c r="B4535" s="3"/>
      <c r="C4535" s="71" t="s">
        <v>7615</v>
      </c>
      <c r="D4535" s="4" t="s">
        <v>1413</v>
      </c>
      <c r="E4535" s="5" t="s">
        <v>839</v>
      </c>
      <c r="F4535" s="5" t="str">
        <f t="shared" si="70"/>
        <v>fairinvestments.se</v>
      </c>
      <c r="G4535" s="5" t="s">
        <v>4</v>
      </c>
      <c r="H4535" s="5" t="s">
        <v>5</v>
      </c>
      <c r="I4535" s="6"/>
    </row>
    <row r="4536" spans="1:9" ht="13.5">
      <c r="A4536" s="2" t="s">
        <v>2047</v>
      </c>
      <c r="B4536" s="3"/>
      <c r="C4536" s="71" t="s">
        <v>7616</v>
      </c>
      <c r="D4536" s="366" t="s">
        <v>2049</v>
      </c>
      <c r="E4536" s="367" t="s">
        <v>7617</v>
      </c>
      <c r="F4536" s="5" t="str">
        <f t="shared" si="70"/>
        <v>reveljens.se</v>
      </c>
      <c r="G4536" s="5" t="s">
        <v>4</v>
      </c>
      <c r="H4536" s="5" t="s">
        <v>5</v>
      </c>
      <c r="I4536" s="6"/>
    </row>
    <row r="4537" spans="1:9" ht="13.5">
      <c r="A4537" s="2" t="s">
        <v>2052</v>
      </c>
      <c r="B4537" s="3"/>
      <c r="C4537" s="93" t="s">
        <v>7618</v>
      </c>
      <c r="D4537" s="368" t="s">
        <v>2054</v>
      </c>
      <c r="E4537" s="367" t="s">
        <v>7619</v>
      </c>
      <c r="F4537" s="5" t="str">
        <f t="shared" si="70"/>
        <v>rosapensionat.se</v>
      </c>
      <c r="G4537" s="5" t="s">
        <v>4</v>
      </c>
      <c r="H4537" s="5" t="s">
        <v>5</v>
      </c>
      <c r="I4537" s="6"/>
    </row>
    <row r="4538" spans="1:9" ht="13.5">
      <c r="A4538" s="2" t="s">
        <v>1297</v>
      </c>
      <c r="B4538" s="3"/>
      <c r="C4538" s="93" t="s">
        <v>7620</v>
      </c>
      <c r="D4538" s="87" t="s">
        <v>1299</v>
      </c>
      <c r="E4538" s="79" t="s">
        <v>1300</v>
      </c>
      <c r="F4538" s="5" t="str">
        <f t="shared" si="70"/>
        <v>sundsvallbergvarme.se</v>
      </c>
      <c r="G4538" s="5" t="s">
        <v>4</v>
      </c>
      <c r="H4538" s="5" t="s">
        <v>5</v>
      </c>
      <c r="I4538" s="6"/>
    </row>
    <row r="4539" spans="1:9" ht="13.5">
      <c r="A4539" s="2" t="s">
        <v>435</v>
      </c>
      <c r="B4539" s="3"/>
      <c r="C4539" s="71" t="s">
        <v>7621</v>
      </c>
      <c r="D4539" s="4" t="s">
        <v>1413</v>
      </c>
      <c r="E4539" s="5" t="s">
        <v>839</v>
      </c>
      <c r="F4539" s="5" t="str">
        <f t="shared" si="70"/>
        <v>fairinvestments.se</v>
      </c>
      <c r="G4539" s="5" t="s">
        <v>4</v>
      </c>
      <c r="H4539" s="5" t="s">
        <v>5</v>
      </c>
      <c r="I4539" s="6"/>
    </row>
    <row r="4540" spans="1:9" ht="13.5">
      <c r="A4540" s="2" t="s">
        <v>435</v>
      </c>
      <c r="B4540" s="3"/>
      <c r="C4540" s="71" t="s">
        <v>7622</v>
      </c>
      <c r="D4540" s="4" t="s">
        <v>1413</v>
      </c>
      <c r="E4540" s="5" t="s">
        <v>839</v>
      </c>
      <c r="F4540" s="5" t="str">
        <f t="shared" si="70"/>
        <v>fairinvestments.se</v>
      </c>
      <c r="G4540" s="5" t="s">
        <v>4</v>
      </c>
      <c r="H4540" s="5" t="s">
        <v>5</v>
      </c>
      <c r="I4540" s="6"/>
    </row>
    <row r="4541" spans="1:9" ht="13.5">
      <c r="A4541" s="2" t="s">
        <v>435</v>
      </c>
      <c r="B4541" s="3"/>
      <c r="C4541" s="71" t="s">
        <v>7623</v>
      </c>
      <c r="D4541" s="4" t="s">
        <v>1734</v>
      </c>
      <c r="E4541" s="5" t="s">
        <v>839</v>
      </c>
      <c r="F4541" s="5" t="str">
        <f t="shared" si="70"/>
        <v>fairinvestments.se</v>
      </c>
      <c r="G4541" s="5" t="s">
        <v>4</v>
      </c>
      <c r="H4541" s="5" t="s">
        <v>5</v>
      </c>
      <c r="I4541" s="6"/>
    </row>
    <row r="4542" spans="1:9" ht="13.5">
      <c r="A4542" s="2" t="s">
        <v>435</v>
      </c>
      <c r="B4542" s="3"/>
      <c r="C4542" s="71" t="s">
        <v>7624</v>
      </c>
      <c r="D4542" s="4" t="s">
        <v>1734</v>
      </c>
      <c r="E4542" s="5" t="s">
        <v>839</v>
      </c>
      <c r="F4542" s="5" t="str">
        <f t="shared" si="70"/>
        <v>fairinvestments.se</v>
      </c>
      <c r="G4542" s="5" t="s">
        <v>4</v>
      </c>
      <c r="H4542" s="5" t="s">
        <v>5</v>
      </c>
      <c r="I4542" s="6"/>
    </row>
    <row r="4543" spans="1:9" ht="13.5">
      <c r="A4543" s="2" t="s">
        <v>435</v>
      </c>
      <c r="B4543" s="3"/>
      <c r="C4543" s="71" t="s">
        <v>7625</v>
      </c>
      <c r="D4543" s="4" t="s">
        <v>1012</v>
      </c>
      <c r="E4543" s="5" t="s">
        <v>839</v>
      </c>
      <c r="F4543" s="5" t="str">
        <f t="shared" si="70"/>
        <v>fairinvestments.se</v>
      </c>
      <c r="G4543" s="5" t="s">
        <v>4</v>
      </c>
      <c r="H4543" s="5" t="s">
        <v>5</v>
      </c>
      <c r="I4543" s="6"/>
    </row>
    <row r="4544" spans="1:9" ht="13.5">
      <c r="A4544" s="2" t="s">
        <v>435</v>
      </c>
      <c r="B4544" s="3"/>
      <c r="C4544" s="71" t="s">
        <v>7626</v>
      </c>
      <c r="D4544" s="4" t="s">
        <v>1012</v>
      </c>
      <c r="E4544" s="5" t="s">
        <v>839</v>
      </c>
      <c r="F4544" s="5" t="str">
        <f t="shared" si="70"/>
        <v>fairinvestments.se</v>
      </c>
      <c r="G4544" s="5" t="s">
        <v>4</v>
      </c>
      <c r="H4544" s="5" t="s">
        <v>5</v>
      </c>
      <c r="I4544" s="6"/>
    </row>
    <row r="4545" spans="1:9" ht="13.5">
      <c r="A4545" s="2" t="s">
        <v>435</v>
      </c>
      <c r="B4545" s="3"/>
      <c r="C4545" s="71" t="s">
        <v>7627</v>
      </c>
      <c r="D4545" s="4" t="s">
        <v>973</v>
      </c>
      <c r="E4545" s="5" t="s">
        <v>839</v>
      </c>
      <c r="F4545" s="5" t="str">
        <f t="shared" si="70"/>
        <v>fairinvestments.se</v>
      </c>
      <c r="G4545" s="5" t="s">
        <v>4</v>
      </c>
      <c r="H4545" s="5" t="s">
        <v>5</v>
      </c>
      <c r="I4545" s="6"/>
    </row>
    <row r="4546" spans="1:9" ht="13.5">
      <c r="A4546" s="2" t="s">
        <v>435</v>
      </c>
      <c r="B4546" s="3"/>
      <c r="C4546" s="71" t="s">
        <v>7628</v>
      </c>
      <c r="D4546" s="4" t="s">
        <v>973</v>
      </c>
      <c r="E4546" s="5" t="s">
        <v>839</v>
      </c>
      <c r="F4546" s="5" t="str">
        <f t="shared" si="70"/>
        <v>fairinvestments.se</v>
      </c>
      <c r="G4546" s="5" t="s">
        <v>4</v>
      </c>
      <c r="H4546" s="5" t="s">
        <v>5</v>
      </c>
      <c r="I4546" s="6"/>
    </row>
    <row r="4547" spans="1:9" ht="13.5">
      <c r="A4547" s="369" t="s">
        <v>1071</v>
      </c>
      <c r="B4547" s="370"/>
      <c r="C4547" s="371"/>
      <c r="D4547" s="372" t="s">
        <v>2780</v>
      </c>
      <c r="E4547" s="374" t="s">
        <v>2487</v>
      </c>
      <c r="F4547" s="5" t="str">
        <f t="shared" ref="F4547:F4610" si="71">A4547</f>
        <v>???</v>
      </c>
      <c r="G4547" s="373" t="s">
        <v>4</v>
      </c>
      <c r="H4547" s="373" t="s">
        <v>5</v>
      </c>
      <c r="I4547" s="375"/>
    </row>
    <row r="4548" spans="1:9" ht="13.5">
      <c r="A4548" s="2" t="s">
        <v>2079</v>
      </c>
      <c r="B4548" s="3"/>
      <c r="C4548" s="93" t="s">
        <v>7629</v>
      </c>
      <c r="D4548" s="105" t="s">
        <v>2081</v>
      </c>
      <c r="E4548" s="76" t="s">
        <v>2082</v>
      </c>
      <c r="F4548" s="5" t="str">
        <f t="shared" si="71"/>
        <v>ttsab.nu</v>
      </c>
      <c r="G4548" s="5" t="s">
        <v>4</v>
      </c>
      <c r="H4548" s="5" t="s">
        <v>5</v>
      </c>
      <c r="I4548" s="6"/>
    </row>
    <row r="4549" spans="1:9" ht="13.5">
      <c r="A4549" s="2" t="s">
        <v>2079</v>
      </c>
      <c r="B4549" s="3"/>
      <c r="C4549" s="71" t="s">
        <v>7630</v>
      </c>
      <c r="D4549" s="4" t="s">
        <v>2081</v>
      </c>
      <c r="E4549" s="5" t="s">
        <v>7631</v>
      </c>
      <c r="F4549" s="5" t="str">
        <f t="shared" si="71"/>
        <v>ttsab.nu</v>
      </c>
      <c r="G4549" s="5" t="s">
        <v>4</v>
      </c>
      <c r="H4549" s="5" t="s">
        <v>5</v>
      </c>
      <c r="I4549" s="6"/>
    </row>
    <row r="4550" spans="1:9" ht="13.5">
      <c r="A4550" s="2" t="s">
        <v>1993</v>
      </c>
      <c r="B4550" s="3"/>
      <c r="C4550" s="205"/>
      <c r="D4550" s="5"/>
      <c r="E4550" s="5"/>
      <c r="F4550" s="5" t="str">
        <f t="shared" si="71"/>
        <v>filippa-k.com/se/sv/</v>
      </c>
      <c r="G4550" s="5"/>
      <c r="H4550" s="5"/>
      <c r="I4550" s="6"/>
    </row>
    <row r="4551" spans="1:9" ht="13.5">
      <c r="A4551" s="2" t="s">
        <v>1993</v>
      </c>
      <c r="B4551" s="3"/>
      <c r="C4551" s="205"/>
      <c r="D4551" s="5"/>
      <c r="E4551" s="5"/>
      <c r="F4551" s="5" t="str">
        <f t="shared" si="71"/>
        <v>filippa-k.com/se/sv/</v>
      </c>
      <c r="G4551" s="5"/>
      <c r="H4551" s="5"/>
      <c r="I4551" s="6"/>
    </row>
    <row r="4552" spans="1:9" ht="13.5">
      <c r="A4552" s="2" t="s">
        <v>156</v>
      </c>
      <c r="B4552" s="3"/>
      <c r="C4552" s="71" t="s">
        <v>7632</v>
      </c>
      <c r="D4552" s="4" t="s">
        <v>983</v>
      </c>
      <c r="E4552" s="5" t="s">
        <v>7399</v>
      </c>
      <c r="F4552" s="5" t="str">
        <f t="shared" si="71"/>
        <v>askskinfo.com</v>
      </c>
      <c r="G4552" s="5" t="s">
        <v>4</v>
      </c>
      <c r="H4552" s="5" t="s">
        <v>5</v>
      </c>
      <c r="I4552" s="6"/>
    </row>
    <row r="4553" spans="1:9" ht="13.5">
      <c r="A4553" s="2" t="s">
        <v>1271</v>
      </c>
      <c r="B4553" s="3"/>
      <c r="C4553" s="71" t="s">
        <v>7633</v>
      </c>
      <c r="D4553" s="4" t="s">
        <v>1420</v>
      </c>
      <c r="E4553" s="5" t="s">
        <v>7634</v>
      </c>
      <c r="F4553" s="5" t="str">
        <f t="shared" si="71"/>
        <v>alexbyggkonsult.se</v>
      </c>
      <c r="G4553" s="5" t="s">
        <v>4</v>
      </c>
      <c r="H4553" s="5" t="s">
        <v>5</v>
      </c>
      <c r="I4553" s="6"/>
    </row>
    <row r="4554" spans="1:9" ht="13.5">
      <c r="A4554" s="2" t="s">
        <v>1</v>
      </c>
      <c r="B4554" s="3"/>
      <c r="C4554" s="71" t="s">
        <v>7635</v>
      </c>
      <c r="D4554" s="4" t="s">
        <v>864</v>
      </c>
      <c r="E4554" s="5" t="s">
        <v>7636</v>
      </c>
      <c r="F4554" s="5" t="str">
        <f t="shared" si="71"/>
        <v>haxan.se</v>
      </c>
      <c r="G4554" s="5" t="s">
        <v>4</v>
      </c>
      <c r="H4554" s="5" t="s">
        <v>5</v>
      </c>
      <c r="I4554" s="6"/>
    </row>
    <row r="4555" spans="1:9" ht="13.5">
      <c r="A4555" s="7" t="s">
        <v>329</v>
      </c>
      <c r="B4555" s="3"/>
      <c r="C4555" s="71" t="s">
        <v>7637</v>
      </c>
      <c r="D4555" s="4" t="s">
        <v>331</v>
      </c>
      <c r="E4555" s="5" t="s">
        <v>1197</v>
      </c>
      <c r="F4555" s="5" t="str">
        <f t="shared" si="71"/>
        <v>vont</v>
      </c>
      <c r="G4555" s="5" t="s">
        <v>4</v>
      </c>
      <c r="H4555" s="5" t="s">
        <v>5</v>
      </c>
      <c r="I4555" s="6"/>
    </row>
    <row r="4556" spans="1:9" ht="13.5">
      <c r="A4556" s="2" t="s">
        <v>663</v>
      </c>
      <c r="B4556" s="3"/>
      <c r="C4556" s="71" t="s">
        <v>7638</v>
      </c>
      <c r="D4556" s="4" t="s">
        <v>770</v>
      </c>
      <c r="E4556" s="5" t="s">
        <v>7639</v>
      </c>
      <c r="F4556" s="5" t="str">
        <f t="shared" si="71"/>
        <v>robomarkets.com</v>
      </c>
      <c r="G4556" s="5" t="s">
        <v>4</v>
      </c>
      <c r="H4556" s="5" t="s">
        <v>5</v>
      </c>
      <c r="I4556" s="6"/>
    </row>
    <row r="4557" spans="1:9" ht="13.5">
      <c r="A4557" s="2" t="s">
        <v>857</v>
      </c>
      <c r="B4557" s="3"/>
      <c r="C4557" s="73" t="s">
        <v>7640</v>
      </c>
      <c r="D4557" s="4" t="s">
        <v>859</v>
      </c>
      <c r="E4557" s="5" t="s">
        <v>7641</v>
      </c>
      <c r="F4557" s="5" t="str">
        <f t="shared" si="71"/>
        <v>veterinarklinikenbirsta.se</v>
      </c>
      <c r="G4557" s="5" t="s">
        <v>4</v>
      </c>
      <c r="H4557" s="5" t="s">
        <v>5</v>
      </c>
      <c r="I4557" s="6"/>
    </row>
    <row r="4558" spans="1:9" ht="13.5">
      <c r="A4558" s="2" t="s">
        <v>1263</v>
      </c>
      <c r="B4558" s="3"/>
      <c r="C4558" s="71" t="s">
        <v>7642</v>
      </c>
      <c r="D4558" s="4" t="s">
        <v>1717</v>
      </c>
      <c r="E4558" s="5" t="s">
        <v>1575</v>
      </c>
      <c r="F4558" s="5" t="str">
        <f t="shared" si="71"/>
        <v>notyfile.se/sv</v>
      </c>
      <c r="G4558" s="5" t="s">
        <v>4</v>
      </c>
      <c r="H4558" s="5" t="s">
        <v>5</v>
      </c>
      <c r="I4558" s="6"/>
    </row>
    <row r="4559" spans="1:9" ht="13.5">
      <c r="A4559" s="2" t="s">
        <v>1263</v>
      </c>
      <c r="B4559" s="3"/>
      <c r="C4559" s="71" t="s">
        <v>7643</v>
      </c>
      <c r="D4559" s="4" t="s">
        <v>1717</v>
      </c>
      <c r="E4559" s="5" t="s">
        <v>7571</v>
      </c>
      <c r="F4559" s="5" t="str">
        <f t="shared" si="71"/>
        <v>notyfile.se/sv</v>
      </c>
      <c r="G4559" s="5" t="s">
        <v>4</v>
      </c>
      <c r="H4559" s="5" t="s">
        <v>5</v>
      </c>
      <c r="I4559" s="6"/>
    </row>
    <row r="4560" spans="1:9" ht="13.5">
      <c r="A4560" s="2" t="s">
        <v>1544</v>
      </c>
      <c r="B4560" s="3"/>
      <c r="C4560" s="71" t="s">
        <v>7644</v>
      </c>
      <c r="D4560" s="5"/>
      <c r="E4560" s="9" t="s">
        <v>1544</v>
      </c>
      <c r="F4560" s="5" t="str">
        <f t="shared" si="71"/>
        <v>Finansplassen.no</v>
      </c>
      <c r="G4560" s="5"/>
      <c r="H4560" s="5"/>
      <c r="I4560" s="6"/>
    </row>
    <row r="4561" spans="1:9" ht="13.5">
      <c r="A4561" s="2" t="s">
        <v>1138</v>
      </c>
      <c r="B4561" s="3"/>
      <c r="C4561" s="91" t="s">
        <v>1236</v>
      </c>
      <c r="D4561" s="73" t="s">
        <v>7645</v>
      </c>
      <c r="E4561" s="5"/>
      <c r="F4561" s="5" t="str">
        <f t="shared" si="71"/>
        <v>hemplybalance.com</v>
      </c>
      <c r="G4561" s="5"/>
      <c r="H4561" s="5" t="s">
        <v>5</v>
      </c>
      <c r="I4561" s="116"/>
    </row>
    <row r="4562" spans="1:9" ht="13.5">
      <c r="A4562" s="2" t="s">
        <v>857</v>
      </c>
      <c r="B4562" s="3"/>
      <c r="C4562" s="4" t="s">
        <v>7646</v>
      </c>
      <c r="D4562" s="4" t="s">
        <v>859</v>
      </c>
      <c r="E4562" s="5" t="s">
        <v>7647</v>
      </c>
      <c r="F4562" s="5" t="str">
        <f t="shared" si="71"/>
        <v>veterinarklinikenbirsta.se</v>
      </c>
      <c r="G4562" s="5" t="s">
        <v>4</v>
      </c>
      <c r="H4562" s="5" t="s">
        <v>5</v>
      </c>
      <c r="I4562" s="6"/>
    </row>
    <row r="4563" spans="1:9" ht="13.5">
      <c r="A4563" s="2" t="s">
        <v>857</v>
      </c>
      <c r="B4563" s="3"/>
      <c r="C4563" s="93" t="s">
        <v>7648</v>
      </c>
      <c r="D4563" s="363" t="s">
        <v>859</v>
      </c>
      <c r="E4563" s="79" t="s">
        <v>2273</v>
      </c>
      <c r="F4563" s="5" t="str">
        <f t="shared" si="71"/>
        <v>veterinarklinikenbirsta.se</v>
      </c>
      <c r="G4563" s="5" t="s">
        <v>4</v>
      </c>
      <c r="H4563" s="5" t="s">
        <v>5</v>
      </c>
      <c r="I4563" s="6"/>
    </row>
    <row r="4564" spans="1:9" ht="13.5">
      <c r="A4564" s="2" t="s">
        <v>1301</v>
      </c>
      <c r="B4564" s="3"/>
      <c r="C4564" s="93" t="s">
        <v>7649</v>
      </c>
      <c r="D4564" s="87" t="s">
        <v>1303</v>
      </c>
      <c r="E4564" s="79" t="s">
        <v>1304</v>
      </c>
      <c r="F4564" s="5" t="str">
        <f t="shared" si="71"/>
        <v>w3solenergi.se</v>
      </c>
      <c r="G4564" s="5" t="s">
        <v>4</v>
      </c>
      <c r="H4564" s="5" t="s">
        <v>5</v>
      </c>
      <c r="I4564" s="6"/>
    </row>
    <row r="4565" spans="1:9" ht="13.5">
      <c r="A4565" s="2" t="s">
        <v>1301</v>
      </c>
      <c r="B4565" s="3"/>
      <c r="C4565" s="93" t="s">
        <v>7650</v>
      </c>
      <c r="D4565" s="364" t="s">
        <v>2276</v>
      </c>
      <c r="E4565" s="76" t="s">
        <v>2094</v>
      </c>
      <c r="F4565" s="5" t="str">
        <f t="shared" si="71"/>
        <v>w3solenergi.se</v>
      </c>
      <c r="G4565" s="5" t="s">
        <v>4</v>
      </c>
      <c r="H4565" s="5" t="s">
        <v>5</v>
      </c>
      <c r="I4565" s="6"/>
    </row>
    <row r="4566" spans="1:9" ht="13.5">
      <c r="A4566" s="2" t="s">
        <v>3658</v>
      </c>
      <c r="B4566" s="3"/>
      <c r="C4566" s="4" t="s">
        <v>2099</v>
      </c>
      <c r="D4566" s="4" t="s">
        <v>3664</v>
      </c>
      <c r="E4566" s="5"/>
      <c r="F4566" s="5" t="str">
        <f t="shared" si="71"/>
        <v>bbml.se</v>
      </c>
      <c r="G4566" s="5" t="s">
        <v>4</v>
      </c>
      <c r="H4566" s="5" t="s">
        <v>5</v>
      </c>
      <c r="I4566" s="6"/>
    </row>
    <row r="4567" spans="1:9" ht="13.5">
      <c r="A4567" s="2" t="s">
        <v>3658</v>
      </c>
      <c r="B4567" s="3"/>
      <c r="C4567" s="4" t="s">
        <v>1419</v>
      </c>
      <c r="D4567" s="4" t="s">
        <v>3664</v>
      </c>
      <c r="E4567" s="5"/>
      <c r="F4567" s="5" t="str">
        <f t="shared" si="71"/>
        <v>bbml.se</v>
      </c>
      <c r="G4567" s="5" t="s">
        <v>4</v>
      </c>
      <c r="H4567" s="5" t="s">
        <v>5</v>
      </c>
      <c r="I4567" s="6"/>
    </row>
    <row r="4568" spans="1:9" ht="13.5">
      <c r="A4568" s="2" t="s">
        <v>3658</v>
      </c>
      <c r="B4568" s="3"/>
      <c r="C4568" s="4" t="s">
        <v>1662</v>
      </c>
      <c r="D4568" s="4" t="s">
        <v>3664</v>
      </c>
      <c r="E4568" s="5"/>
      <c r="F4568" s="5" t="str">
        <f t="shared" si="71"/>
        <v>bbml.se</v>
      </c>
      <c r="G4568" s="5" t="s">
        <v>4</v>
      </c>
      <c r="H4568" s="5" t="s">
        <v>5</v>
      </c>
      <c r="I4568" s="6"/>
    </row>
    <row r="4569" spans="1:9" ht="13.5">
      <c r="A4569" s="2" t="s">
        <v>3658</v>
      </c>
      <c r="B4569" s="3"/>
      <c r="C4569" s="4" t="s">
        <v>2733</v>
      </c>
      <c r="D4569" s="4" t="s">
        <v>3664</v>
      </c>
      <c r="E4569" s="5"/>
      <c r="F4569" s="5" t="str">
        <f t="shared" si="71"/>
        <v>bbml.se</v>
      </c>
      <c r="G4569" s="5" t="s">
        <v>4</v>
      </c>
      <c r="H4569" s="5" t="s">
        <v>5</v>
      </c>
      <c r="I4569" s="6"/>
    </row>
    <row r="4570" spans="1:9" ht="13.5">
      <c r="A4570" s="2" t="s">
        <v>4558</v>
      </c>
      <c r="B4570" s="3"/>
      <c r="C4570" s="8" t="s">
        <v>6114</v>
      </c>
      <c r="D4570" s="8" t="s">
        <v>5766</v>
      </c>
      <c r="E4570" s="5" t="s">
        <v>5767</v>
      </c>
      <c r="F4570" s="5" t="str">
        <f t="shared" si="71"/>
        <v>mockfjards.se</v>
      </c>
      <c r="G4570" s="5" t="s">
        <v>4</v>
      </c>
      <c r="H4570" s="5" t="s">
        <v>5</v>
      </c>
      <c r="I4570" s="6"/>
    </row>
    <row r="4571" spans="1:9" ht="13.5">
      <c r="A4571" s="2" t="s">
        <v>5890</v>
      </c>
      <c r="B4571" s="3"/>
      <c r="C4571" s="4" t="s">
        <v>7651</v>
      </c>
      <c r="D4571" s="4" t="s">
        <v>6040</v>
      </c>
      <c r="E4571" s="5" t="s">
        <v>5893</v>
      </c>
      <c r="F4571" s="5" t="str">
        <f t="shared" si="71"/>
        <v>yourgild.com</v>
      </c>
      <c r="G4571" s="5" t="s">
        <v>4</v>
      </c>
      <c r="H4571" s="5" t="s">
        <v>345</v>
      </c>
      <c r="I4571" s="6">
        <v>45902</v>
      </c>
    </row>
    <row r="4572" spans="1:9" ht="13.5">
      <c r="A4572" s="2" t="s">
        <v>3090</v>
      </c>
      <c r="B4572" s="3"/>
      <c r="C4572" s="4" t="s">
        <v>7652</v>
      </c>
      <c r="D4572" s="4" t="s">
        <v>7653</v>
      </c>
      <c r="E4572" s="5" t="s">
        <v>7654</v>
      </c>
      <c r="F4572" s="5" t="str">
        <f t="shared" si="71"/>
        <v>videoslots.com</v>
      </c>
      <c r="G4572" s="5" t="s">
        <v>4</v>
      </c>
      <c r="H4572" s="5" t="s">
        <v>5</v>
      </c>
      <c r="I4572" s="5"/>
    </row>
    <row r="4573" spans="1:9" ht="13.5">
      <c r="A4573" s="2" t="s">
        <v>1318</v>
      </c>
      <c r="B4573" s="3"/>
      <c r="C4573" s="4" t="s">
        <v>7655</v>
      </c>
      <c r="D4573" s="8" t="s">
        <v>1320</v>
      </c>
      <c r="E4573" s="5" t="s">
        <v>7656</v>
      </c>
      <c r="F4573" s="5" t="str">
        <f t="shared" si="71"/>
        <v>spelklubben.se</v>
      </c>
      <c r="G4573" s="5" t="s">
        <v>4</v>
      </c>
      <c r="H4573" s="5" t="s">
        <v>5</v>
      </c>
      <c r="I4573" s="6">
        <v>45904</v>
      </c>
    </row>
    <row r="4574" spans="1:9" ht="13.9">
      <c r="A4574" s="2" t="s">
        <v>6025</v>
      </c>
      <c r="B4574" s="3"/>
      <c r="C4574" s="376" t="s">
        <v>7657</v>
      </c>
      <c r="D4574" s="4" t="s">
        <v>6405</v>
      </c>
      <c r="E4574" s="72" t="s">
        <v>7658</v>
      </c>
      <c r="F4574" s="5" t="str">
        <f t="shared" si="71"/>
        <v>megariches.com</v>
      </c>
      <c r="G4574" s="5" t="s">
        <v>4</v>
      </c>
      <c r="H4574" s="5" t="s">
        <v>5</v>
      </c>
      <c r="I4574" s="5"/>
    </row>
    <row r="4575" spans="1:9" ht="13.5">
      <c r="A4575" s="2" t="s">
        <v>2357</v>
      </c>
      <c r="B4575" s="3"/>
      <c r="C4575" s="4" t="s">
        <v>7659</v>
      </c>
      <c r="D4575" s="19" t="s">
        <v>5685</v>
      </c>
      <c r="E4575" s="5" t="s">
        <v>7660</v>
      </c>
      <c r="F4575" s="5" t="str">
        <f t="shared" si="71"/>
        <v>lsb.se</v>
      </c>
      <c r="G4575" s="5" t="s">
        <v>4</v>
      </c>
      <c r="H4575" s="5" t="s">
        <v>5</v>
      </c>
      <c r="I4575" s="6">
        <v>45903</v>
      </c>
    </row>
    <row r="4576" spans="1:9" ht="13.5">
      <c r="A4576" s="2" t="s">
        <v>4771</v>
      </c>
      <c r="B4576" s="3"/>
      <c r="C4576" s="4" t="s">
        <v>7661</v>
      </c>
      <c r="D4576" s="4" t="s">
        <v>7662</v>
      </c>
      <c r="E4576" s="5" t="s">
        <v>4773</v>
      </c>
      <c r="F4576" s="5" t="str">
        <f t="shared" si="71"/>
        <v>dryft.se</v>
      </c>
      <c r="G4576" s="5" t="s">
        <v>4</v>
      </c>
      <c r="H4576" s="5" t="s">
        <v>5</v>
      </c>
      <c r="I4576" s="6">
        <v>45876</v>
      </c>
    </row>
    <row r="4577" spans="1:9" ht="13.5">
      <c r="A4577" s="7"/>
      <c r="B4577" s="3"/>
      <c r="C4577" s="5"/>
      <c r="D4577" s="5"/>
      <c r="E4577" s="5"/>
      <c r="F4577" s="5">
        <f t="shared" si="71"/>
        <v>0</v>
      </c>
      <c r="G4577" s="5"/>
      <c r="H4577" s="5"/>
      <c r="I4577" s="5"/>
    </row>
    <row r="4578" spans="1:9" ht="13.5">
      <c r="A4578" s="2" t="s">
        <v>5589</v>
      </c>
      <c r="B4578" s="3"/>
      <c r="C4578" s="4" t="s">
        <v>7663</v>
      </c>
      <c r="D4578" s="4" t="s">
        <v>6568</v>
      </c>
      <c r="E4578" s="5" t="s">
        <v>3681</v>
      </c>
      <c r="F4578" s="5" t="str">
        <f t="shared" si="71"/>
        <v>dbet.com</v>
      </c>
      <c r="G4578" s="5" t="s">
        <v>4</v>
      </c>
      <c r="H4578" s="5" t="s">
        <v>5</v>
      </c>
      <c r="I4578" s="6">
        <v>45905</v>
      </c>
    </row>
    <row r="4579" spans="1:9" ht="13.5">
      <c r="A4579" s="7" t="s">
        <v>6789</v>
      </c>
      <c r="B4579" s="3"/>
      <c r="C4579" s="4" t="s">
        <v>7664</v>
      </c>
      <c r="D4579" s="4" t="s">
        <v>6791</v>
      </c>
      <c r="E4579" s="5" t="s">
        <v>2840</v>
      </c>
      <c r="F4579" s="5" t="str">
        <f t="shared" si="71"/>
        <v>Bettingsyndikatet</v>
      </c>
      <c r="G4579" s="5" t="s">
        <v>4</v>
      </c>
      <c r="H4579" s="5" t="s">
        <v>5</v>
      </c>
      <c r="I4579" s="6">
        <v>45905</v>
      </c>
    </row>
    <row r="4580" spans="1:9" ht="13.5">
      <c r="A4580" s="2" t="s">
        <v>703</v>
      </c>
      <c r="B4580" s="3"/>
      <c r="C4580" s="138" t="s">
        <v>7665</v>
      </c>
      <c r="D4580" s="4" t="s">
        <v>7666</v>
      </c>
      <c r="E4580" s="5" t="s">
        <v>7667</v>
      </c>
      <c r="F4580" s="5" t="str">
        <f t="shared" si="71"/>
        <v>distansinstitutet.se</v>
      </c>
      <c r="G4580" s="5" t="s">
        <v>4</v>
      </c>
      <c r="H4580" s="5" t="s">
        <v>5</v>
      </c>
      <c r="I4580" s="6">
        <v>45905</v>
      </c>
    </row>
    <row r="4581" spans="1:9" ht="13.5">
      <c r="A4581" s="7" t="s">
        <v>2281</v>
      </c>
      <c r="B4581" s="3"/>
      <c r="C4581" s="4" t="s">
        <v>7668</v>
      </c>
      <c r="D4581" s="4" t="s">
        <v>2283</v>
      </c>
      <c r="E4581" s="5" t="s">
        <v>1039</v>
      </c>
      <c r="F4581" s="5" t="str">
        <f t="shared" si="71"/>
        <v>tandläkare.se</v>
      </c>
      <c r="G4581" s="5" t="s">
        <v>4</v>
      </c>
      <c r="H4581" s="5" t="s">
        <v>5</v>
      </c>
      <c r="I4581" s="6">
        <v>45905</v>
      </c>
    </row>
    <row r="4582" spans="1:9" ht="13.5">
      <c r="A4582" s="7"/>
      <c r="B4582" s="3"/>
      <c r="C4582" s="5"/>
      <c r="D4582" s="5"/>
      <c r="E4582" s="5"/>
      <c r="F4582" s="5">
        <f t="shared" si="71"/>
        <v>0</v>
      </c>
      <c r="G4582" s="5"/>
      <c r="H4582" s="5"/>
      <c r="I4582" s="5"/>
    </row>
    <row r="4583" spans="1:9" ht="13.5">
      <c r="A4583" s="2" t="s">
        <v>7669</v>
      </c>
      <c r="B4583" s="3"/>
      <c r="C4583" s="4" t="s">
        <v>7670</v>
      </c>
      <c r="D4583" s="4" t="s">
        <v>6641</v>
      </c>
      <c r="E4583" s="5" t="s">
        <v>6645</v>
      </c>
      <c r="F4583" s="5" t="str">
        <f t="shared" si="71"/>
        <v>https://ljudia.se/artiklar/gemenskap/</v>
      </c>
      <c r="G4583" s="5" t="s">
        <v>4</v>
      </c>
      <c r="H4583" s="5" t="s">
        <v>345</v>
      </c>
      <c r="I4583" s="6">
        <v>45908</v>
      </c>
    </row>
    <row r="4584" spans="1:9" ht="13.5">
      <c r="A4584" s="7"/>
      <c r="B4584" s="3"/>
      <c r="C4584" s="4" t="s">
        <v>7671</v>
      </c>
      <c r="D4584" s="4" t="s">
        <v>6325</v>
      </c>
      <c r="E4584" s="5" t="s">
        <v>4495</v>
      </c>
      <c r="F4584" s="5">
        <f t="shared" si="71"/>
        <v>0</v>
      </c>
      <c r="G4584" s="5" t="s">
        <v>4</v>
      </c>
      <c r="H4584" s="5" t="s">
        <v>345</v>
      </c>
      <c r="I4584" s="6">
        <v>45908</v>
      </c>
    </row>
    <row r="4585" spans="1:9" ht="13.5" customHeight="1">
      <c r="A4585" s="2" t="s">
        <v>2357</v>
      </c>
      <c r="B4585" s="3"/>
      <c r="C4585" s="4" t="s">
        <v>7672</v>
      </c>
      <c r="D4585" s="4" t="s">
        <v>5847</v>
      </c>
      <c r="E4585" s="5" t="s">
        <v>7673</v>
      </c>
      <c r="F4585" s="5" t="str">
        <f t="shared" si="71"/>
        <v>lsb.se</v>
      </c>
      <c r="G4585" s="5" t="s">
        <v>4</v>
      </c>
      <c r="H4585" s="5" t="s">
        <v>5</v>
      </c>
      <c r="I4585" s="6">
        <v>45908</v>
      </c>
    </row>
    <row r="4586" spans="1:9" ht="13.5">
      <c r="A4586" s="7" t="s">
        <v>6789</v>
      </c>
      <c r="B4586" s="3"/>
      <c r="C4586" s="4" t="s">
        <v>7674</v>
      </c>
      <c r="D4586" s="4" t="s">
        <v>6791</v>
      </c>
      <c r="E4586" s="5" t="s">
        <v>3115</v>
      </c>
      <c r="F4586" s="5" t="str">
        <f t="shared" si="71"/>
        <v>Bettingsyndikatet</v>
      </c>
      <c r="G4586" s="5" t="s">
        <v>4</v>
      </c>
      <c r="H4586" s="5" t="s">
        <v>5</v>
      </c>
      <c r="I4586" s="6">
        <v>45908</v>
      </c>
    </row>
    <row r="4587" spans="1:9" ht="13.5">
      <c r="A4587" s="2" t="s">
        <v>3090</v>
      </c>
      <c r="B4587" s="3"/>
      <c r="C4587" s="4" t="s">
        <v>7675</v>
      </c>
      <c r="D4587" s="4" t="s">
        <v>3092</v>
      </c>
      <c r="E4587" s="5" t="s">
        <v>3093</v>
      </c>
      <c r="F4587" s="5" t="str">
        <f t="shared" si="71"/>
        <v>videoslots.com</v>
      </c>
      <c r="G4587" s="5" t="s">
        <v>4</v>
      </c>
      <c r="H4587" s="5" t="s">
        <v>5</v>
      </c>
      <c r="I4587" s="6">
        <v>45908</v>
      </c>
    </row>
    <row r="4588" spans="1:9" ht="13.5">
      <c r="A4588" s="2" t="s">
        <v>435</v>
      </c>
      <c r="B4588" s="3"/>
      <c r="C4588" s="4" t="s">
        <v>7676</v>
      </c>
      <c r="D4588" s="4" t="s">
        <v>7677</v>
      </c>
      <c r="E4588" s="5" t="s">
        <v>563</v>
      </c>
      <c r="F4588" s="5" t="str">
        <f t="shared" si="71"/>
        <v>fairinvestments.se</v>
      </c>
      <c r="G4588" s="5" t="s">
        <v>4</v>
      </c>
      <c r="H4588" s="5" t="s">
        <v>5</v>
      </c>
      <c r="I4588" s="6">
        <v>45908</v>
      </c>
    </row>
    <row r="4589" spans="1:9" ht="13.5">
      <c r="A4589" s="2" t="s">
        <v>435</v>
      </c>
      <c r="B4589" s="3"/>
      <c r="C4589" s="4" t="s">
        <v>7678</v>
      </c>
      <c r="D4589" s="4" t="s">
        <v>1446</v>
      </c>
      <c r="E4589" s="5" t="s">
        <v>563</v>
      </c>
      <c r="F4589" s="5" t="str">
        <f t="shared" si="71"/>
        <v>fairinvestments.se</v>
      </c>
      <c r="G4589" s="5" t="s">
        <v>4</v>
      </c>
      <c r="H4589" s="5" t="s">
        <v>5</v>
      </c>
      <c r="I4589" s="6">
        <v>45908</v>
      </c>
    </row>
    <row r="4590" spans="1:9" ht="13.5">
      <c r="A4590" s="2" t="s">
        <v>6021</v>
      </c>
      <c r="B4590" s="3"/>
      <c r="C4590" s="4" t="s">
        <v>7679</v>
      </c>
      <c r="D4590" s="4" t="s">
        <v>7680</v>
      </c>
      <c r="E4590" s="5" t="s">
        <v>7681</v>
      </c>
      <c r="F4590" s="5" t="str">
        <f t="shared" si="71"/>
        <v>mrvegas.com</v>
      </c>
      <c r="G4590" s="5" t="s">
        <v>4</v>
      </c>
      <c r="H4590" s="5" t="s">
        <v>5</v>
      </c>
      <c r="I4590" s="6">
        <v>45908</v>
      </c>
    </row>
    <row r="4591" spans="1:9" ht="13.5">
      <c r="A4591" s="2" t="s">
        <v>6659</v>
      </c>
      <c r="B4591" s="3"/>
      <c r="C4591" s="4" t="s">
        <v>7682</v>
      </c>
      <c r="D4591" s="4" t="s">
        <v>6711</v>
      </c>
      <c r="E4591" s="5" t="s">
        <v>6712</v>
      </c>
      <c r="F4591" s="5" t="str">
        <f t="shared" si="71"/>
        <v>northtracker.com</v>
      </c>
      <c r="G4591" s="5" t="s">
        <v>4</v>
      </c>
      <c r="H4591" s="5" t="s">
        <v>5</v>
      </c>
      <c r="I4591" s="6">
        <v>45908</v>
      </c>
    </row>
    <row r="4592" spans="1:9" ht="13.5">
      <c r="A4592" s="2" t="s">
        <v>435</v>
      </c>
      <c r="B4592" s="3"/>
      <c r="C4592" s="4" t="s">
        <v>7683</v>
      </c>
      <c r="D4592" s="4" t="s">
        <v>3993</v>
      </c>
      <c r="E4592" s="5" t="s">
        <v>563</v>
      </c>
      <c r="F4592" s="5" t="str">
        <f t="shared" si="71"/>
        <v>fairinvestments.se</v>
      </c>
      <c r="G4592" s="5" t="s">
        <v>4</v>
      </c>
      <c r="H4592" s="5" t="s">
        <v>5</v>
      </c>
      <c r="I4592" s="6">
        <v>45908</v>
      </c>
    </row>
    <row r="4593" spans="1:9" ht="13.5">
      <c r="A4593" s="2" t="s">
        <v>2357</v>
      </c>
      <c r="B4593" s="3"/>
      <c r="C4593" s="4" t="s">
        <v>7684</v>
      </c>
      <c r="D4593" s="4" t="s">
        <v>5685</v>
      </c>
      <c r="E4593" s="5" t="s">
        <v>4400</v>
      </c>
      <c r="F4593" s="5" t="str">
        <f t="shared" si="71"/>
        <v>lsb.se</v>
      </c>
      <c r="G4593" s="5" t="s">
        <v>4</v>
      </c>
      <c r="H4593" s="5" t="s">
        <v>5</v>
      </c>
      <c r="I4593" s="6">
        <v>45903</v>
      </c>
    </row>
    <row r="4594" spans="1:9" ht="13.5">
      <c r="A4594" s="2" t="s">
        <v>6025</v>
      </c>
      <c r="B4594" s="3"/>
      <c r="C4594" s="4" t="s">
        <v>7685</v>
      </c>
      <c r="D4594" s="4" t="s">
        <v>6405</v>
      </c>
      <c r="E4594" s="5" t="s">
        <v>6054</v>
      </c>
      <c r="F4594" s="5" t="str">
        <f t="shared" si="71"/>
        <v>megariches.com</v>
      </c>
      <c r="G4594" s="5" t="s">
        <v>4</v>
      </c>
      <c r="H4594" s="5" t="s">
        <v>5</v>
      </c>
      <c r="I4594" s="6">
        <v>45901</v>
      </c>
    </row>
    <row r="4595" spans="1:9" ht="13.5">
      <c r="A4595" s="2" t="s">
        <v>6639</v>
      </c>
      <c r="B4595" s="3"/>
      <c r="C4595" s="4" t="s">
        <v>7686</v>
      </c>
      <c r="D4595" s="8" t="s">
        <v>7687</v>
      </c>
      <c r="E4595" s="5" t="s">
        <v>7689</v>
      </c>
      <c r="F4595" s="5" t="str">
        <f t="shared" si="71"/>
        <v>epidemicsounds.com</v>
      </c>
      <c r="G4595" s="5" t="s">
        <v>4</v>
      </c>
      <c r="H4595" s="5" t="s">
        <v>7688</v>
      </c>
      <c r="I4595" s="6">
        <v>45908</v>
      </c>
    </row>
    <row r="4596" spans="1:9" ht="13.5">
      <c r="A4596" s="2" t="s">
        <v>6021</v>
      </c>
      <c r="B4596" s="3"/>
      <c r="C4596" s="4" t="s">
        <v>7690</v>
      </c>
      <c r="D4596" s="4" t="s">
        <v>6056</v>
      </c>
      <c r="E4596" s="5" t="s">
        <v>7691</v>
      </c>
      <c r="F4596" s="5" t="str">
        <f t="shared" si="71"/>
        <v>mrvegas.com</v>
      </c>
      <c r="G4596" s="5" t="s">
        <v>4</v>
      </c>
      <c r="H4596" s="5" t="s">
        <v>5</v>
      </c>
      <c r="I4596" s="6">
        <v>45911</v>
      </c>
    </row>
    <row r="4597" spans="1:9" ht="13.5">
      <c r="A4597" s="2" t="s">
        <v>6415</v>
      </c>
      <c r="B4597" s="3"/>
      <c r="C4597" s="4" t="s">
        <v>7692</v>
      </c>
      <c r="D4597" s="4" t="s">
        <v>6417</v>
      </c>
      <c r="E4597" s="5" t="s">
        <v>6418</v>
      </c>
      <c r="F4597" s="5" t="str">
        <f t="shared" si="71"/>
        <v>comfydence.se</v>
      </c>
      <c r="G4597" s="5" t="s">
        <v>4</v>
      </c>
      <c r="H4597" s="5" t="s">
        <v>5</v>
      </c>
      <c r="I4597" s="6">
        <v>45887</v>
      </c>
    </row>
    <row r="4598" spans="1:9" ht="13.5">
      <c r="A4598" s="2" t="s">
        <v>6025</v>
      </c>
      <c r="B4598" s="3"/>
      <c r="C4598" s="4" t="s">
        <v>7685</v>
      </c>
      <c r="D4598" s="4" t="s">
        <v>6405</v>
      </c>
      <c r="E4598" s="5" t="s">
        <v>6054</v>
      </c>
      <c r="F4598" s="5" t="str">
        <f t="shared" si="71"/>
        <v>megariches.com</v>
      </c>
      <c r="G4598" s="5" t="s">
        <v>4</v>
      </c>
      <c r="H4598" s="5" t="s">
        <v>5</v>
      </c>
      <c r="I4598" s="6">
        <v>45901</v>
      </c>
    </row>
    <row r="4599" spans="1:9" ht="13.5">
      <c r="A4599" s="2" t="s">
        <v>6415</v>
      </c>
      <c r="B4599" s="3"/>
      <c r="C4599" s="4" t="s">
        <v>7693</v>
      </c>
      <c r="D4599" s="4" t="s">
        <v>6417</v>
      </c>
      <c r="E4599" s="5" t="s">
        <v>6418</v>
      </c>
      <c r="F4599" s="5" t="str">
        <f t="shared" si="71"/>
        <v>comfydence.se</v>
      </c>
      <c r="G4599" s="5" t="s">
        <v>4</v>
      </c>
      <c r="H4599" s="5" t="s">
        <v>5</v>
      </c>
      <c r="I4599" s="6">
        <v>45901</v>
      </c>
    </row>
    <row r="4600" spans="1:9" ht="13.5">
      <c r="A4600" s="2" t="s">
        <v>3128</v>
      </c>
      <c r="B4600" s="3"/>
      <c r="C4600" s="4" t="s">
        <v>7694</v>
      </c>
      <c r="D4600" s="4" t="s">
        <v>3130</v>
      </c>
      <c r="E4600" s="5" t="s">
        <v>7695</v>
      </c>
      <c r="F4600" s="5" t="str">
        <f t="shared" si="71"/>
        <v>bethard.com</v>
      </c>
      <c r="G4600" s="5" t="s">
        <v>4</v>
      </c>
      <c r="H4600" s="5" t="s">
        <v>5</v>
      </c>
      <c r="I4600" s="6">
        <v>45915</v>
      </c>
    </row>
    <row r="4601" spans="1:9" ht="13.5">
      <c r="A4601" s="2" t="s">
        <v>6025</v>
      </c>
      <c r="B4601" s="3"/>
      <c r="C4601" s="4" t="s">
        <v>7696</v>
      </c>
      <c r="D4601" s="4" t="s">
        <v>6063</v>
      </c>
      <c r="E4601" s="5" t="s">
        <v>7697</v>
      </c>
      <c r="F4601" s="5" t="str">
        <f t="shared" si="71"/>
        <v>megariches.com</v>
      </c>
      <c r="G4601" s="5" t="s">
        <v>4</v>
      </c>
      <c r="H4601" s="5" t="s">
        <v>3496</v>
      </c>
      <c r="I4601" s="6">
        <v>45915</v>
      </c>
    </row>
    <row r="4602" spans="1:9" ht="13.5">
      <c r="A4602" s="2" t="s">
        <v>171</v>
      </c>
      <c r="B4602" s="3"/>
      <c r="C4602" s="4" t="s">
        <v>7698</v>
      </c>
      <c r="D4602" s="4" t="s">
        <v>1095</v>
      </c>
      <c r="E4602" s="5" t="s">
        <v>1533</v>
      </c>
      <c r="F4602" s="5" t="str">
        <f t="shared" si="71"/>
        <v>arctic.se</v>
      </c>
      <c r="G4602" s="5" t="s">
        <v>4</v>
      </c>
      <c r="H4602" s="5" t="s">
        <v>5</v>
      </c>
      <c r="I4602" s="6">
        <v>45907</v>
      </c>
    </row>
    <row r="4603" spans="1:9" ht="13.5">
      <c r="A4603" s="2" t="s">
        <v>171</v>
      </c>
      <c r="B4603" s="3"/>
      <c r="C4603" s="4" t="s">
        <v>7699</v>
      </c>
      <c r="D4603" s="4" t="s">
        <v>1095</v>
      </c>
      <c r="E4603" s="5" t="s">
        <v>2856</v>
      </c>
      <c r="F4603" s="5" t="str">
        <f t="shared" si="71"/>
        <v>arctic.se</v>
      </c>
      <c r="G4603" s="5" t="s">
        <v>4</v>
      </c>
      <c r="H4603" s="5" t="s">
        <v>5</v>
      </c>
      <c r="I4603" s="6">
        <v>45907</v>
      </c>
    </row>
    <row r="4604" spans="1:9" ht="13.5">
      <c r="A4604" s="2" t="s">
        <v>308</v>
      </c>
      <c r="B4604" s="3"/>
      <c r="C4604" s="138" t="s">
        <v>7700</v>
      </c>
      <c r="D4604" s="4" t="s">
        <v>1395</v>
      </c>
      <c r="E4604" s="5" t="s">
        <v>2489</v>
      </c>
      <c r="F4604" s="5" t="str">
        <f t="shared" si="71"/>
        <v>lansfast.se</v>
      </c>
      <c r="G4604" s="5" t="s">
        <v>4</v>
      </c>
      <c r="H4604" s="5" t="s">
        <v>5</v>
      </c>
      <c r="I4604" s="6">
        <v>45907</v>
      </c>
    </row>
    <row r="4605" spans="1:9" ht="13.5">
      <c r="A4605" s="2" t="s">
        <v>3580</v>
      </c>
      <c r="B4605" s="3"/>
      <c r="C4605" s="138" t="s">
        <v>7701</v>
      </c>
      <c r="D4605" s="4" t="s">
        <v>5312</v>
      </c>
      <c r="E4605" s="5" t="s">
        <v>5313</v>
      </c>
      <c r="F4605" s="5" t="str">
        <f t="shared" si="71"/>
        <v>kleer.se</v>
      </c>
      <c r="G4605" s="5" t="s">
        <v>4</v>
      </c>
      <c r="H4605" s="5" t="s">
        <v>5</v>
      </c>
      <c r="I4605" s="6">
        <v>45907</v>
      </c>
    </row>
    <row r="4606" spans="1:9" ht="13.5">
      <c r="A4606" s="2" t="s">
        <v>3058</v>
      </c>
      <c r="B4606" s="3"/>
      <c r="C4606" s="4" t="s">
        <v>7702</v>
      </c>
      <c r="D4606" s="4" t="s">
        <v>3063</v>
      </c>
      <c r="E4606" s="5" t="s">
        <v>3064</v>
      </c>
      <c r="F4606" s="5" t="str">
        <f t="shared" si="71"/>
        <v>rusta.se</v>
      </c>
      <c r="G4606" s="5" t="s">
        <v>4</v>
      </c>
      <c r="H4606" s="5" t="s">
        <v>5</v>
      </c>
      <c r="I4606" s="6">
        <v>45907</v>
      </c>
    </row>
    <row r="4607" spans="1:9" ht="13.5">
      <c r="A4607" s="2" t="s">
        <v>3058</v>
      </c>
      <c r="B4607" s="3"/>
      <c r="C4607" s="4" t="s">
        <v>7703</v>
      </c>
      <c r="D4607" s="4" t="s">
        <v>5034</v>
      </c>
      <c r="E4607" s="5" t="s">
        <v>14</v>
      </c>
      <c r="F4607" s="5" t="str">
        <f t="shared" si="71"/>
        <v>rusta.se</v>
      </c>
      <c r="G4607" s="5" t="s">
        <v>4</v>
      </c>
      <c r="H4607" s="5" t="s">
        <v>5</v>
      </c>
      <c r="I4607" s="6">
        <v>45907</v>
      </c>
    </row>
    <row r="4608" spans="1:9" ht="13.5">
      <c r="A4608" s="2" t="s">
        <v>2127</v>
      </c>
      <c r="B4608" s="3"/>
      <c r="C4608" s="4" t="s">
        <v>7704</v>
      </c>
      <c r="D4608" s="4" t="s">
        <v>5319</v>
      </c>
      <c r="E4608" s="5" t="s">
        <v>4999</v>
      </c>
      <c r="F4608" s="5" t="str">
        <f t="shared" si="71"/>
        <v>startmotor.se</v>
      </c>
      <c r="G4608" s="5" t="s">
        <v>4</v>
      </c>
      <c r="H4608" s="5" t="s">
        <v>5</v>
      </c>
      <c r="I4608" s="6">
        <v>45907</v>
      </c>
    </row>
    <row r="4609" spans="1:9" ht="13.5">
      <c r="A4609" s="2" t="s">
        <v>2127</v>
      </c>
      <c r="B4609" s="3"/>
      <c r="C4609" s="4" t="s">
        <v>7705</v>
      </c>
      <c r="D4609" s="4" t="s">
        <v>5321</v>
      </c>
      <c r="E4609" s="5" t="s">
        <v>5322</v>
      </c>
      <c r="F4609" s="5" t="str">
        <f t="shared" si="71"/>
        <v>startmotor.se</v>
      </c>
      <c r="G4609" s="5" t="s">
        <v>4</v>
      </c>
      <c r="H4609" s="5" t="s">
        <v>5</v>
      </c>
      <c r="I4609" s="6">
        <v>45907</v>
      </c>
    </row>
    <row r="4610" spans="1:9" ht="13.5">
      <c r="A4610" s="7" t="s">
        <v>3747</v>
      </c>
      <c r="B4610" s="3"/>
      <c r="C4610" s="4" t="s">
        <v>7706</v>
      </c>
      <c r="D4610" s="4" t="s">
        <v>3749</v>
      </c>
      <c r="E4610" s="5" t="s">
        <v>3750</v>
      </c>
      <c r="F4610" s="5" t="str">
        <f t="shared" si="71"/>
        <v>supernormal.health</v>
      </c>
      <c r="G4610" s="5" t="s">
        <v>4</v>
      </c>
      <c r="H4610" s="5" t="s">
        <v>5</v>
      </c>
      <c r="I4610" s="6">
        <v>45907</v>
      </c>
    </row>
    <row r="4611" spans="1:9" ht="13.5">
      <c r="A4611" s="2" t="s">
        <v>3824</v>
      </c>
      <c r="B4611" s="3"/>
      <c r="C4611" s="4" t="s">
        <v>7707</v>
      </c>
      <c r="D4611" s="4" t="s">
        <v>4358</v>
      </c>
      <c r="E4611" s="5" t="s">
        <v>5325</v>
      </c>
      <c r="F4611" s="5" t="str">
        <f t="shared" ref="F4611:F4674" si="72">A4611</f>
        <v>swedenlongstay.se</v>
      </c>
      <c r="G4611" s="5" t="s">
        <v>4</v>
      </c>
      <c r="H4611" s="5" t="s">
        <v>5</v>
      </c>
      <c r="I4611" s="6">
        <v>45907</v>
      </c>
    </row>
    <row r="4612" spans="1:9" ht="13.5">
      <c r="A4612" s="2" t="s">
        <v>3824</v>
      </c>
      <c r="B4612" s="3"/>
      <c r="C4612" s="4" t="s">
        <v>7708</v>
      </c>
      <c r="D4612" s="4" t="s">
        <v>5327</v>
      </c>
      <c r="E4612" s="5" t="s">
        <v>5328</v>
      </c>
      <c r="F4612" s="5" t="str">
        <f t="shared" si="72"/>
        <v>swedenlongstay.se</v>
      </c>
      <c r="G4612" s="5" t="s">
        <v>4</v>
      </c>
      <c r="H4612" s="5" t="s">
        <v>5</v>
      </c>
      <c r="I4612" s="6">
        <v>45907</v>
      </c>
    </row>
    <row r="4613" spans="1:9" ht="13.5">
      <c r="A4613" s="7" t="s">
        <v>224</v>
      </c>
      <c r="B4613" s="3"/>
      <c r="C4613" s="4" t="s">
        <v>7709</v>
      </c>
      <c r="D4613" s="4" t="s">
        <v>461</v>
      </c>
      <c r="E4613" s="5" t="s">
        <v>1117</v>
      </c>
      <c r="F4613" s="5" t="str">
        <f t="shared" si="72"/>
        <v>swedoffice</v>
      </c>
      <c r="G4613" s="5" t="s">
        <v>4</v>
      </c>
      <c r="H4613" s="5" t="s">
        <v>5</v>
      </c>
      <c r="I4613" s="6">
        <v>45907</v>
      </c>
    </row>
    <row r="4614" spans="1:9" ht="13.5">
      <c r="A4614" s="7" t="s">
        <v>224</v>
      </c>
      <c r="B4614" s="3"/>
      <c r="C4614" s="4" t="s">
        <v>7710</v>
      </c>
      <c r="D4614" s="4" t="s">
        <v>226</v>
      </c>
      <c r="E4614" s="5" t="s">
        <v>368</v>
      </c>
      <c r="F4614" s="5" t="str">
        <f t="shared" si="72"/>
        <v>swedoffice</v>
      </c>
      <c r="G4614" s="5" t="s">
        <v>4</v>
      </c>
      <c r="H4614" s="5" t="s">
        <v>5</v>
      </c>
      <c r="I4614" s="6">
        <v>45907</v>
      </c>
    </row>
    <row r="4615" spans="1:9" ht="13.5">
      <c r="A4615" s="2" t="s">
        <v>2428</v>
      </c>
      <c r="B4615" s="3"/>
      <c r="C4615" s="4" t="s">
        <v>7711</v>
      </c>
      <c r="D4615" s="4" t="s">
        <v>5081</v>
      </c>
      <c r="E4615" s="5" t="s">
        <v>5331</v>
      </c>
      <c r="F4615" s="5" t="str">
        <f t="shared" si="72"/>
        <v>sakraror.se</v>
      </c>
      <c r="G4615" s="5" t="s">
        <v>4</v>
      </c>
      <c r="H4615" s="5" t="s">
        <v>5</v>
      </c>
      <c r="I4615" s="6">
        <v>45907</v>
      </c>
    </row>
    <row r="4616" spans="1:9" ht="13.5">
      <c r="A4616" s="2" t="s">
        <v>2428</v>
      </c>
      <c r="B4616" s="3"/>
      <c r="C4616" s="4" t="s">
        <v>7712</v>
      </c>
      <c r="D4616" s="4" t="s">
        <v>4762</v>
      </c>
      <c r="E4616" s="5" t="s">
        <v>5947</v>
      </c>
      <c r="F4616" s="5" t="str">
        <f t="shared" si="72"/>
        <v>sakraror.se</v>
      </c>
      <c r="G4616" s="5" t="s">
        <v>4</v>
      </c>
      <c r="H4616" s="5" t="s">
        <v>5</v>
      </c>
      <c r="I4616" s="6">
        <v>45907</v>
      </c>
    </row>
    <row r="4617" spans="1:9" ht="13.5">
      <c r="A4617" s="2" t="s">
        <v>325</v>
      </c>
      <c r="B4617" s="3"/>
      <c r="C4617" s="4" t="s">
        <v>7713</v>
      </c>
      <c r="D4617" s="4" t="s">
        <v>1244</v>
      </c>
      <c r="E4617" s="5" t="s">
        <v>463</v>
      </c>
      <c r="F4617" s="5" t="str">
        <f t="shared" si="72"/>
        <v>tiotak.se</v>
      </c>
      <c r="G4617" s="5" t="s">
        <v>4</v>
      </c>
      <c r="H4617" s="5" t="s">
        <v>5</v>
      </c>
      <c r="I4617" s="6">
        <v>45907</v>
      </c>
    </row>
    <row r="4618" spans="1:9" ht="13.5">
      <c r="A4618" s="2" t="s">
        <v>325</v>
      </c>
      <c r="B4618" s="3"/>
      <c r="C4618" s="4" t="s">
        <v>7714</v>
      </c>
      <c r="D4618" s="4" t="s">
        <v>873</v>
      </c>
      <c r="E4618" s="5" t="s">
        <v>2922</v>
      </c>
      <c r="F4618" s="5" t="str">
        <f t="shared" si="72"/>
        <v>tiotak.se</v>
      </c>
      <c r="G4618" s="5" t="s">
        <v>4</v>
      </c>
      <c r="H4618" s="5" t="s">
        <v>5</v>
      </c>
      <c r="I4618" s="6">
        <v>45907</v>
      </c>
    </row>
    <row r="4619" spans="1:9" ht="13.5">
      <c r="A4619" s="2" t="s">
        <v>535</v>
      </c>
      <c r="B4619" s="3"/>
      <c r="C4619" s="4" t="s">
        <v>7715</v>
      </c>
      <c r="D4619" s="4" t="s">
        <v>3327</v>
      </c>
      <c r="E4619" s="5" t="s">
        <v>1448</v>
      </c>
      <c r="F4619" s="5" t="str">
        <f t="shared" si="72"/>
        <v>tryggbil.se</v>
      </c>
      <c r="G4619" s="5" t="s">
        <v>4</v>
      </c>
      <c r="H4619" s="5" t="s">
        <v>5</v>
      </c>
      <c r="I4619" s="6">
        <v>45907</v>
      </c>
    </row>
    <row r="4620" spans="1:9" ht="13.5">
      <c r="A4620" s="2" t="s">
        <v>535</v>
      </c>
      <c r="B4620" s="3"/>
      <c r="C4620" s="4" t="s">
        <v>7716</v>
      </c>
      <c r="D4620" s="4" t="s">
        <v>3327</v>
      </c>
      <c r="E4620" s="5" t="s">
        <v>540</v>
      </c>
      <c r="F4620" s="5" t="str">
        <f t="shared" si="72"/>
        <v>tryggbil.se</v>
      </c>
      <c r="G4620" s="5" t="s">
        <v>4</v>
      </c>
      <c r="H4620" s="5" t="s">
        <v>5</v>
      </c>
      <c r="I4620" s="6">
        <v>45907</v>
      </c>
    </row>
    <row r="4621" spans="1:9" ht="13.5">
      <c r="A4621" s="7" t="s">
        <v>2281</v>
      </c>
      <c r="B4621" s="3"/>
      <c r="C4621" s="4" t="s">
        <v>7717</v>
      </c>
      <c r="D4621" s="4" t="s">
        <v>2283</v>
      </c>
      <c r="E4621" s="5" t="s">
        <v>963</v>
      </c>
      <c r="F4621" s="5" t="str">
        <f t="shared" si="72"/>
        <v>tandläkare.se</v>
      </c>
      <c r="G4621" s="5" t="s">
        <v>4</v>
      </c>
      <c r="H4621" s="5" t="s">
        <v>5</v>
      </c>
      <c r="I4621" s="6">
        <v>45907</v>
      </c>
    </row>
    <row r="4622" spans="1:9" ht="13.5">
      <c r="A4622" s="7" t="s">
        <v>2281</v>
      </c>
      <c r="B4622" s="3"/>
      <c r="C4622" s="4" t="s">
        <v>7718</v>
      </c>
      <c r="D4622" s="4" t="s">
        <v>5015</v>
      </c>
      <c r="E4622" s="5" t="s">
        <v>5016</v>
      </c>
      <c r="F4622" s="5" t="str">
        <f t="shared" si="72"/>
        <v>tandläkare.se</v>
      </c>
      <c r="G4622" s="5" t="s">
        <v>4</v>
      </c>
      <c r="H4622" s="5" t="s">
        <v>5</v>
      </c>
      <c r="I4622" s="6">
        <v>45907</v>
      </c>
    </row>
    <row r="4623" spans="1:9" ht="13.5">
      <c r="A4623" s="2" t="s">
        <v>5020</v>
      </c>
      <c r="B4623" s="3"/>
      <c r="C4623" s="4" t="s">
        <v>7719</v>
      </c>
      <c r="D4623" s="4" t="s">
        <v>5020</v>
      </c>
      <c r="E4623" s="5" t="s">
        <v>5022</v>
      </c>
      <c r="F4623" s="5" t="str">
        <f t="shared" si="72"/>
        <v>sesec.se</v>
      </c>
      <c r="G4623" s="5" t="s">
        <v>4</v>
      </c>
      <c r="H4623" s="5" t="s">
        <v>5</v>
      </c>
      <c r="I4623" s="6">
        <v>45907</v>
      </c>
    </row>
    <row r="4624" spans="1:9" ht="13.5">
      <c r="A4624" s="2" t="s">
        <v>3832</v>
      </c>
      <c r="B4624" s="3"/>
      <c r="C4624" s="4" t="s">
        <v>7720</v>
      </c>
      <c r="D4624" s="4" t="s">
        <v>3832</v>
      </c>
      <c r="E4624" s="5" t="s">
        <v>6537</v>
      </c>
      <c r="F4624" s="5" t="str">
        <f t="shared" si="72"/>
        <v>michaelofrisorerna.se</v>
      </c>
      <c r="G4624" s="5" t="s">
        <v>4</v>
      </c>
      <c r="H4624" s="5" t="s">
        <v>5</v>
      </c>
      <c r="I4624" s="6">
        <v>45907</v>
      </c>
    </row>
    <row r="4625" spans="1:9" ht="13.5">
      <c r="A4625" s="2" t="s">
        <v>3832</v>
      </c>
      <c r="B4625" s="3"/>
      <c r="C4625" s="4" t="s">
        <v>7721</v>
      </c>
      <c r="D4625" s="4" t="s">
        <v>6539</v>
      </c>
      <c r="E4625" s="5" t="s">
        <v>6540</v>
      </c>
      <c r="F4625" s="5" t="str">
        <f t="shared" si="72"/>
        <v>michaelofrisorerna.se</v>
      </c>
      <c r="G4625" s="5" t="s">
        <v>4</v>
      </c>
      <c r="H4625" s="5" t="s">
        <v>5</v>
      </c>
      <c r="I4625" s="6">
        <v>45907</v>
      </c>
    </row>
    <row r="4626" spans="1:9" ht="13.5">
      <c r="A4626" s="2" t="s">
        <v>5350</v>
      </c>
      <c r="B4626" s="3"/>
      <c r="C4626" s="4" t="s">
        <v>7722</v>
      </c>
      <c r="D4626" s="4" t="s">
        <v>5352</v>
      </c>
      <c r="E4626" s="5" t="s">
        <v>5353</v>
      </c>
      <c r="F4626" s="5" t="str">
        <f t="shared" si="72"/>
        <v>lilla-varlden.se</v>
      </c>
      <c r="G4626" s="5" t="s">
        <v>4</v>
      </c>
      <c r="H4626" s="5" t="s">
        <v>5</v>
      </c>
      <c r="I4626" s="6">
        <v>45907</v>
      </c>
    </row>
    <row r="4627" spans="1:9" ht="13.5">
      <c r="A4627" s="2" t="s">
        <v>846</v>
      </c>
      <c r="B4627" s="3"/>
      <c r="C4627" s="4" t="s">
        <v>7723</v>
      </c>
      <c r="D4627" s="4" t="s">
        <v>5211</v>
      </c>
      <c r="E4627" s="5" t="s">
        <v>5355</v>
      </c>
      <c r="F4627" s="5" t="str">
        <f t="shared" si="72"/>
        <v>tandea.se</v>
      </c>
      <c r="G4627" s="5" t="s">
        <v>4</v>
      </c>
      <c r="H4627" s="5" t="s">
        <v>5</v>
      </c>
      <c r="I4627" s="6">
        <v>45907</v>
      </c>
    </row>
    <row r="4628" spans="1:9" ht="13.5">
      <c r="A4628" s="7" t="s">
        <v>5961</v>
      </c>
      <c r="B4628" s="3"/>
      <c r="C4628" s="4" t="s">
        <v>7724</v>
      </c>
      <c r="D4628" s="4" t="s">
        <v>5641</v>
      </c>
      <c r="E4628" s="5" t="s">
        <v>5642</v>
      </c>
      <c r="F4628" s="5" t="str">
        <f t="shared" si="72"/>
        <v>Sahlsten Skincare</v>
      </c>
      <c r="G4628" s="5" t="s">
        <v>4</v>
      </c>
      <c r="H4628" s="5" t="s">
        <v>5</v>
      </c>
      <c r="I4628" s="6">
        <v>45907</v>
      </c>
    </row>
    <row r="4629" spans="1:9" ht="13.5">
      <c r="A4629" s="2" t="s">
        <v>7725</v>
      </c>
      <c r="B4629" s="3"/>
      <c r="C4629" s="4" t="s">
        <v>7726</v>
      </c>
      <c r="D4629" s="4" t="s">
        <v>7727</v>
      </c>
      <c r="E4629" s="5" t="s">
        <v>7728</v>
      </c>
      <c r="F4629" s="5" t="str">
        <f t="shared" si="72"/>
        <v>Finns.se</v>
      </c>
      <c r="G4629" s="5" t="s">
        <v>4</v>
      </c>
      <c r="H4629" s="5" t="s">
        <v>5</v>
      </c>
      <c r="I4629" s="6">
        <v>45907</v>
      </c>
    </row>
    <row r="4630" spans="1:9" ht="13.5">
      <c r="A4630" s="2" t="s">
        <v>6127</v>
      </c>
      <c r="B4630" s="3"/>
      <c r="C4630" s="4" t="s">
        <v>7729</v>
      </c>
      <c r="D4630" s="4" t="s">
        <v>6129</v>
      </c>
      <c r="E4630" s="5" t="s">
        <v>6342</v>
      </c>
      <c r="F4630" s="5" t="str">
        <f t="shared" si="72"/>
        <v>indoorprofessional.se</v>
      </c>
      <c r="G4630" s="5" t="s">
        <v>4</v>
      </c>
      <c r="H4630" s="5" t="s">
        <v>5</v>
      </c>
      <c r="I4630" s="6">
        <v>45907</v>
      </c>
    </row>
    <row r="4631" spans="1:9" ht="13.5">
      <c r="A4631" s="2" t="s">
        <v>6127</v>
      </c>
      <c r="B4631" s="3"/>
      <c r="C4631" s="4" t="s">
        <v>7730</v>
      </c>
      <c r="D4631" s="4" t="s">
        <v>6129</v>
      </c>
      <c r="E4631" s="5" t="s">
        <v>6342</v>
      </c>
      <c r="F4631" s="5" t="str">
        <f t="shared" si="72"/>
        <v>indoorprofessional.se</v>
      </c>
      <c r="G4631" s="5" t="s">
        <v>4</v>
      </c>
      <c r="H4631" s="5" t="s">
        <v>5</v>
      </c>
      <c r="I4631" s="6">
        <v>45907</v>
      </c>
    </row>
    <row r="4632" spans="1:9" ht="13.5">
      <c r="A4632" s="2" t="s">
        <v>100</v>
      </c>
      <c r="B4632" s="3"/>
      <c r="C4632" s="4" t="s">
        <v>7731</v>
      </c>
      <c r="D4632" s="4" t="s">
        <v>7732</v>
      </c>
      <c r="E4632" s="5" t="s">
        <v>7733</v>
      </c>
      <c r="F4632" s="5" t="str">
        <f t="shared" si="72"/>
        <v>bigbenstandup.com</v>
      </c>
      <c r="G4632" s="5" t="s">
        <v>4</v>
      </c>
      <c r="H4632" s="5" t="s">
        <v>5</v>
      </c>
      <c r="I4632" s="6">
        <v>45907</v>
      </c>
    </row>
    <row r="4633" spans="1:9" ht="13.5">
      <c r="A4633" s="2" t="s">
        <v>4553</v>
      </c>
      <c r="B4633" s="3"/>
      <c r="C4633" s="4" t="s">
        <v>7734</v>
      </c>
      <c r="D4633" s="4" t="s">
        <v>7735</v>
      </c>
      <c r="E4633" s="5" t="s">
        <v>7736</v>
      </c>
      <c r="F4633" s="5" t="str">
        <f t="shared" si="72"/>
        <v>tkw.se</v>
      </c>
      <c r="G4633" s="5" t="s">
        <v>4</v>
      </c>
      <c r="H4633" s="5" t="s">
        <v>5</v>
      </c>
      <c r="I4633" s="6">
        <v>45907</v>
      </c>
    </row>
    <row r="4634" spans="1:9" ht="13.5">
      <c r="A4634" s="7" t="s">
        <v>7737</v>
      </c>
      <c r="B4634" s="3"/>
      <c r="C4634" s="4" t="s">
        <v>7738</v>
      </c>
      <c r="D4634" s="4" t="s">
        <v>7739</v>
      </c>
      <c r="E4634" s="5" t="s">
        <v>7740</v>
      </c>
      <c r="F4634" s="5" t="str">
        <f t="shared" si="72"/>
        <v>Sveaförsäkring</v>
      </c>
      <c r="G4634" s="5" t="s">
        <v>4</v>
      </c>
      <c r="H4634" s="5" t="s">
        <v>5</v>
      </c>
      <c r="I4634" s="6">
        <v>45907</v>
      </c>
    </row>
    <row r="4635" spans="1:9" ht="13.5">
      <c r="A4635" s="2" t="s">
        <v>2836</v>
      </c>
      <c r="B4635" s="3"/>
      <c r="C4635" s="4" t="s">
        <v>7741</v>
      </c>
      <c r="D4635" s="4" t="s">
        <v>3100</v>
      </c>
      <c r="E4635" s="5" t="s">
        <v>7742</v>
      </c>
      <c r="F4635" s="5" t="str">
        <f t="shared" si="72"/>
        <v>cherry.com</v>
      </c>
      <c r="G4635" s="5" t="s">
        <v>4</v>
      </c>
      <c r="H4635" s="5" t="s">
        <v>5</v>
      </c>
      <c r="I4635" s="6">
        <v>45923</v>
      </c>
    </row>
    <row r="4636" spans="1:9" ht="13.5">
      <c r="A4636" s="2" t="s">
        <v>7743</v>
      </c>
      <c r="B4636" s="3"/>
      <c r="C4636" s="4" t="s">
        <v>7744</v>
      </c>
      <c r="D4636" s="4" t="s">
        <v>7745</v>
      </c>
      <c r="E4636" s="5" t="s">
        <v>7746</v>
      </c>
      <c r="F4636" s="5" t="str">
        <f t="shared" si="72"/>
        <v>jakt.se</v>
      </c>
      <c r="G4636" s="5" t="s">
        <v>4</v>
      </c>
      <c r="H4636" s="5" t="s">
        <v>5</v>
      </c>
      <c r="I4636" s="6">
        <v>45923</v>
      </c>
    </row>
    <row r="4637" spans="1:9" ht="13.5">
      <c r="A4637" s="2" t="s">
        <v>3058</v>
      </c>
      <c r="B4637" s="3"/>
      <c r="C4637" s="4" t="s">
        <v>7747</v>
      </c>
      <c r="D4637" s="4" t="s">
        <v>4133</v>
      </c>
      <c r="E4637" s="5" t="s">
        <v>7748</v>
      </c>
      <c r="F4637" s="5" t="str">
        <f t="shared" si="72"/>
        <v>rusta.se</v>
      </c>
      <c r="G4637" s="5" t="s">
        <v>4</v>
      </c>
      <c r="H4637" s="5" t="s">
        <v>5</v>
      </c>
      <c r="I4637" s="6">
        <v>45923</v>
      </c>
    </row>
    <row r="4638" spans="1:9" ht="13.5">
      <c r="A4638" s="2" t="s">
        <v>3058</v>
      </c>
      <c r="B4638" s="3"/>
      <c r="C4638" s="4" t="s">
        <v>7749</v>
      </c>
      <c r="D4638" s="4" t="s">
        <v>5034</v>
      </c>
      <c r="E4638" s="5" t="s">
        <v>7750</v>
      </c>
      <c r="F4638" s="5" t="str">
        <f t="shared" si="72"/>
        <v>rusta.se</v>
      </c>
      <c r="G4638" s="5" t="s">
        <v>4</v>
      </c>
      <c r="H4638" s="5" t="s">
        <v>5</v>
      </c>
      <c r="I4638" s="6">
        <v>45923</v>
      </c>
    </row>
    <row r="4639" spans="1:9" ht="13.5">
      <c r="A4639" s="7" t="s">
        <v>3419</v>
      </c>
      <c r="B4639" s="3"/>
      <c r="C4639" s="4" t="s">
        <v>7751</v>
      </c>
      <c r="D4639" s="4" t="s">
        <v>3843</v>
      </c>
      <c r="E4639" s="5" t="s">
        <v>4117</v>
      </c>
      <c r="F4639" s="5" t="str">
        <f t="shared" si="72"/>
        <v>zmarta</v>
      </c>
      <c r="G4639" s="5" t="s">
        <v>4</v>
      </c>
      <c r="H4639" s="5" t="s">
        <v>5</v>
      </c>
      <c r="I4639" s="6">
        <v>45923</v>
      </c>
    </row>
    <row r="4640" spans="1:9" ht="13.5">
      <c r="A4640" s="2" t="s">
        <v>2357</v>
      </c>
      <c r="B4640" s="3"/>
      <c r="C4640" s="5" t="s">
        <v>7752</v>
      </c>
      <c r="D4640" s="4" t="s">
        <v>5685</v>
      </c>
      <c r="E4640" s="5" t="s">
        <v>5686</v>
      </c>
      <c r="F4640" s="5" t="str">
        <f t="shared" si="72"/>
        <v>lsb.se</v>
      </c>
      <c r="G4640" s="5" t="s">
        <v>4</v>
      </c>
      <c r="H4640" s="5" t="s">
        <v>5</v>
      </c>
      <c r="I4640" s="6">
        <v>45923</v>
      </c>
    </row>
    <row r="4641" spans="1:9" ht="13.5">
      <c r="A4641" s="7" t="s">
        <v>7753</v>
      </c>
      <c r="B4641" s="3"/>
      <c r="C4641" s="4" t="s">
        <v>7754</v>
      </c>
      <c r="D4641" s="4" t="s">
        <v>7755</v>
      </c>
      <c r="E4641" s="5" t="s">
        <v>7756</v>
      </c>
      <c r="F4641" s="5" t="str">
        <f t="shared" si="72"/>
        <v>sandudden</v>
      </c>
      <c r="G4641" s="5" t="s">
        <v>4</v>
      </c>
      <c r="H4641" s="5" t="s">
        <v>5</v>
      </c>
      <c r="I4641" s="6">
        <v>45923</v>
      </c>
    </row>
    <row r="4642" spans="1:9" ht="13.5">
      <c r="A4642" s="2" t="s">
        <v>3128</v>
      </c>
      <c r="B4642" s="3"/>
      <c r="C4642" s="4" t="s">
        <v>7757</v>
      </c>
      <c r="D4642" s="4" t="s">
        <v>3130</v>
      </c>
      <c r="E4642" s="5" t="s">
        <v>7758</v>
      </c>
      <c r="F4642" s="5" t="str">
        <f t="shared" si="72"/>
        <v>bethard.com</v>
      </c>
      <c r="G4642" s="5" t="s">
        <v>4</v>
      </c>
      <c r="H4642" s="5" t="s">
        <v>5</v>
      </c>
      <c r="I4642" s="6">
        <v>45923</v>
      </c>
    </row>
    <row r="4643" spans="1:9" ht="13.5">
      <c r="A4643" s="2" t="s">
        <v>4051</v>
      </c>
      <c r="B4643" s="3"/>
      <c r="C4643" s="4" t="s">
        <v>7759</v>
      </c>
      <c r="D4643" s="4" t="s">
        <v>5108</v>
      </c>
      <c r="E4643" s="5" t="s">
        <v>4129</v>
      </c>
      <c r="F4643" s="5" t="str">
        <f t="shared" si="72"/>
        <v>hund.se</v>
      </c>
      <c r="G4643" s="5" t="s">
        <v>4</v>
      </c>
      <c r="H4643" s="5" t="s">
        <v>5</v>
      </c>
      <c r="I4643" s="6">
        <v>45923</v>
      </c>
    </row>
    <row r="4644" spans="1:9" ht="13.5">
      <c r="A4644" s="2" t="s">
        <v>3058</v>
      </c>
      <c r="B4644" s="3"/>
      <c r="C4644" s="4" t="s">
        <v>7760</v>
      </c>
      <c r="D4644" s="4" t="s">
        <v>5034</v>
      </c>
      <c r="E4644" s="5" t="s">
        <v>5991</v>
      </c>
      <c r="F4644" s="5" t="str">
        <f t="shared" si="72"/>
        <v>rusta.se</v>
      </c>
      <c r="G4644" s="5" t="s">
        <v>4</v>
      </c>
      <c r="H4644" s="5" t="s">
        <v>5</v>
      </c>
      <c r="I4644" s="6">
        <v>45923</v>
      </c>
    </row>
    <row r="4645" spans="1:9" ht="13.5">
      <c r="A4645" s="2" t="s">
        <v>846</v>
      </c>
      <c r="B4645" s="3"/>
      <c r="C4645" s="4" t="s">
        <v>7761</v>
      </c>
      <c r="D4645" s="4" t="s">
        <v>4817</v>
      </c>
      <c r="E4645" s="5" t="s">
        <v>6082</v>
      </c>
      <c r="F4645" s="5" t="str">
        <f t="shared" si="72"/>
        <v>tandea.se</v>
      </c>
      <c r="G4645" s="5" t="s">
        <v>4</v>
      </c>
      <c r="H4645" s="5" t="s">
        <v>5</v>
      </c>
      <c r="I4645" s="6">
        <v>45923</v>
      </c>
    </row>
    <row r="4646" spans="1:9" ht="13.5">
      <c r="A4646" s="7" t="s">
        <v>3419</v>
      </c>
      <c r="B4646" s="3"/>
      <c r="C4646" s="4" t="s">
        <v>7762</v>
      </c>
      <c r="D4646" s="4" t="s">
        <v>5280</v>
      </c>
      <c r="E4646" s="5" t="s">
        <v>7763</v>
      </c>
      <c r="F4646" s="5" t="str">
        <f t="shared" si="72"/>
        <v>zmarta</v>
      </c>
      <c r="G4646" s="5" t="s">
        <v>4</v>
      </c>
      <c r="H4646" s="5" t="s">
        <v>5</v>
      </c>
      <c r="I4646" s="6">
        <v>45923</v>
      </c>
    </row>
    <row r="4647" spans="1:9" ht="13.5">
      <c r="A4647" s="2" t="s">
        <v>2357</v>
      </c>
      <c r="B4647" s="3"/>
      <c r="C4647" s="4" t="s">
        <v>7764</v>
      </c>
      <c r="D4647" s="4" t="s">
        <v>6038</v>
      </c>
      <c r="E4647" s="5" t="s">
        <v>7765</v>
      </c>
      <c r="F4647" s="5" t="str">
        <f t="shared" si="72"/>
        <v>lsb.se</v>
      </c>
      <c r="G4647" s="5" t="s">
        <v>4</v>
      </c>
      <c r="H4647" s="5" t="s">
        <v>5</v>
      </c>
      <c r="I4647" s="6">
        <v>45923</v>
      </c>
    </row>
    <row r="4648" spans="1:9" ht="13.5">
      <c r="A4648" s="2" t="s">
        <v>435</v>
      </c>
      <c r="B4648" s="3"/>
      <c r="C4648" s="4" t="s">
        <v>7766</v>
      </c>
      <c r="D4648" s="4" t="s">
        <v>3779</v>
      </c>
      <c r="E4648" s="5" t="s">
        <v>563</v>
      </c>
      <c r="F4648" s="5" t="str">
        <f t="shared" si="72"/>
        <v>fairinvestments.se</v>
      </c>
      <c r="G4648" s="5" t="s">
        <v>4</v>
      </c>
      <c r="H4648" s="5" t="s">
        <v>5</v>
      </c>
      <c r="I4648" s="6">
        <v>45923</v>
      </c>
    </row>
    <row r="4649" spans="1:9" ht="13.5">
      <c r="A4649" s="7" t="s">
        <v>5361</v>
      </c>
      <c r="B4649" s="3"/>
      <c r="C4649" s="4" t="s">
        <v>7767</v>
      </c>
      <c r="D4649" s="4" t="s">
        <v>5436</v>
      </c>
      <c r="E4649" s="5" t="s">
        <v>5823</v>
      </c>
      <c r="F4649" s="5" t="str">
        <f t="shared" si="72"/>
        <v>Leaptodigital</v>
      </c>
      <c r="G4649" s="5" t="s">
        <v>4</v>
      </c>
      <c r="H4649" s="5" t="s">
        <v>345</v>
      </c>
      <c r="I4649" s="6">
        <v>45924</v>
      </c>
    </row>
    <row r="4650" spans="1:9" ht="13.5">
      <c r="A4650" s="2" t="s">
        <v>6021</v>
      </c>
      <c r="B4650" s="3"/>
      <c r="C4650" s="4" t="s">
        <v>7768</v>
      </c>
      <c r="D4650" s="8" t="s">
        <v>7769</v>
      </c>
      <c r="E4650" s="5" t="s">
        <v>2165</v>
      </c>
      <c r="F4650" s="5" t="str">
        <f t="shared" si="72"/>
        <v>mrvegas.com</v>
      </c>
      <c r="G4650" s="5" t="s">
        <v>4</v>
      </c>
      <c r="H4650" s="5" t="s">
        <v>3496</v>
      </c>
      <c r="I4650" s="6">
        <v>45924</v>
      </c>
    </row>
    <row r="4651" spans="1:9" ht="13.5">
      <c r="A4651" s="2" t="s">
        <v>6252</v>
      </c>
      <c r="B4651" s="3"/>
      <c r="C4651" s="4" t="s">
        <v>7770</v>
      </c>
      <c r="D4651" s="4" t="s">
        <v>6315</v>
      </c>
      <c r="E4651" s="5" t="s">
        <v>6316</v>
      </c>
      <c r="F4651" s="5" t="str">
        <f t="shared" si="72"/>
        <v>turner.fi</v>
      </c>
      <c r="G4651" s="5" t="s">
        <v>4</v>
      </c>
      <c r="H4651" s="5" t="s">
        <v>1618</v>
      </c>
      <c r="I4651" s="6">
        <v>45904</v>
      </c>
    </row>
    <row r="4652" spans="1:9" ht="13.5">
      <c r="A4652" s="2" t="s">
        <v>6252</v>
      </c>
      <c r="B4652" s="3"/>
      <c r="C4652" s="4" t="s">
        <v>7771</v>
      </c>
      <c r="D4652" s="4" t="s">
        <v>6254</v>
      </c>
      <c r="E4652" s="5" t="s">
        <v>6255</v>
      </c>
      <c r="F4652" s="5" t="str">
        <f t="shared" si="72"/>
        <v>turner.fi</v>
      </c>
      <c r="G4652" s="5" t="s">
        <v>4</v>
      </c>
      <c r="H4652" s="5" t="s">
        <v>1618</v>
      </c>
      <c r="I4652" s="6">
        <v>45883</v>
      </c>
    </row>
    <row r="4653" spans="1:9" ht="13.5">
      <c r="A4653" s="2" t="s">
        <v>6252</v>
      </c>
      <c r="B4653" s="3"/>
      <c r="C4653" s="4" t="s">
        <v>7772</v>
      </c>
      <c r="D4653" s="4" t="s">
        <v>6892</v>
      </c>
      <c r="E4653" s="5" t="s">
        <v>6255</v>
      </c>
      <c r="F4653" s="5" t="str">
        <f t="shared" si="72"/>
        <v>turner.fi</v>
      </c>
      <c r="G4653" s="5" t="s">
        <v>4</v>
      </c>
      <c r="H4653" s="5" t="s">
        <v>1618</v>
      </c>
      <c r="I4653" s="6">
        <v>45938</v>
      </c>
    </row>
    <row r="4654" spans="1:9" ht="13.5">
      <c r="A4654" s="2" t="s">
        <v>6252</v>
      </c>
      <c r="B4654" s="3"/>
      <c r="C4654" s="4" t="s">
        <v>7773</v>
      </c>
      <c r="D4654" s="4" t="s">
        <v>6315</v>
      </c>
      <c r="E4654" s="5" t="s">
        <v>6316</v>
      </c>
      <c r="F4654" s="5" t="str">
        <f t="shared" si="72"/>
        <v>turner.fi</v>
      </c>
      <c r="G4654" s="5" t="s">
        <v>4</v>
      </c>
      <c r="H4654" s="5" t="s">
        <v>1618</v>
      </c>
      <c r="I4654" s="6">
        <v>45938</v>
      </c>
    </row>
    <row r="4655" spans="1:9" ht="13.5">
      <c r="A4655" s="2" t="s">
        <v>6252</v>
      </c>
      <c r="B4655" s="3"/>
      <c r="C4655" s="4" t="s">
        <v>7774</v>
      </c>
      <c r="D4655" s="4" t="s">
        <v>6257</v>
      </c>
      <c r="E4655" s="5" t="s">
        <v>6258</v>
      </c>
      <c r="F4655" s="5" t="str">
        <f t="shared" si="72"/>
        <v>turner.fi</v>
      </c>
      <c r="G4655" s="5" t="s">
        <v>4</v>
      </c>
      <c r="H4655" s="5" t="s">
        <v>1618</v>
      </c>
      <c r="I4655" s="6">
        <v>45938</v>
      </c>
    </row>
    <row r="4656" spans="1:9" ht="13.5">
      <c r="A4656" s="2" t="s">
        <v>6252</v>
      </c>
      <c r="B4656" s="3"/>
      <c r="C4656" s="4" t="s">
        <v>7775</v>
      </c>
      <c r="D4656" s="4" t="s">
        <v>6257</v>
      </c>
      <c r="E4656" s="5" t="s">
        <v>6258</v>
      </c>
      <c r="F4656" s="5" t="str">
        <f t="shared" si="72"/>
        <v>turner.fi</v>
      </c>
      <c r="G4656" s="5" t="s">
        <v>4</v>
      </c>
      <c r="H4656" s="5" t="s">
        <v>1618</v>
      </c>
      <c r="I4656" s="6">
        <v>45938</v>
      </c>
    </row>
    <row r="4657" spans="1:9" ht="13.5">
      <c r="A4657" s="2" t="s">
        <v>5538</v>
      </c>
      <c r="B4657" s="3"/>
      <c r="C4657" s="4" t="s">
        <v>7776</v>
      </c>
      <c r="D4657" s="4" t="s">
        <v>5540</v>
      </c>
      <c r="E4657" s="5" t="s">
        <v>5541</v>
      </c>
      <c r="F4657" s="5" t="str">
        <f t="shared" si="72"/>
        <v>kruunukaluste.fi</v>
      </c>
      <c r="G4657" s="5" t="s">
        <v>4</v>
      </c>
      <c r="H4657" s="5" t="s">
        <v>1618</v>
      </c>
      <c r="I4657" s="6">
        <v>45868</v>
      </c>
    </row>
    <row r="4658" spans="1:9" ht="13.5">
      <c r="A4658" s="2" t="s">
        <v>5538</v>
      </c>
      <c r="B4658" s="3"/>
      <c r="C4658" s="4" t="s">
        <v>7777</v>
      </c>
      <c r="D4658" s="4" t="s">
        <v>6887</v>
      </c>
      <c r="E4658" s="5" t="s">
        <v>6888</v>
      </c>
      <c r="F4658" s="5" t="str">
        <f t="shared" si="72"/>
        <v>kruunukaluste.fi</v>
      </c>
      <c r="G4658" s="5" t="s">
        <v>4</v>
      </c>
      <c r="H4658" s="5" t="s">
        <v>1618</v>
      </c>
      <c r="I4658" s="6">
        <v>45939</v>
      </c>
    </row>
    <row r="4659" spans="1:9" ht="13.5">
      <c r="A4659" s="2" t="s">
        <v>5538</v>
      </c>
      <c r="B4659" s="3"/>
      <c r="C4659" s="4" t="s">
        <v>7778</v>
      </c>
      <c r="D4659" s="4" t="s">
        <v>6887</v>
      </c>
      <c r="E4659" s="5" t="s">
        <v>7779</v>
      </c>
      <c r="F4659" s="5" t="str">
        <f t="shared" si="72"/>
        <v>kruunukaluste.fi</v>
      </c>
      <c r="G4659" s="5" t="s">
        <v>4</v>
      </c>
      <c r="H4659" s="5" t="s">
        <v>1618</v>
      </c>
      <c r="I4659" s="6">
        <v>45939</v>
      </c>
    </row>
    <row r="4660" spans="1:9" ht="13.5">
      <c r="A4660" s="2" t="s">
        <v>3491</v>
      </c>
      <c r="B4660" s="3"/>
      <c r="C4660" s="4" t="s">
        <v>7780</v>
      </c>
      <c r="D4660" s="4" t="s">
        <v>3493</v>
      </c>
      <c r="E4660" s="5" t="s">
        <v>3494</v>
      </c>
      <c r="F4660" s="5" t="str">
        <f t="shared" si="72"/>
        <v>mynicco.com</v>
      </c>
      <c r="G4660" s="5" t="s">
        <v>4</v>
      </c>
      <c r="H4660" s="5" t="s">
        <v>3496</v>
      </c>
      <c r="I4660" s="6">
        <v>45919</v>
      </c>
    </row>
    <row r="4661" spans="1:9" ht="13.5">
      <c r="A4661" s="2" t="s">
        <v>3491</v>
      </c>
      <c r="B4661" s="3"/>
      <c r="C4661" s="4" t="s">
        <v>7781</v>
      </c>
      <c r="D4661" s="4" t="s">
        <v>3493</v>
      </c>
      <c r="E4661" s="5" t="s">
        <v>5577</v>
      </c>
      <c r="F4661" s="5" t="str">
        <f t="shared" si="72"/>
        <v>mynicco.com</v>
      </c>
      <c r="G4661" s="5" t="s">
        <v>4</v>
      </c>
      <c r="H4661" s="5" t="s">
        <v>3496</v>
      </c>
      <c r="I4661" s="6">
        <v>45925</v>
      </c>
    </row>
    <row r="4662" spans="1:9" ht="13.5">
      <c r="A4662" s="7" t="s">
        <v>1910</v>
      </c>
      <c r="B4662" s="3"/>
      <c r="C4662" s="4" t="s">
        <v>7782</v>
      </c>
      <c r="D4662" s="4" t="s">
        <v>1912</v>
      </c>
      <c r="E4662" s="5" t="s">
        <v>4094</v>
      </c>
      <c r="F4662" s="5" t="str">
        <f t="shared" si="72"/>
        <v>kelleher-international</v>
      </c>
      <c r="G4662" s="5" t="s">
        <v>4</v>
      </c>
      <c r="H4662" s="5" t="s">
        <v>345</v>
      </c>
      <c r="I4662" s="6">
        <v>45894</v>
      </c>
    </row>
    <row r="4663" spans="1:9" ht="13.5">
      <c r="A4663" s="2" t="s">
        <v>723</v>
      </c>
      <c r="B4663" s="3"/>
      <c r="C4663" s="4" t="s">
        <v>7783</v>
      </c>
      <c r="D4663" s="4" t="s">
        <v>7784</v>
      </c>
      <c r="E4663" s="9" t="s">
        <v>723</v>
      </c>
      <c r="F4663" s="5" t="str">
        <f t="shared" si="72"/>
        <v>aretrotale.com</v>
      </c>
      <c r="G4663" s="5" t="s">
        <v>4</v>
      </c>
      <c r="H4663" s="5" t="s">
        <v>2355</v>
      </c>
      <c r="I4663" s="6">
        <v>45894</v>
      </c>
    </row>
    <row r="4664" spans="1:9" ht="13.5">
      <c r="A4664" s="2" t="s">
        <v>171</v>
      </c>
      <c r="B4664" s="3"/>
      <c r="C4664" s="4" t="s">
        <v>7785</v>
      </c>
      <c r="D4664" s="4" t="s">
        <v>1708</v>
      </c>
      <c r="E4664" s="5" t="s">
        <v>4601</v>
      </c>
      <c r="F4664" s="5" t="str">
        <f t="shared" si="72"/>
        <v>arctic.se</v>
      </c>
      <c r="G4664" s="5" t="s">
        <v>4</v>
      </c>
      <c r="H4664" s="5" t="s">
        <v>2355</v>
      </c>
      <c r="I4664" s="6">
        <v>45894</v>
      </c>
    </row>
    <row r="4665" spans="1:9" ht="13.5">
      <c r="A4665" s="2" t="s">
        <v>3186</v>
      </c>
      <c r="B4665" s="3"/>
      <c r="C4665" s="4" t="s">
        <v>7786</v>
      </c>
      <c r="D4665" s="4" t="s">
        <v>4904</v>
      </c>
      <c r="E4665" s="5" t="s">
        <v>3468</v>
      </c>
      <c r="F4665" s="5" t="str">
        <f t="shared" si="72"/>
        <v>myownwater.com</v>
      </c>
      <c r="G4665" s="5" t="s">
        <v>4</v>
      </c>
      <c r="H4665" s="5" t="s">
        <v>345</v>
      </c>
      <c r="I4665" s="6">
        <v>45894</v>
      </c>
    </row>
    <row r="4666" spans="1:9" ht="13.5">
      <c r="A4666" s="2" t="s">
        <v>3186</v>
      </c>
      <c r="B4666" s="3"/>
      <c r="C4666" s="4" t="s">
        <v>7787</v>
      </c>
      <c r="D4666" s="4" t="s">
        <v>4207</v>
      </c>
      <c r="E4666" s="5" t="s">
        <v>5781</v>
      </c>
      <c r="F4666" s="5" t="str">
        <f t="shared" si="72"/>
        <v>myownwater.com</v>
      </c>
      <c r="G4666" s="5" t="s">
        <v>4</v>
      </c>
      <c r="H4666" s="5" t="s">
        <v>345</v>
      </c>
      <c r="I4666" s="6">
        <v>45894</v>
      </c>
    </row>
    <row r="4667" spans="1:9" ht="13.5">
      <c r="A4667" s="2" t="s">
        <v>4829</v>
      </c>
      <c r="B4667" s="3"/>
      <c r="C4667" s="4" t="s">
        <v>7788</v>
      </c>
      <c r="D4667" s="4" t="s">
        <v>4831</v>
      </c>
      <c r="E4667" s="5" t="s">
        <v>4832</v>
      </c>
      <c r="F4667" s="5" t="str">
        <f t="shared" si="72"/>
        <v>technobark.com</v>
      </c>
      <c r="G4667" s="5" t="s">
        <v>4</v>
      </c>
      <c r="H4667" s="5" t="s">
        <v>345</v>
      </c>
      <c r="I4667" s="6">
        <v>45894</v>
      </c>
    </row>
    <row r="4668" spans="1:9" ht="13.5">
      <c r="A4668" s="2" t="s">
        <v>4829</v>
      </c>
      <c r="B4668" s="3"/>
      <c r="C4668" s="4" t="s">
        <v>7789</v>
      </c>
      <c r="D4668" s="4" t="s">
        <v>5101</v>
      </c>
      <c r="E4668" s="5" t="s">
        <v>5459</v>
      </c>
      <c r="F4668" s="5" t="str">
        <f t="shared" si="72"/>
        <v>technobark.com</v>
      </c>
      <c r="G4668" s="5" t="s">
        <v>4</v>
      </c>
      <c r="H4668" s="5" t="s">
        <v>345</v>
      </c>
      <c r="I4668" s="6">
        <v>45894</v>
      </c>
    </row>
    <row r="4669" spans="1:9" ht="13.5">
      <c r="A4669" s="2" t="s">
        <v>4829</v>
      </c>
      <c r="B4669" s="3"/>
      <c r="C4669" s="4" t="s">
        <v>7790</v>
      </c>
      <c r="D4669" s="4" t="s">
        <v>4934</v>
      </c>
      <c r="E4669" s="5" t="s">
        <v>5784</v>
      </c>
      <c r="F4669" s="5" t="str">
        <f t="shared" si="72"/>
        <v>technobark.com</v>
      </c>
      <c r="G4669" s="5" t="s">
        <v>4</v>
      </c>
      <c r="H4669" s="5" t="s">
        <v>345</v>
      </c>
      <c r="I4669" s="6">
        <v>45894</v>
      </c>
    </row>
    <row r="4670" spans="1:9" ht="13.5">
      <c r="A4670" s="2" t="s">
        <v>4829</v>
      </c>
      <c r="B4670" s="3"/>
      <c r="C4670" s="4" t="s">
        <v>7791</v>
      </c>
      <c r="D4670" s="4" t="s">
        <v>4934</v>
      </c>
      <c r="E4670" s="5" t="s">
        <v>5784</v>
      </c>
      <c r="F4670" s="5" t="str">
        <f t="shared" si="72"/>
        <v>technobark.com</v>
      </c>
      <c r="G4670" s="5" t="s">
        <v>4</v>
      </c>
      <c r="H4670" s="5" t="s">
        <v>345</v>
      </c>
      <c r="I4670" s="6">
        <v>45894</v>
      </c>
    </row>
    <row r="4671" spans="1:9" ht="13.5">
      <c r="A4671" s="2" t="s">
        <v>5374</v>
      </c>
      <c r="B4671" s="3"/>
      <c r="C4671" s="4" t="s">
        <v>7792</v>
      </c>
      <c r="D4671" s="4" t="s">
        <v>5376</v>
      </c>
      <c r="E4671" s="5" t="s">
        <v>5377</v>
      </c>
      <c r="F4671" s="5" t="str">
        <f t="shared" si="72"/>
        <v>willabgarden.de</v>
      </c>
      <c r="G4671" s="5" t="s">
        <v>4</v>
      </c>
      <c r="H4671" s="5" t="s">
        <v>2355</v>
      </c>
      <c r="I4671" s="6">
        <v>45894</v>
      </c>
    </row>
    <row r="4672" spans="1:9" ht="13.5">
      <c r="A4672" s="2" t="s">
        <v>5374</v>
      </c>
      <c r="B4672" s="3"/>
      <c r="C4672" s="4" t="s">
        <v>7793</v>
      </c>
      <c r="D4672" s="4" t="s">
        <v>5379</v>
      </c>
      <c r="E4672" s="5" t="s">
        <v>5380</v>
      </c>
      <c r="F4672" s="5" t="str">
        <f t="shared" si="72"/>
        <v>willabgarden.de</v>
      </c>
      <c r="G4672" s="5" t="s">
        <v>4</v>
      </c>
      <c r="H4672" s="5" t="s">
        <v>2355</v>
      </c>
      <c r="I4672" s="6">
        <v>45894</v>
      </c>
    </row>
    <row r="4673" spans="1:9" ht="13.5">
      <c r="A4673" s="2" t="s">
        <v>6014</v>
      </c>
      <c r="B4673" s="3"/>
      <c r="C4673" s="4" t="s">
        <v>7794</v>
      </c>
      <c r="D4673" s="9" t="s">
        <v>6434</v>
      </c>
      <c r="E4673" s="72" t="s">
        <v>7697</v>
      </c>
      <c r="F4673" s="5" t="str">
        <f t="shared" si="72"/>
        <v>kungaslottet.se</v>
      </c>
      <c r="G4673" s="5" t="s">
        <v>4</v>
      </c>
      <c r="H4673" s="5" t="s">
        <v>5</v>
      </c>
      <c r="I4673" s="6">
        <v>45925</v>
      </c>
    </row>
    <row r="4674" spans="1:9" ht="13.5">
      <c r="A4674" s="7" t="s">
        <v>5361</v>
      </c>
      <c r="B4674" s="3"/>
      <c r="C4674" s="4" t="s">
        <v>7795</v>
      </c>
      <c r="D4674" s="4" t="s">
        <v>5363</v>
      </c>
      <c r="E4674" s="5" t="s">
        <v>7796</v>
      </c>
      <c r="F4674" s="5" t="str">
        <f t="shared" si="72"/>
        <v>Leaptodigital</v>
      </c>
      <c r="G4674" s="5" t="s">
        <v>4</v>
      </c>
      <c r="H4674" s="5" t="s">
        <v>345</v>
      </c>
      <c r="I4674" s="6">
        <v>45926</v>
      </c>
    </row>
    <row r="4675" spans="1:9" ht="13.5">
      <c r="A4675" s="2" t="s">
        <v>3128</v>
      </c>
      <c r="B4675" s="3"/>
      <c r="C4675" s="4" t="s">
        <v>7797</v>
      </c>
      <c r="D4675" s="8" t="s">
        <v>3130</v>
      </c>
      <c r="E4675" s="5" t="s">
        <v>7798</v>
      </c>
      <c r="F4675" s="5" t="str">
        <f t="shared" ref="F4675:F4738" si="73">A4675</f>
        <v>bethard.com</v>
      </c>
      <c r="G4675" s="5" t="s">
        <v>4</v>
      </c>
      <c r="H4675" s="5" t="s">
        <v>5</v>
      </c>
      <c r="I4675" s="6">
        <v>45929</v>
      </c>
    </row>
    <row r="4676" spans="1:9" ht="13.5">
      <c r="A4676" s="2" t="s">
        <v>1318</v>
      </c>
      <c r="B4676" s="3"/>
      <c r="C4676" s="4" t="s">
        <v>7799</v>
      </c>
      <c r="D4676" s="9" t="s">
        <v>2644</v>
      </c>
      <c r="E4676" s="72" t="s">
        <v>2840</v>
      </c>
      <c r="F4676" s="5" t="str">
        <f t="shared" si="73"/>
        <v>spelklubben.se</v>
      </c>
      <c r="G4676" s="5" t="s">
        <v>4</v>
      </c>
      <c r="H4676" s="5" t="s">
        <v>5</v>
      </c>
      <c r="I4676" s="6">
        <v>45912</v>
      </c>
    </row>
    <row r="4677" spans="1:9" ht="13.5">
      <c r="A4677" s="2" t="s">
        <v>5589</v>
      </c>
      <c r="B4677" s="3"/>
      <c r="C4677" s="4" t="s">
        <v>7800</v>
      </c>
      <c r="D4677" s="5" t="s">
        <v>6568</v>
      </c>
      <c r="E4677" s="5" t="s">
        <v>7801</v>
      </c>
      <c r="F4677" s="5" t="str">
        <f t="shared" si="73"/>
        <v>dbet.com</v>
      </c>
      <c r="G4677" s="5" t="s">
        <v>4</v>
      </c>
      <c r="H4677" s="5" t="s">
        <v>5</v>
      </c>
      <c r="I4677" s="6">
        <v>45907</v>
      </c>
    </row>
    <row r="4678" spans="1:9" ht="13.5">
      <c r="A4678" s="2" t="s">
        <v>3885</v>
      </c>
      <c r="B4678" s="3"/>
      <c r="C4678" s="4" t="s">
        <v>7802</v>
      </c>
      <c r="D4678" s="4" t="s">
        <v>3893</v>
      </c>
      <c r="E4678" s="72" t="s">
        <v>7803</v>
      </c>
      <c r="F4678" s="5" t="str">
        <f t="shared" si="73"/>
        <v>chattanoogarehab.com</v>
      </c>
      <c r="G4678" s="5" t="s">
        <v>4</v>
      </c>
      <c r="H4678" s="5" t="s">
        <v>345</v>
      </c>
      <c r="I4678" s="6">
        <v>45889</v>
      </c>
    </row>
    <row r="4679" spans="1:9" ht="13.5">
      <c r="A4679" s="2" t="s">
        <v>4489</v>
      </c>
      <c r="B4679" s="3"/>
      <c r="C4679" s="4" t="s">
        <v>7804</v>
      </c>
      <c r="D4679" s="4" t="s">
        <v>6327</v>
      </c>
      <c r="E4679" s="5" t="s">
        <v>5259</v>
      </c>
      <c r="F4679" s="5" t="str">
        <f t="shared" si="73"/>
        <v>nordicknots.com</v>
      </c>
      <c r="G4679" s="5" t="s">
        <v>4</v>
      </c>
      <c r="H4679" s="5" t="s">
        <v>345</v>
      </c>
      <c r="I4679" s="6">
        <v>45905</v>
      </c>
    </row>
    <row r="4680" spans="1:9" ht="13.5">
      <c r="A4680" s="2" t="s">
        <v>6639</v>
      </c>
      <c r="B4680" s="3"/>
      <c r="C4680" s="4" t="s">
        <v>7805</v>
      </c>
      <c r="D4680" s="4" t="s">
        <v>6641</v>
      </c>
      <c r="E4680" s="5" t="s">
        <v>7806</v>
      </c>
      <c r="F4680" s="5" t="str">
        <f t="shared" si="73"/>
        <v>epidemicsounds.com</v>
      </c>
      <c r="G4680" s="5" t="s">
        <v>4</v>
      </c>
      <c r="H4680" s="5" t="s">
        <v>345</v>
      </c>
      <c r="I4680" s="6">
        <v>45929</v>
      </c>
    </row>
    <row r="4681" spans="1:9" ht="13.5">
      <c r="A4681" s="2" t="s">
        <v>1318</v>
      </c>
      <c r="B4681" s="3"/>
      <c r="C4681" s="8" t="s">
        <v>7807</v>
      </c>
      <c r="D4681" s="8" t="s">
        <v>7808</v>
      </c>
      <c r="E4681" s="5" t="s">
        <v>7809</v>
      </c>
      <c r="F4681" s="5" t="str">
        <f t="shared" si="73"/>
        <v>spelklubben.se</v>
      </c>
      <c r="G4681" s="5" t="s">
        <v>34</v>
      </c>
      <c r="H4681" s="5" t="s">
        <v>5</v>
      </c>
      <c r="I4681" s="6">
        <v>45929</v>
      </c>
    </row>
    <row r="4682" spans="1:9" ht="13.5">
      <c r="A4682" s="7" t="s">
        <v>3419</v>
      </c>
      <c r="B4682" s="3"/>
      <c r="C4682" s="4" t="s">
        <v>7810</v>
      </c>
      <c r="D4682" s="4" t="s">
        <v>3407</v>
      </c>
      <c r="E4682" s="5" t="s">
        <v>4400</v>
      </c>
      <c r="F4682" s="5" t="str">
        <f t="shared" si="73"/>
        <v>zmarta</v>
      </c>
      <c r="G4682" s="5" t="s">
        <v>4</v>
      </c>
      <c r="H4682" s="5" t="s">
        <v>5</v>
      </c>
      <c r="I4682" s="6">
        <v>45929</v>
      </c>
    </row>
    <row r="4683" spans="1:9" ht="13.5">
      <c r="A4683" s="2" t="s">
        <v>5589</v>
      </c>
      <c r="B4683" s="3"/>
      <c r="C4683" s="4" t="s">
        <v>7811</v>
      </c>
      <c r="D4683" s="4" t="s">
        <v>7812</v>
      </c>
      <c r="E4683" s="5" t="s">
        <v>5671</v>
      </c>
      <c r="F4683" s="5" t="str">
        <f t="shared" si="73"/>
        <v>dbet.com</v>
      </c>
      <c r="G4683" s="5" t="s">
        <v>4</v>
      </c>
      <c r="H4683" s="5" t="s">
        <v>5</v>
      </c>
      <c r="I4683" s="6">
        <v>45929</v>
      </c>
    </row>
    <row r="4684" spans="1:9" ht="13.5">
      <c r="A4684" s="2" t="s">
        <v>5589</v>
      </c>
      <c r="B4684" s="3"/>
      <c r="C4684" s="4" t="s">
        <v>7813</v>
      </c>
      <c r="D4684" s="4" t="s">
        <v>7814</v>
      </c>
      <c r="E4684" s="5" t="s">
        <v>7815</v>
      </c>
      <c r="F4684" s="5" t="str">
        <f t="shared" si="73"/>
        <v>dbet.com</v>
      </c>
      <c r="G4684" s="5" t="s">
        <v>4</v>
      </c>
      <c r="H4684" s="5" t="s">
        <v>5</v>
      </c>
      <c r="I4684" s="6">
        <v>45929</v>
      </c>
    </row>
    <row r="4685" spans="1:9" ht="13.5">
      <c r="A4685" s="2" t="s">
        <v>3090</v>
      </c>
      <c r="B4685" s="3"/>
      <c r="C4685" s="4" t="s">
        <v>7816</v>
      </c>
      <c r="D4685" s="4" t="s">
        <v>6460</v>
      </c>
      <c r="E4685" s="5" t="s">
        <v>7817</v>
      </c>
      <c r="F4685" s="5" t="str">
        <f t="shared" si="73"/>
        <v>videoslots.com</v>
      </c>
      <c r="G4685" s="5" t="s">
        <v>4</v>
      </c>
      <c r="H4685" s="5" t="s">
        <v>5</v>
      </c>
      <c r="I4685" s="6">
        <v>45929</v>
      </c>
    </row>
    <row r="4686" spans="1:9" ht="13.5">
      <c r="A4686" s="2" t="s">
        <v>6014</v>
      </c>
      <c r="B4686" s="3"/>
      <c r="C4686" s="4" t="s">
        <v>7818</v>
      </c>
      <c r="D4686" s="4" t="s">
        <v>7819</v>
      </c>
      <c r="E4686" s="5" t="s">
        <v>7820</v>
      </c>
      <c r="F4686" s="5" t="str">
        <f t="shared" si="73"/>
        <v>kungaslottet.se</v>
      </c>
      <c r="G4686" s="5" t="s">
        <v>4</v>
      </c>
      <c r="H4686" s="5" t="s">
        <v>5</v>
      </c>
      <c r="I4686" s="6">
        <v>45929</v>
      </c>
    </row>
    <row r="4687" spans="1:9" ht="13.5">
      <c r="A4687" s="2" t="s">
        <v>6021</v>
      </c>
      <c r="B4687" s="3"/>
      <c r="C4687" s="4" t="s">
        <v>7821</v>
      </c>
      <c r="D4687" s="4" t="s">
        <v>7822</v>
      </c>
      <c r="E4687" s="5" t="s">
        <v>6880</v>
      </c>
      <c r="F4687" s="5" t="str">
        <f t="shared" si="73"/>
        <v>mrvegas.com</v>
      </c>
      <c r="G4687" s="5" t="s">
        <v>4</v>
      </c>
      <c r="H4687" s="5" t="s">
        <v>3496</v>
      </c>
      <c r="I4687" s="6">
        <v>45929</v>
      </c>
    </row>
    <row r="4688" spans="1:9" ht="13.5">
      <c r="A4688" s="2" t="s">
        <v>1318</v>
      </c>
      <c r="B4688" s="3"/>
      <c r="C4688" s="4" t="s">
        <v>7823</v>
      </c>
      <c r="D4688" s="4" t="s">
        <v>1942</v>
      </c>
      <c r="E4688" s="5" t="s">
        <v>5201</v>
      </c>
      <c r="F4688" s="5" t="str">
        <f t="shared" si="73"/>
        <v>spelklubben.se</v>
      </c>
      <c r="G4688" s="5" t="s">
        <v>4</v>
      </c>
      <c r="H4688" s="5" t="s">
        <v>5</v>
      </c>
      <c r="I4688" s="6">
        <v>45930</v>
      </c>
    </row>
    <row r="4689" spans="1:9" ht="13.5">
      <c r="A4689" s="2" t="s">
        <v>3885</v>
      </c>
      <c r="B4689" s="3"/>
      <c r="C4689" s="4" t="s">
        <v>7824</v>
      </c>
      <c r="D4689" s="4" t="s">
        <v>3967</v>
      </c>
      <c r="E4689" s="5" t="s">
        <v>4836</v>
      </c>
      <c r="F4689" s="5" t="str">
        <f t="shared" si="73"/>
        <v>chattanoogarehab.com</v>
      </c>
      <c r="G4689" s="5" t="s">
        <v>4</v>
      </c>
      <c r="H4689" s="5" t="s">
        <v>345</v>
      </c>
      <c r="I4689" s="6">
        <v>45930</v>
      </c>
    </row>
    <row r="4690" spans="1:9" ht="13.5">
      <c r="A4690" s="101" t="s">
        <v>3419</v>
      </c>
      <c r="B4690" s="3"/>
      <c r="C4690" s="4" t="s">
        <v>7825</v>
      </c>
      <c r="D4690" s="4" t="s">
        <v>5280</v>
      </c>
      <c r="E4690" s="5" t="s">
        <v>6595</v>
      </c>
      <c r="F4690" s="5" t="str">
        <f t="shared" si="73"/>
        <v>zmarta</v>
      </c>
      <c r="G4690" s="5" t="s">
        <v>4</v>
      </c>
      <c r="H4690" s="5" t="s">
        <v>5</v>
      </c>
      <c r="I4690" s="6">
        <v>45930</v>
      </c>
    </row>
    <row r="4691" spans="1:9" ht="13.5">
      <c r="A4691" s="7" t="s">
        <v>2281</v>
      </c>
      <c r="B4691" s="3"/>
      <c r="C4691" s="4" t="s">
        <v>7826</v>
      </c>
      <c r="D4691" s="4" t="s">
        <v>5015</v>
      </c>
      <c r="E4691" s="5" t="s">
        <v>7827</v>
      </c>
      <c r="F4691" s="5" t="str">
        <f t="shared" si="73"/>
        <v>tandläkare.se</v>
      </c>
      <c r="G4691" s="5" t="s">
        <v>4</v>
      </c>
      <c r="H4691" s="5" t="s">
        <v>5</v>
      </c>
      <c r="I4691" s="6">
        <v>45930</v>
      </c>
    </row>
    <row r="4692" spans="1:9" ht="13.5">
      <c r="A4692" s="2" t="s">
        <v>5715</v>
      </c>
      <c r="B4692" s="3"/>
      <c r="C4692" s="4" t="s">
        <v>7828</v>
      </c>
      <c r="D4692" s="4" t="s">
        <v>6856</v>
      </c>
      <c r="E4692" s="5" t="s">
        <v>6857</v>
      </c>
      <c r="F4692" s="5" t="str">
        <f t="shared" si="73"/>
        <v>Minifinder.se</v>
      </c>
      <c r="G4692" s="5" t="s">
        <v>4</v>
      </c>
      <c r="H4692" s="5" t="s">
        <v>5</v>
      </c>
      <c r="I4692" s="6">
        <v>45930</v>
      </c>
    </row>
    <row r="4693" spans="1:9" ht="13.5">
      <c r="A4693" s="2" t="s">
        <v>6025</v>
      </c>
      <c r="B4693" s="3"/>
      <c r="C4693" s="4" t="s">
        <v>7829</v>
      </c>
      <c r="D4693" s="9" t="s">
        <v>6405</v>
      </c>
      <c r="E4693" s="72" t="s">
        <v>7830</v>
      </c>
      <c r="F4693" s="5" t="str">
        <f t="shared" si="73"/>
        <v>megariches.com</v>
      </c>
      <c r="G4693" s="5" t="s">
        <v>4</v>
      </c>
      <c r="H4693" s="5" t="s">
        <v>5</v>
      </c>
      <c r="I4693" s="6">
        <v>45930</v>
      </c>
    </row>
    <row r="4694" spans="1:9" ht="13.5">
      <c r="A4694" s="2" t="s">
        <v>2357</v>
      </c>
      <c r="B4694" s="3"/>
      <c r="C4694" s="4" t="s">
        <v>7831</v>
      </c>
      <c r="D4694" s="4" t="s">
        <v>7832</v>
      </c>
      <c r="E4694" s="5" t="s">
        <v>7833</v>
      </c>
      <c r="F4694" s="5" t="str">
        <f t="shared" si="73"/>
        <v>lsb.se</v>
      </c>
      <c r="G4694" s="5" t="s">
        <v>4</v>
      </c>
      <c r="H4694" s="5" t="s">
        <v>5</v>
      </c>
      <c r="I4694" s="6">
        <v>45930</v>
      </c>
    </row>
    <row r="4695" spans="1:9" ht="13.5">
      <c r="A4695" s="2" t="s">
        <v>6021</v>
      </c>
      <c r="B4695" s="3"/>
      <c r="C4695" s="4" t="s">
        <v>7834</v>
      </c>
      <c r="D4695" s="8" t="s">
        <v>7835</v>
      </c>
      <c r="E4695" s="5" t="s">
        <v>7836</v>
      </c>
      <c r="F4695" s="5" t="str">
        <f t="shared" si="73"/>
        <v>mrvegas.com</v>
      </c>
      <c r="G4695" s="5" t="s">
        <v>4</v>
      </c>
      <c r="H4695" s="5" t="s">
        <v>5</v>
      </c>
      <c r="I4695" s="6">
        <v>45928</v>
      </c>
    </row>
    <row r="4696" spans="1:9" ht="13.5">
      <c r="A4696" s="2" t="s">
        <v>5468</v>
      </c>
      <c r="B4696" s="3"/>
      <c r="C4696" s="4" t="s">
        <v>7837</v>
      </c>
      <c r="D4696" s="4" t="s">
        <v>6653</v>
      </c>
      <c r="E4696" s="5" t="s">
        <v>7838</v>
      </c>
      <c r="F4696" s="5" t="str">
        <f t="shared" si="73"/>
        <v>wellio.se</v>
      </c>
      <c r="G4696" s="5" t="s">
        <v>4</v>
      </c>
      <c r="H4696" s="5" t="s">
        <v>5</v>
      </c>
      <c r="I4696" s="6">
        <v>45928</v>
      </c>
    </row>
    <row r="4697" spans="1:9" ht="13.5">
      <c r="A4697" s="2" t="s">
        <v>2357</v>
      </c>
      <c r="B4697" s="3"/>
      <c r="C4697" s="4" t="s">
        <v>7839</v>
      </c>
      <c r="D4697" s="4" t="s">
        <v>5847</v>
      </c>
      <c r="E4697" s="5" t="s">
        <v>7840</v>
      </c>
      <c r="F4697" s="5" t="str">
        <f t="shared" si="73"/>
        <v>lsb.se</v>
      </c>
      <c r="G4697" s="5" t="s">
        <v>4</v>
      </c>
      <c r="H4697" s="5" t="s">
        <v>5</v>
      </c>
      <c r="I4697" s="6">
        <v>45928</v>
      </c>
    </row>
    <row r="4698" spans="1:9" ht="13.5">
      <c r="A4698" s="2" t="s">
        <v>6659</v>
      </c>
      <c r="B4698" s="3"/>
      <c r="C4698" s="4" t="s">
        <v>7841</v>
      </c>
      <c r="D4698" s="4" t="s">
        <v>6711</v>
      </c>
      <c r="E4698" s="5" t="s">
        <v>7842</v>
      </c>
      <c r="F4698" s="5" t="str">
        <f t="shared" si="73"/>
        <v>northtracker.com</v>
      </c>
      <c r="G4698" s="5" t="s">
        <v>4</v>
      </c>
      <c r="H4698" s="5" t="s">
        <v>5</v>
      </c>
      <c r="I4698" s="6">
        <v>45928</v>
      </c>
    </row>
    <row r="4699" spans="1:9" ht="13.5">
      <c r="A4699" s="2" t="s">
        <v>435</v>
      </c>
      <c r="B4699" s="3"/>
      <c r="C4699" s="4" t="s">
        <v>7843</v>
      </c>
      <c r="D4699" s="105" t="s">
        <v>1446</v>
      </c>
      <c r="E4699" s="76" t="s">
        <v>2692</v>
      </c>
      <c r="F4699" s="5" t="str">
        <f t="shared" si="73"/>
        <v>fairinvestments.se</v>
      </c>
      <c r="G4699" s="5" t="s">
        <v>4</v>
      </c>
      <c r="H4699" s="5" t="s">
        <v>5</v>
      </c>
      <c r="I4699" s="6">
        <v>45930</v>
      </c>
    </row>
    <row r="4700" spans="1:9" ht="13.5">
      <c r="A4700" s="2" t="s">
        <v>6659</v>
      </c>
      <c r="B4700" s="3"/>
      <c r="C4700" s="4" t="s">
        <v>7844</v>
      </c>
      <c r="D4700" s="105" t="s">
        <v>6711</v>
      </c>
      <c r="E4700" s="76" t="s">
        <v>6712</v>
      </c>
      <c r="F4700" s="5" t="str">
        <f t="shared" si="73"/>
        <v>northtracker.com</v>
      </c>
      <c r="G4700" s="5" t="s">
        <v>4</v>
      </c>
      <c r="H4700" s="5" t="s">
        <v>5</v>
      </c>
      <c r="I4700" s="6">
        <v>45930</v>
      </c>
    </row>
    <row r="4701" spans="1:9" ht="13.5">
      <c r="A4701" s="2" t="s">
        <v>435</v>
      </c>
      <c r="B4701" s="3"/>
      <c r="C4701" s="4" t="s">
        <v>7845</v>
      </c>
      <c r="D4701" s="105" t="s">
        <v>1446</v>
      </c>
      <c r="E4701" s="76" t="s">
        <v>2692</v>
      </c>
      <c r="F4701" s="5" t="str">
        <f t="shared" si="73"/>
        <v>fairinvestments.se</v>
      </c>
      <c r="G4701" s="5" t="s">
        <v>4</v>
      </c>
      <c r="H4701" s="5" t="s">
        <v>5</v>
      </c>
      <c r="I4701" s="6">
        <v>45930</v>
      </c>
    </row>
    <row r="4702" spans="1:9" ht="13.5">
      <c r="A4702" s="2" t="s">
        <v>435</v>
      </c>
      <c r="B4702" s="3"/>
      <c r="C4702" s="4" t="s">
        <v>7846</v>
      </c>
      <c r="D4702" s="105" t="s">
        <v>1734</v>
      </c>
      <c r="E4702" s="76" t="s">
        <v>2692</v>
      </c>
      <c r="F4702" s="5" t="str">
        <f t="shared" si="73"/>
        <v>fairinvestments.se</v>
      </c>
      <c r="G4702" s="5" t="s">
        <v>4</v>
      </c>
      <c r="H4702" s="5" t="s">
        <v>5</v>
      </c>
      <c r="I4702" s="6">
        <v>45930</v>
      </c>
    </row>
    <row r="4703" spans="1:9" ht="13.5">
      <c r="A4703" s="2" t="s">
        <v>6399</v>
      </c>
      <c r="B4703" s="3"/>
      <c r="C4703" s="4" t="s">
        <v>7847</v>
      </c>
      <c r="D4703" s="105" t="s">
        <v>6809</v>
      </c>
      <c r="E4703" s="76" t="s">
        <v>7848</v>
      </c>
      <c r="F4703" s="5" t="str">
        <f t="shared" si="73"/>
        <v>merchoteket.se</v>
      </c>
      <c r="G4703" s="5" t="s">
        <v>4</v>
      </c>
      <c r="H4703" s="5" t="s">
        <v>5</v>
      </c>
      <c r="I4703" s="6">
        <v>45930</v>
      </c>
    </row>
    <row r="4704" spans="1:9" ht="13.5">
      <c r="A4704" s="2" t="s">
        <v>6025</v>
      </c>
      <c r="B4704" s="3"/>
      <c r="C4704" s="4" t="s">
        <v>7849</v>
      </c>
      <c r="D4704" s="105" t="s">
        <v>7850</v>
      </c>
      <c r="E4704" s="76" t="s">
        <v>7830</v>
      </c>
      <c r="F4704" s="5" t="str">
        <f t="shared" si="73"/>
        <v>megariches.com</v>
      </c>
      <c r="G4704" s="5" t="s">
        <v>4</v>
      </c>
      <c r="H4704" s="5" t="s">
        <v>5</v>
      </c>
      <c r="I4704" s="6">
        <v>45930</v>
      </c>
    </row>
    <row r="4705" spans="1:9" ht="13.5">
      <c r="A4705" s="2" t="s">
        <v>3128</v>
      </c>
      <c r="B4705" s="3"/>
      <c r="C4705" s="4" t="s">
        <v>7851</v>
      </c>
      <c r="D4705" s="4" t="s">
        <v>3130</v>
      </c>
      <c r="E4705" s="5" t="s">
        <v>7852</v>
      </c>
      <c r="F4705" s="5" t="str">
        <f t="shared" si="73"/>
        <v>bethard.com</v>
      </c>
      <c r="G4705" s="5" t="s">
        <v>4</v>
      </c>
      <c r="H4705" s="5" t="s">
        <v>5</v>
      </c>
      <c r="I4705" s="6">
        <v>45930</v>
      </c>
    </row>
    <row r="4706" spans="1:9" ht="13.5">
      <c r="A4706" s="2" t="s">
        <v>1318</v>
      </c>
      <c r="B4706" s="3"/>
      <c r="C4706" s="4" t="s">
        <v>7853</v>
      </c>
      <c r="D4706" s="8" t="s">
        <v>7854</v>
      </c>
      <c r="E4706" s="22" t="s">
        <v>1846</v>
      </c>
      <c r="F4706" s="5" t="str">
        <f t="shared" si="73"/>
        <v>spelklubben.se</v>
      </c>
      <c r="G4706" s="5" t="s">
        <v>4</v>
      </c>
      <c r="H4706" s="5" t="s">
        <v>5</v>
      </c>
      <c r="I4706" s="6">
        <v>45930</v>
      </c>
    </row>
    <row r="4707" spans="1:9" ht="13.5">
      <c r="A4707" s="2" t="s">
        <v>6025</v>
      </c>
      <c r="B4707" s="3"/>
      <c r="C4707" s="4" t="s">
        <v>7855</v>
      </c>
      <c r="D4707" s="4" t="s">
        <v>7856</v>
      </c>
      <c r="E4707" s="5" t="s">
        <v>7857</v>
      </c>
      <c r="F4707" s="5" t="str">
        <f t="shared" si="73"/>
        <v>megariches.com</v>
      </c>
      <c r="G4707" s="5" t="s">
        <v>4</v>
      </c>
      <c r="H4707" s="5" t="s">
        <v>5</v>
      </c>
      <c r="I4707" s="6">
        <v>45930</v>
      </c>
    </row>
    <row r="4708" spans="1:9" ht="13.5">
      <c r="A4708" s="2" t="s">
        <v>3128</v>
      </c>
      <c r="B4708" s="3"/>
      <c r="C4708" s="4" t="s">
        <v>7669</v>
      </c>
      <c r="D4708" s="4" t="s">
        <v>3130</v>
      </c>
      <c r="E4708" s="5" t="s">
        <v>3115</v>
      </c>
      <c r="F4708" s="5" t="str">
        <f t="shared" si="73"/>
        <v>bethard.com</v>
      </c>
      <c r="G4708" s="5" t="s">
        <v>4</v>
      </c>
      <c r="H4708" s="5" t="s">
        <v>5</v>
      </c>
      <c r="I4708" s="6">
        <v>45930</v>
      </c>
    </row>
    <row r="4709" spans="1:9" ht="13.5">
      <c r="A4709" s="2" t="s">
        <v>5715</v>
      </c>
      <c r="B4709" s="3"/>
      <c r="C4709" s="4" t="s">
        <v>6855</v>
      </c>
      <c r="D4709" s="4" t="s">
        <v>6856</v>
      </c>
      <c r="E4709" s="5" t="s">
        <v>6857</v>
      </c>
      <c r="F4709" s="5" t="str">
        <f t="shared" si="73"/>
        <v>Minifinder.se</v>
      </c>
      <c r="G4709" s="5" t="s">
        <v>4</v>
      </c>
      <c r="H4709" s="5" t="s">
        <v>5</v>
      </c>
      <c r="I4709" s="6">
        <v>45930</v>
      </c>
    </row>
    <row r="4710" spans="1:9" ht="13.5">
      <c r="A4710" s="2" t="s">
        <v>703</v>
      </c>
      <c r="B4710" s="3"/>
      <c r="C4710" s="138" t="s">
        <v>6858</v>
      </c>
      <c r="D4710" s="4" t="s">
        <v>735</v>
      </c>
      <c r="E4710" s="5" t="s">
        <v>6859</v>
      </c>
      <c r="F4710" s="5" t="str">
        <f t="shared" si="73"/>
        <v>distansinstitutet.se</v>
      </c>
      <c r="G4710" s="5" t="s">
        <v>4</v>
      </c>
      <c r="H4710" s="5" t="s">
        <v>5</v>
      </c>
      <c r="I4710" s="6">
        <v>45930</v>
      </c>
    </row>
    <row r="4711" spans="1:9" ht="13.5">
      <c r="A4711" s="2" t="s">
        <v>6014</v>
      </c>
      <c r="B4711" s="3"/>
      <c r="C4711" s="4" t="s">
        <v>7858</v>
      </c>
      <c r="D4711" s="4" t="s">
        <v>7859</v>
      </c>
      <c r="E4711" s="5" t="s">
        <v>7860</v>
      </c>
      <c r="F4711" s="5" t="str">
        <f t="shared" si="73"/>
        <v>kungaslottet.se</v>
      </c>
      <c r="G4711" s="5" t="s">
        <v>4</v>
      </c>
      <c r="H4711" s="5" t="s">
        <v>5</v>
      </c>
      <c r="I4711" s="6">
        <v>45930</v>
      </c>
    </row>
    <row r="4712" spans="1:9" ht="13.5">
      <c r="A4712" s="2" t="s">
        <v>5468</v>
      </c>
      <c r="B4712" s="3"/>
      <c r="C4712" s="4" t="s">
        <v>7861</v>
      </c>
      <c r="D4712" s="4" t="s">
        <v>5470</v>
      </c>
      <c r="E4712" s="5" t="s">
        <v>6665</v>
      </c>
      <c r="F4712" s="5" t="str">
        <f t="shared" si="73"/>
        <v>wellio.se</v>
      </c>
      <c r="G4712" s="5" t="s">
        <v>4</v>
      </c>
      <c r="H4712" s="5" t="s">
        <v>5</v>
      </c>
      <c r="I4712" s="6">
        <v>45930</v>
      </c>
    </row>
    <row r="4713" spans="1:9" ht="13.5">
      <c r="A4713" s="2" t="s">
        <v>5589</v>
      </c>
      <c r="B4713" s="3"/>
      <c r="C4713" s="4" t="s">
        <v>7862</v>
      </c>
      <c r="D4713" s="4" t="s">
        <v>7863</v>
      </c>
      <c r="E4713" s="5" t="s">
        <v>7864</v>
      </c>
      <c r="F4713" s="5" t="str">
        <f t="shared" si="73"/>
        <v>dbet.com</v>
      </c>
      <c r="G4713" s="5" t="s">
        <v>4</v>
      </c>
      <c r="H4713" s="5" t="s">
        <v>5</v>
      </c>
      <c r="I4713" s="6">
        <v>45930</v>
      </c>
    </row>
    <row r="4714" spans="1:9" ht="13.5">
      <c r="A4714" s="2" t="s">
        <v>6025</v>
      </c>
      <c r="B4714" s="3"/>
      <c r="C4714" s="4" t="s">
        <v>7865</v>
      </c>
      <c r="D4714" s="4" t="s">
        <v>7850</v>
      </c>
      <c r="E4714" s="5" t="s">
        <v>3035</v>
      </c>
      <c r="F4714" s="5" t="str">
        <f t="shared" si="73"/>
        <v>megariches.com</v>
      </c>
      <c r="G4714" s="5" t="s">
        <v>4</v>
      </c>
      <c r="H4714" s="5" t="s">
        <v>5</v>
      </c>
      <c r="I4714" s="6">
        <v>45930</v>
      </c>
    </row>
    <row r="4715" spans="1:9" ht="13.5">
      <c r="A4715" s="2" t="s">
        <v>3761</v>
      </c>
      <c r="B4715" s="3"/>
      <c r="C4715" s="4" t="s">
        <v>7866</v>
      </c>
      <c r="D4715" s="4" t="s">
        <v>4288</v>
      </c>
      <c r="E4715" s="5" t="s">
        <v>7867</v>
      </c>
      <c r="F4715" s="5" t="str">
        <f t="shared" si="73"/>
        <v>hajper.com</v>
      </c>
      <c r="G4715" s="5" t="s">
        <v>4</v>
      </c>
      <c r="H4715" s="5" t="s">
        <v>5</v>
      </c>
      <c r="I4715" s="6">
        <v>45930</v>
      </c>
    </row>
    <row r="4716" spans="1:9" ht="13.5">
      <c r="A4716" s="2" t="s">
        <v>2357</v>
      </c>
      <c r="B4716" s="3"/>
      <c r="C4716" s="4" t="s">
        <v>7868</v>
      </c>
      <c r="D4716" s="4" t="s">
        <v>5685</v>
      </c>
      <c r="E4716" s="5" t="s">
        <v>5686</v>
      </c>
      <c r="F4716" s="5" t="str">
        <f t="shared" si="73"/>
        <v>lsb.se</v>
      </c>
      <c r="G4716" s="5" t="s">
        <v>4</v>
      </c>
      <c r="H4716" s="5" t="s">
        <v>5</v>
      </c>
      <c r="I4716" s="6">
        <v>45930</v>
      </c>
    </row>
    <row r="4717" spans="1:9" ht="13.5">
      <c r="A4717" s="7" t="s">
        <v>6789</v>
      </c>
      <c r="B4717" s="3"/>
      <c r="C4717" s="4" t="s">
        <v>7869</v>
      </c>
      <c r="D4717" s="4" t="s">
        <v>6791</v>
      </c>
      <c r="E4717" s="5" t="s">
        <v>7870</v>
      </c>
      <c r="F4717" s="5" t="str">
        <f t="shared" si="73"/>
        <v>Bettingsyndikatet</v>
      </c>
      <c r="G4717" s="5" t="s">
        <v>4</v>
      </c>
      <c r="H4717" s="5" t="s">
        <v>5</v>
      </c>
      <c r="I4717" s="6">
        <v>45930</v>
      </c>
    </row>
    <row r="4718" spans="1:9" ht="13.5">
      <c r="A4718" s="2" t="s">
        <v>6021</v>
      </c>
      <c r="B4718" s="3"/>
      <c r="C4718" s="4" t="s">
        <v>7871</v>
      </c>
      <c r="D4718" s="4" t="s">
        <v>6349</v>
      </c>
      <c r="E4718" s="5" t="s">
        <v>6651</v>
      </c>
      <c r="F4718" s="5" t="str">
        <f t="shared" si="73"/>
        <v>mrvegas.com</v>
      </c>
      <c r="G4718" s="5" t="s">
        <v>4</v>
      </c>
      <c r="H4718" s="5" t="s">
        <v>5</v>
      </c>
      <c r="I4718" s="6">
        <v>45930</v>
      </c>
    </row>
    <row r="4719" spans="1:9" ht="13.5">
      <c r="A4719" s="2" t="s">
        <v>6014</v>
      </c>
      <c r="B4719" s="3"/>
      <c r="C4719" s="4" t="s">
        <v>7872</v>
      </c>
      <c r="D4719" s="4" t="s">
        <v>7873</v>
      </c>
      <c r="E4719" s="5" t="s">
        <v>7874</v>
      </c>
      <c r="F4719" s="5" t="str">
        <f t="shared" si="73"/>
        <v>kungaslottet.se</v>
      </c>
      <c r="G4719" s="5" t="s">
        <v>4</v>
      </c>
      <c r="H4719" s="5" t="s">
        <v>5</v>
      </c>
      <c r="I4719" s="6">
        <v>45930</v>
      </c>
    </row>
    <row r="4720" spans="1:9" ht="13.5">
      <c r="A4720" s="2" t="s">
        <v>7743</v>
      </c>
      <c r="B4720" s="3"/>
      <c r="C4720" s="4" t="s">
        <v>7875</v>
      </c>
      <c r="D4720" s="4" t="s">
        <v>7876</v>
      </c>
      <c r="E4720" s="5" t="s">
        <v>7877</v>
      </c>
      <c r="F4720" s="5" t="str">
        <f t="shared" si="73"/>
        <v>jakt.se</v>
      </c>
      <c r="G4720" s="5" t="s">
        <v>4</v>
      </c>
      <c r="H4720" s="5" t="s">
        <v>5</v>
      </c>
      <c r="I4720" s="6">
        <v>45931</v>
      </c>
    </row>
    <row r="4721" spans="1:9" ht="13.5">
      <c r="A4721" s="2" t="s">
        <v>2357</v>
      </c>
      <c r="B4721" s="3"/>
      <c r="C4721" s="4" t="s">
        <v>7878</v>
      </c>
      <c r="D4721" s="138" t="s">
        <v>5685</v>
      </c>
      <c r="E4721" s="5" t="s">
        <v>7879</v>
      </c>
      <c r="F4721" s="5" t="str">
        <f t="shared" si="73"/>
        <v>lsb.se</v>
      </c>
      <c r="G4721" s="5" t="s">
        <v>4</v>
      </c>
      <c r="H4721" s="5" t="s">
        <v>5</v>
      </c>
      <c r="I4721" s="6">
        <v>45891</v>
      </c>
    </row>
    <row r="4722" spans="1:9" ht="13.5">
      <c r="A4722" s="2" t="s">
        <v>2357</v>
      </c>
      <c r="B4722" s="3"/>
      <c r="C4722" s="4" t="s">
        <v>7684</v>
      </c>
      <c r="D4722" s="5" t="s">
        <v>5685</v>
      </c>
      <c r="E4722" s="5" t="s">
        <v>4400</v>
      </c>
      <c r="F4722" s="5" t="str">
        <f t="shared" si="73"/>
        <v>lsb.se</v>
      </c>
      <c r="G4722" s="5" t="s">
        <v>4</v>
      </c>
      <c r="H4722" s="5" t="s">
        <v>5</v>
      </c>
      <c r="I4722" s="6">
        <v>45931</v>
      </c>
    </row>
    <row r="4723" spans="1:9" ht="13.5">
      <c r="A4723" s="2" t="s">
        <v>5350</v>
      </c>
      <c r="B4723" s="3"/>
      <c r="C4723" s="4" t="s">
        <v>7880</v>
      </c>
      <c r="D4723" s="5" t="s">
        <v>7881</v>
      </c>
      <c r="E4723" s="5" t="s">
        <v>7882</v>
      </c>
      <c r="F4723" s="5" t="str">
        <f t="shared" si="73"/>
        <v>lilla-varlden.se</v>
      </c>
      <c r="G4723" s="5" t="s">
        <v>4</v>
      </c>
      <c r="H4723" s="5" t="s">
        <v>5</v>
      </c>
      <c r="I4723" s="6">
        <v>45931</v>
      </c>
    </row>
    <row r="4724" spans="1:9" ht="13.5">
      <c r="A4724" s="2" t="s">
        <v>5020</v>
      </c>
      <c r="B4724" s="3"/>
      <c r="C4724" s="4" t="s">
        <v>7883</v>
      </c>
      <c r="D4724" s="5" t="s">
        <v>5865</v>
      </c>
      <c r="E4724" s="5" t="s">
        <v>5866</v>
      </c>
      <c r="F4724" s="5" t="str">
        <f t="shared" si="73"/>
        <v>sesec.se</v>
      </c>
      <c r="G4724" s="5" t="s">
        <v>4</v>
      </c>
      <c r="H4724" s="5" t="s">
        <v>5</v>
      </c>
      <c r="I4724" s="6">
        <v>45931</v>
      </c>
    </row>
    <row r="4725" spans="1:9" ht="13.5">
      <c r="A4725" s="2" t="s">
        <v>5715</v>
      </c>
      <c r="B4725" s="3"/>
      <c r="C4725" s="4" t="s">
        <v>7884</v>
      </c>
      <c r="D4725" s="5" t="s">
        <v>7885</v>
      </c>
      <c r="E4725" s="5" t="s">
        <v>7842</v>
      </c>
      <c r="F4725" s="5" t="str">
        <f t="shared" si="73"/>
        <v>Minifinder.se</v>
      </c>
      <c r="G4725" s="5" t="s">
        <v>4</v>
      </c>
      <c r="H4725" s="5" t="s">
        <v>5</v>
      </c>
      <c r="I4725" s="6">
        <v>45931</v>
      </c>
    </row>
    <row r="4726" spans="1:9" ht="13.5">
      <c r="A4726" s="2" t="s">
        <v>5879</v>
      </c>
      <c r="B4726" s="3"/>
      <c r="C4726" s="4" t="s">
        <v>7886</v>
      </c>
      <c r="D4726" s="5" t="s">
        <v>7887</v>
      </c>
      <c r="E4726" s="5" t="s">
        <v>7888</v>
      </c>
      <c r="F4726" s="5" t="str">
        <f t="shared" si="73"/>
        <v>stockholms-rorvvs.se</v>
      </c>
      <c r="G4726" s="5" t="s">
        <v>4</v>
      </c>
      <c r="H4726" s="5" t="s">
        <v>5</v>
      </c>
      <c r="I4726" s="6">
        <v>45931</v>
      </c>
    </row>
    <row r="4727" spans="1:9" ht="13.5">
      <c r="A4727" s="2" t="s">
        <v>6415</v>
      </c>
      <c r="B4727" s="3"/>
      <c r="C4727" s="4" t="s">
        <v>7889</v>
      </c>
      <c r="D4727" s="5" t="s">
        <v>7890</v>
      </c>
      <c r="E4727" s="5" t="s">
        <v>6418</v>
      </c>
      <c r="F4727" s="5" t="str">
        <f t="shared" si="73"/>
        <v>comfydence.se</v>
      </c>
      <c r="G4727" s="5" t="s">
        <v>4</v>
      </c>
      <c r="H4727" s="5" t="s">
        <v>5</v>
      </c>
      <c r="I4727" s="6">
        <v>45931</v>
      </c>
    </row>
    <row r="4728" spans="1:9" ht="13.5">
      <c r="A4728" s="2" t="s">
        <v>5589</v>
      </c>
      <c r="B4728" s="3"/>
      <c r="C4728" s="4" t="s">
        <v>7891</v>
      </c>
      <c r="D4728" s="5" t="s">
        <v>7892</v>
      </c>
      <c r="E4728" s="5" t="s">
        <v>7893</v>
      </c>
      <c r="F4728" s="5" t="str">
        <f t="shared" si="73"/>
        <v>dbet.com</v>
      </c>
      <c r="G4728" s="5" t="s">
        <v>4</v>
      </c>
      <c r="H4728" s="5" t="s">
        <v>5</v>
      </c>
      <c r="I4728" s="6">
        <v>45931</v>
      </c>
    </row>
    <row r="4729" spans="1:9" ht="13.5">
      <c r="A4729" s="2" t="s">
        <v>5589</v>
      </c>
      <c r="B4729" s="3"/>
      <c r="C4729" s="4" t="s">
        <v>7894</v>
      </c>
      <c r="D4729" s="5" t="s">
        <v>5658</v>
      </c>
      <c r="E4729" s="5" t="s">
        <v>5201</v>
      </c>
      <c r="F4729" s="5" t="str">
        <f t="shared" si="73"/>
        <v>dbet.com</v>
      </c>
      <c r="G4729" s="5" t="s">
        <v>4</v>
      </c>
      <c r="H4729" s="5" t="s">
        <v>5</v>
      </c>
      <c r="I4729" s="6">
        <v>45931</v>
      </c>
    </row>
    <row r="4730" spans="1:9" ht="13.5">
      <c r="A4730" s="2" t="s">
        <v>3090</v>
      </c>
      <c r="B4730" s="3"/>
      <c r="C4730" s="4" t="s">
        <v>7895</v>
      </c>
      <c r="D4730" s="5" t="s">
        <v>6460</v>
      </c>
      <c r="E4730" s="5" t="s">
        <v>6651</v>
      </c>
      <c r="F4730" s="5" t="str">
        <f t="shared" si="73"/>
        <v>videoslots.com</v>
      </c>
      <c r="G4730" s="5" t="s">
        <v>4</v>
      </c>
      <c r="H4730" s="5" t="s">
        <v>5</v>
      </c>
      <c r="I4730" s="6">
        <v>45931</v>
      </c>
    </row>
    <row r="4731" spans="1:9" ht="13.5">
      <c r="A4731" s="2" t="s">
        <v>6025</v>
      </c>
      <c r="B4731" s="3"/>
      <c r="C4731" s="4" t="s">
        <v>7896</v>
      </c>
      <c r="D4731" s="5" t="s">
        <v>7897</v>
      </c>
      <c r="E4731" s="5" t="s">
        <v>7898</v>
      </c>
      <c r="F4731" s="5" t="str">
        <f t="shared" si="73"/>
        <v>megariches.com</v>
      </c>
      <c r="G4731" s="5" t="s">
        <v>4</v>
      </c>
      <c r="H4731" s="5" t="s">
        <v>5</v>
      </c>
      <c r="I4731" s="6">
        <v>45931</v>
      </c>
    </row>
    <row r="4732" spans="1:9" ht="13.5">
      <c r="A4732" s="2" t="s">
        <v>3580</v>
      </c>
      <c r="B4732" s="3"/>
      <c r="C4732" s="4" t="s">
        <v>7899</v>
      </c>
      <c r="D4732" s="4" t="s">
        <v>7900</v>
      </c>
      <c r="E4732" s="5" t="s">
        <v>7901</v>
      </c>
      <c r="F4732" s="5" t="str">
        <f t="shared" si="73"/>
        <v>kleer.se</v>
      </c>
      <c r="G4732" s="5" t="s">
        <v>4</v>
      </c>
      <c r="H4732" s="5" t="s">
        <v>5</v>
      </c>
      <c r="I4732" s="6">
        <v>45931</v>
      </c>
    </row>
    <row r="4733" spans="1:9" ht="13.5">
      <c r="A4733" s="2" t="s">
        <v>3058</v>
      </c>
      <c r="B4733" s="3"/>
      <c r="C4733" s="4" t="s">
        <v>7902</v>
      </c>
      <c r="D4733" s="4" t="s">
        <v>5034</v>
      </c>
      <c r="E4733" s="5" t="s">
        <v>14</v>
      </c>
      <c r="F4733" s="5" t="str">
        <f t="shared" si="73"/>
        <v>rusta.se</v>
      </c>
      <c r="G4733" s="5" t="s">
        <v>4</v>
      </c>
      <c r="H4733" s="5" t="s">
        <v>5</v>
      </c>
      <c r="I4733" s="6">
        <v>45931</v>
      </c>
    </row>
    <row r="4734" spans="1:9" ht="13.5">
      <c r="A4734" s="2" t="s">
        <v>2127</v>
      </c>
      <c r="B4734" s="3"/>
      <c r="C4734" s="4" t="s">
        <v>7903</v>
      </c>
      <c r="D4734" s="4" t="s">
        <v>7904</v>
      </c>
      <c r="E4734" s="5" t="s">
        <v>4681</v>
      </c>
      <c r="F4734" s="5" t="str">
        <f t="shared" si="73"/>
        <v>startmotor.se</v>
      </c>
      <c r="G4734" s="5" t="s">
        <v>4</v>
      </c>
      <c r="H4734" s="5" t="s">
        <v>5</v>
      </c>
      <c r="I4734" s="6">
        <v>45931</v>
      </c>
    </row>
    <row r="4735" spans="1:9" ht="13.5">
      <c r="A4735" s="7" t="s">
        <v>3419</v>
      </c>
      <c r="B4735" s="3"/>
      <c r="C4735" s="4" t="s">
        <v>7905</v>
      </c>
      <c r="D4735" s="4" t="s">
        <v>5280</v>
      </c>
      <c r="E4735" s="5" t="s">
        <v>7763</v>
      </c>
      <c r="F4735" s="5" t="str">
        <f t="shared" si="73"/>
        <v>zmarta</v>
      </c>
      <c r="G4735" s="5" t="s">
        <v>4</v>
      </c>
      <c r="H4735" s="5" t="s">
        <v>5</v>
      </c>
      <c r="I4735" s="6">
        <v>45931</v>
      </c>
    </row>
    <row r="4736" spans="1:9" ht="13.5">
      <c r="A4736" s="7" t="s">
        <v>3419</v>
      </c>
      <c r="B4736" s="3"/>
      <c r="C4736" s="4" t="s">
        <v>7906</v>
      </c>
      <c r="D4736" s="4" t="s">
        <v>3407</v>
      </c>
      <c r="E4736" s="5" t="s">
        <v>3408</v>
      </c>
      <c r="F4736" s="5" t="str">
        <f t="shared" si="73"/>
        <v>zmarta</v>
      </c>
      <c r="G4736" s="5" t="s">
        <v>4</v>
      </c>
      <c r="H4736" s="5" t="s">
        <v>5</v>
      </c>
      <c r="I4736" s="6">
        <v>45931</v>
      </c>
    </row>
    <row r="4737" spans="1:9" ht="13.5">
      <c r="A4737" s="2" t="s">
        <v>6415</v>
      </c>
      <c r="B4737" s="3"/>
      <c r="C4737" s="4" t="s">
        <v>7907</v>
      </c>
      <c r="D4737" s="4" t="s">
        <v>7890</v>
      </c>
      <c r="E4737" s="5" t="s">
        <v>6418</v>
      </c>
      <c r="F4737" s="5" t="str">
        <f t="shared" si="73"/>
        <v>comfydence.se</v>
      </c>
      <c r="G4737" s="5" t="s">
        <v>4</v>
      </c>
      <c r="H4737" s="5" t="s">
        <v>5</v>
      </c>
      <c r="I4737" s="6">
        <v>45931</v>
      </c>
    </row>
    <row r="4738" spans="1:9" ht="13.5">
      <c r="A4738" s="7" t="s">
        <v>5361</v>
      </c>
      <c r="B4738" s="3"/>
      <c r="C4738" s="4" t="s">
        <v>7908</v>
      </c>
      <c r="D4738" s="4" t="s">
        <v>5363</v>
      </c>
      <c r="E4738" s="5" t="s">
        <v>5361</v>
      </c>
      <c r="F4738" s="5" t="str">
        <f t="shared" si="73"/>
        <v>Leaptodigital</v>
      </c>
      <c r="G4738" s="5" t="s">
        <v>4</v>
      </c>
      <c r="H4738" s="5" t="s">
        <v>345</v>
      </c>
      <c r="I4738" s="6">
        <v>45931</v>
      </c>
    </row>
    <row r="4739" spans="1:9" ht="13.5">
      <c r="A4739" s="2" t="s">
        <v>3086</v>
      </c>
      <c r="B4739" s="3"/>
      <c r="C4739" s="4" t="s">
        <v>7909</v>
      </c>
      <c r="D4739" s="4" t="s">
        <v>3088</v>
      </c>
      <c r="E4739" s="5" t="s">
        <v>7910</v>
      </c>
      <c r="F4739" s="5" t="str">
        <f t="shared" ref="F4739:F4802" si="74">A4739</f>
        <v>himala.ai</v>
      </c>
      <c r="G4739" s="5" t="s">
        <v>4</v>
      </c>
      <c r="H4739" s="5" t="s">
        <v>345</v>
      </c>
      <c r="I4739" s="6">
        <v>45931</v>
      </c>
    </row>
    <row r="4740" spans="1:9" ht="13.5">
      <c r="A4740" s="2" t="s">
        <v>6639</v>
      </c>
      <c r="B4740" s="3"/>
      <c r="C4740" s="4" t="s">
        <v>7911</v>
      </c>
      <c r="D4740" s="4" t="s">
        <v>7912</v>
      </c>
      <c r="E4740" s="5" t="s">
        <v>7689</v>
      </c>
      <c r="F4740" s="5" t="str">
        <f t="shared" si="74"/>
        <v>epidemicsounds.com</v>
      </c>
      <c r="G4740" s="5" t="s">
        <v>4</v>
      </c>
      <c r="H4740" s="5" t="s">
        <v>7688</v>
      </c>
      <c r="I4740" s="6">
        <v>45931</v>
      </c>
    </row>
    <row r="4741" spans="1:9" ht="13.5">
      <c r="A4741" s="2" t="s">
        <v>2127</v>
      </c>
      <c r="B4741" s="3"/>
      <c r="C4741" s="4" t="s">
        <v>7913</v>
      </c>
      <c r="D4741" s="4" t="s">
        <v>7904</v>
      </c>
      <c r="E4741" s="5" t="s">
        <v>4681</v>
      </c>
      <c r="F4741" s="5" t="str">
        <f t="shared" si="74"/>
        <v>startmotor.se</v>
      </c>
      <c r="G4741" s="5" t="s">
        <v>4</v>
      </c>
      <c r="H4741" s="5" t="s">
        <v>5</v>
      </c>
      <c r="I4741" s="6">
        <v>45931</v>
      </c>
    </row>
    <row r="4742" spans="1:9" ht="13.5">
      <c r="A4742" s="2" t="s">
        <v>2127</v>
      </c>
      <c r="B4742" s="3"/>
      <c r="C4742" s="4" t="s">
        <v>7914</v>
      </c>
      <c r="D4742" s="4" t="s">
        <v>7915</v>
      </c>
      <c r="E4742" s="5" t="s">
        <v>7916</v>
      </c>
      <c r="F4742" s="5" t="str">
        <f t="shared" si="74"/>
        <v>startmotor.se</v>
      </c>
      <c r="G4742" s="5" t="s">
        <v>4</v>
      </c>
      <c r="H4742" s="5" t="s">
        <v>5</v>
      </c>
      <c r="I4742" s="6">
        <v>45931</v>
      </c>
    </row>
    <row r="4743" spans="1:9" ht="13.5">
      <c r="A4743" s="2" t="s">
        <v>2127</v>
      </c>
      <c r="B4743" s="3"/>
      <c r="C4743" s="4" t="s">
        <v>7917</v>
      </c>
      <c r="D4743" s="4" t="s">
        <v>7915</v>
      </c>
      <c r="E4743" s="5" t="s">
        <v>7916</v>
      </c>
      <c r="F4743" s="5" t="str">
        <f t="shared" si="74"/>
        <v>startmotor.se</v>
      </c>
      <c r="G4743" s="5" t="s">
        <v>4</v>
      </c>
      <c r="H4743" s="5" t="s">
        <v>5</v>
      </c>
      <c r="I4743" s="6">
        <v>45931</v>
      </c>
    </row>
    <row r="4744" spans="1:9" ht="13.5">
      <c r="A4744" s="2" t="s">
        <v>535</v>
      </c>
      <c r="B4744" s="3"/>
      <c r="C4744" s="4" t="s">
        <v>7918</v>
      </c>
      <c r="D4744" s="4" t="s">
        <v>7919</v>
      </c>
      <c r="E4744" s="5" t="s">
        <v>7920</v>
      </c>
      <c r="F4744" s="5" t="str">
        <f t="shared" si="74"/>
        <v>tryggbil.se</v>
      </c>
      <c r="G4744" s="5" t="s">
        <v>4</v>
      </c>
      <c r="H4744" s="5" t="s">
        <v>5</v>
      </c>
      <c r="I4744" s="6">
        <v>45931</v>
      </c>
    </row>
    <row r="4745" spans="1:9" ht="13.5">
      <c r="A4745" s="2" t="s">
        <v>535</v>
      </c>
      <c r="B4745" s="3"/>
      <c r="C4745" s="4" t="s">
        <v>7921</v>
      </c>
      <c r="D4745" s="4" t="s">
        <v>7919</v>
      </c>
      <c r="E4745" s="5" t="s">
        <v>7922</v>
      </c>
      <c r="F4745" s="5" t="str">
        <f t="shared" si="74"/>
        <v>tryggbil.se</v>
      </c>
      <c r="G4745" s="5" t="s">
        <v>4</v>
      </c>
      <c r="H4745" s="5" t="s">
        <v>5</v>
      </c>
      <c r="I4745" s="6">
        <v>45931</v>
      </c>
    </row>
    <row r="4746" spans="1:9" ht="13.5">
      <c r="A4746" s="2" t="s">
        <v>5191</v>
      </c>
      <c r="B4746" s="3"/>
      <c r="C4746" s="4" t="s">
        <v>7923</v>
      </c>
      <c r="D4746" s="4" t="s">
        <v>5456</v>
      </c>
      <c r="E4746" s="5" t="s">
        <v>7924</v>
      </c>
      <c r="F4746" s="5" t="str">
        <f t="shared" si="74"/>
        <v>bergetsro.se</v>
      </c>
      <c r="G4746" s="5" t="s">
        <v>4</v>
      </c>
      <c r="H4746" s="5" t="s">
        <v>5</v>
      </c>
      <c r="I4746" s="6">
        <v>45931</v>
      </c>
    </row>
    <row r="4747" spans="1:9" ht="13.5">
      <c r="A4747" s="2" t="s">
        <v>6014</v>
      </c>
      <c r="B4747" s="3"/>
      <c r="C4747" s="4" t="s">
        <v>7925</v>
      </c>
      <c r="D4747" s="4" t="s">
        <v>7859</v>
      </c>
      <c r="E4747" s="5" t="s">
        <v>6547</v>
      </c>
      <c r="F4747" s="5" t="str">
        <f t="shared" si="74"/>
        <v>kungaslottet.se</v>
      </c>
      <c r="G4747" s="5" t="s">
        <v>4</v>
      </c>
      <c r="H4747" s="5" t="s">
        <v>5</v>
      </c>
      <c r="I4747" s="6">
        <v>45931</v>
      </c>
    </row>
    <row r="4748" spans="1:9" ht="13.5">
      <c r="A4748" s="2" t="s">
        <v>5589</v>
      </c>
      <c r="B4748" s="3"/>
      <c r="C4748" s="4" t="s">
        <v>7926</v>
      </c>
      <c r="D4748" s="4" t="s">
        <v>7927</v>
      </c>
      <c r="E4748" s="5" t="s">
        <v>7697</v>
      </c>
      <c r="F4748" s="5" t="str">
        <f t="shared" si="74"/>
        <v>dbet.com</v>
      </c>
      <c r="G4748" s="5" t="s">
        <v>4</v>
      </c>
      <c r="H4748" s="5" t="s">
        <v>5</v>
      </c>
      <c r="I4748" s="6">
        <v>45931</v>
      </c>
    </row>
    <row r="4749" spans="1:9" ht="13.5">
      <c r="A4749" s="2" t="s">
        <v>3086</v>
      </c>
      <c r="B4749" s="3"/>
      <c r="C4749" s="4" t="s">
        <v>7928</v>
      </c>
      <c r="D4749" s="4" t="s">
        <v>3088</v>
      </c>
      <c r="E4749" s="5" t="s">
        <v>7929</v>
      </c>
      <c r="F4749" s="5" t="str">
        <f t="shared" si="74"/>
        <v>himala.ai</v>
      </c>
      <c r="G4749" s="5" t="s">
        <v>4</v>
      </c>
      <c r="H4749" s="5" t="s">
        <v>5</v>
      </c>
      <c r="I4749" s="6">
        <v>45931</v>
      </c>
    </row>
    <row r="4750" spans="1:9" ht="13.5">
      <c r="A4750" s="2" t="s">
        <v>6021</v>
      </c>
      <c r="B4750" s="3"/>
      <c r="C4750" s="4" t="s">
        <v>7930</v>
      </c>
      <c r="D4750" s="4" t="s">
        <v>6349</v>
      </c>
      <c r="E4750" s="5" t="s">
        <v>7931</v>
      </c>
      <c r="F4750" s="5" t="str">
        <f t="shared" si="74"/>
        <v>mrvegas.com</v>
      </c>
      <c r="G4750" s="5" t="s">
        <v>4</v>
      </c>
      <c r="H4750" s="5" t="s">
        <v>5</v>
      </c>
      <c r="I4750" s="6">
        <v>45930</v>
      </c>
    </row>
    <row r="4751" spans="1:9" ht="13.5">
      <c r="A4751" s="2" t="s">
        <v>1318</v>
      </c>
      <c r="B4751" s="3"/>
      <c r="C4751" s="4" t="s">
        <v>7932</v>
      </c>
      <c r="D4751" s="4" t="s">
        <v>7933</v>
      </c>
      <c r="E4751" s="10" t="s">
        <v>1846</v>
      </c>
      <c r="F4751" s="5" t="str">
        <f t="shared" si="74"/>
        <v>spelklubben.se</v>
      </c>
      <c r="G4751" s="5" t="s">
        <v>4</v>
      </c>
      <c r="H4751" s="5" t="s">
        <v>5</v>
      </c>
      <c r="I4751" s="6">
        <v>45932</v>
      </c>
    </row>
    <row r="4752" spans="1:9" ht="13.5">
      <c r="A4752" s="2" t="s">
        <v>6025</v>
      </c>
      <c r="B4752" s="3"/>
      <c r="C4752" s="4" t="s">
        <v>7934</v>
      </c>
      <c r="D4752" s="4" t="s">
        <v>7935</v>
      </c>
      <c r="E4752" s="5" t="s">
        <v>7936</v>
      </c>
      <c r="F4752" s="5" t="str">
        <f t="shared" si="74"/>
        <v>megariches.com</v>
      </c>
      <c r="G4752" s="5" t="s">
        <v>4</v>
      </c>
      <c r="H4752" s="5" t="s">
        <v>3496</v>
      </c>
      <c r="I4752" s="6">
        <v>45934</v>
      </c>
    </row>
    <row r="4753" spans="1:9" ht="13.5">
      <c r="A4753" s="2" t="s">
        <v>6021</v>
      </c>
      <c r="B4753" s="3"/>
      <c r="C4753" s="4" t="s">
        <v>7937</v>
      </c>
      <c r="D4753" s="4" t="s">
        <v>7938</v>
      </c>
      <c r="E4753" s="5" t="s">
        <v>7697</v>
      </c>
      <c r="F4753" s="5" t="str">
        <f t="shared" si="74"/>
        <v>mrvegas.com</v>
      </c>
      <c r="G4753" s="5" t="s">
        <v>4</v>
      </c>
      <c r="H4753" s="5" t="s">
        <v>3496</v>
      </c>
      <c r="I4753" s="6">
        <v>45934</v>
      </c>
    </row>
    <row r="4754" spans="1:9" ht="13.5">
      <c r="A4754" s="2" t="s">
        <v>4489</v>
      </c>
      <c r="B4754" s="3"/>
      <c r="C4754" s="4" t="s">
        <v>7939</v>
      </c>
      <c r="D4754" s="4" t="s">
        <v>4494</v>
      </c>
      <c r="E4754" s="5" t="s">
        <v>7940</v>
      </c>
      <c r="F4754" s="5" t="str">
        <f t="shared" si="74"/>
        <v>nordicknots.com</v>
      </c>
      <c r="G4754" s="5" t="s">
        <v>4</v>
      </c>
      <c r="H4754" s="5" t="s">
        <v>345</v>
      </c>
      <c r="I4754" s="6">
        <v>45934</v>
      </c>
    </row>
    <row r="4755" spans="1:9" ht="13.5">
      <c r="A4755" s="2" t="s">
        <v>4489</v>
      </c>
      <c r="B4755" s="3"/>
      <c r="C4755" s="4" t="s">
        <v>7941</v>
      </c>
      <c r="D4755" s="4" t="s">
        <v>6095</v>
      </c>
      <c r="E4755" s="5" t="s">
        <v>5259</v>
      </c>
      <c r="F4755" s="5" t="str">
        <f t="shared" si="74"/>
        <v>nordicknots.com</v>
      </c>
      <c r="G4755" s="5" t="s">
        <v>4</v>
      </c>
      <c r="H4755" s="5" t="s">
        <v>345</v>
      </c>
      <c r="I4755" s="6">
        <v>45934</v>
      </c>
    </row>
    <row r="4756" spans="1:9" ht="13.5">
      <c r="A4756" s="2" t="s">
        <v>3885</v>
      </c>
      <c r="B4756" s="3"/>
      <c r="C4756" s="4" t="s">
        <v>7942</v>
      </c>
      <c r="D4756" s="4" t="s">
        <v>3967</v>
      </c>
      <c r="E4756" s="5" t="s">
        <v>7943</v>
      </c>
      <c r="F4756" s="5" t="str">
        <f t="shared" si="74"/>
        <v>chattanoogarehab.com</v>
      </c>
      <c r="G4756" s="5" t="s">
        <v>4</v>
      </c>
      <c r="H4756" s="5" t="s">
        <v>345</v>
      </c>
      <c r="I4756" s="6">
        <v>45934</v>
      </c>
    </row>
    <row r="4757" spans="1:9" ht="13.5">
      <c r="A4757" s="2" t="s">
        <v>435</v>
      </c>
      <c r="B4757" s="3"/>
      <c r="C4757" s="4" t="s">
        <v>7944</v>
      </c>
      <c r="D4757" s="4" t="s">
        <v>3779</v>
      </c>
      <c r="E4757" s="5" t="s">
        <v>3881</v>
      </c>
      <c r="F4757" s="5" t="str">
        <f t="shared" si="74"/>
        <v>fairinvestments.se</v>
      </c>
      <c r="G4757" s="5" t="s">
        <v>4</v>
      </c>
      <c r="H4757" s="5" t="s">
        <v>5</v>
      </c>
      <c r="I4757" s="6">
        <v>45936</v>
      </c>
    </row>
    <row r="4758" spans="1:9" ht="13.5">
      <c r="A4758" s="2" t="s">
        <v>3761</v>
      </c>
      <c r="B4758" s="3"/>
      <c r="C4758" s="4" t="s">
        <v>7945</v>
      </c>
      <c r="D4758" s="4" t="s">
        <v>3846</v>
      </c>
      <c r="E4758" s="5" t="s">
        <v>7946</v>
      </c>
      <c r="F4758" s="5" t="str">
        <f t="shared" si="74"/>
        <v>hajper.com</v>
      </c>
      <c r="G4758" s="5" t="s">
        <v>4</v>
      </c>
      <c r="H4758" s="5" t="s">
        <v>5</v>
      </c>
      <c r="I4758" s="6">
        <v>45936</v>
      </c>
    </row>
    <row r="4759" spans="1:9" ht="13.5">
      <c r="A4759" s="2" t="s">
        <v>3128</v>
      </c>
      <c r="B4759" s="3"/>
      <c r="C4759" s="4" t="s">
        <v>7947</v>
      </c>
      <c r="D4759" s="4" t="s">
        <v>7948</v>
      </c>
      <c r="E4759" s="5" t="s">
        <v>7949</v>
      </c>
      <c r="F4759" s="5" t="str">
        <f t="shared" si="74"/>
        <v>bethard.com</v>
      </c>
      <c r="G4759" s="5" t="s">
        <v>4</v>
      </c>
      <c r="H4759" s="5" t="s">
        <v>5</v>
      </c>
      <c r="I4759" s="6">
        <v>45936</v>
      </c>
    </row>
    <row r="4760" spans="1:9" ht="13.5">
      <c r="A4760" s="7" t="s">
        <v>6789</v>
      </c>
      <c r="B4760" s="3"/>
      <c r="C4760" s="4" t="s">
        <v>7950</v>
      </c>
      <c r="D4760" s="4" t="s">
        <v>6791</v>
      </c>
      <c r="E4760" s="5" t="s">
        <v>2840</v>
      </c>
      <c r="F4760" s="5" t="str">
        <f t="shared" si="74"/>
        <v>Bettingsyndikatet</v>
      </c>
      <c r="G4760" s="5" t="s">
        <v>4</v>
      </c>
      <c r="H4760" s="5" t="s">
        <v>5</v>
      </c>
      <c r="I4760" s="6">
        <v>45936</v>
      </c>
    </row>
    <row r="4761" spans="1:9" ht="13.5">
      <c r="A4761" s="2" t="s">
        <v>6021</v>
      </c>
      <c r="B4761" s="3"/>
      <c r="C4761" s="4" t="s">
        <v>7951</v>
      </c>
      <c r="D4761" s="4" t="s">
        <v>7938</v>
      </c>
      <c r="E4761" s="5" t="s">
        <v>7952</v>
      </c>
      <c r="F4761" s="5" t="str">
        <f t="shared" si="74"/>
        <v>mrvegas.com</v>
      </c>
      <c r="G4761" s="5" t="s">
        <v>4</v>
      </c>
      <c r="H4761" s="5" t="s">
        <v>3496</v>
      </c>
      <c r="I4761" s="6">
        <v>45936</v>
      </c>
    </row>
    <row r="4762" spans="1:9" ht="13.9">
      <c r="A4762" s="2" t="s">
        <v>6025</v>
      </c>
      <c r="B4762" s="3"/>
      <c r="C4762" s="4" t="s">
        <v>7953</v>
      </c>
      <c r="D4762" s="4" t="s">
        <v>7954</v>
      </c>
      <c r="E4762" s="377" t="s">
        <v>7955</v>
      </c>
      <c r="F4762" s="5" t="str">
        <f t="shared" si="74"/>
        <v>megariches.com</v>
      </c>
      <c r="G4762" s="5" t="s">
        <v>4</v>
      </c>
      <c r="H4762" s="5" t="s">
        <v>3496</v>
      </c>
      <c r="I4762" s="6">
        <v>45936</v>
      </c>
    </row>
    <row r="4763" spans="1:9" ht="13.5">
      <c r="A4763" s="2" t="s">
        <v>6021</v>
      </c>
      <c r="B4763" s="3"/>
      <c r="C4763" s="4" t="s">
        <v>7956</v>
      </c>
      <c r="D4763" s="4" t="s">
        <v>7938</v>
      </c>
      <c r="E4763" s="5" t="s">
        <v>7957</v>
      </c>
      <c r="F4763" s="5" t="str">
        <f t="shared" si="74"/>
        <v>mrvegas.com</v>
      </c>
      <c r="G4763" s="5" t="s">
        <v>4</v>
      </c>
      <c r="H4763" s="5" t="s">
        <v>3496</v>
      </c>
      <c r="I4763" s="6">
        <v>45936</v>
      </c>
    </row>
    <row r="4764" spans="1:9" ht="13.5">
      <c r="A4764" s="2" t="s">
        <v>3832</v>
      </c>
      <c r="B4764" s="3"/>
      <c r="C4764" s="4" t="s">
        <v>7958</v>
      </c>
      <c r="D4764" s="4" t="s">
        <v>3834</v>
      </c>
      <c r="E4764" s="5" t="s">
        <v>7959</v>
      </c>
      <c r="F4764" s="5" t="str">
        <f t="shared" si="74"/>
        <v>michaelofrisorerna.se</v>
      </c>
      <c r="G4764" s="5" t="s">
        <v>4</v>
      </c>
      <c r="H4764" s="5" t="s">
        <v>5</v>
      </c>
      <c r="I4764" s="6">
        <v>45936</v>
      </c>
    </row>
    <row r="4765" spans="1:9" ht="13.5">
      <c r="A4765" s="2" t="s">
        <v>3058</v>
      </c>
      <c r="B4765" s="3"/>
      <c r="C4765" s="4" t="s">
        <v>7960</v>
      </c>
      <c r="D4765" s="4" t="s">
        <v>4133</v>
      </c>
      <c r="E4765" s="5" t="s">
        <v>5477</v>
      </c>
      <c r="F4765" s="5" t="str">
        <f t="shared" si="74"/>
        <v>rusta.se</v>
      </c>
      <c r="G4765" s="5" t="s">
        <v>4</v>
      </c>
      <c r="H4765" s="5" t="s">
        <v>5</v>
      </c>
      <c r="I4765" s="6">
        <v>45936</v>
      </c>
    </row>
    <row r="4766" spans="1:9" ht="13.5">
      <c r="A4766" s="7" t="s">
        <v>6789</v>
      </c>
      <c r="B4766" s="3"/>
      <c r="C4766" s="4" t="s">
        <v>7961</v>
      </c>
      <c r="D4766" s="4" t="s">
        <v>6791</v>
      </c>
      <c r="E4766" s="5" t="s">
        <v>2840</v>
      </c>
      <c r="F4766" s="5" t="str">
        <f t="shared" si="74"/>
        <v>Bettingsyndikatet</v>
      </c>
      <c r="G4766" s="5" t="s">
        <v>4</v>
      </c>
      <c r="H4766" s="5" t="s">
        <v>5</v>
      </c>
      <c r="I4766" s="6">
        <v>45936</v>
      </c>
    </row>
    <row r="4767" spans="1:9" ht="13.5">
      <c r="A4767" s="7" t="s">
        <v>7753</v>
      </c>
      <c r="B4767" s="3"/>
      <c r="C4767" s="4" t="s">
        <v>7962</v>
      </c>
      <c r="D4767" s="4" t="s">
        <v>7963</v>
      </c>
      <c r="E4767" s="5" t="s">
        <v>7964</v>
      </c>
      <c r="F4767" s="5" t="str">
        <f t="shared" si="74"/>
        <v>sandudden</v>
      </c>
      <c r="G4767" s="5" t="s">
        <v>4</v>
      </c>
      <c r="H4767" s="5" t="s">
        <v>5</v>
      </c>
      <c r="I4767" s="6">
        <v>45936</v>
      </c>
    </row>
    <row r="4768" spans="1:9" ht="13.5">
      <c r="A4768" s="2" t="s">
        <v>435</v>
      </c>
      <c r="B4768" s="3"/>
      <c r="C4768" s="4" t="s">
        <v>7965</v>
      </c>
      <c r="D4768" s="4" t="s">
        <v>1734</v>
      </c>
      <c r="E4768" s="5" t="s">
        <v>839</v>
      </c>
      <c r="F4768" s="5" t="str">
        <f t="shared" si="74"/>
        <v>fairinvestments.se</v>
      </c>
      <c r="G4768" s="5" t="s">
        <v>4</v>
      </c>
      <c r="H4768" s="5" t="s">
        <v>5</v>
      </c>
      <c r="I4768" s="6">
        <v>45936</v>
      </c>
    </row>
    <row r="4769" spans="1:9" ht="13.5">
      <c r="A4769" s="2" t="s">
        <v>2127</v>
      </c>
      <c r="B4769" s="3"/>
      <c r="C4769" s="4" t="s">
        <v>7966</v>
      </c>
      <c r="D4769" s="9" t="s">
        <v>7967</v>
      </c>
      <c r="E4769" s="72" t="s">
        <v>4153</v>
      </c>
      <c r="F4769" s="5" t="str">
        <f t="shared" si="74"/>
        <v>startmotor.se</v>
      </c>
      <c r="G4769" s="5" t="s">
        <v>4</v>
      </c>
      <c r="H4769" s="5" t="s">
        <v>5</v>
      </c>
      <c r="I4769" s="6">
        <v>45936</v>
      </c>
    </row>
    <row r="4770" spans="1:9" ht="13.5">
      <c r="A4770" s="2" t="s">
        <v>2428</v>
      </c>
      <c r="B4770" s="3"/>
      <c r="C4770" s="138" t="s">
        <v>7968</v>
      </c>
      <c r="D4770" s="4" t="s">
        <v>2430</v>
      </c>
      <c r="E4770" s="5" t="s">
        <v>7969</v>
      </c>
      <c r="F4770" s="5" t="str">
        <f t="shared" si="74"/>
        <v>sakraror.se</v>
      </c>
      <c r="G4770" s="5" t="s">
        <v>4</v>
      </c>
      <c r="H4770" s="5" t="s">
        <v>5</v>
      </c>
      <c r="I4770" s="6">
        <v>45936</v>
      </c>
    </row>
    <row r="4771" spans="1:9" ht="13.5">
      <c r="A4771" s="7" t="s">
        <v>3747</v>
      </c>
      <c r="B4771" s="3"/>
      <c r="C4771" s="138" t="s">
        <v>7970</v>
      </c>
      <c r="D4771" s="4" t="s">
        <v>5993</v>
      </c>
      <c r="E4771" s="5" t="s">
        <v>4907</v>
      </c>
      <c r="F4771" s="5" t="str">
        <f t="shared" si="74"/>
        <v>supernormal.health</v>
      </c>
      <c r="G4771" s="5" t="s">
        <v>4</v>
      </c>
      <c r="H4771" s="5" t="s">
        <v>5</v>
      </c>
      <c r="I4771" s="6">
        <v>45936</v>
      </c>
    </row>
    <row r="4772" spans="1:9" ht="13.5">
      <c r="A4772" s="2" t="s">
        <v>6021</v>
      </c>
      <c r="B4772" s="3"/>
      <c r="C4772" s="4" t="s">
        <v>7971</v>
      </c>
      <c r="D4772" s="4" t="s">
        <v>7972</v>
      </c>
      <c r="E4772" s="5" t="s">
        <v>7973</v>
      </c>
      <c r="F4772" s="5" t="str">
        <f t="shared" si="74"/>
        <v>mrvegas.com</v>
      </c>
      <c r="G4772" s="5" t="s">
        <v>4</v>
      </c>
      <c r="H4772" s="5" t="s">
        <v>345</v>
      </c>
      <c r="I4772" s="6">
        <v>45936</v>
      </c>
    </row>
    <row r="4773" spans="1:9" ht="13.5">
      <c r="A4773" s="2" t="s">
        <v>3090</v>
      </c>
      <c r="B4773" s="3"/>
      <c r="C4773" s="4" t="s">
        <v>7974</v>
      </c>
      <c r="D4773" s="4" t="s">
        <v>6795</v>
      </c>
      <c r="E4773" s="5" t="s">
        <v>7975</v>
      </c>
      <c r="F4773" s="5" t="str">
        <f t="shared" si="74"/>
        <v>videoslots.com</v>
      </c>
      <c r="G4773" s="5" t="s">
        <v>4</v>
      </c>
      <c r="H4773" s="5" t="s">
        <v>5</v>
      </c>
      <c r="I4773" s="6">
        <v>45936</v>
      </c>
    </row>
    <row r="4774" spans="1:9" ht="13.5">
      <c r="A4774" s="2" t="s">
        <v>3090</v>
      </c>
      <c r="B4774" s="3"/>
      <c r="C4774" s="4" t="s">
        <v>7976</v>
      </c>
      <c r="D4774" s="4" t="s">
        <v>7977</v>
      </c>
      <c r="E4774" s="5" t="s">
        <v>7978</v>
      </c>
      <c r="F4774" s="5" t="str">
        <f t="shared" si="74"/>
        <v>videoslots.com</v>
      </c>
      <c r="G4774" s="5" t="s">
        <v>4</v>
      </c>
      <c r="H4774" s="5" t="s">
        <v>5</v>
      </c>
      <c r="I4774" s="6">
        <v>45936</v>
      </c>
    </row>
    <row r="4775" spans="1:9" ht="13.5">
      <c r="A4775" s="7" t="s">
        <v>7753</v>
      </c>
      <c r="B4775" s="3"/>
      <c r="C4775" s="4" t="s">
        <v>7979</v>
      </c>
      <c r="D4775" s="4" t="s">
        <v>7755</v>
      </c>
      <c r="E4775" s="5" t="s">
        <v>7980</v>
      </c>
      <c r="F4775" s="5" t="str">
        <f t="shared" si="74"/>
        <v>sandudden</v>
      </c>
      <c r="G4775" s="5" t="s">
        <v>4</v>
      </c>
      <c r="H4775" s="5" t="s">
        <v>5</v>
      </c>
      <c r="I4775" s="6">
        <v>45936</v>
      </c>
    </row>
    <row r="4776" spans="1:9" ht="13.5">
      <c r="A4776" s="2" t="s">
        <v>435</v>
      </c>
      <c r="B4776" s="3"/>
      <c r="C4776" s="4" t="s">
        <v>7981</v>
      </c>
      <c r="D4776" s="4" t="s">
        <v>7982</v>
      </c>
      <c r="E4776" s="5" t="s">
        <v>1398</v>
      </c>
      <c r="F4776" s="5" t="str">
        <f t="shared" si="74"/>
        <v>fairinvestments.se</v>
      </c>
      <c r="G4776" s="5" t="s">
        <v>4</v>
      </c>
      <c r="H4776" s="5" t="s">
        <v>5</v>
      </c>
      <c r="I4776" s="6">
        <v>45936</v>
      </c>
    </row>
    <row r="4777" spans="1:9" ht="13.5">
      <c r="A4777" s="2" t="s">
        <v>846</v>
      </c>
      <c r="B4777" s="3"/>
      <c r="C4777" s="4" t="s">
        <v>7983</v>
      </c>
      <c r="D4777" s="4" t="s">
        <v>2285</v>
      </c>
      <c r="E4777" s="5" t="s">
        <v>2287</v>
      </c>
      <c r="F4777" s="5" t="str">
        <f t="shared" si="74"/>
        <v>tandea.se</v>
      </c>
      <c r="G4777" s="5" t="s">
        <v>4</v>
      </c>
      <c r="H4777" s="5" t="s">
        <v>5</v>
      </c>
      <c r="I4777" s="6">
        <v>45937</v>
      </c>
    </row>
    <row r="4778" spans="1:9" ht="13.5">
      <c r="A4778" s="7" t="s">
        <v>2281</v>
      </c>
      <c r="B4778" s="3"/>
      <c r="C4778" s="4" t="s">
        <v>7984</v>
      </c>
      <c r="D4778" s="4" t="s">
        <v>2283</v>
      </c>
      <c r="E4778" s="5" t="s">
        <v>1039</v>
      </c>
      <c r="F4778" s="5" t="str">
        <f t="shared" si="74"/>
        <v>tandläkare.se</v>
      </c>
      <c r="G4778" s="5" t="s">
        <v>4</v>
      </c>
      <c r="H4778" s="5" t="s">
        <v>5</v>
      </c>
      <c r="I4778" s="6">
        <v>45937</v>
      </c>
    </row>
    <row r="4779" spans="1:9" ht="13.5">
      <c r="A4779" s="2" t="s">
        <v>1318</v>
      </c>
      <c r="B4779" s="3"/>
      <c r="C4779" s="5" t="s">
        <v>7985</v>
      </c>
      <c r="D4779" s="4" t="s">
        <v>7986</v>
      </c>
      <c r="E4779" s="22" t="s">
        <v>1318</v>
      </c>
      <c r="F4779" s="5" t="str">
        <f t="shared" si="74"/>
        <v>spelklubben.se</v>
      </c>
      <c r="G4779" s="5" t="s">
        <v>4</v>
      </c>
      <c r="H4779" s="5" t="s">
        <v>5</v>
      </c>
      <c r="I4779" s="6">
        <v>45936</v>
      </c>
    </row>
    <row r="4780" spans="1:9" ht="13.5">
      <c r="A4780" s="2" t="s">
        <v>6021</v>
      </c>
      <c r="B4780" s="3"/>
      <c r="C4780" s="4" t="s">
        <v>7987</v>
      </c>
      <c r="D4780" s="8" t="s">
        <v>6066</v>
      </c>
      <c r="E4780" s="5" t="s">
        <v>7988</v>
      </c>
      <c r="F4780" s="5" t="str">
        <f t="shared" si="74"/>
        <v>mrvegas.com</v>
      </c>
      <c r="G4780" s="5" t="s">
        <v>4</v>
      </c>
      <c r="H4780" s="5" t="s">
        <v>5</v>
      </c>
      <c r="I4780" s="6">
        <v>45936</v>
      </c>
    </row>
    <row r="4781" spans="1:9" ht="13.5">
      <c r="A4781" s="2" t="s">
        <v>3761</v>
      </c>
      <c r="B4781" s="3"/>
      <c r="C4781" s="4" t="s">
        <v>7989</v>
      </c>
      <c r="D4781" s="4" t="s">
        <v>3846</v>
      </c>
      <c r="E4781" s="5" t="s">
        <v>7990</v>
      </c>
      <c r="F4781" s="5" t="str">
        <f t="shared" si="74"/>
        <v>hajper.com</v>
      </c>
      <c r="G4781" s="5" t="s">
        <v>4</v>
      </c>
      <c r="H4781" s="5" t="s">
        <v>5</v>
      </c>
      <c r="I4781" s="6">
        <v>45936</v>
      </c>
    </row>
    <row r="4782" spans="1:9" ht="13.5">
      <c r="A4782" s="2" t="s">
        <v>6399</v>
      </c>
      <c r="B4782" s="3"/>
      <c r="C4782" s="4" t="s">
        <v>7991</v>
      </c>
      <c r="D4782" s="4" t="s">
        <v>7992</v>
      </c>
      <c r="E4782" s="5" t="s">
        <v>7993</v>
      </c>
      <c r="F4782" s="5" t="str">
        <f t="shared" si="74"/>
        <v>merchoteket.se</v>
      </c>
      <c r="G4782" s="5" t="s">
        <v>4</v>
      </c>
      <c r="H4782" s="5" t="s">
        <v>5</v>
      </c>
      <c r="I4782" s="6">
        <v>45938</v>
      </c>
    </row>
    <row r="4783" spans="1:9" ht="13.5">
      <c r="A4783" s="2" t="s">
        <v>6025</v>
      </c>
      <c r="B4783" s="3"/>
      <c r="C4783" s="4" t="s">
        <v>7994</v>
      </c>
      <c r="D4783" s="4" t="s">
        <v>7995</v>
      </c>
      <c r="E4783" s="5" t="s">
        <v>7996</v>
      </c>
      <c r="F4783" s="5" t="str">
        <f t="shared" si="74"/>
        <v>megariches.com</v>
      </c>
      <c r="G4783" s="5" t="s">
        <v>4</v>
      </c>
      <c r="H4783" s="5" t="s">
        <v>5</v>
      </c>
      <c r="I4783" s="6">
        <v>45938</v>
      </c>
    </row>
    <row r="4784" spans="1:9" ht="13.5">
      <c r="A4784" s="2" t="s">
        <v>3090</v>
      </c>
      <c r="B4784" s="3"/>
      <c r="C4784" s="4" t="s">
        <v>7997</v>
      </c>
      <c r="D4784" s="4" t="s">
        <v>7998</v>
      </c>
      <c r="E4784" s="5" t="s">
        <v>7999</v>
      </c>
      <c r="F4784" s="5" t="str">
        <f t="shared" si="74"/>
        <v>videoslots.com</v>
      </c>
      <c r="G4784" s="5" t="s">
        <v>4</v>
      </c>
      <c r="H4784" s="5" t="s">
        <v>5</v>
      </c>
      <c r="I4784" s="6">
        <v>45938</v>
      </c>
    </row>
    <row r="4785" spans="1:9" ht="13.5">
      <c r="A4785" s="2" t="s">
        <v>6025</v>
      </c>
      <c r="B4785" s="3"/>
      <c r="C4785" s="4" t="s">
        <v>8000</v>
      </c>
      <c r="D4785" s="4" t="s">
        <v>8001</v>
      </c>
      <c r="E4785" s="5" t="s">
        <v>8002</v>
      </c>
      <c r="F4785" s="5" t="str">
        <f t="shared" si="74"/>
        <v>megariches.com</v>
      </c>
      <c r="G4785" s="5" t="s">
        <v>4</v>
      </c>
      <c r="H4785" s="5" t="s">
        <v>5</v>
      </c>
      <c r="I4785" s="6">
        <v>45938</v>
      </c>
    </row>
    <row r="4786" spans="1:9" ht="13.5">
      <c r="A4786" s="2" t="s">
        <v>1615</v>
      </c>
      <c r="B4786" s="3"/>
      <c r="C4786" s="4" t="s">
        <v>8003</v>
      </c>
      <c r="D4786" s="4" t="s">
        <v>1617</v>
      </c>
      <c r="E4786" s="5" t="s">
        <v>1619</v>
      </c>
      <c r="F4786" s="5" t="str">
        <f t="shared" si="74"/>
        <v>kamux.fi</v>
      </c>
      <c r="G4786" s="5" t="s">
        <v>4</v>
      </c>
      <c r="H4786" s="5" t="s">
        <v>1618</v>
      </c>
      <c r="I4786" s="6">
        <v>45807</v>
      </c>
    </row>
    <row r="4787" spans="1:9" ht="13.5">
      <c r="A4787" s="2" t="s">
        <v>1615</v>
      </c>
      <c r="B4787" s="3"/>
      <c r="C4787" s="4" t="s">
        <v>8004</v>
      </c>
      <c r="D4787" s="4" t="s">
        <v>1617</v>
      </c>
      <c r="E4787" s="5" t="s">
        <v>1619</v>
      </c>
      <c r="F4787" s="5" t="str">
        <f t="shared" si="74"/>
        <v>kamux.fi</v>
      </c>
      <c r="G4787" s="5" t="s">
        <v>4</v>
      </c>
      <c r="H4787" s="5" t="s">
        <v>1618</v>
      </c>
      <c r="I4787" s="6">
        <v>45807</v>
      </c>
    </row>
    <row r="4788" spans="1:9" ht="13.5">
      <c r="A4788" s="2" t="s">
        <v>1615</v>
      </c>
      <c r="B4788" s="3"/>
      <c r="C4788" s="4" t="s">
        <v>8005</v>
      </c>
      <c r="D4788" s="4" t="s">
        <v>1617</v>
      </c>
      <c r="E4788" s="5" t="s">
        <v>1619</v>
      </c>
      <c r="F4788" s="5" t="str">
        <f t="shared" si="74"/>
        <v>kamux.fi</v>
      </c>
      <c r="G4788" s="5" t="s">
        <v>4</v>
      </c>
      <c r="H4788" s="5" t="s">
        <v>1618</v>
      </c>
      <c r="I4788" s="6">
        <v>45777</v>
      </c>
    </row>
    <row r="4789" spans="1:9" ht="13.5">
      <c r="A4789" s="2" t="s">
        <v>1615</v>
      </c>
      <c r="B4789" s="3"/>
      <c r="C4789" s="4" t="s">
        <v>8006</v>
      </c>
      <c r="D4789" s="4" t="s">
        <v>1617</v>
      </c>
      <c r="E4789" s="5" t="s">
        <v>1619</v>
      </c>
      <c r="F4789" s="5" t="str">
        <f t="shared" si="74"/>
        <v>kamux.fi</v>
      </c>
      <c r="G4789" s="5" t="s">
        <v>4</v>
      </c>
      <c r="H4789" s="5" t="s">
        <v>1618</v>
      </c>
      <c r="I4789" s="6">
        <v>45777</v>
      </c>
    </row>
    <row r="4790" spans="1:9" ht="13.5">
      <c r="A4790" s="2" t="s">
        <v>6021</v>
      </c>
      <c r="B4790" s="3"/>
      <c r="C4790" s="4" t="s">
        <v>8007</v>
      </c>
      <c r="D4790" s="4" t="s">
        <v>7822</v>
      </c>
      <c r="E4790" s="5" t="s">
        <v>8008</v>
      </c>
      <c r="F4790" s="5" t="str">
        <f t="shared" si="74"/>
        <v>mrvegas.com</v>
      </c>
      <c r="G4790" s="5" t="s">
        <v>4</v>
      </c>
      <c r="H4790" s="5" t="s">
        <v>3496</v>
      </c>
      <c r="I4790" s="6">
        <v>45936</v>
      </c>
    </row>
    <row r="4791" spans="1:9" ht="13.5">
      <c r="A4791" s="2" t="s">
        <v>6014</v>
      </c>
      <c r="B4791" s="3"/>
      <c r="C4791" s="4" t="s">
        <v>8009</v>
      </c>
      <c r="D4791" s="4" t="s">
        <v>6019</v>
      </c>
      <c r="E4791" s="5" t="s">
        <v>5201</v>
      </c>
      <c r="F4791" s="5" t="str">
        <f t="shared" si="74"/>
        <v>kungaslottet.se</v>
      </c>
      <c r="G4791" s="5" t="s">
        <v>4</v>
      </c>
      <c r="H4791" s="5" t="s">
        <v>5</v>
      </c>
      <c r="I4791" s="6">
        <v>45932</v>
      </c>
    </row>
    <row r="4792" spans="1:9" ht="13.5">
      <c r="A4792" s="2" t="s">
        <v>3090</v>
      </c>
      <c r="B4792" s="3"/>
      <c r="C4792" s="4" t="s">
        <v>8010</v>
      </c>
      <c r="D4792" s="4" t="s">
        <v>3095</v>
      </c>
      <c r="E4792" s="5" t="s">
        <v>3093</v>
      </c>
      <c r="F4792" s="5" t="str">
        <f t="shared" si="74"/>
        <v>videoslots.com</v>
      </c>
      <c r="G4792" s="5" t="s">
        <v>4</v>
      </c>
      <c r="H4792" s="5" t="s">
        <v>3496</v>
      </c>
      <c r="I4792" s="6">
        <v>45939</v>
      </c>
    </row>
    <row r="4793" spans="1:9" ht="13.5">
      <c r="A4793" s="2" t="s">
        <v>3580</v>
      </c>
      <c r="B4793" s="3"/>
      <c r="C4793" s="4" t="s">
        <v>8011</v>
      </c>
      <c r="D4793" s="4" t="s">
        <v>7900</v>
      </c>
      <c r="E4793" s="5" t="s">
        <v>8012</v>
      </c>
      <c r="F4793" s="5" t="str">
        <f t="shared" si="74"/>
        <v>kleer.se</v>
      </c>
      <c r="G4793" s="5" t="s">
        <v>4</v>
      </c>
      <c r="H4793" s="5" t="s">
        <v>5</v>
      </c>
      <c r="I4793" s="6">
        <v>45939</v>
      </c>
    </row>
    <row r="4794" spans="1:9" ht="13.5">
      <c r="A4794" s="2" t="s">
        <v>6025</v>
      </c>
      <c r="B4794" s="3"/>
      <c r="C4794" s="4" t="s">
        <v>8013</v>
      </c>
      <c r="D4794" s="4" t="s">
        <v>6063</v>
      </c>
      <c r="E4794" s="5" t="s">
        <v>8014</v>
      </c>
      <c r="F4794" s="5" t="str">
        <f t="shared" si="74"/>
        <v>megariches.com</v>
      </c>
      <c r="G4794" s="5" t="s">
        <v>4</v>
      </c>
      <c r="H4794" s="5" t="s">
        <v>3496</v>
      </c>
      <c r="I4794" s="6">
        <v>45943</v>
      </c>
    </row>
    <row r="4795" spans="1:9" ht="13.5">
      <c r="A4795" s="2" t="s">
        <v>6262</v>
      </c>
      <c r="B4795" s="3"/>
      <c r="C4795" s="4" t="s">
        <v>8015</v>
      </c>
      <c r="D4795" s="4" t="s">
        <v>6264</v>
      </c>
      <c r="E4795" s="5" t="s">
        <v>6318</v>
      </c>
      <c r="F4795" s="5" t="str">
        <f t="shared" si="74"/>
        <v>joinstriveon.com</v>
      </c>
      <c r="G4795" s="5" t="s">
        <v>4</v>
      </c>
      <c r="H4795" s="5" t="s">
        <v>345</v>
      </c>
      <c r="I4795" s="6">
        <v>45943</v>
      </c>
    </row>
    <row r="4796" spans="1:9" ht="13.5">
      <c r="A4796" s="2" t="s">
        <v>171</v>
      </c>
      <c r="B4796" s="3"/>
      <c r="C4796" s="138" t="s">
        <v>8016</v>
      </c>
      <c r="D4796" s="4" t="s">
        <v>1095</v>
      </c>
      <c r="E4796" s="5" t="s">
        <v>1533</v>
      </c>
      <c r="F4796" s="5" t="str">
        <f t="shared" si="74"/>
        <v>arctic.se</v>
      </c>
      <c r="G4796" s="5" t="s">
        <v>4</v>
      </c>
      <c r="H4796" s="5" t="s">
        <v>5</v>
      </c>
      <c r="I4796" s="6">
        <v>45943</v>
      </c>
    </row>
    <row r="4797" spans="1:9" ht="13.5">
      <c r="A4797" s="2" t="s">
        <v>171</v>
      </c>
      <c r="B4797" s="3"/>
      <c r="C4797" s="4" t="s">
        <v>8017</v>
      </c>
      <c r="D4797" s="4" t="s">
        <v>1095</v>
      </c>
      <c r="E4797" s="5" t="s">
        <v>2856</v>
      </c>
      <c r="F4797" s="5" t="str">
        <f t="shared" si="74"/>
        <v>arctic.se</v>
      </c>
      <c r="G4797" s="5" t="s">
        <v>4</v>
      </c>
      <c r="H4797" s="5" t="s">
        <v>5</v>
      </c>
      <c r="I4797" s="6">
        <v>45943</v>
      </c>
    </row>
    <row r="4798" spans="1:9" ht="13.5">
      <c r="A4798" s="2" t="s">
        <v>3580</v>
      </c>
      <c r="B4798" s="3"/>
      <c r="C4798" s="4" t="s">
        <v>8018</v>
      </c>
      <c r="D4798" s="4" t="s">
        <v>5312</v>
      </c>
      <c r="E4798" s="5" t="s">
        <v>5313</v>
      </c>
      <c r="F4798" s="5" t="str">
        <f t="shared" si="74"/>
        <v>kleer.se</v>
      </c>
      <c r="G4798" s="5" t="s">
        <v>4</v>
      </c>
      <c r="H4798" s="5" t="s">
        <v>5</v>
      </c>
      <c r="I4798" s="6">
        <v>45943</v>
      </c>
    </row>
    <row r="4799" spans="1:9" ht="13.5">
      <c r="A4799" s="2" t="s">
        <v>3058</v>
      </c>
      <c r="B4799" s="3"/>
      <c r="C4799" s="4" t="s">
        <v>8019</v>
      </c>
      <c r="D4799" s="4" t="s">
        <v>3063</v>
      </c>
      <c r="E4799" s="5" t="s">
        <v>3064</v>
      </c>
      <c r="F4799" s="5" t="str">
        <f t="shared" si="74"/>
        <v>rusta.se</v>
      </c>
      <c r="G4799" s="5" t="s">
        <v>4</v>
      </c>
      <c r="H4799" s="5" t="s">
        <v>5</v>
      </c>
      <c r="I4799" s="6">
        <v>45943</v>
      </c>
    </row>
    <row r="4800" spans="1:9" ht="13.5">
      <c r="A4800" s="2" t="s">
        <v>3058</v>
      </c>
      <c r="B4800" s="3"/>
      <c r="C4800" s="4" t="s">
        <v>8020</v>
      </c>
      <c r="D4800" s="4" t="s">
        <v>5034</v>
      </c>
      <c r="E4800" s="5" t="s">
        <v>14</v>
      </c>
      <c r="F4800" s="5" t="str">
        <f t="shared" si="74"/>
        <v>rusta.se</v>
      </c>
      <c r="G4800" s="5" t="s">
        <v>4</v>
      </c>
      <c r="H4800" s="5" t="s">
        <v>5</v>
      </c>
      <c r="I4800" s="6">
        <v>45943</v>
      </c>
    </row>
    <row r="4801" spans="1:9" ht="13.5">
      <c r="A4801" s="2" t="s">
        <v>2127</v>
      </c>
      <c r="B4801" s="3"/>
      <c r="C4801" s="4" t="s">
        <v>8021</v>
      </c>
      <c r="D4801" s="4" t="s">
        <v>5319</v>
      </c>
      <c r="E4801" s="5" t="s">
        <v>4999</v>
      </c>
      <c r="F4801" s="5" t="str">
        <f t="shared" si="74"/>
        <v>startmotor.se</v>
      </c>
      <c r="G4801" s="5" t="s">
        <v>4</v>
      </c>
      <c r="H4801" s="5" t="s">
        <v>5</v>
      </c>
      <c r="I4801" s="6">
        <v>45943</v>
      </c>
    </row>
    <row r="4802" spans="1:9" ht="13.5">
      <c r="A4802" s="2" t="s">
        <v>2127</v>
      </c>
      <c r="B4802" s="3"/>
      <c r="C4802" s="4" t="s">
        <v>8022</v>
      </c>
      <c r="D4802" s="4" t="s">
        <v>5321</v>
      </c>
      <c r="E4802" s="5" t="s">
        <v>5322</v>
      </c>
      <c r="F4802" s="5" t="str">
        <f t="shared" si="74"/>
        <v>startmotor.se</v>
      </c>
      <c r="G4802" s="5" t="s">
        <v>4</v>
      </c>
      <c r="H4802" s="5" t="s">
        <v>5</v>
      </c>
      <c r="I4802" s="6">
        <v>45943</v>
      </c>
    </row>
    <row r="4803" spans="1:9" ht="13.5">
      <c r="A4803" s="7" t="s">
        <v>3747</v>
      </c>
      <c r="B4803" s="3"/>
      <c r="C4803" s="4" t="s">
        <v>8023</v>
      </c>
      <c r="D4803" s="4" t="s">
        <v>3749</v>
      </c>
      <c r="E4803" s="5" t="s">
        <v>3750</v>
      </c>
      <c r="F4803" s="5" t="str">
        <f t="shared" ref="F4803:F4830" si="75">A4803</f>
        <v>supernormal.health</v>
      </c>
      <c r="G4803" s="5" t="s">
        <v>4</v>
      </c>
      <c r="H4803" s="5" t="s">
        <v>5</v>
      </c>
      <c r="I4803" s="6">
        <v>45943</v>
      </c>
    </row>
    <row r="4804" spans="1:9" ht="13.5">
      <c r="A4804" s="2" t="s">
        <v>3824</v>
      </c>
      <c r="B4804" s="3"/>
      <c r="C4804" s="4" t="s">
        <v>8024</v>
      </c>
      <c r="D4804" s="4" t="s">
        <v>4358</v>
      </c>
      <c r="E4804" s="5" t="s">
        <v>5325</v>
      </c>
      <c r="F4804" s="5" t="str">
        <f t="shared" si="75"/>
        <v>swedenlongstay.se</v>
      </c>
      <c r="G4804" s="5" t="s">
        <v>4</v>
      </c>
      <c r="H4804" s="5" t="s">
        <v>5</v>
      </c>
      <c r="I4804" s="6">
        <v>45943</v>
      </c>
    </row>
    <row r="4805" spans="1:9" ht="13.5">
      <c r="A4805" s="2" t="s">
        <v>3824</v>
      </c>
      <c r="B4805" s="3"/>
      <c r="C4805" s="4" t="s">
        <v>8025</v>
      </c>
      <c r="D4805" s="4" t="s">
        <v>5327</v>
      </c>
      <c r="E4805" s="5" t="s">
        <v>5328</v>
      </c>
      <c r="F4805" s="5" t="str">
        <f t="shared" si="75"/>
        <v>swedenlongstay.se</v>
      </c>
      <c r="G4805" s="5" t="s">
        <v>4</v>
      </c>
      <c r="H4805" s="5" t="s">
        <v>5</v>
      </c>
      <c r="I4805" s="6">
        <v>45943</v>
      </c>
    </row>
    <row r="4806" spans="1:9" ht="13.5">
      <c r="A4806" s="7" t="s">
        <v>224</v>
      </c>
      <c r="B4806" s="3"/>
      <c r="C4806" s="4" t="s">
        <v>8026</v>
      </c>
      <c r="D4806" s="4" t="s">
        <v>461</v>
      </c>
      <c r="E4806" s="5" t="s">
        <v>1117</v>
      </c>
      <c r="F4806" s="5" t="str">
        <f t="shared" si="75"/>
        <v>swedoffice</v>
      </c>
      <c r="G4806" s="5" t="s">
        <v>4</v>
      </c>
      <c r="H4806" s="5" t="s">
        <v>5</v>
      </c>
      <c r="I4806" s="6">
        <v>45943</v>
      </c>
    </row>
    <row r="4807" spans="1:9" ht="13.5">
      <c r="A4807" s="7" t="s">
        <v>224</v>
      </c>
      <c r="B4807" s="3"/>
      <c r="C4807" s="4" t="s">
        <v>8027</v>
      </c>
      <c r="D4807" s="4" t="s">
        <v>226</v>
      </c>
      <c r="E4807" s="5" t="s">
        <v>368</v>
      </c>
      <c r="F4807" s="5" t="str">
        <f t="shared" si="75"/>
        <v>swedoffice</v>
      </c>
      <c r="G4807" s="5" t="s">
        <v>4</v>
      </c>
      <c r="H4807" s="5" t="s">
        <v>5</v>
      </c>
      <c r="I4807" s="6">
        <v>45943</v>
      </c>
    </row>
    <row r="4808" spans="1:9" ht="13.5">
      <c r="A4808" s="2" t="s">
        <v>2428</v>
      </c>
      <c r="B4808" s="3"/>
      <c r="C4808" s="4" t="s">
        <v>8028</v>
      </c>
      <c r="D4808" s="4" t="s">
        <v>5081</v>
      </c>
      <c r="E4808" s="5" t="s">
        <v>5331</v>
      </c>
      <c r="F4808" s="5" t="str">
        <f t="shared" si="75"/>
        <v>sakraror.se</v>
      </c>
      <c r="G4808" s="5" t="s">
        <v>4</v>
      </c>
      <c r="H4808" s="5" t="s">
        <v>5</v>
      </c>
      <c r="I4808" s="6">
        <v>45943</v>
      </c>
    </row>
    <row r="4809" spans="1:9" ht="13.5">
      <c r="A4809" s="2" t="s">
        <v>2428</v>
      </c>
      <c r="B4809" s="3"/>
      <c r="C4809" s="4" t="s">
        <v>8029</v>
      </c>
      <c r="D4809" s="4" t="s">
        <v>4762</v>
      </c>
      <c r="E4809" s="5" t="s">
        <v>5947</v>
      </c>
      <c r="F4809" s="5" t="str">
        <f t="shared" si="75"/>
        <v>sakraror.se</v>
      </c>
      <c r="G4809" s="5" t="s">
        <v>4</v>
      </c>
      <c r="H4809" s="5" t="s">
        <v>5</v>
      </c>
      <c r="I4809" s="6">
        <v>45943</v>
      </c>
    </row>
    <row r="4810" spans="1:9" ht="13.5">
      <c r="A4810" s="2" t="s">
        <v>325</v>
      </c>
      <c r="B4810" s="3"/>
      <c r="C4810" s="4" t="s">
        <v>8030</v>
      </c>
      <c r="D4810" s="4" t="s">
        <v>1244</v>
      </c>
      <c r="E4810" s="5" t="s">
        <v>463</v>
      </c>
      <c r="F4810" s="5" t="str">
        <f t="shared" si="75"/>
        <v>tiotak.se</v>
      </c>
      <c r="G4810" s="5" t="s">
        <v>4</v>
      </c>
      <c r="H4810" s="5" t="s">
        <v>5</v>
      </c>
      <c r="I4810" s="6">
        <v>45943</v>
      </c>
    </row>
    <row r="4811" spans="1:9" ht="13.5">
      <c r="A4811" s="2" t="s">
        <v>325</v>
      </c>
      <c r="B4811" s="3"/>
      <c r="C4811" s="4" t="s">
        <v>8031</v>
      </c>
      <c r="D4811" s="4" t="s">
        <v>873</v>
      </c>
      <c r="E4811" s="5" t="s">
        <v>2922</v>
      </c>
      <c r="F4811" s="5" t="str">
        <f t="shared" si="75"/>
        <v>tiotak.se</v>
      </c>
      <c r="G4811" s="5" t="s">
        <v>4</v>
      </c>
      <c r="H4811" s="5" t="s">
        <v>5</v>
      </c>
      <c r="I4811" s="6">
        <v>45943</v>
      </c>
    </row>
    <row r="4812" spans="1:9" ht="13.5">
      <c r="A4812" s="2" t="s">
        <v>535</v>
      </c>
      <c r="B4812" s="3"/>
      <c r="C4812" s="4" t="s">
        <v>8032</v>
      </c>
      <c r="D4812" s="4" t="s">
        <v>3327</v>
      </c>
      <c r="E4812" s="5" t="s">
        <v>1448</v>
      </c>
      <c r="F4812" s="5" t="str">
        <f t="shared" si="75"/>
        <v>tryggbil.se</v>
      </c>
      <c r="G4812" s="5" t="s">
        <v>4</v>
      </c>
      <c r="H4812" s="5" t="s">
        <v>5</v>
      </c>
      <c r="I4812" s="6">
        <v>45943</v>
      </c>
    </row>
    <row r="4813" spans="1:9" ht="13.5">
      <c r="A4813" s="2" t="s">
        <v>535</v>
      </c>
      <c r="B4813" s="3"/>
      <c r="C4813" s="4" t="s">
        <v>8033</v>
      </c>
      <c r="D4813" s="4" t="s">
        <v>3327</v>
      </c>
      <c r="E4813" s="5" t="s">
        <v>540</v>
      </c>
      <c r="F4813" s="5" t="str">
        <f t="shared" si="75"/>
        <v>tryggbil.se</v>
      </c>
      <c r="G4813" s="5" t="s">
        <v>4</v>
      </c>
      <c r="H4813" s="5" t="s">
        <v>5</v>
      </c>
      <c r="I4813" s="6">
        <v>45943</v>
      </c>
    </row>
    <row r="4814" spans="1:9" ht="13.5">
      <c r="A4814" s="2" t="s">
        <v>5020</v>
      </c>
      <c r="B4814" s="3"/>
      <c r="C4814" s="4" t="s">
        <v>8034</v>
      </c>
      <c r="D4814" s="4" t="s">
        <v>5020</v>
      </c>
      <c r="E4814" s="5" t="s">
        <v>5022</v>
      </c>
      <c r="F4814" s="5" t="str">
        <f t="shared" si="75"/>
        <v>sesec.se</v>
      </c>
      <c r="G4814" s="5" t="s">
        <v>4</v>
      </c>
      <c r="H4814" s="5" t="s">
        <v>5</v>
      </c>
      <c r="I4814" s="6">
        <v>45943</v>
      </c>
    </row>
    <row r="4815" spans="1:9" ht="13.5">
      <c r="A4815" s="2" t="s">
        <v>5350</v>
      </c>
      <c r="B4815" s="3"/>
      <c r="C4815" s="4" t="s">
        <v>8035</v>
      </c>
      <c r="D4815" s="4" t="s">
        <v>5352</v>
      </c>
      <c r="E4815" s="5" t="s">
        <v>5353</v>
      </c>
      <c r="F4815" s="5" t="str">
        <f t="shared" si="75"/>
        <v>lilla-varlden.se</v>
      </c>
      <c r="G4815" s="5" t="s">
        <v>4</v>
      </c>
      <c r="H4815" s="5" t="s">
        <v>5</v>
      </c>
      <c r="I4815" s="6">
        <v>45943</v>
      </c>
    </row>
    <row r="4816" spans="1:9" ht="13.5">
      <c r="A4816" s="2" t="s">
        <v>846</v>
      </c>
      <c r="B4816" s="3"/>
      <c r="C4816" s="4" t="s">
        <v>8036</v>
      </c>
      <c r="D4816" s="4" t="s">
        <v>5211</v>
      </c>
      <c r="E4816" s="5" t="s">
        <v>5355</v>
      </c>
      <c r="F4816" s="5" t="str">
        <f t="shared" si="75"/>
        <v>tandea.se</v>
      </c>
      <c r="G4816" s="5" t="s">
        <v>4</v>
      </c>
      <c r="H4816" s="5" t="s">
        <v>5</v>
      </c>
      <c r="I4816" s="6">
        <v>45943</v>
      </c>
    </row>
    <row r="4817" spans="1:9" ht="13.5">
      <c r="A4817" s="7" t="s">
        <v>5961</v>
      </c>
      <c r="B4817" s="3"/>
      <c r="C4817" s="4" t="s">
        <v>8037</v>
      </c>
      <c r="D4817" s="4" t="s">
        <v>5641</v>
      </c>
      <c r="E4817" s="5" t="s">
        <v>5642</v>
      </c>
      <c r="F4817" s="5" t="str">
        <f t="shared" si="75"/>
        <v>Sahlsten Skincare</v>
      </c>
      <c r="G4817" s="5" t="s">
        <v>4</v>
      </c>
      <c r="H4817" s="5" t="s">
        <v>5</v>
      </c>
      <c r="I4817" s="6">
        <v>45943</v>
      </c>
    </row>
    <row r="4818" spans="1:9" ht="13.5">
      <c r="A4818" s="2" t="s">
        <v>7725</v>
      </c>
      <c r="B4818" s="3"/>
      <c r="C4818" s="4" t="s">
        <v>8038</v>
      </c>
      <c r="D4818" s="4" t="s">
        <v>7727</v>
      </c>
      <c r="E4818" s="5" t="s">
        <v>7728</v>
      </c>
      <c r="F4818" s="5" t="str">
        <f t="shared" si="75"/>
        <v>Finns.se</v>
      </c>
      <c r="G4818" s="5" t="s">
        <v>4</v>
      </c>
      <c r="H4818" s="5" t="s">
        <v>5</v>
      </c>
      <c r="I4818" s="6">
        <v>45943</v>
      </c>
    </row>
    <row r="4819" spans="1:9" ht="13.5">
      <c r="A4819" s="2" t="s">
        <v>6127</v>
      </c>
      <c r="B4819" s="3"/>
      <c r="C4819" s="4" t="s">
        <v>8039</v>
      </c>
      <c r="D4819" s="4" t="s">
        <v>6129</v>
      </c>
      <c r="E4819" s="5" t="s">
        <v>6342</v>
      </c>
      <c r="F4819" s="5" t="str">
        <f t="shared" si="75"/>
        <v>indoorprofessional.se</v>
      </c>
      <c r="G4819" s="5" t="s">
        <v>4</v>
      </c>
      <c r="H4819" s="5" t="s">
        <v>5</v>
      </c>
      <c r="I4819" s="6">
        <v>45943</v>
      </c>
    </row>
    <row r="4820" spans="1:9" ht="13.5">
      <c r="A4820" s="2" t="s">
        <v>6127</v>
      </c>
      <c r="B4820" s="3"/>
      <c r="C4820" s="4" t="s">
        <v>8040</v>
      </c>
      <c r="D4820" s="4" t="s">
        <v>6129</v>
      </c>
      <c r="E4820" s="5" t="s">
        <v>6342</v>
      </c>
      <c r="F4820" s="5" t="str">
        <f t="shared" si="75"/>
        <v>indoorprofessional.se</v>
      </c>
      <c r="G4820" s="5" t="s">
        <v>4</v>
      </c>
      <c r="H4820" s="5" t="s">
        <v>5</v>
      </c>
      <c r="I4820" s="6">
        <v>45943</v>
      </c>
    </row>
    <row r="4821" spans="1:9" ht="13.5">
      <c r="A4821" s="2" t="s">
        <v>100</v>
      </c>
      <c r="B4821" s="3"/>
      <c r="C4821" s="4" t="s">
        <v>8041</v>
      </c>
      <c r="D4821" s="4" t="s">
        <v>7732</v>
      </c>
      <c r="E4821" s="5" t="s">
        <v>7733</v>
      </c>
      <c r="F4821" s="5" t="str">
        <f t="shared" si="75"/>
        <v>bigbenstandup.com</v>
      </c>
      <c r="G4821" s="5" t="s">
        <v>4</v>
      </c>
      <c r="H4821" s="5" t="s">
        <v>5</v>
      </c>
      <c r="I4821" s="6">
        <v>45943</v>
      </c>
    </row>
    <row r="4822" spans="1:9" ht="13.5">
      <c r="A4822" s="2" t="s">
        <v>4553</v>
      </c>
      <c r="B4822" s="3"/>
      <c r="C4822" s="4" t="s">
        <v>8042</v>
      </c>
      <c r="D4822" s="4" t="s">
        <v>7735</v>
      </c>
      <c r="E4822" s="5" t="s">
        <v>7736</v>
      </c>
      <c r="F4822" s="5" t="str">
        <f t="shared" si="75"/>
        <v>tkw.se</v>
      </c>
      <c r="G4822" s="5" t="s">
        <v>4</v>
      </c>
      <c r="H4822" s="5" t="s">
        <v>5</v>
      </c>
      <c r="I4822" s="6">
        <v>45943</v>
      </c>
    </row>
    <row r="4823" spans="1:9" ht="13.5">
      <c r="A4823" s="2" t="s">
        <v>4553</v>
      </c>
      <c r="B4823" s="3"/>
      <c r="C4823" s="4" t="s">
        <v>8043</v>
      </c>
      <c r="D4823" s="4" t="s">
        <v>7735</v>
      </c>
      <c r="E4823" s="5" t="s">
        <v>8044</v>
      </c>
      <c r="F4823" s="5" t="str">
        <f t="shared" si="75"/>
        <v>tkw.se</v>
      </c>
      <c r="G4823" s="5" t="s">
        <v>4</v>
      </c>
      <c r="H4823" s="5" t="s">
        <v>5</v>
      </c>
      <c r="I4823" s="6">
        <v>45943</v>
      </c>
    </row>
    <row r="4824" spans="1:9" ht="13.5">
      <c r="A4824" s="2" t="s">
        <v>4553</v>
      </c>
      <c r="B4824" s="3"/>
      <c r="C4824" s="4" t="s">
        <v>8045</v>
      </c>
      <c r="D4824" s="4" t="s">
        <v>7735</v>
      </c>
      <c r="E4824" s="5" t="s">
        <v>7736</v>
      </c>
      <c r="F4824" s="5" t="str">
        <f t="shared" si="75"/>
        <v>tkw.se</v>
      </c>
      <c r="G4824" s="5" t="s">
        <v>4</v>
      </c>
      <c r="H4824" s="5" t="s">
        <v>5</v>
      </c>
      <c r="I4824" s="6">
        <v>45943</v>
      </c>
    </row>
    <row r="4825" spans="1:9" ht="13.5">
      <c r="A4825" s="2" t="s">
        <v>4553</v>
      </c>
      <c r="B4825" s="3"/>
      <c r="C4825" s="4" t="s">
        <v>8046</v>
      </c>
      <c r="D4825" s="4" t="s">
        <v>7735</v>
      </c>
      <c r="E4825" s="5" t="s">
        <v>7736</v>
      </c>
      <c r="F4825" s="5" t="str">
        <f t="shared" si="75"/>
        <v>tkw.se</v>
      </c>
      <c r="G4825" s="5" t="s">
        <v>4</v>
      </c>
      <c r="H4825" s="5" t="s">
        <v>5</v>
      </c>
      <c r="I4825" s="6">
        <v>45943</v>
      </c>
    </row>
    <row r="4826" spans="1:9" ht="13.5">
      <c r="A4826" s="7" t="s">
        <v>7737</v>
      </c>
      <c r="B4826" s="3"/>
      <c r="C4826" s="4" t="s">
        <v>8047</v>
      </c>
      <c r="D4826" s="4" t="s">
        <v>7739</v>
      </c>
      <c r="E4826" s="5" t="s">
        <v>7740</v>
      </c>
      <c r="F4826" s="5" t="str">
        <f t="shared" si="75"/>
        <v>Sveaförsäkring</v>
      </c>
      <c r="G4826" s="5" t="s">
        <v>4</v>
      </c>
      <c r="H4826" s="5" t="s">
        <v>5</v>
      </c>
      <c r="I4826" s="6">
        <v>45943</v>
      </c>
    </row>
    <row r="4827" spans="1:9" ht="13.5">
      <c r="A4827" s="2" t="s">
        <v>1318</v>
      </c>
      <c r="B4827" s="3"/>
      <c r="C4827" s="4" t="s">
        <v>8048</v>
      </c>
      <c r="D4827" s="8" t="s">
        <v>7808</v>
      </c>
      <c r="E4827" s="10" t="s">
        <v>2016</v>
      </c>
      <c r="F4827" s="5" t="str">
        <f t="shared" si="75"/>
        <v>spelklubben.se</v>
      </c>
      <c r="G4827" s="5" t="s">
        <v>4</v>
      </c>
      <c r="H4827" s="5" t="s">
        <v>5</v>
      </c>
      <c r="I4827" s="6">
        <v>45945</v>
      </c>
    </row>
    <row r="4828" spans="1:9" ht="13.5">
      <c r="A4828" s="2" t="s">
        <v>3090</v>
      </c>
      <c r="B4828" s="3"/>
      <c r="C4828" s="4" t="s">
        <v>8049</v>
      </c>
      <c r="D4828" s="4" t="s">
        <v>3095</v>
      </c>
      <c r="E4828" s="5" t="s">
        <v>6864</v>
      </c>
      <c r="F4828" s="5" t="str">
        <f t="shared" si="75"/>
        <v>videoslots.com</v>
      </c>
      <c r="G4828" s="5" t="s">
        <v>4</v>
      </c>
      <c r="H4828" s="5" t="s">
        <v>5</v>
      </c>
      <c r="I4828" s="6">
        <v>45945</v>
      </c>
    </row>
    <row r="4829" spans="1:9" ht="13.5">
      <c r="A4829" s="2" t="s">
        <v>6639</v>
      </c>
      <c r="B4829" s="3"/>
      <c r="C4829" s="4" t="s">
        <v>8050</v>
      </c>
      <c r="D4829" s="4" t="s">
        <v>6738</v>
      </c>
      <c r="E4829" s="5" t="s">
        <v>6739</v>
      </c>
      <c r="F4829" s="5" t="str">
        <f t="shared" si="75"/>
        <v>epidemicsounds.com</v>
      </c>
      <c r="G4829" s="5" t="s">
        <v>4</v>
      </c>
      <c r="H4829" s="5" t="s">
        <v>345</v>
      </c>
      <c r="I4829" s="6">
        <v>45946</v>
      </c>
    </row>
    <row r="4830" spans="1:9" ht="13.5">
      <c r="A4830" s="7" t="s">
        <v>5361</v>
      </c>
      <c r="B4830" s="3"/>
      <c r="C4830" s="4" t="s">
        <v>8051</v>
      </c>
      <c r="D4830" s="4" t="s">
        <v>5436</v>
      </c>
      <c r="E4830" s="5" t="s">
        <v>5823</v>
      </c>
      <c r="F4830" s="5" t="str">
        <f t="shared" si="75"/>
        <v>Leaptodigital</v>
      </c>
      <c r="G4830" s="5" t="s">
        <v>4</v>
      </c>
      <c r="H4830" s="5" t="s">
        <v>345</v>
      </c>
      <c r="I4830" s="6">
        <v>45931</v>
      </c>
    </row>
    <row r="4831" spans="1:9" ht="13.5">
      <c r="A4831" s="7"/>
      <c r="B4831" s="3"/>
      <c r="C4831" s="5"/>
      <c r="D4831" s="5"/>
      <c r="E4831" s="5"/>
      <c r="F4831" s="5"/>
      <c r="G4831" s="5"/>
      <c r="H4831" s="5"/>
      <c r="I4831" s="5"/>
    </row>
    <row r="4832" spans="1:9" ht="13.5">
      <c r="A4832" s="7"/>
      <c r="B4832" s="3"/>
      <c r="C4832" s="5"/>
      <c r="D4832" s="5"/>
      <c r="E4832" s="5"/>
      <c r="F4832" s="5"/>
      <c r="G4832" s="5"/>
      <c r="H4832" s="5"/>
      <c r="I4832" s="5"/>
    </row>
    <row r="4833" spans="1:9" ht="13.5">
      <c r="A4833" s="7"/>
      <c r="B4833" s="3"/>
      <c r="C4833" s="5"/>
      <c r="D4833" s="5"/>
      <c r="E4833" s="5"/>
      <c r="F4833" s="5"/>
      <c r="G4833" s="5"/>
      <c r="H4833" s="5"/>
      <c r="I4833" s="5"/>
    </row>
    <row r="4834" spans="1:9" ht="13.5">
      <c r="A4834" s="7"/>
      <c r="B4834" s="3"/>
      <c r="C4834" s="5"/>
      <c r="D4834" s="5"/>
      <c r="E4834" s="5"/>
      <c r="F4834" s="5"/>
      <c r="G4834" s="5"/>
      <c r="H4834" s="5"/>
      <c r="I4834" s="5"/>
    </row>
    <row r="4835" spans="1:9" ht="13.5">
      <c r="A4835" s="7"/>
      <c r="B4835" s="3"/>
      <c r="C4835" s="5"/>
      <c r="D4835" s="5"/>
      <c r="E4835" s="5"/>
      <c r="F4835" s="5"/>
      <c r="G4835" s="5"/>
      <c r="H4835" s="5"/>
      <c r="I4835" s="5"/>
    </row>
    <row r="4836" spans="1:9" ht="13.5">
      <c r="A4836" s="7"/>
      <c r="B4836" s="3"/>
      <c r="C4836" s="5"/>
      <c r="D4836" s="5"/>
      <c r="E4836" s="5"/>
      <c r="F4836" s="5"/>
      <c r="G4836" s="5"/>
      <c r="H4836" s="5"/>
      <c r="I4836" s="5"/>
    </row>
    <row r="4837" spans="1:9" ht="13.5">
      <c r="A4837" s="7"/>
      <c r="B4837" s="3"/>
      <c r="C4837" s="5"/>
      <c r="D4837" s="5"/>
      <c r="E4837" s="5"/>
      <c r="F4837" s="5"/>
      <c r="G4837" s="5"/>
      <c r="H4837" s="5"/>
      <c r="I4837" s="5"/>
    </row>
    <row r="4838" spans="1:9" ht="13.5">
      <c r="A4838" s="7"/>
      <c r="B4838" s="3"/>
      <c r="C4838" s="5"/>
      <c r="D4838" s="5"/>
      <c r="E4838" s="5"/>
      <c r="F4838" s="5"/>
      <c r="G4838" s="5"/>
      <c r="H4838" s="5"/>
      <c r="I4838" s="5"/>
    </row>
    <row r="4839" spans="1:9" ht="13.5">
      <c r="A4839" s="7"/>
      <c r="B4839" s="3"/>
      <c r="C4839" s="5"/>
      <c r="D4839" s="5"/>
      <c r="E4839" s="5"/>
      <c r="F4839" s="5"/>
      <c r="G4839" s="5"/>
      <c r="H4839" s="5"/>
      <c r="I4839" s="5"/>
    </row>
    <row r="4840" spans="1:9" ht="13.5">
      <c r="A4840" s="7"/>
      <c r="B4840" s="3"/>
      <c r="C4840" s="5"/>
      <c r="D4840" s="5"/>
      <c r="E4840" s="5"/>
      <c r="F4840" s="5"/>
      <c r="G4840" s="5"/>
      <c r="H4840" s="5"/>
      <c r="I4840" s="5"/>
    </row>
    <row r="4841" spans="1:9" ht="13.5">
      <c r="A4841" s="7"/>
      <c r="B4841" s="3"/>
      <c r="C4841" s="5"/>
      <c r="D4841" s="5"/>
      <c r="E4841" s="5"/>
      <c r="F4841" s="5"/>
      <c r="G4841" s="5"/>
      <c r="H4841" s="5"/>
      <c r="I4841" s="5"/>
    </row>
    <row r="4842" spans="1:9" ht="13.5">
      <c r="A4842" s="7"/>
      <c r="B4842" s="3"/>
      <c r="C4842" s="5"/>
      <c r="D4842" s="5"/>
      <c r="E4842" s="5"/>
      <c r="F4842" s="5"/>
      <c r="G4842" s="5"/>
      <c r="H4842" s="5"/>
      <c r="I4842" s="5"/>
    </row>
    <row r="4843" spans="1:9" ht="13.5">
      <c r="A4843" s="7"/>
      <c r="B4843" s="3"/>
      <c r="C4843" s="5"/>
      <c r="D4843" s="5"/>
      <c r="E4843" s="5"/>
      <c r="F4843" s="5"/>
      <c r="G4843" s="5"/>
      <c r="H4843" s="5"/>
      <c r="I4843" s="5"/>
    </row>
    <row r="4844" spans="1:9" ht="13.5">
      <c r="A4844" s="7"/>
      <c r="B4844" s="3"/>
      <c r="C4844" s="5"/>
      <c r="D4844" s="5"/>
      <c r="E4844" s="5"/>
      <c r="F4844" s="5"/>
      <c r="G4844" s="5"/>
      <c r="H4844" s="5"/>
      <c r="I4844" s="5"/>
    </row>
    <row r="4845" spans="1:9" ht="13.5">
      <c r="A4845" s="7"/>
      <c r="B4845" s="3"/>
      <c r="C4845" s="5"/>
      <c r="D4845" s="5"/>
      <c r="E4845" s="5"/>
      <c r="F4845" s="5"/>
      <c r="G4845" s="5"/>
      <c r="H4845" s="5"/>
      <c r="I4845" s="5"/>
    </row>
    <row r="4846" spans="1:9" ht="13.5">
      <c r="A4846" s="7"/>
      <c r="B4846" s="3"/>
      <c r="C4846" s="5"/>
      <c r="D4846" s="5"/>
      <c r="E4846" s="5"/>
      <c r="F4846" s="5"/>
      <c r="G4846" s="5"/>
      <c r="H4846" s="5"/>
      <c r="I4846" s="5"/>
    </row>
    <row r="4847" spans="1:9" ht="13.5">
      <c r="A4847" s="7"/>
      <c r="B4847" s="3"/>
      <c r="C4847" s="5"/>
      <c r="D4847" s="5"/>
      <c r="E4847" s="5"/>
      <c r="F4847" s="5"/>
      <c r="G4847" s="5"/>
      <c r="H4847" s="5"/>
      <c r="I4847" s="5"/>
    </row>
    <row r="4848" spans="1:9" ht="13.5">
      <c r="A4848" s="7"/>
      <c r="B4848" s="3"/>
      <c r="C4848" s="5"/>
      <c r="D4848" s="5"/>
      <c r="E4848" s="5"/>
      <c r="F4848" s="5"/>
      <c r="G4848" s="5"/>
      <c r="H4848" s="5"/>
      <c r="I4848" s="5"/>
    </row>
    <row r="4849" spans="1:9" ht="13.5">
      <c r="A4849" s="7"/>
      <c r="B4849" s="3"/>
      <c r="C4849" s="5"/>
      <c r="D4849" s="5"/>
      <c r="E4849" s="5"/>
      <c r="F4849" s="5"/>
      <c r="G4849" s="5"/>
      <c r="H4849" s="5"/>
      <c r="I4849" s="5"/>
    </row>
    <row r="4850" spans="1:9" ht="13.5">
      <c r="A4850" s="7"/>
      <c r="B4850" s="3"/>
      <c r="C4850" s="5"/>
      <c r="D4850" s="5"/>
      <c r="E4850" s="5"/>
      <c r="F4850" s="5"/>
      <c r="G4850" s="5"/>
      <c r="H4850" s="5"/>
      <c r="I4850" s="5"/>
    </row>
    <row r="4851" spans="1:9" ht="13.5">
      <c r="A4851" s="7"/>
      <c r="B4851" s="3"/>
      <c r="C4851" s="5"/>
      <c r="D4851" s="5"/>
      <c r="E4851" s="5"/>
      <c r="F4851" s="5"/>
      <c r="G4851" s="5"/>
      <c r="H4851" s="5"/>
      <c r="I4851" s="5"/>
    </row>
    <row r="4852" spans="1:9" ht="13.5">
      <c r="A4852" s="7"/>
      <c r="B4852" s="3"/>
      <c r="C4852" s="5"/>
      <c r="D4852" s="5"/>
      <c r="E4852" s="5"/>
      <c r="F4852" s="5"/>
      <c r="G4852" s="5"/>
      <c r="H4852" s="5"/>
      <c r="I4852" s="5"/>
    </row>
    <row r="4853" spans="1:9" ht="13.5">
      <c r="A4853" s="7"/>
      <c r="B4853" s="3"/>
      <c r="C4853" s="5"/>
      <c r="D4853" s="5"/>
      <c r="E4853" s="5"/>
      <c r="F4853" s="5"/>
      <c r="G4853" s="5"/>
      <c r="H4853" s="5"/>
      <c r="I4853" s="5"/>
    </row>
    <row r="4854" spans="1:9" ht="13.5">
      <c r="A4854" s="7"/>
      <c r="B4854" s="3"/>
      <c r="C4854" s="5"/>
      <c r="D4854" s="5"/>
      <c r="E4854" s="5"/>
      <c r="F4854" s="5"/>
      <c r="G4854" s="5"/>
      <c r="H4854" s="5"/>
      <c r="I4854" s="5"/>
    </row>
    <row r="4855" spans="1:9" ht="13.5">
      <c r="A4855" s="7"/>
      <c r="B4855" s="3"/>
      <c r="C4855" s="5"/>
      <c r="D4855" s="5"/>
      <c r="E4855" s="5"/>
      <c r="F4855" s="5"/>
      <c r="G4855" s="5"/>
      <c r="H4855" s="5"/>
      <c r="I4855" s="5"/>
    </row>
    <row r="4856" spans="1:9" ht="13.5">
      <c r="A4856" s="7"/>
      <c r="B4856" s="3"/>
      <c r="C4856" s="5"/>
      <c r="D4856" s="5"/>
      <c r="E4856" s="5"/>
      <c r="F4856" s="5"/>
      <c r="G4856" s="5"/>
      <c r="H4856" s="5"/>
      <c r="I4856" s="5"/>
    </row>
    <row r="4857" spans="1:9" ht="13.5">
      <c r="A4857" s="7"/>
      <c r="B4857" s="3"/>
      <c r="C4857" s="5"/>
      <c r="D4857" s="5"/>
      <c r="E4857" s="5"/>
      <c r="F4857" s="5"/>
      <c r="G4857" s="5"/>
      <c r="H4857" s="5"/>
      <c r="I4857" s="5"/>
    </row>
    <row r="4858" spans="1:9" ht="13.5">
      <c r="A4858" s="7"/>
      <c r="B4858" s="3"/>
      <c r="C4858" s="5"/>
      <c r="D4858" s="5"/>
      <c r="E4858" s="5"/>
      <c r="F4858" s="5"/>
      <c r="G4858" s="5"/>
      <c r="H4858" s="5"/>
      <c r="I4858" s="5"/>
    </row>
    <row r="4859" spans="1:9" ht="13.5">
      <c r="A4859" s="7"/>
      <c r="B4859" s="3"/>
      <c r="C4859" s="5"/>
      <c r="D4859" s="5"/>
      <c r="E4859" s="5"/>
      <c r="F4859" s="5"/>
      <c r="G4859" s="5"/>
      <c r="H4859" s="5"/>
      <c r="I4859" s="5"/>
    </row>
    <row r="4860" spans="1:9" ht="13.5">
      <c r="A4860" s="7"/>
      <c r="B4860" s="3"/>
      <c r="C4860" s="5"/>
      <c r="D4860" s="5"/>
      <c r="E4860" s="5"/>
      <c r="F4860" s="5"/>
      <c r="G4860" s="5"/>
      <c r="H4860" s="5"/>
      <c r="I4860" s="5"/>
    </row>
    <row r="4861" spans="1:9" ht="13.5">
      <c r="A4861" s="7"/>
      <c r="B4861" s="3"/>
      <c r="C4861" s="5"/>
      <c r="D4861" s="5"/>
      <c r="E4861" s="5"/>
      <c r="F4861" s="5"/>
      <c r="G4861" s="5"/>
      <c r="H4861" s="5"/>
      <c r="I4861" s="5"/>
    </row>
    <row r="4862" spans="1:9" ht="13.5">
      <c r="A4862" s="7"/>
      <c r="B4862" s="3"/>
      <c r="C4862" s="5"/>
      <c r="D4862" s="5"/>
      <c r="E4862" s="5"/>
      <c r="F4862" s="5"/>
      <c r="G4862" s="5"/>
      <c r="H4862" s="5"/>
      <c r="I4862" s="5"/>
    </row>
    <row r="4863" spans="1:9" ht="13.5">
      <c r="A4863" s="7"/>
      <c r="B4863" s="3"/>
      <c r="C4863" s="5"/>
      <c r="D4863" s="5"/>
      <c r="E4863" s="5"/>
      <c r="F4863" s="5"/>
      <c r="G4863" s="5"/>
      <c r="H4863" s="5"/>
      <c r="I4863" s="5"/>
    </row>
    <row r="4864" spans="1:9" ht="13.5">
      <c r="A4864" s="7"/>
      <c r="B4864" s="3"/>
      <c r="C4864" s="5"/>
      <c r="D4864" s="5"/>
      <c r="E4864" s="5"/>
      <c r="F4864" s="5"/>
      <c r="G4864" s="5"/>
      <c r="H4864" s="5"/>
      <c r="I4864" s="5"/>
    </row>
    <row r="4865" spans="1:9" ht="13.5">
      <c r="A4865" s="7"/>
      <c r="B4865" s="3"/>
      <c r="C4865" s="5"/>
      <c r="D4865" s="5"/>
      <c r="E4865" s="5"/>
      <c r="F4865" s="5"/>
      <c r="G4865" s="5"/>
      <c r="H4865" s="5"/>
      <c r="I4865" s="5"/>
    </row>
    <row r="4866" spans="1:9" ht="13.5">
      <c r="A4866" s="7"/>
      <c r="B4866" s="3"/>
      <c r="C4866" s="5"/>
      <c r="D4866" s="5"/>
      <c r="E4866" s="5"/>
      <c r="F4866" s="5"/>
      <c r="G4866" s="5"/>
      <c r="H4866" s="5"/>
      <c r="I4866" s="5"/>
    </row>
    <row r="4867" spans="1:9" ht="13.5">
      <c r="A4867" s="7"/>
      <c r="B4867" s="3"/>
      <c r="C4867" s="5"/>
      <c r="D4867" s="5"/>
      <c r="E4867" s="5"/>
      <c r="F4867" s="5"/>
      <c r="G4867" s="5"/>
      <c r="H4867" s="5"/>
      <c r="I4867" s="5"/>
    </row>
    <row r="4868" spans="1:9" ht="13.5">
      <c r="A4868" s="7"/>
      <c r="B4868" s="3"/>
      <c r="C4868" s="5"/>
      <c r="D4868" s="5"/>
      <c r="E4868" s="5"/>
      <c r="F4868" s="5"/>
      <c r="G4868" s="5"/>
      <c r="H4868" s="5"/>
      <c r="I4868" s="5"/>
    </row>
    <row r="4869" spans="1:9" ht="13.5">
      <c r="A4869" s="7"/>
      <c r="B4869" s="3"/>
      <c r="C4869" s="5"/>
      <c r="D4869" s="5"/>
      <c r="E4869" s="5"/>
      <c r="F4869" s="5"/>
      <c r="G4869" s="5"/>
      <c r="H4869" s="5"/>
      <c r="I4869" s="5"/>
    </row>
    <row r="4870" spans="1:9" ht="13.5">
      <c r="A4870" s="7"/>
      <c r="B4870" s="3"/>
      <c r="C4870" s="5"/>
      <c r="D4870" s="5"/>
      <c r="E4870" s="5"/>
      <c r="F4870" s="5"/>
      <c r="G4870" s="5"/>
      <c r="H4870" s="5"/>
      <c r="I4870" s="5"/>
    </row>
    <row r="4871" spans="1:9" ht="13.5">
      <c r="A4871" s="7"/>
      <c r="B4871" s="3"/>
      <c r="C4871" s="5"/>
      <c r="D4871" s="5"/>
      <c r="E4871" s="5"/>
      <c r="F4871" s="5"/>
      <c r="G4871" s="5"/>
      <c r="H4871" s="5"/>
      <c r="I4871" s="5"/>
    </row>
    <row r="4872" spans="1:9" ht="13.5">
      <c r="A4872" s="7"/>
      <c r="B4872" s="3"/>
      <c r="C4872" s="5"/>
      <c r="D4872" s="5"/>
      <c r="E4872" s="5"/>
      <c r="F4872" s="5"/>
      <c r="G4872" s="5"/>
      <c r="H4872" s="5"/>
      <c r="I4872" s="5"/>
    </row>
    <row r="4873" spans="1:9" ht="13.5">
      <c r="A4873" s="7"/>
      <c r="B4873" s="3"/>
      <c r="C4873" s="5"/>
      <c r="D4873" s="5"/>
      <c r="E4873" s="5"/>
      <c r="F4873" s="5"/>
      <c r="G4873" s="5"/>
      <c r="H4873" s="5"/>
      <c r="I4873" s="5"/>
    </row>
    <row r="4874" spans="1:9" ht="13.5">
      <c r="A4874" s="7"/>
      <c r="B4874" s="3"/>
      <c r="C4874" s="5"/>
      <c r="D4874" s="5"/>
      <c r="E4874" s="5"/>
      <c r="F4874" s="5"/>
      <c r="G4874" s="5"/>
      <c r="H4874" s="5"/>
      <c r="I4874" s="5"/>
    </row>
    <row r="4875" spans="1:9" ht="13.5">
      <c r="A4875" s="7"/>
      <c r="B4875" s="3"/>
      <c r="C4875" s="5"/>
      <c r="D4875" s="5"/>
      <c r="E4875" s="5"/>
      <c r="F4875" s="5"/>
      <c r="G4875" s="5"/>
      <c r="H4875" s="5"/>
      <c r="I4875" s="5"/>
    </row>
    <row r="4876" spans="1:9" ht="13.5">
      <c r="A4876" s="7"/>
      <c r="B4876" s="3"/>
      <c r="C4876" s="5"/>
      <c r="D4876" s="5"/>
      <c r="E4876" s="5"/>
      <c r="F4876" s="5"/>
      <c r="G4876" s="5"/>
      <c r="H4876" s="5"/>
      <c r="I4876" s="5"/>
    </row>
    <row r="4877" spans="1:9" ht="13.5">
      <c r="A4877" s="7"/>
      <c r="B4877" s="3"/>
      <c r="C4877" s="5"/>
      <c r="D4877" s="5"/>
      <c r="E4877" s="5"/>
      <c r="F4877" s="5"/>
      <c r="G4877" s="5"/>
      <c r="H4877" s="5"/>
      <c r="I4877" s="5"/>
    </row>
    <row r="4878" spans="1:9" ht="13.5">
      <c r="A4878" s="7"/>
      <c r="B4878" s="3"/>
      <c r="C4878" s="5"/>
      <c r="D4878" s="5"/>
      <c r="E4878" s="5"/>
      <c r="F4878" s="5"/>
      <c r="G4878" s="5"/>
      <c r="H4878" s="5"/>
      <c r="I4878" s="5"/>
    </row>
    <row r="4879" spans="1:9" ht="13.5">
      <c r="A4879" s="7"/>
      <c r="B4879" s="3"/>
      <c r="C4879" s="5"/>
      <c r="D4879" s="5"/>
      <c r="E4879" s="5"/>
      <c r="F4879" s="5"/>
      <c r="G4879" s="5"/>
      <c r="H4879" s="5"/>
      <c r="I4879" s="5"/>
    </row>
    <row r="4880" spans="1:9" ht="13.5">
      <c r="A4880" s="7"/>
      <c r="B4880" s="3"/>
      <c r="C4880" s="5"/>
      <c r="D4880" s="5"/>
      <c r="E4880" s="5"/>
      <c r="F4880" s="5"/>
      <c r="G4880" s="5"/>
      <c r="H4880" s="5"/>
      <c r="I4880" s="5"/>
    </row>
    <row r="4881" spans="1:9" ht="13.5">
      <c r="A4881" s="7"/>
      <c r="B4881" s="3"/>
      <c r="C4881" s="5"/>
      <c r="D4881" s="5"/>
      <c r="E4881" s="5"/>
      <c r="F4881" s="5"/>
      <c r="G4881" s="5"/>
      <c r="H4881" s="5"/>
      <c r="I4881" s="5"/>
    </row>
    <row r="4882" spans="1:9" ht="13.5">
      <c r="A4882" s="7"/>
      <c r="B4882" s="3"/>
      <c r="C4882" s="5"/>
      <c r="D4882" s="5"/>
      <c r="E4882" s="5"/>
      <c r="F4882" s="5"/>
      <c r="G4882" s="5"/>
      <c r="H4882" s="5"/>
      <c r="I4882" s="5"/>
    </row>
    <row r="4883" spans="1:9" ht="13.5">
      <c r="A4883" s="7"/>
      <c r="B4883" s="3"/>
      <c r="C4883" s="5"/>
      <c r="D4883" s="5"/>
      <c r="E4883" s="5"/>
      <c r="F4883" s="5"/>
      <c r="G4883" s="5"/>
      <c r="H4883" s="5"/>
      <c r="I4883" s="5"/>
    </row>
    <row r="4884" spans="1:9" ht="13.5">
      <c r="A4884" s="7"/>
      <c r="B4884" s="3"/>
      <c r="C4884" s="5"/>
      <c r="D4884" s="5"/>
      <c r="E4884" s="5"/>
      <c r="F4884" s="5"/>
      <c r="G4884" s="5"/>
      <c r="H4884" s="5"/>
      <c r="I4884" s="5"/>
    </row>
    <row r="4885" spans="1:9" ht="13.5">
      <c r="A4885" s="7"/>
      <c r="B4885" s="3"/>
      <c r="C4885" s="5"/>
      <c r="D4885" s="5"/>
      <c r="E4885" s="5"/>
      <c r="F4885" s="5"/>
      <c r="G4885" s="5"/>
      <c r="H4885" s="5"/>
      <c r="I4885" s="5"/>
    </row>
    <row r="4886" spans="1:9" ht="13.5">
      <c r="A4886" s="7"/>
      <c r="B4886" s="3"/>
      <c r="C4886" s="5"/>
      <c r="D4886" s="5"/>
      <c r="E4886" s="5"/>
      <c r="F4886" s="5"/>
      <c r="G4886" s="5"/>
      <c r="H4886" s="5"/>
      <c r="I4886" s="5"/>
    </row>
    <row r="4887" spans="1:9" ht="13.5">
      <c r="A4887" s="7"/>
      <c r="B4887" s="3"/>
      <c r="C4887" s="5"/>
      <c r="D4887" s="5"/>
      <c r="E4887" s="5"/>
      <c r="F4887" s="5"/>
      <c r="G4887" s="5"/>
      <c r="H4887" s="5"/>
      <c r="I4887" s="5"/>
    </row>
    <row r="4888" spans="1:9" ht="13.5">
      <c r="A4888" s="7"/>
      <c r="B4888" s="3"/>
      <c r="C4888" s="5"/>
      <c r="D4888" s="5"/>
      <c r="E4888" s="5"/>
      <c r="F4888" s="5"/>
      <c r="G4888" s="5"/>
      <c r="H4888" s="5"/>
      <c r="I4888" s="5"/>
    </row>
    <row r="4889" spans="1:9" ht="13.5">
      <c r="A4889" s="7"/>
      <c r="B4889" s="3"/>
      <c r="C4889" s="5"/>
      <c r="D4889" s="5"/>
      <c r="E4889" s="5"/>
      <c r="F4889" s="5"/>
      <c r="G4889" s="5"/>
      <c r="H4889" s="5"/>
      <c r="I4889" s="5"/>
    </row>
    <row r="4890" spans="1:9" ht="13.5">
      <c r="A4890" s="7"/>
      <c r="B4890" s="3"/>
      <c r="C4890" s="5"/>
      <c r="D4890" s="5"/>
      <c r="E4890" s="5"/>
      <c r="F4890" s="5"/>
      <c r="G4890" s="5"/>
      <c r="H4890" s="5"/>
      <c r="I4890" s="5"/>
    </row>
    <row r="4891" spans="1:9" ht="13.5">
      <c r="A4891" s="7"/>
      <c r="B4891" s="3"/>
      <c r="C4891" s="5"/>
      <c r="D4891" s="5"/>
      <c r="E4891" s="5"/>
      <c r="F4891" s="5"/>
      <c r="G4891" s="5"/>
      <c r="H4891" s="5"/>
      <c r="I4891" s="5"/>
    </row>
    <row r="4892" spans="1:9" ht="13.5">
      <c r="A4892" s="7"/>
      <c r="B4892" s="3"/>
      <c r="C4892" s="5"/>
      <c r="D4892" s="5"/>
      <c r="E4892" s="5"/>
      <c r="F4892" s="5"/>
      <c r="G4892" s="5"/>
      <c r="H4892" s="5"/>
      <c r="I4892" s="5"/>
    </row>
    <row r="4893" spans="1:9" ht="13.5">
      <c r="A4893" s="7"/>
      <c r="B4893" s="3"/>
      <c r="C4893" s="5"/>
      <c r="D4893" s="5"/>
      <c r="E4893" s="5"/>
      <c r="F4893" s="5"/>
      <c r="G4893" s="5"/>
      <c r="H4893" s="5"/>
      <c r="I4893" s="5"/>
    </row>
    <row r="4894" spans="1:9" ht="13.5">
      <c r="A4894" s="7"/>
      <c r="B4894" s="3"/>
      <c r="C4894" s="5"/>
      <c r="D4894" s="5"/>
      <c r="E4894" s="5"/>
      <c r="F4894" s="5"/>
      <c r="G4894" s="5"/>
      <c r="H4894" s="5"/>
      <c r="I4894" s="5"/>
    </row>
    <row r="4895" spans="1:9" ht="13.5">
      <c r="A4895" s="7"/>
      <c r="B4895" s="3"/>
      <c r="C4895" s="5"/>
      <c r="D4895" s="5"/>
      <c r="E4895" s="5"/>
      <c r="F4895" s="5"/>
      <c r="G4895" s="5"/>
      <c r="H4895" s="5"/>
      <c r="I4895" s="5"/>
    </row>
    <row r="4896" spans="1:9" ht="13.5">
      <c r="A4896" s="7"/>
      <c r="B4896" s="3"/>
      <c r="C4896" s="5"/>
      <c r="D4896" s="5"/>
      <c r="E4896" s="5"/>
      <c r="F4896" s="5"/>
      <c r="G4896" s="5"/>
      <c r="H4896" s="5"/>
      <c r="I4896" s="5"/>
    </row>
    <row r="4897" spans="1:9" ht="13.5">
      <c r="A4897" s="7"/>
      <c r="B4897" s="3"/>
      <c r="C4897" s="5"/>
      <c r="D4897" s="5"/>
      <c r="E4897" s="5"/>
      <c r="F4897" s="5"/>
      <c r="G4897" s="5"/>
      <c r="H4897" s="5"/>
      <c r="I4897" s="5"/>
    </row>
    <row r="4898" spans="1:9" ht="13.5">
      <c r="A4898" s="7"/>
      <c r="B4898" s="3"/>
      <c r="C4898" s="5"/>
      <c r="D4898" s="5"/>
      <c r="E4898" s="5"/>
      <c r="F4898" s="5"/>
      <c r="G4898" s="5"/>
      <c r="H4898" s="5"/>
      <c r="I4898" s="5"/>
    </row>
    <row r="4899" spans="1:9" ht="13.5">
      <c r="A4899" s="7"/>
      <c r="B4899" s="3"/>
      <c r="C4899" s="5"/>
      <c r="D4899" s="5"/>
      <c r="E4899" s="5"/>
      <c r="F4899" s="5"/>
      <c r="G4899" s="5"/>
      <c r="H4899" s="5"/>
      <c r="I4899" s="5"/>
    </row>
    <row r="4900" spans="1:9" ht="13.5">
      <c r="A4900" s="7"/>
      <c r="B4900" s="3"/>
      <c r="C4900" s="5"/>
      <c r="D4900" s="5"/>
      <c r="E4900" s="5"/>
      <c r="F4900" s="5"/>
      <c r="G4900" s="5"/>
      <c r="H4900" s="5"/>
      <c r="I4900" s="5"/>
    </row>
    <row r="4901" spans="1:9" ht="13.5">
      <c r="A4901" s="7"/>
      <c r="B4901" s="3"/>
      <c r="C4901" s="5"/>
      <c r="D4901" s="5"/>
      <c r="E4901" s="5"/>
      <c r="F4901" s="5"/>
      <c r="G4901" s="5"/>
      <c r="H4901" s="5"/>
      <c r="I4901" s="5"/>
    </row>
    <row r="4902" spans="1:9" ht="13.5">
      <c r="A4902" s="7"/>
      <c r="B4902" s="3"/>
      <c r="C4902" s="5"/>
      <c r="D4902" s="5"/>
      <c r="E4902" s="5"/>
      <c r="F4902" s="5"/>
      <c r="G4902" s="5"/>
      <c r="H4902" s="5"/>
      <c r="I4902" s="5"/>
    </row>
    <row r="4903" spans="1:9" ht="13.5">
      <c r="A4903" s="7"/>
      <c r="B4903" s="3"/>
      <c r="C4903" s="5"/>
      <c r="D4903" s="5"/>
      <c r="E4903" s="5"/>
      <c r="F4903" s="5"/>
      <c r="G4903" s="5"/>
      <c r="H4903" s="5"/>
      <c r="I4903" s="5"/>
    </row>
    <row r="4904" spans="1:9" ht="13.5">
      <c r="A4904" s="7"/>
      <c r="B4904" s="3"/>
      <c r="C4904" s="5"/>
      <c r="D4904" s="5"/>
      <c r="E4904" s="5"/>
      <c r="F4904" s="5"/>
      <c r="G4904" s="5"/>
      <c r="H4904" s="5"/>
      <c r="I4904" s="5"/>
    </row>
    <row r="4905" spans="1:9" ht="13.5">
      <c r="A4905" s="7"/>
      <c r="B4905" s="3"/>
      <c r="C4905" s="5"/>
      <c r="D4905" s="5"/>
      <c r="E4905" s="5"/>
      <c r="F4905" s="5"/>
      <c r="G4905" s="5"/>
      <c r="H4905" s="5"/>
      <c r="I4905" s="5"/>
    </row>
    <row r="4906" spans="1:9" ht="13.5">
      <c r="A4906" s="7"/>
      <c r="B4906" s="3"/>
      <c r="C4906" s="5"/>
      <c r="D4906" s="5"/>
      <c r="E4906" s="5"/>
      <c r="F4906" s="5"/>
      <c r="G4906" s="5"/>
      <c r="H4906" s="5"/>
      <c r="I4906" s="5"/>
    </row>
    <row r="4907" spans="1:9" ht="13.5">
      <c r="A4907" s="7"/>
      <c r="B4907" s="3"/>
      <c r="C4907" s="5"/>
      <c r="D4907" s="5"/>
      <c r="E4907" s="5"/>
      <c r="F4907" s="5"/>
      <c r="G4907" s="5"/>
      <c r="H4907" s="5"/>
      <c r="I4907" s="5"/>
    </row>
    <row r="4908" spans="1:9" ht="13.5">
      <c r="A4908" s="7"/>
      <c r="B4908" s="3"/>
      <c r="C4908" s="5"/>
      <c r="D4908" s="5"/>
      <c r="E4908" s="5"/>
      <c r="F4908" s="5"/>
      <c r="G4908" s="5"/>
      <c r="H4908" s="5"/>
      <c r="I4908" s="5"/>
    </row>
    <row r="4909" spans="1:9" ht="13.5">
      <c r="A4909" s="7"/>
      <c r="B4909" s="3"/>
      <c r="C4909" s="5"/>
      <c r="D4909" s="5"/>
      <c r="E4909" s="5"/>
      <c r="F4909" s="5"/>
      <c r="G4909" s="5"/>
      <c r="H4909" s="5"/>
      <c r="I4909" s="5"/>
    </row>
    <row r="4910" spans="1:9" ht="13.5">
      <c r="A4910" s="7"/>
      <c r="B4910" s="3"/>
      <c r="C4910" s="5"/>
      <c r="D4910" s="5"/>
      <c r="E4910" s="5"/>
      <c r="F4910" s="5"/>
      <c r="G4910" s="5"/>
      <c r="H4910" s="5"/>
      <c r="I4910" s="5"/>
    </row>
    <row r="4911" spans="1:9" ht="13.5">
      <c r="A4911" s="7"/>
      <c r="B4911" s="3"/>
      <c r="C4911" s="5"/>
      <c r="D4911" s="5"/>
      <c r="E4911" s="5"/>
      <c r="F4911" s="5"/>
      <c r="G4911" s="5"/>
      <c r="H4911" s="5"/>
      <c r="I4911" s="5"/>
    </row>
    <row r="4912" spans="1:9" ht="13.5">
      <c r="A4912" s="7"/>
      <c r="B4912" s="3"/>
      <c r="C4912" s="5"/>
      <c r="D4912" s="5"/>
      <c r="E4912" s="5"/>
      <c r="F4912" s="5"/>
      <c r="G4912" s="5"/>
      <c r="H4912" s="5"/>
      <c r="I4912" s="5"/>
    </row>
    <row r="4913" spans="1:9" ht="13.5">
      <c r="A4913" s="7"/>
      <c r="B4913" s="3"/>
      <c r="C4913" s="5"/>
      <c r="D4913" s="5"/>
      <c r="E4913" s="5"/>
      <c r="F4913" s="5"/>
      <c r="G4913" s="5"/>
      <c r="H4913" s="5"/>
      <c r="I4913" s="5"/>
    </row>
    <row r="4914" spans="1:9" ht="13.5">
      <c r="A4914" s="7"/>
      <c r="B4914" s="3"/>
      <c r="C4914" s="5"/>
      <c r="D4914" s="5"/>
      <c r="E4914" s="5"/>
      <c r="F4914" s="5"/>
      <c r="G4914" s="5"/>
      <c r="H4914" s="5"/>
      <c r="I4914" s="5"/>
    </row>
    <row r="4915" spans="1:9" ht="13.5">
      <c r="A4915" s="7"/>
      <c r="B4915" s="3"/>
      <c r="C4915" s="5"/>
      <c r="D4915" s="5"/>
      <c r="E4915" s="5"/>
      <c r="F4915" s="5"/>
      <c r="G4915" s="5"/>
      <c r="H4915" s="5"/>
      <c r="I4915" s="5"/>
    </row>
    <row r="4916" spans="1:9" ht="13.5">
      <c r="A4916" s="7"/>
      <c r="B4916" s="3"/>
      <c r="C4916" s="5"/>
      <c r="D4916" s="5"/>
      <c r="E4916" s="5"/>
      <c r="F4916" s="5"/>
      <c r="G4916" s="5"/>
      <c r="H4916" s="5"/>
      <c r="I4916" s="5"/>
    </row>
    <row r="4917" spans="1:9" ht="13.5">
      <c r="A4917" s="7"/>
      <c r="B4917" s="3"/>
      <c r="C4917" s="5"/>
      <c r="D4917" s="5"/>
      <c r="E4917" s="5"/>
      <c r="F4917" s="5"/>
      <c r="G4917" s="5"/>
      <c r="H4917" s="5"/>
      <c r="I4917" s="5"/>
    </row>
    <row r="4918" spans="1:9" ht="13.5">
      <c r="A4918" s="7"/>
      <c r="B4918" s="3"/>
      <c r="C4918" s="5"/>
      <c r="D4918" s="5"/>
      <c r="E4918" s="5"/>
      <c r="F4918" s="5"/>
      <c r="G4918" s="5"/>
      <c r="H4918" s="5"/>
      <c r="I4918" s="5"/>
    </row>
    <row r="4919" spans="1:9" ht="13.5">
      <c r="A4919" s="7"/>
      <c r="B4919" s="3"/>
      <c r="C4919" s="5"/>
      <c r="D4919" s="5"/>
      <c r="E4919" s="5"/>
      <c r="F4919" s="5"/>
      <c r="G4919" s="5"/>
      <c r="H4919" s="5"/>
      <c r="I4919" s="5"/>
    </row>
    <row r="4920" spans="1:9" ht="13.5">
      <c r="A4920" s="7"/>
      <c r="B4920" s="3"/>
      <c r="C4920" s="5"/>
      <c r="D4920" s="5"/>
      <c r="E4920" s="5"/>
      <c r="F4920" s="5"/>
      <c r="G4920" s="5"/>
      <c r="H4920" s="5"/>
      <c r="I4920" s="5"/>
    </row>
    <row r="4921" spans="1:9" ht="13.5">
      <c r="A4921" s="7"/>
      <c r="B4921" s="3"/>
      <c r="C4921" s="5"/>
      <c r="D4921" s="5"/>
      <c r="E4921" s="5"/>
      <c r="F4921" s="5"/>
      <c r="G4921" s="5"/>
      <c r="H4921" s="5"/>
      <c r="I4921" s="5"/>
    </row>
    <row r="4922" spans="1:9" ht="13.5">
      <c r="A4922" s="7"/>
      <c r="B4922" s="3"/>
      <c r="C4922" s="5"/>
      <c r="D4922" s="5"/>
      <c r="E4922" s="5"/>
      <c r="F4922" s="5"/>
      <c r="G4922" s="5"/>
      <c r="H4922" s="5"/>
      <c r="I4922" s="5"/>
    </row>
    <row r="4923" spans="1:9" ht="13.5">
      <c r="A4923" s="7"/>
      <c r="B4923" s="3"/>
      <c r="C4923" s="5"/>
      <c r="D4923" s="5"/>
      <c r="E4923" s="5"/>
      <c r="F4923" s="5"/>
      <c r="G4923" s="5"/>
      <c r="H4923" s="5"/>
      <c r="I4923" s="5"/>
    </row>
    <row r="4924" spans="1:9" ht="13.5">
      <c r="A4924" s="7"/>
      <c r="B4924" s="3"/>
      <c r="C4924" s="5"/>
      <c r="D4924" s="5"/>
      <c r="E4924" s="5"/>
      <c r="F4924" s="5"/>
      <c r="G4924" s="5"/>
      <c r="H4924" s="5"/>
      <c r="I4924" s="5"/>
    </row>
    <row r="4925" spans="1:9" ht="13.5">
      <c r="A4925" s="7"/>
      <c r="B4925" s="3"/>
      <c r="C4925" s="5"/>
      <c r="D4925" s="5"/>
      <c r="E4925" s="5"/>
      <c r="F4925" s="5"/>
      <c r="G4925" s="5"/>
      <c r="H4925" s="5"/>
      <c r="I4925" s="5"/>
    </row>
    <row r="4926" spans="1:9" ht="13.5">
      <c r="A4926" s="7"/>
      <c r="B4926" s="3"/>
      <c r="C4926" s="5"/>
      <c r="D4926" s="5"/>
      <c r="E4926" s="5"/>
      <c r="F4926" s="5"/>
      <c r="G4926" s="5"/>
      <c r="H4926" s="5"/>
      <c r="I4926" s="5"/>
    </row>
    <row r="4927" spans="1:9" ht="13.5">
      <c r="A4927" s="7"/>
      <c r="B4927" s="3"/>
      <c r="C4927" s="5"/>
      <c r="D4927" s="5"/>
      <c r="E4927" s="5"/>
      <c r="F4927" s="5"/>
      <c r="G4927" s="5"/>
      <c r="H4927" s="5"/>
      <c r="I4927" s="5"/>
    </row>
    <row r="4928" spans="1:9" ht="13.5">
      <c r="A4928" s="7"/>
      <c r="B4928" s="3"/>
      <c r="C4928" s="5"/>
      <c r="D4928" s="5"/>
      <c r="E4928" s="5"/>
      <c r="F4928" s="5"/>
      <c r="G4928" s="5"/>
      <c r="H4928" s="5"/>
      <c r="I4928" s="5"/>
    </row>
    <row r="4929" spans="1:9" ht="13.5">
      <c r="A4929" s="7"/>
      <c r="B4929" s="3"/>
      <c r="C4929" s="5"/>
      <c r="D4929" s="5"/>
      <c r="E4929" s="5"/>
      <c r="F4929" s="5"/>
      <c r="G4929" s="5"/>
      <c r="H4929" s="5"/>
      <c r="I4929" s="5"/>
    </row>
    <row r="4930" spans="1:9" ht="13.5">
      <c r="A4930" s="7"/>
      <c r="B4930" s="3"/>
      <c r="C4930" s="5"/>
      <c r="D4930" s="5"/>
      <c r="E4930" s="5"/>
      <c r="F4930" s="5"/>
      <c r="G4930" s="5"/>
      <c r="H4930" s="5"/>
      <c r="I4930" s="5"/>
    </row>
    <row r="4931" spans="1:9" ht="13.5">
      <c r="A4931" s="7"/>
      <c r="B4931" s="3"/>
      <c r="C4931" s="5"/>
      <c r="D4931" s="5"/>
      <c r="E4931" s="5"/>
      <c r="F4931" s="5"/>
      <c r="G4931" s="5"/>
      <c r="H4931" s="5"/>
      <c r="I4931" s="5"/>
    </row>
    <row r="4932" spans="1:9" ht="13.5">
      <c r="A4932" s="7"/>
      <c r="B4932" s="3"/>
      <c r="C4932" s="5"/>
      <c r="D4932" s="5"/>
      <c r="E4932" s="5"/>
      <c r="F4932" s="5"/>
      <c r="G4932" s="5"/>
      <c r="H4932" s="5"/>
      <c r="I4932" s="5"/>
    </row>
    <row r="4933" spans="1:9" ht="13.5">
      <c r="A4933" s="7"/>
      <c r="B4933" s="3"/>
      <c r="C4933" s="5"/>
      <c r="D4933" s="5"/>
      <c r="E4933" s="5"/>
      <c r="F4933" s="5"/>
      <c r="G4933" s="5"/>
      <c r="H4933" s="5"/>
      <c r="I4933" s="5"/>
    </row>
    <row r="4934" spans="1:9" ht="13.5">
      <c r="A4934" s="7"/>
      <c r="B4934" s="3"/>
      <c r="C4934" s="5"/>
      <c r="D4934" s="5"/>
      <c r="E4934" s="5"/>
      <c r="F4934" s="5"/>
      <c r="G4934" s="5"/>
      <c r="H4934" s="5"/>
      <c r="I4934" s="5"/>
    </row>
    <row r="4935" spans="1:9" ht="13.5">
      <c r="A4935" s="7"/>
      <c r="B4935" s="3"/>
      <c r="C4935" s="5"/>
      <c r="D4935" s="5"/>
      <c r="E4935" s="5"/>
      <c r="F4935" s="5"/>
      <c r="G4935" s="5"/>
      <c r="H4935" s="5"/>
      <c r="I4935" s="5"/>
    </row>
    <row r="4936" spans="1:9" ht="13.5">
      <c r="A4936" s="7"/>
      <c r="B4936" s="3"/>
      <c r="C4936" s="5"/>
      <c r="D4936" s="5"/>
      <c r="E4936" s="5"/>
      <c r="F4936" s="5"/>
      <c r="G4936" s="5"/>
      <c r="H4936" s="5"/>
      <c r="I4936" s="5"/>
    </row>
    <row r="4937" spans="1:9" ht="13.5">
      <c r="A4937" s="7"/>
      <c r="B4937" s="3"/>
      <c r="C4937" s="5"/>
      <c r="D4937" s="5"/>
      <c r="E4937" s="5"/>
      <c r="F4937" s="5"/>
      <c r="G4937" s="5"/>
      <c r="H4937" s="5"/>
      <c r="I4937" s="5"/>
    </row>
    <row r="4938" spans="1:9" ht="13.5">
      <c r="A4938" s="7"/>
      <c r="B4938" s="3"/>
      <c r="C4938" s="5"/>
      <c r="D4938" s="5"/>
      <c r="E4938" s="5"/>
      <c r="F4938" s="5"/>
      <c r="G4938" s="5"/>
      <c r="H4938" s="5"/>
      <c r="I4938" s="5"/>
    </row>
    <row r="4939" spans="1:9" ht="13.5">
      <c r="A4939" s="7"/>
      <c r="B4939" s="3"/>
      <c r="C4939" s="5"/>
      <c r="D4939" s="5"/>
      <c r="E4939" s="5"/>
      <c r="F4939" s="5"/>
      <c r="G4939" s="5"/>
      <c r="H4939" s="5"/>
      <c r="I4939" s="5"/>
    </row>
    <row r="4940" spans="1:9" ht="13.5">
      <c r="A4940" s="7"/>
      <c r="B4940" s="3"/>
      <c r="C4940" s="5"/>
      <c r="D4940" s="5"/>
      <c r="E4940" s="5"/>
      <c r="F4940" s="5"/>
      <c r="G4940" s="5"/>
      <c r="H4940" s="5"/>
      <c r="I4940" s="5"/>
    </row>
    <row r="4941" spans="1:9" ht="13.5">
      <c r="A4941" s="7"/>
      <c r="B4941" s="3"/>
      <c r="C4941" s="5"/>
      <c r="D4941" s="5"/>
      <c r="E4941" s="5"/>
      <c r="F4941" s="5"/>
      <c r="G4941" s="5"/>
      <c r="H4941" s="5"/>
      <c r="I4941" s="5"/>
    </row>
    <row r="4942" spans="1:9" ht="13.5">
      <c r="A4942" s="7"/>
      <c r="B4942" s="3"/>
      <c r="C4942" s="5"/>
      <c r="D4942" s="5"/>
      <c r="E4942" s="5"/>
      <c r="F4942" s="5"/>
      <c r="G4942" s="5"/>
      <c r="H4942" s="5"/>
      <c r="I4942" s="5"/>
    </row>
    <row r="4943" spans="1:9" ht="13.5">
      <c r="A4943" s="7"/>
      <c r="B4943" s="3"/>
      <c r="C4943" s="5"/>
      <c r="D4943" s="5"/>
      <c r="E4943" s="5"/>
      <c r="F4943" s="5"/>
      <c r="G4943" s="5"/>
      <c r="H4943" s="5"/>
      <c r="I4943" s="5"/>
    </row>
    <row r="4944" spans="1:9" ht="13.5">
      <c r="A4944" s="7"/>
      <c r="B4944" s="3"/>
      <c r="C4944" s="5"/>
      <c r="D4944" s="5"/>
      <c r="E4944" s="5"/>
      <c r="F4944" s="5"/>
      <c r="G4944" s="5"/>
      <c r="H4944" s="5"/>
      <c r="I4944" s="5"/>
    </row>
    <row r="4945" spans="1:9" ht="13.5">
      <c r="A4945" s="7"/>
      <c r="B4945" s="3"/>
      <c r="C4945" s="5"/>
      <c r="D4945" s="5"/>
      <c r="E4945" s="5"/>
      <c r="F4945" s="5"/>
      <c r="G4945" s="5"/>
      <c r="H4945" s="5"/>
      <c r="I4945" s="5"/>
    </row>
    <row r="4946" spans="1:9" ht="13.5">
      <c r="A4946" s="7"/>
      <c r="B4946" s="3"/>
      <c r="C4946" s="5"/>
      <c r="D4946" s="5"/>
      <c r="E4946" s="5"/>
      <c r="F4946" s="5"/>
      <c r="G4946" s="5"/>
      <c r="H4946" s="5"/>
      <c r="I4946" s="5"/>
    </row>
    <row r="4947" spans="1:9" ht="13.5">
      <c r="A4947" s="7"/>
      <c r="B4947" s="3"/>
      <c r="C4947" s="5"/>
      <c r="D4947" s="5"/>
      <c r="E4947" s="5"/>
      <c r="F4947" s="5"/>
      <c r="G4947" s="5"/>
      <c r="H4947" s="5"/>
      <c r="I4947" s="5"/>
    </row>
    <row r="4948" spans="1:9" ht="13.5">
      <c r="A4948" s="7"/>
      <c r="B4948" s="3"/>
      <c r="C4948" s="5"/>
      <c r="D4948" s="5"/>
      <c r="E4948" s="5"/>
      <c r="F4948" s="5"/>
      <c r="G4948" s="5"/>
      <c r="H4948" s="5"/>
      <c r="I4948" s="5"/>
    </row>
    <row r="4949" spans="1:9" ht="13.5">
      <c r="A4949" s="7"/>
      <c r="B4949" s="3"/>
      <c r="C4949" s="5"/>
      <c r="D4949" s="5"/>
      <c r="E4949" s="5"/>
      <c r="F4949" s="5"/>
      <c r="G4949" s="5"/>
      <c r="H4949" s="5"/>
      <c r="I4949" s="5"/>
    </row>
    <row r="4950" spans="1:9" ht="13.5">
      <c r="A4950" s="7"/>
      <c r="B4950" s="3"/>
      <c r="C4950" s="5"/>
      <c r="D4950" s="5"/>
      <c r="E4950" s="5"/>
      <c r="F4950" s="5"/>
      <c r="G4950" s="5"/>
      <c r="H4950" s="5"/>
      <c r="I4950" s="5"/>
    </row>
    <row r="4951" spans="1:9" ht="13.5">
      <c r="A4951" s="7"/>
      <c r="B4951" s="3"/>
      <c r="C4951" s="5"/>
      <c r="D4951" s="5"/>
      <c r="E4951" s="5"/>
      <c r="F4951" s="5"/>
      <c r="G4951" s="5"/>
      <c r="H4951" s="5"/>
      <c r="I4951" s="5"/>
    </row>
    <row r="4952" spans="1:9" ht="13.5">
      <c r="A4952" s="7"/>
      <c r="B4952" s="3"/>
      <c r="C4952" s="5"/>
      <c r="D4952" s="5"/>
      <c r="E4952" s="5"/>
      <c r="F4952" s="5"/>
      <c r="G4952" s="5"/>
      <c r="H4952" s="5"/>
      <c r="I4952" s="5"/>
    </row>
    <row r="4953" spans="1:9" ht="13.5">
      <c r="A4953" s="7"/>
      <c r="B4953" s="3"/>
      <c r="C4953" s="5"/>
      <c r="D4953" s="5"/>
      <c r="E4953" s="5"/>
      <c r="F4953" s="5"/>
      <c r="G4953" s="5"/>
      <c r="H4953" s="5"/>
      <c r="I4953" s="5"/>
    </row>
    <row r="4954" spans="1:9" ht="13.5">
      <c r="A4954" s="7"/>
      <c r="B4954" s="3"/>
      <c r="C4954" s="5"/>
      <c r="D4954" s="5"/>
      <c r="E4954" s="5"/>
      <c r="F4954" s="5"/>
      <c r="G4954" s="5"/>
      <c r="H4954" s="5"/>
      <c r="I4954" s="5"/>
    </row>
    <row r="4955" spans="1:9" ht="13.5">
      <c r="A4955" s="7"/>
      <c r="B4955" s="3"/>
      <c r="C4955" s="5"/>
      <c r="D4955" s="5"/>
      <c r="E4955" s="5"/>
      <c r="F4955" s="5"/>
      <c r="G4955" s="5"/>
      <c r="H4955" s="5"/>
      <c r="I4955" s="5"/>
    </row>
    <row r="4956" spans="1:9" ht="13.5">
      <c r="A4956" s="7"/>
      <c r="B4956" s="3"/>
      <c r="C4956" s="5"/>
      <c r="D4956" s="5"/>
      <c r="E4956" s="5"/>
      <c r="F4956" s="5"/>
      <c r="G4956" s="5"/>
      <c r="H4956" s="5"/>
      <c r="I4956" s="5"/>
    </row>
    <row r="4957" spans="1:9" ht="13.5">
      <c r="A4957" s="7"/>
      <c r="B4957" s="3"/>
      <c r="C4957" s="5"/>
      <c r="D4957" s="5"/>
      <c r="E4957" s="5"/>
      <c r="F4957" s="5"/>
      <c r="G4957" s="5"/>
      <c r="H4957" s="5"/>
      <c r="I4957" s="5"/>
    </row>
    <row r="4958" spans="1:9" ht="13.5">
      <c r="A4958" s="7"/>
      <c r="B4958" s="3"/>
      <c r="C4958" s="5"/>
      <c r="D4958" s="5"/>
      <c r="E4958" s="5"/>
      <c r="F4958" s="5"/>
      <c r="G4958" s="5"/>
      <c r="H4958" s="5"/>
      <c r="I4958" s="5"/>
    </row>
    <row r="4959" spans="1:9" ht="13.5">
      <c r="A4959" s="7"/>
      <c r="B4959" s="3"/>
      <c r="C4959" s="5"/>
      <c r="D4959" s="5"/>
      <c r="E4959" s="5"/>
      <c r="F4959" s="5"/>
      <c r="G4959" s="5"/>
      <c r="H4959" s="5"/>
      <c r="I4959" s="5"/>
    </row>
    <row r="4960" spans="1:9" ht="13.5">
      <c r="A4960" s="7"/>
      <c r="B4960" s="3"/>
      <c r="C4960" s="5"/>
      <c r="D4960" s="5"/>
      <c r="E4960" s="5"/>
      <c r="F4960" s="5"/>
      <c r="G4960" s="5"/>
      <c r="H4960" s="5"/>
      <c r="I4960" s="5"/>
    </row>
    <row r="4961" spans="1:9" ht="13.5">
      <c r="A4961" s="7"/>
      <c r="B4961" s="3"/>
      <c r="C4961" s="5"/>
      <c r="D4961" s="5"/>
      <c r="E4961" s="5"/>
      <c r="F4961" s="5"/>
      <c r="G4961" s="5"/>
      <c r="H4961" s="5"/>
      <c r="I4961" s="5"/>
    </row>
    <row r="4962" spans="1:9" ht="13.5">
      <c r="A4962" s="7"/>
      <c r="B4962" s="3"/>
      <c r="C4962" s="5"/>
      <c r="D4962" s="5"/>
      <c r="E4962" s="5"/>
      <c r="F4962" s="5"/>
      <c r="G4962" s="5"/>
      <c r="H4962" s="5"/>
      <c r="I4962" s="5"/>
    </row>
    <row r="4963" spans="1:9" ht="13.5">
      <c r="A4963" s="7"/>
      <c r="B4963" s="3"/>
      <c r="C4963" s="5"/>
      <c r="D4963" s="5"/>
      <c r="E4963" s="5"/>
      <c r="F4963" s="5"/>
      <c r="G4963" s="5"/>
      <c r="H4963" s="5"/>
      <c r="I4963" s="5"/>
    </row>
    <row r="4964" spans="1:9" ht="13.5">
      <c r="A4964" s="7"/>
      <c r="B4964" s="3"/>
      <c r="C4964" s="5"/>
      <c r="D4964" s="5"/>
      <c r="E4964" s="5"/>
      <c r="F4964" s="5"/>
      <c r="G4964" s="5"/>
      <c r="H4964" s="5"/>
      <c r="I4964" s="5"/>
    </row>
    <row r="4965" spans="1:9" ht="13.5">
      <c r="A4965" s="7"/>
      <c r="B4965" s="3"/>
      <c r="C4965" s="5"/>
      <c r="D4965" s="5"/>
      <c r="E4965" s="5"/>
      <c r="F4965" s="5"/>
      <c r="G4965" s="5"/>
      <c r="H4965" s="5"/>
      <c r="I4965" s="5"/>
    </row>
    <row r="4966" spans="1:9" ht="13.5">
      <c r="A4966" s="7"/>
      <c r="B4966" s="3"/>
      <c r="C4966" s="5"/>
      <c r="D4966" s="5"/>
      <c r="E4966" s="5"/>
      <c r="F4966" s="5"/>
      <c r="G4966" s="5"/>
      <c r="H4966" s="5"/>
      <c r="I4966" s="5"/>
    </row>
    <row r="4967" spans="1:9" ht="13.5">
      <c r="A4967" s="7"/>
      <c r="B4967" s="3"/>
      <c r="C4967" s="5"/>
      <c r="D4967" s="5"/>
      <c r="E4967" s="5"/>
      <c r="F4967" s="5"/>
      <c r="G4967" s="5"/>
      <c r="H4967" s="5"/>
      <c r="I4967" s="5"/>
    </row>
    <row r="4968" spans="1:9" ht="13.5">
      <c r="A4968" s="7"/>
      <c r="B4968" s="3"/>
      <c r="C4968" s="5"/>
      <c r="D4968" s="5"/>
      <c r="E4968" s="5"/>
      <c r="F4968" s="5"/>
      <c r="G4968" s="5"/>
      <c r="H4968" s="5"/>
      <c r="I4968" s="5"/>
    </row>
    <row r="4969" spans="1:9" ht="13.5">
      <c r="A4969" s="7"/>
      <c r="B4969" s="3"/>
      <c r="C4969" s="5"/>
      <c r="D4969" s="5"/>
      <c r="E4969" s="5"/>
      <c r="F4969" s="5"/>
      <c r="G4969" s="5"/>
      <c r="H4969" s="5"/>
      <c r="I4969" s="5"/>
    </row>
    <row r="4970" spans="1:9" ht="13.5">
      <c r="A4970" s="7"/>
      <c r="B4970" s="3"/>
      <c r="C4970" s="5"/>
      <c r="D4970" s="5"/>
      <c r="E4970" s="5"/>
      <c r="F4970" s="5"/>
      <c r="G4970" s="5"/>
      <c r="H4970" s="5"/>
      <c r="I4970" s="5"/>
    </row>
    <row r="4971" spans="1:9" ht="13.5">
      <c r="A4971" s="7"/>
      <c r="B4971" s="3"/>
      <c r="C4971" s="5"/>
      <c r="D4971" s="5"/>
      <c r="E4971" s="5"/>
      <c r="F4971" s="5"/>
      <c r="G4971" s="5"/>
      <c r="H4971" s="5"/>
      <c r="I4971" s="5"/>
    </row>
    <row r="4972" spans="1:9" ht="13.5">
      <c r="A4972" s="7"/>
      <c r="B4972" s="3"/>
      <c r="C4972" s="5"/>
      <c r="D4972" s="5"/>
      <c r="E4972" s="5"/>
      <c r="F4972" s="5"/>
      <c r="G4972" s="5"/>
      <c r="H4972" s="5"/>
      <c r="I4972" s="5"/>
    </row>
    <row r="4973" spans="1:9" ht="13.5">
      <c r="A4973" s="7"/>
      <c r="B4973" s="3"/>
      <c r="C4973" s="5"/>
      <c r="D4973" s="5"/>
      <c r="E4973" s="5"/>
      <c r="F4973" s="5"/>
      <c r="G4973" s="5"/>
      <c r="H4973" s="5"/>
      <c r="I4973" s="5"/>
    </row>
    <row r="4974" spans="1:9" ht="13.5">
      <c r="A4974" s="7"/>
      <c r="B4974" s="3"/>
      <c r="C4974" s="5"/>
      <c r="D4974" s="5"/>
      <c r="E4974" s="5"/>
      <c r="F4974" s="5"/>
      <c r="G4974" s="5"/>
      <c r="H4974" s="5"/>
      <c r="I4974" s="5"/>
    </row>
    <row r="4975" spans="1:9" ht="13.5">
      <c r="A4975" s="7"/>
      <c r="B4975" s="3"/>
      <c r="C4975" s="5"/>
      <c r="D4975" s="5"/>
      <c r="E4975" s="5"/>
      <c r="F4975" s="5"/>
      <c r="G4975" s="5"/>
      <c r="H4975" s="5"/>
      <c r="I4975" s="5"/>
    </row>
    <row r="4976" spans="1:9" ht="13.5">
      <c r="A4976" s="7"/>
      <c r="B4976" s="3"/>
      <c r="C4976" s="5"/>
      <c r="D4976" s="5"/>
      <c r="E4976" s="5"/>
      <c r="F4976" s="5"/>
      <c r="G4976" s="5"/>
      <c r="H4976" s="5"/>
      <c r="I4976" s="5"/>
    </row>
    <row r="4977" spans="1:9" ht="13.5">
      <c r="A4977" s="7"/>
      <c r="B4977" s="3"/>
      <c r="C4977" s="5"/>
      <c r="D4977" s="5"/>
      <c r="E4977" s="5"/>
      <c r="F4977" s="5"/>
      <c r="G4977" s="5"/>
      <c r="H4977" s="5"/>
      <c r="I4977" s="5"/>
    </row>
    <row r="4978" spans="1:9" ht="13.5">
      <c r="A4978" s="7"/>
      <c r="B4978" s="3"/>
      <c r="C4978" s="5"/>
      <c r="D4978" s="5"/>
      <c r="E4978" s="5"/>
      <c r="F4978" s="5"/>
      <c r="G4978" s="5"/>
      <c r="H4978" s="5"/>
      <c r="I4978" s="5"/>
    </row>
    <row r="4979" spans="1:9" ht="13.5">
      <c r="A4979" s="7"/>
      <c r="B4979" s="3"/>
      <c r="C4979" s="5"/>
      <c r="D4979" s="5"/>
      <c r="E4979" s="5"/>
      <c r="F4979" s="5"/>
      <c r="G4979" s="5"/>
      <c r="H4979" s="5"/>
      <c r="I4979" s="5"/>
    </row>
    <row r="4980" spans="1:9" ht="13.5">
      <c r="A4980" s="7"/>
      <c r="B4980" s="3"/>
      <c r="C4980" s="5"/>
      <c r="D4980" s="5"/>
      <c r="E4980" s="5"/>
      <c r="F4980" s="5"/>
      <c r="G4980" s="5"/>
      <c r="H4980" s="5"/>
      <c r="I4980" s="5"/>
    </row>
    <row r="4981" spans="1:9" ht="13.5">
      <c r="A4981" s="7"/>
      <c r="B4981" s="3"/>
      <c r="C4981" s="5"/>
      <c r="D4981" s="5"/>
      <c r="E4981" s="5"/>
      <c r="F4981" s="5"/>
      <c r="G4981" s="5"/>
      <c r="H4981" s="5"/>
      <c r="I4981" s="5"/>
    </row>
    <row r="4982" spans="1:9" ht="13.5">
      <c r="A4982" s="7"/>
      <c r="B4982" s="3"/>
      <c r="C4982" s="5"/>
      <c r="D4982" s="5"/>
      <c r="E4982" s="5"/>
      <c r="F4982" s="5"/>
      <c r="G4982" s="5"/>
      <c r="H4982" s="5"/>
      <c r="I4982" s="5"/>
    </row>
    <row r="4983" spans="1:9" ht="13.5">
      <c r="A4983" s="7"/>
      <c r="B4983" s="3"/>
      <c r="C4983" s="5"/>
      <c r="D4983" s="5"/>
      <c r="E4983" s="5"/>
      <c r="F4983" s="5"/>
      <c r="G4983" s="5"/>
      <c r="H4983" s="5"/>
      <c r="I4983" s="5"/>
    </row>
    <row r="4984" spans="1:9" ht="13.5">
      <c r="A4984" s="7"/>
      <c r="B4984" s="3"/>
      <c r="C4984" s="5"/>
      <c r="D4984" s="5"/>
      <c r="E4984" s="5"/>
      <c r="F4984" s="5"/>
      <c r="G4984" s="5"/>
      <c r="H4984" s="5"/>
      <c r="I4984" s="5"/>
    </row>
    <row r="4985" spans="1:9" ht="13.5">
      <c r="A4985" s="7"/>
      <c r="B4985" s="3"/>
      <c r="C4985" s="5"/>
      <c r="D4985" s="5"/>
      <c r="E4985" s="5"/>
      <c r="F4985" s="5"/>
      <c r="G4985" s="5"/>
      <c r="H4985" s="5"/>
      <c r="I4985" s="5"/>
    </row>
    <row r="4986" spans="1:9" ht="13.5">
      <c r="A4986" s="7"/>
      <c r="B4986" s="3"/>
      <c r="C4986" s="5"/>
      <c r="D4986" s="5"/>
      <c r="E4986" s="5"/>
      <c r="F4986" s="5"/>
      <c r="G4986" s="5"/>
      <c r="H4986" s="5"/>
      <c r="I4986" s="5"/>
    </row>
    <row r="4987" spans="1:9" ht="13.5">
      <c r="A4987" s="7"/>
      <c r="B4987" s="3"/>
      <c r="C4987" s="5"/>
      <c r="D4987" s="5"/>
      <c r="E4987" s="5"/>
      <c r="F4987" s="5"/>
      <c r="G4987" s="5"/>
      <c r="H4987" s="5"/>
      <c r="I4987" s="5"/>
    </row>
    <row r="4988" spans="1:9" ht="13.5">
      <c r="A4988" s="7"/>
      <c r="B4988" s="3"/>
      <c r="C4988" s="5"/>
      <c r="D4988" s="5"/>
      <c r="E4988" s="5"/>
      <c r="F4988" s="5"/>
      <c r="G4988" s="5"/>
      <c r="H4988" s="5"/>
      <c r="I4988" s="5"/>
    </row>
    <row r="4989" spans="1:9" ht="13.5">
      <c r="A4989" s="7"/>
      <c r="B4989" s="3"/>
      <c r="C4989" s="5"/>
      <c r="D4989" s="5"/>
      <c r="E4989" s="5"/>
      <c r="F4989" s="5"/>
      <c r="G4989" s="5"/>
      <c r="H4989" s="5"/>
      <c r="I4989" s="5"/>
    </row>
    <row r="4990" spans="1:9" ht="13.5">
      <c r="A4990" s="7"/>
      <c r="B4990" s="3"/>
      <c r="C4990" s="5"/>
      <c r="D4990" s="5"/>
      <c r="E4990" s="5"/>
      <c r="F4990" s="5"/>
      <c r="G4990" s="5"/>
      <c r="H4990" s="5"/>
      <c r="I4990" s="5"/>
    </row>
    <row r="4991" spans="1:9" ht="13.5">
      <c r="A4991" s="7"/>
      <c r="B4991" s="3"/>
      <c r="C4991" s="5"/>
      <c r="D4991" s="5"/>
      <c r="E4991" s="5"/>
      <c r="F4991" s="5"/>
      <c r="G4991" s="5"/>
      <c r="H4991" s="5"/>
      <c r="I4991" s="5"/>
    </row>
    <row r="4992" spans="1:9" ht="13.5">
      <c r="A4992" s="7"/>
      <c r="B4992" s="3"/>
      <c r="C4992" s="5"/>
      <c r="D4992" s="5"/>
      <c r="E4992" s="5"/>
      <c r="F4992" s="5"/>
      <c r="G4992" s="5"/>
      <c r="H4992" s="5"/>
      <c r="I4992" s="5"/>
    </row>
    <row r="4993" spans="1:9" ht="13.5">
      <c r="A4993" s="7"/>
      <c r="B4993" s="3"/>
      <c r="C4993" s="5"/>
      <c r="D4993" s="5"/>
      <c r="E4993" s="5"/>
      <c r="F4993" s="5"/>
      <c r="G4993" s="5"/>
      <c r="H4993" s="5"/>
      <c r="I4993" s="5"/>
    </row>
    <row r="4994" spans="1:9" ht="13.5">
      <c r="A4994" s="7"/>
      <c r="B4994" s="3"/>
      <c r="C4994" s="5"/>
      <c r="D4994" s="5"/>
      <c r="E4994" s="5"/>
      <c r="F4994" s="5"/>
      <c r="G4994" s="5"/>
      <c r="H4994" s="5"/>
      <c r="I4994" s="5"/>
    </row>
    <row r="4995" spans="1:9" ht="13.5">
      <c r="A4995" s="7"/>
      <c r="B4995" s="3"/>
      <c r="C4995" s="5"/>
      <c r="D4995" s="5"/>
      <c r="E4995" s="5"/>
      <c r="F4995" s="5"/>
      <c r="G4995" s="5"/>
      <c r="H4995" s="5"/>
      <c r="I4995" s="5"/>
    </row>
    <row r="4996" spans="1:9" ht="13.5">
      <c r="A4996" s="7"/>
      <c r="B4996" s="3"/>
      <c r="C4996" s="5"/>
      <c r="D4996" s="5"/>
      <c r="E4996" s="5"/>
      <c r="F4996" s="5"/>
      <c r="G4996" s="5"/>
      <c r="H4996" s="5"/>
      <c r="I4996" s="5"/>
    </row>
    <row r="4997" spans="1:9" ht="13.5">
      <c r="A4997" s="7"/>
      <c r="B4997" s="3"/>
      <c r="C4997" s="5"/>
      <c r="D4997" s="5"/>
      <c r="E4997" s="5"/>
      <c r="F4997" s="5"/>
      <c r="G4997" s="5"/>
      <c r="H4997" s="5"/>
      <c r="I4997" s="5"/>
    </row>
    <row r="4998" spans="1:9" ht="13.5">
      <c r="A4998" s="7"/>
      <c r="B4998" s="3"/>
      <c r="C4998" s="5"/>
      <c r="D4998" s="5"/>
      <c r="E4998" s="5"/>
      <c r="F4998" s="5"/>
      <c r="G4998" s="5"/>
      <c r="H4998" s="5"/>
      <c r="I4998" s="5"/>
    </row>
    <row r="4999" spans="1:9" ht="13.5">
      <c r="A4999" s="7"/>
      <c r="B4999" s="3"/>
      <c r="C4999" s="5"/>
      <c r="D4999" s="5"/>
      <c r="E4999" s="5"/>
      <c r="F4999" s="5"/>
      <c r="G4999" s="5"/>
      <c r="H4999" s="5"/>
      <c r="I4999" s="5"/>
    </row>
    <row r="5000" spans="1:9" ht="13.5">
      <c r="A5000" s="7"/>
      <c r="B5000" s="3"/>
      <c r="C5000" s="5"/>
      <c r="D5000" s="5"/>
      <c r="E5000" s="5"/>
      <c r="F5000" s="5"/>
      <c r="G5000" s="5"/>
      <c r="H5000" s="5"/>
      <c r="I5000" s="5"/>
    </row>
    <row r="5001" spans="1:9" ht="13.5">
      <c r="A5001" s="7"/>
      <c r="B5001" s="3"/>
      <c r="C5001" s="5"/>
      <c r="D5001" s="5"/>
      <c r="E5001" s="5"/>
      <c r="F5001" s="5"/>
      <c r="G5001" s="5"/>
      <c r="H5001" s="5"/>
      <c r="I5001" s="5"/>
    </row>
    <row r="5002" spans="1:9" ht="13.5">
      <c r="A5002" s="7"/>
      <c r="B5002" s="3"/>
      <c r="C5002" s="5"/>
      <c r="D5002" s="5"/>
      <c r="E5002" s="5"/>
      <c r="F5002" s="5"/>
      <c r="G5002" s="5"/>
      <c r="H5002" s="5"/>
      <c r="I5002" s="5"/>
    </row>
    <row r="5003" spans="1:9" ht="13.5">
      <c r="A5003" s="7"/>
      <c r="B5003" s="3"/>
      <c r="C5003" s="5"/>
      <c r="D5003" s="5"/>
      <c r="E5003" s="5"/>
      <c r="F5003" s="5"/>
      <c r="G5003" s="5"/>
      <c r="H5003" s="5"/>
      <c r="I5003" s="5"/>
    </row>
    <row r="5004" spans="1:9" ht="13.5">
      <c r="A5004" s="7"/>
      <c r="B5004" s="3"/>
      <c r="C5004" s="5"/>
      <c r="D5004" s="5"/>
      <c r="E5004" s="5"/>
      <c r="F5004" s="5"/>
      <c r="G5004" s="5"/>
      <c r="H5004" s="5"/>
      <c r="I5004" s="5"/>
    </row>
    <row r="5005" spans="1:9" ht="13.5">
      <c r="A5005" s="7"/>
      <c r="B5005" s="3"/>
      <c r="C5005" s="5"/>
      <c r="D5005" s="5"/>
      <c r="E5005" s="5"/>
      <c r="F5005" s="5"/>
      <c r="G5005" s="5"/>
      <c r="H5005" s="5"/>
      <c r="I5005" s="5"/>
    </row>
    <row r="5006" spans="1:9" ht="13.5">
      <c r="A5006" s="7"/>
      <c r="B5006" s="3"/>
      <c r="C5006" s="5"/>
      <c r="D5006" s="5"/>
      <c r="E5006" s="5"/>
      <c r="F5006" s="5"/>
      <c r="G5006" s="5"/>
      <c r="H5006" s="5"/>
      <c r="I5006" s="5"/>
    </row>
    <row r="5007" spans="1:9" ht="13.5">
      <c r="A5007" s="7"/>
      <c r="B5007" s="3"/>
      <c r="C5007" s="5"/>
      <c r="D5007" s="5"/>
      <c r="E5007" s="5"/>
      <c r="F5007" s="5"/>
      <c r="G5007" s="5"/>
      <c r="H5007" s="5"/>
      <c r="I5007" s="5"/>
    </row>
    <row r="5008" spans="1:9" ht="13.5">
      <c r="A5008" s="7"/>
      <c r="B5008" s="3"/>
      <c r="C5008" s="5"/>
      <c r="D5008" s="5"/>
      <c r="E5008" s="5"/>
      <c r="F5008" s="5"/>
      <c r="G5008" s="5"/>
      <c r="H5008" s="5"/>
      <c r="I5008" s="5"/>
    </row>
    <row r="5009" spans="1:9" ht="13.5">
      <c r="A5009" s="7"/>
      <c r="B5009" s="3"/>
      <c r="C5009" s="5"/>
      <c r="D5009" s="5"/>
      <c r="E5009" s="5"/>
      <c r="F5009" s="5"/>
      <c r="G5009" s="5"/>
      <c r="H5009" s="5"/>
      <c r="I5009" s="5"/>
    </row>
    <row r="5010" spans="1:9" ht="13.5">
      <c r="A5010" s="7"/>
      <c r="B5010" s="3"/>
      <c r="C5010" s="5"/>
      <c r="D5010" s="5"/>
      <c r="E5010" s="5"/>
      <c r="F5010" s="5"/>
      <c r="G5010" s="5"/>
      <c r="H5010" s="5"/>
      <c r="I5010" s="5"/>
    </row>
    <row r="5011" spans="1:9" ht="13.5">
      <c r="A5011" s="7"/>
      <c r="B5011" s="3"/>
      <c r="C5011" s="5"/>
      <c r="D5011" s="5"/>
      <c r="E5011" s="5"/>
      <c r="F5011" s="5"/>
      <c r="G5011" s="5"/>
      <c r="H5011" s="5"/>
      <c r="I5011" s="5"/>
    </row>
    <row r="5012" spans="1:9" ht="13.5">
      <c r="A5012" s="7"/>
      <c r="B5012" s="3"/>
      <c r="C5012" s="5"/>
      <c r="D5012" s="5"/>
      <c r="E5012" s="5"/>
      <c r="F5012" s="5"/>
      <c r="G5012" s="5"/>
      <c r="H5012" s="5"/>
      <c r="I5012" s="5"/>
    </row>
    <row r="5013" spans="1:9" ht="13.5">
      <c r="A5013" s="7"/>
      <c r="B5013" s="3"/>
      <c r="C5013" s="5"/>
      <c r="D5013" s="5"/>
      <c r="E5013" s="5"/>
      <c r="F5013" s="5"/>
      <c r="G5013" s="5"/>
      <c r="H5013" s="5"/>
      <c r="I5013" s="5"/>
    </row>
    <row r="5014" spans="1:9" ht="13.5">
      <c r="A5014" s="7"/>
      <c r="B5014" s="3"/>
      <c r="C5014" s="5"/>
      <c r="D5014" s="5"/>
      <c r="E5014" s="5"/>
      <c r="F5014" s="5"/>
      <c r="G5014" s="5"/>
      <c r="H5014" s="5"/>
      <c r="I5014" s="5"/>
    </row>
    <row r="5015" spans="1:9" ht="13.5">
      <c r="A5015" s="7"/>
      <c r="B5015" s="3"/>
      <c r="C5015" s="5"/>
      <c r="D5015" s="5"/>
      <c r="E5015" s="5"/>
      <c r="F5015" s="5"/>
      <c r="G5015" s="5"/>
      <c r="H5015" s="5"/>
      <c r="I5015" s="5"/>
    </row>
    <row r="5016" spans="1:9" ht="13.5">
      <c r="A5016" s="7"/>
      <c r="B5016" s="3"/>
      <c r="C5016" s="5"/>
      <c r="D5016" s="5"/>
      <c r="E5016" s="5"/>
      <c r="F5016" s="5"/>
      <c r="G5016" s="5"/>
      <c r="H5016" s="5"/>
      <c r="I5016" s="5"/>
    </row>
    <row r="5017" spans="1:9" ht="13.5">
      <c r="A5017" s="7"/>
      <c r="B5017" s="3"/>
      <c r="C5017" s="5"/>
      <c r="D5017" s="5"/>
      <c r="E5017" s="5"/>
      <c r="F5017" s="5"/>
      <c r="G5017" s="5"/>
      <c r="H5017" s="5"/>
      <c r="I5017" s="5"/>
    </row>
    <row r="5018" spans="1:9" ht="13.5">
      <c r="A5018" s="7"/>
      <c r="B5018" s="3"/>
      <c r="C5018" s="5"/>
      <c r="D5018" s="5"/>
      <c r="E5018" s="5"/>
      <c r="F5018" s="5"/>
      <c r="G5018" s="5"/>
      <c r="H5018" s="5"/>
      <c r="I5018" s="5"/>
    </row>
    <row r="5019" spans="1:9" ht="13.5">
      <c r="A5019" s="7"/>
      <c r="B5019" s="3"/>
      <c r="C5019" s="5"/>
      <c r="D5019" s="5"/>
      <c r="E5019" s="5"/>
      <c r="F5019" s="5"/>
      <c r="G5019" s="5"/>
      <c r="H5019" s="5"/>
      <c r="I5019" s="5"/>
    </row>
    <row r="5020" spans="1:9" ht="13.5">
      <c r="A5020" s="7"/>
      <c r="B5020" s="3"/>
      <c r="C5020" s="5"/>
      <c r="D5020" s="5"/>
      <c r="E5020" s="5"/>
      <c r="F5020" s="5"/>
      <c r="G5020" s="5"/>
      <c r="H5020" s="5"/>
      <c r="I5020" s="5"/>
    </row>
    <row r="5021" spans="1:9" ht="13.5">
      <c r="A5021" s="7"/>
      <c r="B5021" s="3"/>
      <c r="C5021" s="5"/>
      <c r="D5021" s="5"/>
      <c r="E5021" s="5"/>
      <c r="F5021" s="5"/>
      <c r="G5021" s="5"/>
      <c r="H5021" s="5"/>
      <c r="I5021" s="5"/>
    </row>
    <row r="5022" spans="1:9" ht="13.5">
      <c r="A5022" s="7"/>
      <c r="B5022" s="3"/>
      <c r="C5022" s="5"/>
      <c r="D5022" s="5"/>
      <c r="E5022" s="5"/>
      <c r="F5022" s="5"/>
      <c r="G5022" s="5"/>
      <c r="H5022" s="5"/>
      <c r="I5022" s="5"/>
    </row>
    <row r="5023" spans="1:9" ht="13.5">
      <c r="A5023" s="7"/>
      <c r="B5023" s="3"/>
      <c r="C5023" s="5"/>
      <c r="D5023" s="5"/>
      <c r="E5023" s="5"/>
      <c r="F5023" s="5"/>
      <c r="G5023" s="5"/>
      <c r="H5023" s="5"/>
      <c r="I5023" s="5"/>
    </row>
    <row r="5024" spans="1:9" ht="13.5">
      <c r="A5024" s="7"/>
      <c r="B5024" s="3"/>
      <c r="C5024" s="5"/>
      <c r="D5024" s="5"/>
      <c r="E5024" s="5"/>
      <c r="F5024" s="5"/>
      <c r="G5024" s="5"/>
      <c r="H5024" s="5"/>
      <c r="I5024" s="5"/>
    </row>
    <row r="5025" spans="1:9" ht="13.5">
      <c r="A5025" s="7"/>
      <c r="B5025" s="3"/>
      <c r="C5025" s="5"/>
      <c r="D5025" s="5"/>
      <c r="E5025" s="5"/>
      <c r="F5025" s="5"/>
      <c r="G5025" s="5"/>
      <c r="H5025" s="5"/>
      <c r="I5025" s="5"/>
    </row>
    <row r="5026" spans="1:9" ht="13.5">
      <c r="A5026" s="7"/>
      <c r="B5026" s="3"/>
      <c r="C5026" s="5"/>
      <c r="D5026" s="5"/>
      <c r="E5026" s="5"/>
      <c r="F5026" s="5"/>
      <c r="G5026" s="5"/>
      <c r="H5026" s="5"/>
      <c r="I5026" s="5"/>
    </row>
    <row r="5027" spans="1:9" ht="13.5">
      <c r="A5027" s="7"/>
      <c r="B5027" s="3"/>
      <c r="C5027" s="5"/>
      <c r="D5027" s="5"/>
      <c r="E5027" s="5"/>
      <c r="F5027" s="5"/>
      <c r="G5027" s="5"/>
      <c r="H5027" s="5"/>
      <c r="I5027" s="5"/>
    </row>
    <row r="5028" spans="1:9" ht="13.5">
      <c r="A5028" s="7"/>
      <c r="B5028" s="3"/>
      <c r="C5028" s="5"/>
      <c r="D5028" s="5"/>
      <c r="E5028" s="5"/>
      <c r="F5028" s="5"/>
      <c r="G5028" s="5"/>
      <c r="H5028" s="5"/>
      <c r="I5028" s="5"/>
    </row>
    <row r="5029" spans="1:9" ht="13.5">
      <c r="A5029" s="7"/>
      <c r="B5029" s="3"/>
      <c r="C5029" s="5"/>
      <c r="D5029" s="5"/>
      <c r="E5029" s="5"/>
      <c r="F5029" s="5"/>
      <c r="G5029" s="5"/>
      <c r="H5029" s="5"/>
      <c r="I5029" s="5"/>
    </row>
    <row r="5030" spans="1:9" ht="13.5">
      <c r="A5030" s="7"/>
      <c r="B5030" s="3"/>
      <c r="C5030" s="5"/>
      <c r="D5030" s="5"/>
      <c r="E5030" s="5"/>
      <c r="F5030" s="5"/>
      <c r="G5030" s="5"/>
      <c r="H5030" s="5"/>
      <c r="I5030" s="5"/>
    </row>
    <row r="5031" spans="1:9" ht="13.5">
      <c r="A5031" s="7"/>
      <c r="B5031" s="3"/>
      <c r="C5031" s="5"/>
      <c r="D5031" s="5"/>
      <c r="E5031" s="5"/>
      <c r="F5031" s="5"/>
      <c r="G5031" s="5"/>
      <c r="H5031" s="5"/>
      <c r="I5031" s="5"/>
    </row>
    <row r="5032" spans="1:9" ht="13.5">
      <c r="A5032" s="7"/>
      <c r="B5032" s="3"/>
      <c r="C5032" s="5"/>
      <c r="D5032" s="5"/>
      <c r="E5032" s="5"/>
      <c r="F5032" s="5"/>
      <c r="G5032" s="5"/>
      <c r="H5032" s="5"/>
      <c r="I5032" s="5"/>
    </row>
    <row r="5033" spans="1:9" ht="13.5">
      <c r="A5033" s="7"/>
      <c r="B5033" s="3"/>
      <c r="C5033" s="5"/>
      <c r="D5033" s="5"/>
      <c r="E5033" s="5"/>
      <c r="F5033" s="5"/>
      <c r="G5033" s="5"/>
      <c r="H5033" s="5"/>
      <c r="I5033" s="5"/>
    </row>
    <row r="5034" spans="1:9" ht="13.5">
      <c r="A5034" s="7"/>
      <c r="B5034" s="3"/>
      <c r="C5034" s="5"/>
      <c r="D5034" s="5"/>
      <c r="E5034" s="5"/>
      <c r="F5034" s="5"/>
      <c r="G5034" s="5"/>
      <c r="H5034" s="5"/>
      <c r="I5034" s="5"/>
    </row>
    <row r="5035" spans="1:9" ht="13.5">
      <c r="A5035" s="7"/>
      <c r="B5035" s="3"/>
      <c r="C5035" s="5"/>
      <c r="D5035" s="5"/>
      <c r="E5035" s="5"/>
      <c r="F5035" s="5"/>
      <c r="G5035" s="5"/>
      <c r="H5035" s="5"/>
      <c r="I5035" s="5"/>
    </row>
    <row r="5036" spans="1:9" ht="13.5">
      <c r="A5036" s="7"/>
      <c r="B5036" s="3"/>
      <c r="C5036" s="5"/>
      <c r="D5036" s="5"/>
      <c r="E5036" s="5"/>
      <c r="F5036" s="5"/>
      <c r="G5036" s="5"/>
      <c r="H5036" s="5"/>
      <c r="I5036" s="5"/>
    </row>
    <row r="5037" spans="1:9" ht="13.5">
      <c r="A5037" s="7"/>
      <c r="B5037" s="3"/>
      <c r="C5037" s="5"/>
      <c r="D5037" s="5"/>
      <c r="E5037" s="5"/>
      <c r="F5037" s="5"/>
      <c r="G5037" s="5"/>
      <c r="H5037" s="5"/>
      <c r="I5037" s="5"/>
    </row>
    <row r="5038" spans="1:9" ht="13.5">
      <c r="A5038" s="7"/>
      <c r="B5038" s="3"/>
      <c r="C5038" s="5"/>
      <c r="D5038" s="5"/>
      <c r="E5038" s="5"/>
      <c r="F5038" s="5"/>
      <c r="G5038" s="5"/>
      <c r="H5038" s="5"/>
      <c r="I5038" s="5"/>
    </row>
    <row r="5039" spans="1:9" ht="13.5">
      <c r="A5039" s="7"/>
      <c r="B5039" s="3"/>
      <c r="C5039" s="5"/>
      <c r="D5039" s="5"/>
      <c r="E5039" s="5"/>
      <c r="F5039" s="5"/>
      <c r="G5039" s="5"/>
      <c r="H5039" s="5"/>
      <c r="I5039" s="5"/>
    </row>
    <row r="5040" spans="1:9" ht="13.5">
      <c r="A5040" s="7"/>
      <c r="B5040" s="3"/>
      <c r="C5040" s="5"/>
      <c r="D5040" s="5"/>
      <c r="E5040" s="5"/>
      <c r="F5040" s="5"/>
      <c r="G5040" s="5"/>
      <c r="H5040" s="5"/>
      <c r="I5040" s="5"/>
    </row>
    <row r="5041" spans="1:9" ht="13.5">
      <c r="A5041" s="7"/>
      <c r="B5041" s="3"/>
      <c r="C5041" s="5"/>
      <c r="D5041" s="5"/>
      <c r="E5041" s="5"/>
      <c r="F5041" s="5"/>
      <c r="G5041" s="5"/>
      <c r="H5041" s="5"/>
      <c r="I5041" s="5"/>
    </row>
    <row r="5042" spans="1:9" ht="13.5">
      <c r="A5042" s="7"/>
      <c r="B5042" s="3"/>
      <c r="C5042" s="5"/>
      <c r="D5042" s="5"/>
      <c r="E5042" s="5"/>
      <c r="F5042" s="5"/>
      <c r="G5042" s="5"/>
      <c r="H5042" s="5"/>
      <c r="I5042" s="5"/>
    </row>
    <row r="5043" spans="1:9" ht="13.5">
      <c r="A5043" s="7"/>
      <c r="B5043" s="3"/>
      <c r="C5043" s="5"/>
      <c r="D5043" s="5"/>
      <c r="E5043" s="5"/>
      <c r="F5043" s="5"/>
      <c r="G5043" s="5"/>
      <c r="H5043" s="5"/>
      <c r="I5043" s="5"/>
    </row>
    <row r="5044" spans="1:9" ht="13.5">
      <c r="A5044" s="7"/>
      <c r="B5044" s="3"/>
      <c r="C5044" s="5"/>
      <c r="D5044" s="5"/>
      <c r="E5044" s="5"/>
      <c r="F5044" s="5"/>
      <c r="G5044" s="5"/>
      <c r="H5044" s="5"/>
      <c r="I5044" s="5"/>
    </row>
    <row r="5045" spans="1:9" ht="13.5">
      <c r="A5045" s="7"/>
      <c r="B5045" s="3"/>
      <c r="C5045" s="5"/>
      <c r="D5045" s="5"/>
      <c r="E5045" s="5"/>
      <c r="F5045" s="5"/>
      <c r="G5045" s="5"/>
      <c r="H5045" s="5"/>
      <c r="I5045" s="5"/>
    </row>
    <row r="5046" spans="1:9" ht="13.5">
      <c r="A5046" s="7"/>
      <c r="B5046" s="3"/>
      <c r="C5046" s="5"/>
      <c r="D5046" s="5"/>
      <c r="E5046" s="5"/>
      <c r="F5046" s="5"/>
      <c r="G5046" s="5"/>
      <c r="H5046" s="5"/>
      <c r="I5046" s="5"/>
    </row>
    <row r="5047" spans="1:9" ht="13.5">
      <c r="A5047" s="7"/>
      <c r="B5047" s="3"/>
      <c r="C5047" s="5"/>
      <c r="D5047" s="5"/>
      <c r="E5047" s="5"/>
      <c r="F5047" s="5"/>
      <c r="G5047" s="5"/>
      <c r="H5047" s="5"/>
      <c r="I5047" s="5"/>
    </row>
    <row r="5048" spans="1:9" ht="13.5">
      <c r="A5048" s="7"/>
      <c r="B5048" s="3"/>
      <c r="C5048" s="5"/>
      <c r="D5048" s="5"/>
      <c r="E5048" s="5"/>
      <c r="F5048" s="5"/>
      <c r="G5048" s="5"/>
      <c r="H5048" s="5"/>
      <c r="I5048" s="5"/>
    </row>
    <row r="5049" spans="1:9" ht="13.5">
      <c r="A5049" s="7"/>
      <c r="B5049" s="3"/>
      <c r="C5049" s="5"/>
      <c r="D5049" s="5"/>
      <c r="E5049" s="5"/>
      <c r="F5049" s="5"/>
      <c r="G5049" s="5"/>
      <c r="H5049" s="5"/>
      <c r="I5049" s="5"/>
    </row>
    <row r="5050" spans="1:9" ht="13.5">
      <c r="A5050" s="7"/>
      <c r="B5050" s="3"/>
      <c r="C5050" s="5"/>
      <c r="D5050" s="5"/>
      <c r="E5050" s="5"/>
      <c r="F5050" s="5"/>
      <c r="G5050" s="5"/>
      <c r="H5050" s="5"/>
      <c r="I5050" s="5"/>
    </row>
    <row r="5051" spans="1:9" ht="13.5">
      <c r="A5051" s="7"/>
      <c r="B5051" s="3"/>
      <c r="C5051" s="5"/>
      <c r="D5051" s="5"/>
      <c r="E5051" s="5"/>
      <c r="F5051" s="5"/>
      <c r="G5051" s="5"/>
      <c r="H5051" s="5"/>
      <c r="I5051" s="5"/>
    </row>
    <row r="5052" spans="1:9" ht="13.5">
      <c r="A5052" s="7"/>
      <c r="B5052" s="3"/>
      <c r="C5052" s="5"/>
      <c r="D5052" s="5"/>
      <c r="E5052" s="5"/>
      <c r="F5052" s="5"/>
      <c r="G5052" s="5"/>
      <c r="H5052" s="5"/>
      <c r="I5052" s="5"/>
    </row>
    <row r="5053" spans="1:9" ht="13.5">
      <c r="A5053" s="7"/>
      <c r="B5053" s="3"/>
      <c r="C5053" s="5"/>
      <c r="D5053" s="5"/>
      <c r="E5053" s="5"/>
      <c r="F5053" s="5"/>
      <c r="G5053" s="5"/>
      <c r="H5053" s="5"/>
      <c r="I5053" s="5"/>
    </row>
    <row r="5054" spans="1:9" ht="13.5">
      <c r="A5054" s="7"/>
      <c r="B5054" s="3"/>
      <c r="C5054" s="5"/>
      <c r="D5054" s="5"/>
      <c r="E5054" s="5"/>
      <c r="F5054" s="5"/>
      <c r="G5054" s="5"/>
      <c r="H5054" s="5"/>
      <c r="I5054" s="5"/>
    </row>
    <row r="5055" spans="1:9" ht="13.5">
      <c r="A5055" s="7"/>
      <c r="B5055" s="3"/>
      <c r="C5055" s="5"/>
      <c r="D5055" s="5"/>
      <c r="E5055" s="5"/>
      <c r="F5055" s="5"/>
      <c r="G5055" s="5"/>
      <c r="H5055" s="5"/>
      <c r="I5055" s="5"/>
    </row>
    <row r="5056" spans="1:9" ht="13.5">
      <c r="A5056" s="7"/>
      <c r="B5056" s="3"/>
      <c r="C5056" s="5"/>
      <c r="D5056" s="5"/>
      <c r="E5056" s="5"/>
      <c r="F5056" s="5"/>
      <c r="G5056" s="5"/>
      <c r="H5056" s="5"/>
      <c r="I5056" s="5"/>
    </row>
    <row r="5057" spans="1:9" ht="13.5">
      <c r="A5057" s="7"/>
      <c r="B5057" s="3"/>
      <c r="C5057" s="5"/>
      <c r="D5057" s="5"/>
      <c r="E5057" s="5"/>
      <c r="F5057" s="5"/>
      <c r="G5057" s="5"/>
      <c r="H5057" s="5"/>
      <c r="I5057" s="5"/>
    </row>
    <row r="5058" spans="1:9" ht="13.5">
      <c r="A5058" s="7"/>
      <c r="B5058" s="3"/>
      <c r="C5058" s="5"/>
      <c r="D5058" s="5"/>
      <c r="E5058" s="5"/>
      <c r="F5058" s="5"/>
      <c r="G5058" s="5"/>
      <c r="H5058" s="5"/>
      <c r="I5058" s="5"/>
    </row>
    <row r="5059" spans="1:9" ht="13.5">
      <c r="A5059" s="7"/>
      <c r="B5059" s="3"/>
      <c r="C5059" s="5"/>
      <c r="D5059" s="5"/>
      <c r="E5059" s="5"/>
      <c r="F5059" s="5"/>
      <c r="G5059" s="5"/>
      <c r="H5059" s="5"/>
      <c r="I5059" s="5"/>
    </row>
    <row r="5060" spans="1:9" ht="13.5">
      <c r="A5060" s="7"/>
      <c r="B5060" s="3"/>
      <c r="C5060" s="5"/>
      <c r="D5060" s="5"/>
      <c r="E5060" s="5"/>
      <c r="F5060" s="5"/>
      <c r="G5060" s="5"/>
      <c r="H5060" s="5"/>
      <c r="I5060" s="5"/>
    </row>
    <row r="5061" spans="1:9" ht="13.5">
      <c r="A5061" s="7"/>
      <c r="B5061" s="3"/>
      <c r="C5061" s="5"/>
      <c r="D5061" s="5"/>
      <c r="E5061" s="5"/>
      <c r="F5061" s="5"/>
      <c r="G5061" s="5"/>
      <c r="H5061" s="5"/>
      <c r="I5061" s="5"/>
    </row>
    <row r="5062" spans="1:9" ht="13.5">
      <c r="A5062" s="7"/>
      <c r="B5062" s="3"/>
      <c r="C5062" s="5"/>
      <c r="D5062" s="5"/>
      <c r="E5062" s="5"/>
      <c r="F5062" s="5"/>
      <c r="G5062" s="5"/>
      <c r="H5062" s="5"/>
      <c r="I5062" s="5"/>
    </row>
    <row r="5063" spans="1:9" ht="13.5">
      <c r="A5063" s="7"/>
      <c r="B5063" s="3"/>
      <c r="C5063" s="5"/>
      <c r="D5063" s="5"/>
      <c r="E5063" s="5"/>
      <c r="F5063" s="5"/>
      <c r="G5063" s="5"/>
      <c r="H5063" s="5"/>
      <c r="I5063" s="5"/>
    </row>
    <row r="5064" spans="1:9" ht="13.5">
      <c r="A5064" s="7"/>
      <c r="B5064" s="3"/>
      <c r="C5064" s="5"/>
      <c r="D5064" s="5"/>
      <c r="E5064" s="5"/>
      <c r="F5064" s="5"/>
      <c r="G5064" s="5"/>
      <c r="H5064" s="5"/>
      <c r="I5064" s="5"/>
    </row>
    <row r="5065" spans="1:9" ht="13.5">
      <c r="A5065" s="7"/>
      <c r="B5065" s="3"/>
      <c r="C5065" s="5"/>
      <c r="D5065" s="5"/>
      <c r="E5065" s="5"/>
      <c r="F5065" s="5"/>
      <c r="G5065" s="5"/>
      <c r="H5065" s="5"/>
      <c r="I5065" s="5"/>
    </row>
    <row r="5066" spans="1:9" ht="13.5">
      <c r="A5066" s="7"/>
      <c r="B5066" s="3"/>
      <c r="C5066" s="5"/>
      <c r="D5066" s="5"/>
      <c r="E5066" s="5"/>
      <c r="F5066" s="5"/>
      <c r="G5066" s="5"/>
      <c r="H5066" s="5"/>
      <c r="I5066" s="5"/>
    </row>
    <row r="5067" spans="1:9" ht="13.5">
      <c r="A5067" s="7"/>
      <c r="B5067" s="3"/>
      <c r="C5067" s="5"/>
      <c r="D5067" s="5"/>
      <c r="E5067" s="5"/>
      <c r="F5067" s="5"/>
      <c r="G5067" s="5"/>
      <c r="H5067" s="5"/>
      <c r="I5067" s="5"/>
    </row>
    <row r="5068" spans="1:9" ht="13.5">
      <c r="A5068" s="7"/>
      <c r="B5068" s="3"/>
      <c r="C5068" s="5"/>
      <c r="D5068" s="5"/>
      <c r="E5068" s="5"/>
      <c r="F5068" s="5"/>
      <c r="G5068" s="5"/>
      <c r="H5068" s="5"/>
      <c r="I5068" s="5"/>
    </row>
    <row r="5069" spans="1:9" ht="13.5">
      <c r="A5069" s="7"/>
      <c r="B5069" s="3"/>
      <c r="C5069" s="5"/>
      <c r="D5069" s="5"/>
      <c r="E5069" s="5"/>
      <c r="F5069" s="5"/>
      <c r="G5069" s="5"/>
      <c r="H5069" s="5"/>
      <c r="I5069" s="5"/>
    </row>
    <row r="5070" spans="1:9" ht="13.5">
      <c r="A5070" s="7"/>
      <c r="B5070" s="3"/>
      <c r="C5070" s="5"/>
      <c r="D5070" s="5"/>
      <c r="E5070" s="5"/>
      <c r="F5070" s="5"/>
      <c r="G5070" s="5"/>
      <c r="H5070" s="5"/>
      <c r="I5070" s="5"/>
    </row>
    <row r="5071" spans="1:9" ht="13.5">
      <c r="A5071" s="7"/>
      <c r="B5071" s="3"/>
      <c r="C5071" s="5"/>
      <c r="D5071" s="5"/>
      <c r="E5071" s="5"/>
      <c r="F5071" s="5"/>
      <c r="G5071" s="5"/>
      <c r="H5071" s="5"/>
      <c r="I5071" s="5"/>
    </row>
    <row r="5072" spans="1:9" ht="13.5">
      <c r="A5072" s="7"/>
      <c r="B5072" s="3"/>
      <c r="C5072" s="5"/>
      <c r="D5072" s="5"/>
      <c r="E5072" s="5"/>
      <c r="F5072" s="5"/>
      <c r="G5072" s="5"/>
      <c r="H5072" s="5"/>
      <c r="I5072" s="5"/>
    </row>
    <row r="5073" spans="1:9" ht="13.5">
      <c r="A5073" s="7"/>
      <c r="B5073" s="3"/>
      <c r="C5073" s="5"/>
      <c r="D5073" s="5"/>
      <c r="E5073" s="5"/>
      <c r="F5073" s="5"/>
      <c r="G5073" s="5"/>
      <c r="H5073" s="5"/>
      <c r="I5073" s="5"/>
    </row>
    <row r="5074" spans="1:9" ht="13.5">
      <c r="A5074" s="7"/>
      <c r="B5074" s="3"/>
      <c r="C5074" s="5"/>
      <c r="D5074" s="5"/>
      <c r="E5074" s="5"/>
      <c r="F5074" s="5"/>
      <c r="G5074" s="5"/>
      <c r="H5074" s="5"/>
      <c r="I5074" s="5"/>
    </row>
    <row r="5075" spans="1:9" ht="13.5">
      <c r="A5075" s="7"/>
      <c r="B5075" s="3"/>
      <c r="C5075" s="5"/>
      <c r="D5075" s="5"/>
      <c r="E5075" s="5"/>
      <c r="F5075" s="5"/>
      <c r="G5075" s="5"/>
      <c r="H5075" s="5"/>
      <c r="I5075" s="5"/>
    </row>
    <row r="5076" spans="1:9" ht="13.5">
      <c r="A5076" s="7"/>
      <c r="B5076" s="3"/>
      <c r="C5076" s="5"/>
      <c r="D5076" s="5"/>
      <c r="E5076" s="5"/>
      <c r="F5076" s="5"/>
      <c r="G5076" s="5"/>
      <c r="H5076" s="5"/>
      <c r="I5076" s="5"/>
    </row>
    <row r="5077" spans="1:9" ht="13.5">
      <c r="A5077" s="7"/>
      <c r="B5077" s="3"/>
      <c r="C5077" s="5"/>
      <c r="D5077" s="5"/>
      <c r="E5077" s="5"/>
      <c r="F5077" s="5"/>
      <c r="G5077" s="5"/>
      <c r="H5077" s="5"/>
      <c r="I5077" s="5"/>
    </row>
    <row r="5078" spans="1:9" ht="13.5">
      <c r="A5078" s="7"/>
      <c r="B5078" s="3"/>
      <c r="C5078" s="5"/>
      <c r="D5078" s="5"/>
      <c r="E5078" s="5"/>
      <c r="F5078" s="5"/>
      <c r="G5078" s="5"/>
      <c r="H5078" s="5"/>
      <c r="I5078" s="5"/>
    </row>
    <row r="5079" spans="1:9" ht="13.5">
      <c r="A5079" s="7"/>
      <c r="B5079" s="3"/>
      <c r="C5079" s="5"/>
      <c r="D5079" s="5"/>
      <c r="E5079" s="5"/>
      <c r="F5079" s="5"/>
      <c r="G5079" s="5"/>
      <c r="H5079" s="5"/>
      <c r="I5079" s="5"/>
    </row>
    <row r="5080" spans="1:9" ht="13.5">
      <c r="A5080" s="7"/>
      <c r="B5080" s="3"/>
      <c r="C5080" s="5"/>
      <c r="D5080" s="5"/>
      <c r="E5080" s="5"/>
      <c r="F5080" s="5"/>
      <c r="G5080" s="5"/>
      <c r="H5080" s="5"/>
      <c r="I5080" s="5"/>
    </row>
    <row r="5081" spans="1:9" ht="13.5">
      <c r="A5081" s="7"/>
      <c r="B5081" s="3"/>
      <c r="C5081" s="5"/>
      <c r="D5081" s="5"/>
      <c r="E5081" s="5"/>
      <c r="F5081" s="5"/>
      <c r="G5081" s="5"/>
      <c r="H5081" s="5"/>
      <c r="I5081" s="5"/>
    </row>
    <row r="5082" spans="1:9" ht="13.5">
      <c r="A5082" s="7"/>
      <c r="B5082" s="3"/>
      <c r="C5082" s="5"/>
      <c r="D5082" s="5"/>
      <c r="E5082" s="5"/>
      <c r="F5082" s="5"/>
      <c r="G5082" s="5"/>
      <c r="H5082" s="5"/>
      <c r="I5082" s="5"/>
    </row>
    <row r="5083" spans="1:9" ht="13.5">
      <c r="A5083" s="7"/>
      <c r="B5083" s="3"/>
      <c r="C5083" s="5"/>
      <c r="D5083" s="5"/>
      <c r="E5083" s="5"/>
      <c r="F5083" s="5"/>
      <c r="G5083" s="5"/>
      <c r="H5083" s="5"/>
      <c r="I5083" s="5"/>
    </row>
    <row r="5084" spans="1:9" ht="13.5">
      <c r="A5084" s="7"/>
      <c r="B5084" s="3"/>
      <c r="C5084" s="5"/>
      <c r="D5084" s="5"/>
      <c r="E5084" s="5"/>
      <c r="F5084" s="5"/>
      <c r="G5084" s="5"/>
      <c r="H5084" s="5"/>
      <c r="I5084" s="5"/>
    </row>
    <row r="5085" spans="1:9" ht="13.5">
      <c r="A5085" s="7"/>
      <c r="B5085" s="3"/>
      <c r="C5085" s="5"/>
      <c r="D5085" s="5"/>
      <c r="E5085" s="5"/>
      <c r="F5085" s="5"/>
      <c r="G5085" s="5"/>
      <c r="H5085" s="5"/>
      <c r="I5085" s="5"/>
    </row>
    <row r="5086" spans="1:9" ht="13.5">
      <c r="A5086" s="7"/>
      <c r="B5086" s="3"/>
      <c r="C5086" s="5"/>
      <c r="D5086" s="5"/>
      <c r="E5086" s="5"/>
      <c r="F5086" s="5"/>
      <c r="G5086" s="5"/>
      <c r="H5086" s="5"/>
      <c r="I5086" s="5"/>
    </row>
    <row r="5087" spans="1:9" ht="13.5">
      <c r="A5087" s="7"/>
      <c r="B5087" s="3"/>
      <c r="C5087" s="5"/>
      <c r="D5087" s="5"/>
      <c r="E5087" s="5"/>
      <c r="F5087" s="5"/>
      <c r="G5087" s="5"/>
      <c r="H5087" s="5"/>
      <c r="I5087" s="5"/>
    </row>
    <row r="5088" spans="1:9" ht="13.5">
      <c r="A5088" s="7"/>
      <c r="B5088" s="3"/>
      <c r="C5088" s="5"/>
      <c r="D5088" s="5"/>
      <c r="E5088" s="5"/>
      <c r="F5088" s="5"/>
      <c r="G5088" s="5"/>
      <c r="H5088" s="5"/>
      <c r="I5088" s="5"/>
    </row>
    <row r="5089" spans="1:9" ht="13.5">
      <c r="A5089" s="7"/>
      <c r="B5089" s="3"/>
      <c r="C5089" s="5"/>
      <c r="D5089" s="5"/>
      <c r="E5089" s="5"/>
      <c r="F5089" s="5"/>
      <c r="G5089" s="5"/>
      <c r="H5089" s="5"/>
      <c r="I5089" s="5"/>
    </row>
    <row r="5090" spans="1:9" ht="13.5">
      <c r="A5090" s="7"/>
      <c r="B5090" s="3"/>
      <c r="C5090" s="5"/>
      <c r="D5090" s="5"/>
      <c r="E5090" s="5"/>
      <c r="F5090" s="5"/>
      <c r="G5090" s="5"/>
      <c r="H5090" s="5"/>
      <c r="I5090" s="5"/>
    </row>
    <row r="5091" spans="1:9" ht="13.5">
      <c r="A5091" s="7"/>
      <c r="B5091" s="3"/>
      <c r="C5091" s="5"/>
      <c r="D5091" s="5"/>
      <c r="E5091" s="5"/>
      <c r="F5091" s="5"/>
      <c r="G5091" s="5"/>
      <c r="H5091" s="5"/>
      <c r="I5091" s="5"/>
    </row>
    <row r="5092" spans="1:9" ht="13.5">
      <c r="A5092" s="7"/>
      <c r="B5092" s="3"/>
      <c r="C5092" s="5"/>
      <c r="D5092" s="5"/>
      <c r="E5092" s="5"/>
      <c r="F5092" s="5"/>
      <c r="G5092" s="5"/>
      <c r="H5092" s="5"/>
      <c r="I5092" s="5"/>
    </row>
    <row r="5093" spans="1:9" ht="13.5">
      <c r="A5093" s="7"/>
      <c r="B5093" s="3"/>
      <c r="C5093" s="5"/>
      <c r="D5093" s="5"/>
      <c r="E5093" s="5"/>
      <c r="F5093" s="5"/>
      <c r="G5093" s="5"/>
      <c r="H5093" s="5"/>
      <c r="I5093" s="5"/>
    </row>
    <row r="5094" spans="1:9" ht="13.5">
      <c r="A5094" s="7"/>
      <c r="B5094" s="3"/>
      <c r="C5094" s="5"/>
      <c r="D5094" s="5"/>
      <c r="E5094" s="5"/>
      <c r="F5094" s="5"/>
      <c r="G5094" s="5"/>
      <c r="H5094" s="5"/>
      <c r="I5094" s="5"/>
    </row>
    <row r="5095" spans="1:9" ht="13.5">
      <c r="A5095" s="7"/>
      <c r="B5095" s="3"/>
      <c r="C5095" s="5"/>
      <c r="D5095" s="5"/>
      <c r="E5095" s="5"/>
      <c r="F5095" s="5"/>
      <c r="G5095" s="5"/>
      <c r="H5095" s="5"/>
      <c r="I5095" s="5"/>
    </row>
    <row r="5096" spans="1:9" ht="13.5">
      <c r="A5096" s="7"/>
      <c r="B5096" s="3"/>
      <c r="C5096" s="5"/>
      <c r="D5096" s="5"/>
      <c r="E5096" s="5"/>
      <c r="F5096" s="5"/>
      <c r="G5096" s="5"/>
      <c r="H5096" s="5"/>
      <c r="I5096" s="5"/>
    </row>
    <row r="5097" spans="1:9" ht="13.5">
      <c r="A5097" s="7"/>
      <c r="B5097" s="3"/>
      <c r="C5097" s="5"/>
      <c r="D5097" s="5"/>
      <c r="E5097" s="5"/>
      <c r="F5097" s="5"/>
      <c r="G5097" s="5"/>
      <c r="H5097" s="5"/>
      <c r="I5097" s="5"/>
    </row>
    <row r="5098" spans="1:9" ht="13.5">
      <c r="A5098" s="7"/>
      <c r="B5098" s="3"/>
      <c r="C5098" s="5"/>
      <c r="D5098" s="5"/>
      <c r="E5098" s="5"/>
      <c r="F5098" s="5"/>
      <c r="G5098" s="5"/>
      <c r="H5098" s="5"/>
      <c r="I5098" s="5"/>
    </row>
    <row r="5099" spans="1:9" ht="13.5">
      <c r="A5099" s="7"/>
      <c r="B5099" s="3"/>
      <c r="C5099" s="5"/>
      <c r="D5099" s="5"/>
      <c r="E5099" s="5"/>
      <c r="F5099" s="5"/>
      <c r="G5099" s="5"/>
      <c r="H5099" s="5"/>
      <c r="I5099" s="5"/>
    </row>
    <row r="5100" spans="1:9" ht="13.5">
      <c r="A5100" s="7"/>
      <c r="B5100" s="3"/>
      <c r="C5100" s="5"/>
      <c r="D5100" s="5"/>
      <c r="E5100" s="5"/>
      <c r="F5100" s="5"/>
      <c r="G5100" s="5"/>
      <c r="H5100" s="5"/>
      <c r="I5100" s="5"/>
    </row>
    <row r="5101" spans="1:9" ht="13.5">
      <c r="A5101" s="7"/>
      <c r="B5101" s="3"/>
      <c r="C5101" s="5"/>
      <c r="D5101" s="5"/>
      <c r="E5101" s="5"/>
      <c r="F5101" s="5"/>
      <c r="G5101" s="5"/>
      <c r="H5101" s="5"/>
      <c r="I5101" s="5"/>
    </row>
    <row r="5102" spans="1:9" ht="13.5">
      <c r="A5102" s="7"/>
      <c r="B5102" s="3"/>
      <c r="C5102" s="5"/>
      <c r="D5102" s="5"/>
      <c r="E5102" s="5"/>
      <c r="F5102" s="5"/>
      <c r="G5102" s="5"/>
      <c r="H5102" s="5"/>
      <c r="I5102" s="5"/>
    </row>
    <row r="5103" spans="1:9" ht="13.5">
      <c r="A5103" s="7"/>
      <c r="B5103" s="3"/>
      <c r="C5103" s="5"/>
      <c r="D5103" s="5"/>
      <c r="E5103" s="5"/>
      <c r="F5103" s="5"/>
      <c r="G5103" s="5"/>
      <c r="H5103" s="5"/>
      <c r="I5103" s="5"/>
    </row>
    <row r="5104" spans="1:9" ht="13.5">
      <c r="A5104" s="7"/>
      <c r="B5104" s="3"/>
      <c r="C5104" s="5"/>
      <c r="D5104" s="5"/>
      <c r="E5104" s="5"/>
      <c r="F5104" s="5"/>
      <c r="G5104" s="5"/>
      <c r="H5104" s="5"/>
      <c r="I5104" s="5"/>
    </row>
    <row r="5105" spans="1:9" ht="13.5">
      <c r="A5105" s="7"/>
      <c r="B5105" s="3"/>
      <c r="C5105" s="5"/>
      <c r="D5105" s="5"/>
      <c r="E5105" s="5"/>
      <c r="F5105" s="5"/>
      <c r="G5105" s="5"/>
      <c r="H5105" s="5"/>
      <c r="I5105" s="5"/>
    </row>
    <row r="5106" spans="1:9" ht="13.5">
      <c r="A5106" s="7"/>
      <c r="B5106" s="3"/>
      <c r="C5106" s="5"/>
      <c r="D5106" s="5"/>
      <c r="E5106" s="5"/>
      <c r="F5106" s="5"/>
      <c r="G5106" s="5"/>
      <c r="H5106" s="5"/>
      <c r="I5106" s="5"/>
    </row>
    <row r="5107" spans="1:9" ht="13.5">
      <c r="A5107" s="7"/>
      <c r="B5107" s="3"/>
      <c r="C5107" s="5"/>
      <c r="D5107" s="5"/>
      <c r="E5107" s="5"/>
      <c r="F5107" s="5"/>
      <c r="G5107" s="5"/>
      <c r="H5107" s="5"/>
      <c r="I5107" s="5"/>
    </row>
    <row r="5108" spans="1:9" ht="13.5">
      <c r="A5108" s="7"/>
      <c r="B5108" s="3"/>
      <c r="C5108" s="5"/>
      <c r="D5108" s="5"/>
      <c r="E5108" s="5"/>
      <c r="F5108" s="5"/>
      <c r="G5108" s="5"/>
      <c r="H5108" s="5"/>
      <c r="I5108" s="5"/>
    </row>
    <row r="5109" spans="1:9" ht="13.5">
      <c r="A5109" s="7"/>
      <c r="B5109" s="3"/>
      <c r="C5109" s="5"/>
      <c r="D5109" s="5"/>
      <c r="E5109" s="5"/>
      <c r="F5109" s="5"/>
      <c r="G5109" s="5"/>
      <c r="H5109" s="5"/>
      <c r="I5109" s="5"/>
    </row>
    <row r="5110" spans="1:9" ht="13.5">
      <c r="A5110" s="7"/>
      <c r="B5110" s="3"/>
      <c r="C5110" s="5"/>
      <c r="D5110" s="5"/>
      <c r="E5110" s="5"/>
      <c r="F5110" s="5"/>
      <c r="G5110" s="5"/>
      <c r="H5110" s="5"/>
      <c r="I5110" s="5"/>
    </row>
    <row r="5111" spans="1:9" ht="13.5">
      <c r="A5111" s="7"/>
      <c r="B5111" s="3"/>
      <c r="C5111" s="5"/>
      <c r="D5111" s="5"/>
      <c r="E5111" s="5"/>
      <c r="F5111" s="5"/>
      <c r="G5111" s="5"/>
      <c r="H5111" s="5"/>
      <c r="I5111" s="5"/>
    </row>
    <row r="5112" spans="1:9" ht="13.5">
      <c r="A5112" s="7"/>
      <c r="B5112" s="3"/>
      <c r="C5112" s="5"/>
      <c r="D5112" s="5"/>
      <c r="E5112" s="5"/>
      <c r="F5112" s="5"/>
      <c r="G5112" s="5"/>
      <c r="H5112" s="5"/>
      <c r="I5112" s="5"/>
    </row>
    <row r="5113" spans="1:9" ht="13.5">
      <c r="A5113" s="7"/>
      <c r="B5113" s="3"/>
      <c r="C5113" s="5"/>
      <c r="D5113" s="5"/>
      <c r="E5113" s="5"/>
      <c r="F5113" s="5"/>
      <c r="G5113" s="5"/>
      <c r="H5113" s="5"/>
      <c r="I5113" s="5"/>
    </row>
    <row r="5114" spans="1:9" ht="13.5">
      <c r="A5114" s="7"/>
      <c r="B5114" s="3"/>
      <c r="C5114" s="5"/>
      <c r="D5114" s="5"/>
      <c r="E5114" s="5"/>
      <c r="F5114" s="5"/>
      <c r="G5114" s="5"/>
      <c r="H5114" s="5"/>
      <c r="I5114" s="5"/>
    </row>
    <row r="5115" spans="1:9" ht="13.5">
      <c r="A5115" s="7"/>
      <c r="B5115" s="3"/>
      <c r="C5115" s="5"/>
      <c r="D5115" s="5"/>
      <c r="E5115" s="5"/>
      <c r="F5115" s="5"/>
      <c r="G5115" s="5"/>
      <c r="H5115" s="5"/>
      <c r="I5115" s="5"/>
    </row>
    <row r="5116" spans="1:9" ht="13.5">
      <c r="A5116" s="7"/>
      <c r="B5116" s="3"/>
      <c r="C5116" s="5"/>
      <c r="D5116" s="5"/>
      <c r="E5116" s="5"/>
      <c r="F5116" s="5"/>
      <c r="G5116" s="5"/>
      <c r="H5116" s="5"/>
      <c r="I5116" s="5"/>
    </row>
    <row r="5117" spans="1:9" ht="13.5">
      <c r="A5117" s="7"/>
      <c r="B5117" s="3"/>
      <c r="C5117" s="5"/>
      <c r="D5117" s="5"/>
      <c r="E5117" s="5"/>
      <c r="F5117" s="5"/>
      <c r="G5117" s="5"/>
      <c r="H5117" s="5"/>
      <c r="I5117" s="5"/>
    </row>
    <row r="5118" spans="1:9" ht="13.5">
      <c r="A5118" s="7"/>
      <c r="B5118" s="3"/>
      <c r="C5118" s="5"/>
      <c r="D5118" s="5"/>
      <c r="E5118" s="5"/>
      <c r="F5118" s="5"/>
      <c r="G5118" s="5"/>
      <c r="H5118" s="5"/>
      <c r="I5118" s="5"/>
    </row>
    <row r="5119" spans="1:9" ht="13.5">
      <c r="A5119" s="7"/>
      <c r="B5119" s="3"/>
      <c r="C5119" s="5"/>
      <c r="D5119" s="5"/>
      <c r="E5119" s="5"/>
      <c r="F5119" s="5"/>
      <c r="G5119" s="5"/>
      <c r="H5119" s="5"/>
      <c r="I5119" s="5"/>
    </row>
    <row r="5120" spans="1:9" ht="13.5">
      <c r="A5120" s="7"/>
      <c r="B5120" s="3"/>
      <c r="C5120" s="5"/>
      <c r="D5120" s="5"/>
      <c r="E5120" s="5"/>
      <c r="F5120" s="5"/>
      <c r="G5120" s="5"/>
      <c r="H5120" s="5"/>
      <c r="I5120" s="5"/>
    </row>
    <row r="5121" spans="1:9" ht="13.5">
      <c r="A5121" s="7"/>
      <c r="B5121" s="3"/>
      <c r="C5121" s="5"/>
      <c r="D5121" s="5"/>
      <c r="E5121" s="5"/>
      <c r="F5121" s="5"/>
      <c r="G5121" s="5"/>
      <c r="H5121" s="5"/>
      <c r="I5121" s="5"/>
    </row>
    <row r="5122" spans="1:9" ht="13.5">
      <c r="A5122" s="7"/>
      <c r="B5122" s="3"/>
      <c r="C5122" s="5"/>
      <c r="D5122" s="5"/>
      <c r="E5122" s="5"/>
      <c r="F5122" s="5"/>
      <c r="G5122" s="5"/>
      <c r="H5122" s="5"/>
      <c r="I5122" s="5"/>
    </row>
    <row r="5123" spans="1:9" ht="13.5">
      <c r="A5123" s="7"/>
      <c r="B5123" s="3"/>
      <c r="C5123" s="5"/>
      <c r="D5123" s="5"/>
      <c r="E5123" s="5"/>
      <c r="F5123" s="5"/>
      <c r="G5123" s="5"/>
      <c r="H5123" s="5"/>
      <c r="I5123" s="5"/>
    </row>
    <row r="5124" spans="1:9" ht="13.5">
      <c r="A5124" s="7"/>
      <c r="B5124" s="3"/>
      <c r="C5124" s="5"/>
      <c r="D5124" s="5"/>
      <c r="E5124" s="5"/>
      <c r="F5124" s="5"/>
      <c r="G5124" s="5"/>
      <c r="H5124" s="5"/>
      <c r="I5124" s="5"/>
    </row>
    <row r="5125" spans="1:9" ht="13.5">
      <c r="A5125" s="7"/>
      <c r="B5125" s="3"/>
      <c r="C5125" s="5"/>
      <c r="D5125" s="5"/>
      <c r="E5125" s="5"/>
      <c r="F5125" s="5"/>
      <c r="G5125" s="5"/>
      <c r="H5125" s="5"/>
      <c r="I5125" s="5"/>
    </row>
    <row r="5126" spans="1:9" ht="13.5">
      <c r="A5126" s="7"/>
      <c r="B5126" s="3"/>
      <c r="C5126" s="5"/>
      <c r="D5126" s="5"/>
      <c r="E5126" s="5"/>
      <c r="F5126" s="5"/>
      <c r="G5126" s="5"/>
      <c r="H5126" s="5"/>
      <c r="I5126" s="5"/>
    </row>
    <row r="5127" spans="1:9" ht="13.5">
      <c r="A5127" s="7"/>
      <c r="B5127" s="3"/>
      <c r="C5127" s="5"/>
      <c r="D5127" s="5"/>
      <c r="E5127" s="5"/>
      <c r="F5127" s="5"/>
      <c r="G5127" s="5"/>
      <c r="H5127" s="5"/>
      <c r="I5127" s="5"/>
    </row>
    <row r="5128" spans="1:9" ht="13.5">
      <c r="A5128" s="7"/>
      <c r="B5128" s="3"/>
      <c r="C5128" s="5"/>
      <c r="D5128" s="5"/>
      <c r="E5128" s="5"/>
      <c r="F5128" s="5"/>
      <c r="G5128" s="5"/>
      <c r="H5128" s="5"/>
      <c r="I5128" s="5"/>
    </row>
    <row r="5129" spans="1:9" ht="13.5">
      <c r="A5129" s="7"/>
      <c r="B5129" s="3"/>
      <c r="C5129" s="5"/>
      <c r="D5129" s="5"/>
      <c r="E5129" s="5"/>
      <c r="F5129" s="5"/>
      <c r="G5129" s="5"/>
      <c r="H5129" s="5"/>
      <c r="I5129" s="5"/>
    </row>
    <row r="5130" spans="1:9" ht="13.5">
      <c r="A5130" s="7"/>
      <c r="B5130" s="3"/>
      <c r="C5130" s="5"/>
      <c r="D5130" s="5"/>
      <c r="E5130" s="5"/>
      <c r="F5130" s="5"/>
      <c r="G5130" s="5"/>
      <c r="H5130" s="5"/>
      <c r="I5130" s="5"/>
    </row>
    <row r="5131" spans="1:9" ht="13.5">
      <c r="A5131" s="7"/>
      <c r="B5131" s="3"/>
      <c r="C5131" s="5"/>
      <c r="D5131" s="5"/>
      <c r="E5131" s="5"/>
      <c r="F5131" s="5"/>
      <c r="G5131" s="5"/>
      <c r="H5131" s="5"/>
      <c r="I5131" s="5"/>
    </row>
    <row r="5132" spans="1:9" ht="13.5">
      <c r="A5132" s="7"/>
      <c r="B5132" s="3"/>
      <c r="C5132" s="5"/>
      <c r="D5132" s="5"/>
      <c r="E5132" s="5"/>
      <c r="F5132" s="5"/>
      <c r="G5132" s="5"/>
      <c r="H5132" s="5"/>
      <c r="I5132" s="5"/>
    </row>
    <row r="5133" spans="1:9" ht="13.5">
      <c r="A5133" s="7"/>
      <c r="B5133" s="3"/>
      <c r="C5133" s="5"/>
      <c r="D5133" s="5"/>
      <c r="E5133" s="5"/>
      <c r="F5133" s="5"/>
      <c r="G5133" s="5"/>
      <c r="H5133" s="5"/>
      <c r="I5133" s="5"/>
    </row>
    <row r="5134" spans="1:9" ht="13.5">
      <c r="A5134" s="7"/>
      <c r="B5134" s="3"/>
      <c r="C5134" s="5"/>
      <c r="D5134" s="5"/>
      <c r="E5134" s="5"/>
      <c r="F5134" s="5"/>
      <c r="G5134" s="5"/>
      <c r="H5134" s="5"/>
      <c r="I5134" s="5"/>
    </row>
    <row r="5135" spans="1:9" ht="13.5">
      <c r="A5135" s="7"/>
      <c r="B5135" s="3"/>
      <c r="C5135" s="5"/>
      <c r="D5135" s="5"/>
      <c r="E5135" s="5"/>
      <c r="F5135" s="5"/>
      <c r="G5135" s="5"/>
      <c r="H5135" s="5"/>
      <c r="I5135" s="5"/>
    </row>
    <row r="5136" spans="1:9" ht="13.5">
      <c r="A5136" s="7"/>
      <c r="B5136" s="3"/>
      <c r="C5136" s="5"/>
      <c r="D5136" s="5"/>
      <c r="E5136" s="5"/>
      <c r="F5136" s="5"/>
      <c r="G5136" s="5"/>
      <c r="H5136" s="5"/>
      <c r="I5136" s="5"/>
    </row>
    <row r="5137" spans="1:9" ht="13.5">
      <c r="A5137" s="7"/>
      <c r="B5137" s="3"/>
      <c r="C5137" s="5"/>
      <c r="D5137" s="5"/>
      <c r="E5137" s="5"/>
      <c r="F5137" s="5"/>
      <c r="G5137" s="5"/>
      <c r="H5137" s="5"/>
      <c r="I5137" s="5"/>
    </row>
    <row r="5138" spans="1:9" ht="13.5">
      <c r="A5138" s="7"/>
      <c r="B5138" s="3"/>
      <c r="C5138" s="5"/>
      <c r="D5138" s="5"/>
      <c r="E5138" s="5"/>
      <c r="F5138" s="5"/>
      <c r="G5138" s="5"/>
      <c r="H5138" s="5"/>
      <c r="I5138" s="5"/>
    </row>
    <row r="5139" spans="1:9" ht="13.5">
      <c r="A5139" s="7"/>
      <c r="B5139" s="3"/>
      <c r="C5139" s="5"/>
      <c r="D5139" s="5"/>
      <c r="E5139" s="5"/>
      <c r="F5139" s="5"/>
      <c r="G5139" s="5"/>
      <c r="H5139" s="5"/>
      <c r="I5139" s="5"/>
    </row>
    <row r="5140" spans="1:9" ht="13.5">
      <c r="A5140" s="7"/>
      <c r="B5140" s="3"/>
      <c r="C5140" s="5"/>
      <c r="D5140" s="5"/>
      <c r="E5140" s="5"/>
      <c r="F5140" s="5"/>
      <c r="G5140" s="5"/>
      <c r="H5140" s="5"/>
      <c r="I5140" s="5"/>
    </row>
    <row r="5141" spans="1:9" ht="13.5">
      <c r="A5141" s="7"/>
      <c r="B5141" s="3"/>
      <c r="C5141" s="5"/>
      <c r="D5141" s="5"/>
      <c r="E5141" s="5"/>
      <c r="F5141" s="5"/>
      <c r="G5141" s="5"/>
      <c r="H5141" s="5"/>
      <c r="I5141" s="5"/>
    </row>
    <row r="5142" spans="1:9" ht="13.5">
      <c r="A5142" s="7"/>
      <c r="B5142" s="3"/>
      <c r="C5142" s="5"/>
      <c r="D5142" s="5"/>
      <c r="E5142" s="5"/>
      <c r="F5142" s="5"/>
      <c r="G5142" s="5"/>
      <c r="H5142" s="5"/>
      <c r="I5142" s="5"/>
    </row>
    <row r="5143" spans="1:9" ht="13.5">
      <c r="A5143" s="7"/>
      <c r="B5143" s="3"/>
      <c r="C5143" s="5"/>
      <c r="D5143" s="5"/>
      <c r="E5143" s="5"/>
      <c r="F5143" s="5"/>
      <c r="G5143" s="5"/>
      <c r="H5143" s="5"/>
      <c r="I5143" s="5"/>
    </row>
    <row r="5144" spans="1:9" ht="13.5">
      <c r="A5144" s="7"/>
      <c r="B5144" s="3"/>
      <c r="C5144" s="5"/>
      <c r="D5144" s="5"/>
      <c r="E5144" s="5"/>
      <c r="F5144" s="5"/>
      <c r="G5144" s="5"/>
      <c r="H5144" s="5"/>
      <c r="I5144" s="5"/>
    </row>
    <row r="5145" spans="1:9" ht="13.5">
      <c r="A5145" s="7"/>
      <c r="B5145" s="3"/>
      <c r="C5145" s="5"/>
      <c r="D5145" s="5"/>
      <c r="E5145" s="5"/>
      <c r="F5145" s="5"/>
      <c r="G5145" s="5"/>
      <c r="H5145" s="5"/>
      <c r="I5145" s="5"/>
    </row>
    <row r="5146" spans="1:9" ht="13.5">
      <c r="A5146" s="7"/>
      <c r="B5146" s="3"/>
      <c r="C5146" s="5"/>
      <c r="D5146" s="5"/>
      <c r="E5146" s="5"/>
      <c r="F5146" s="5"/>
      <c r="G5146" s="5"/>
      <c r="H5146" s="5"/>
      <c r="I5146" s="5"/>
    </row>
    <row r="5147" spans="1:9" ht="13.5">
      <c r="A5147" s="7"/>
      <c r="B5147" s="3"/>
      <c r="C5147" s="5"/>
      <c r="D5147" s="5"/>
      <c r="E5147" s="5"/>
      <c r="F5147" s="5"/>
      <c r="G5147" s="5"/>
      <c r="H5147" s="5"/>
      <c r="I5147" s="5"/>
    </row>
    <row r="5148" spans="1:9" ht="13.5">
      <c r="A5148" s="7"/>
      <c r="B5148" s="3"/>
      <c r="C5148" s="5"/>
      <c r="D5148" s="5"/>
      <c r="E5148" s="5"/>
      <c r="F5148" s="5"/>
      <c r="G5148" s="5"/>
      <c r="H5148" s="5"/>
      <c r="I5148" s="5"/>
    </row>
    <row r="5149" spans="1:9" ht="13.5">
      <c r="A5149" s="7"/>
      <c r="B5149" s="3"/>
      <c r="C5149" s="5"/>
      <c r="D5149" s="5"/>
      <c r="E5149" s="5"/>
      <c r="F5149" s="5"/>
      <c r="G5149" s="5"/>
      <c r="H5149" s="5"/>
      <c r="I5149" s="5"/>
    </row>
    <row r="5150" spans="1:9" ht="13.5">
      <c r="A5150" s="7"/>
      <c r="B5150" s="3"/>
      <c r="C5150" s="5"/>
      <c r="D5150" s="5"/>
      <c r="E5150" s="5"/>
      <c r="F5150" s="5"/>
      <c r="G5150" s="5"/>
      <c r="H5150" s="5"/>
      <c r="I5150" s="5"/>
    </row>
    <row r="5151" spans="1:9" ht="13.5">
      <c r="A5151" s="7"/>
      <c r="B5151" s="3"/>
      <c r="C5151" s="5"/>
      <c r="D5151" s="5"/>
      <c r="E5151" s="5"/>
      <c r="F5151" s="5"/>
      <c r="G5151" s="5"/>
      <c r="H5151" s="5"/>
      <c r="I5151" s="5"/>
    </row>
    <row r="5152" spans="1:9" ht="13.5">
      <c r="A5152" s="7"/>
      <c r="B5152" s="3"/>
      <c r="C5152" s="5"/>
      <c r="D5152" s="5"/>
      <c r="E5152" s="5"/>
      <c r="F5152" s="5"/>
      <c r="G5152" s="5"/>
      <c r="H5152" s="5"/>
      <c r="I5152" s="5"/>
    </row>
    <row r="5153" spans="1:9" ht="13.5">
      <c r="A5153" s="7"/>
      <c r="B5153" s="3"/>
      <c r="C5153" s="5"/>
      <c r="D5153" s="5"/>
      <c r="E5153" s="5"/>
      <c r="F5153" s="5"/>
      <c r="G5153" s="5"/>
      <c r="H5153" s="5"/>
      <c r="I5153" s="5"/>
    </row>
    <row r="5154" spans="1:9" ht="13.5">
      <c r="A5154" s="7"/>
      <c r="B5154" s="3"/>
      <c r="C5154" s="5"/>
      <c r="D5154" s="5"/>
      <c r="E5154" s="5"/>
      <c r="F5154" s="5"/>
      <c r="G5154" s="5"/>
      <c r="H5154" s="5"/>
      <c r="I5154" s="5"/>
    </row>
    <row r="5155" spans="1:9" ht="13.5">
      <c r="A5155" s="7"/>
      <c r="B5155" s="3"/>
      <c r="C5155" s="5"/>
      <c r="D5155" s="5"/>
      <c r="E5155" s="5"/>
      <c r="F5155" s="5"/>
      <c r="G5155" s="5"/>
      <c r="H5155" s="5"/>
      <c r="I5155" s="5"/>
    </row>
    <row r="5156" spans="1:9" ht="13.5">
      <c r="A5156" s="7"/>
      <c r="B5156" s="3"/>
      <c r="C5156" s="5"/>
      <c r="D5156" s="5"/>
      <c r="E5156" s="5"/>
      <c r="F5156" s="5"/>
      <c r="G5156" s="5"/>
      <c r="H5156" s="5"/>
      <c r="I5156" s="5"/>
    </row>
    <row r="5157" spans="1:9" ht="13.5">
      <c r="A5157" s="7"/>
      <c r="B5157" s="3"/>
      <c r="C5157" s="5"/>
      <c r="D5157" s="5"/>
      <c r="E5157" s="5"/>
      <c r="F5157" s="5"/>
      <c r="G5157" s="5"/>
      <c r="H5157" s="5"/>
      <c r="I5157" s="5"/>
    </row>
    <row r="5158" spans="1:9" ht="13.5">
      <c r="A5158" s="7"/>
      <c r="B5158" s="3"/>
      <c r="C5158" s="5"/>
      <c r="D5158" s="5"/>
      <c r="E5158" s="5"/>
      <c r="F5158" s="5"/>
      <c r="G5158" s="5"/>
      <c r="H5158" s="5"/>
      <c r="I5158" s="5"/>
    </row>
    <row r="5159" spans="1:9" ht="13.5">
      <c r="A5159" s="7"/>
      <c r="B5159" s="3"/>
      <c r="C5159" s="5"/>
      <c r="D5159" s="5"/>
      <c r="E5159" s="5"/>
      <c r="F5159" s="5"/>
      <c r="G5159" s="5"/>
      <c r="H5159" s="5"/>
      <c r="I5159" s="5"/>
    </row>
    <row r="5160" spans="1:9" ht="13.5">
      <c r="A5160" s="7"/>
      <c r="B5160" s="3"/>
      <c r="C5160" s="5"/>
      <c r="D5160" s="5"/>
      <c r="E5160" s="5"/>
      <c r="F5160" s="5"/>
      <c r="G5160" s="5"/>
      <c r="H5160" s="5"/>
      <c r="I5160" s="5"/>
    </row>
    <row r="5161" spans="1:9" ht="13.5">
      <c r="A5161" s="7"/>
      <c r="B5161" s="3"/>
      <c r="C5161" s="5"/>
      <c r="D5161" s="5"/>
      <c r="E5161" s="5"/>
      <c r="F5161" s="5"/>
      <c r="G5161" s="5"/>
      <c r="H5161" s="5"/>
      <c r="I5161" s="5"/>
    </row>
    <row r="5162" spans="1:9" ht="13.5">
      <c r="A5162" s="7"/>
      <c r="B5162" s="3"/>
      <c r="C5162" s="5"/>
      <c r="D5162" s="5"/>
      <c r="E5162" s="5"/>
      <c r="F5162" s="5"/>
      <c r="G5162" s="5"/>
      <c r="H5162" s="5"/>
      <c r="I5162" s="5"/>
    </row>
    <row r="5163" spans="1:9" ht="13.5">
      <c r="A5163" s="7"/>
      <c r="B5163" s="3"/>
      <c r="C5163" s="5"/>
      <c r="D5163" s="5"/>
      <c r="E5163" s="5"/>
      <c r="F5163" s="5"/>
      <c r="G5163" s="5"/>
      <c r="H5163" s="5"/>
      <c r="I5163" s="5"/>
    </row>
    <row r="5164" spans="1:9" ht="13.5">
      <c r="A5164" s="7"/>
      <c r="B5164" s="3"/>
      <c r="C5164" s="5"/>
      <c r="D5164" s="5"/>
      <c r="E5164" s="5"/>
      <c r="F5164" s="5"/>
      <c r="G5164" s="5"/>
      <c r="H5164" s="5"/>
      <c r="I5164" s="5"/>
    </row>
    <row r="5165" spans="1:9" ht="13.5">
      <c r="A5165" s="7"/>
      <c r="B5165" s="3"/>
      <c r="C5165" s="5"/>
      <c r="D5165" s="5"/>
      <c r="E5165" s="5"/>
      <c r="F5165" s="5"/>
      <c r="G5165" s="5"/>
      <c r="H5165" s="5"/>
      <c r="I5165" s="5"/>
    </row>
    <row r="5166" spans="1:9" ht="13.5">
      <c r="A5166" s="7"/>
      <c r="B5166" s="3"/>
      <c r="C5166" s="5"/>
      <c r="D5166" s="5"/>
      <c r="E5166" s="5"/>
      <c r="F5166" s="5"/>
      <c r="G5166" s="5"/>
      <c r="H5166" s="5"/>
      <c r="I5166" s="5"/>
    </row>
    <row r="5167" spans="1:9" ht="13.5">
      <c r="A5167" s="7"/>
      <c r="B5167" s="3"/>
      <c r="C5167" s="5"/>
      <c r="D5167" s="5"/>
      <c r="E5167" s="5"/>
      <c r="F5167" s="5"/>
      <c r="G5167" s="5"/>
      <c r="H5167" s="5"/>
      <c r="I5167" s="5"/>
    </row>
    <row r="5168" spans="1:9" ht="13.5">
      <c r="A5168" s="7"/>
      <c r="B5168" s="3"/>
      <c r="C5168" s="5"/>
      <c r="D5168" s="5"/>
      <c r="E5168" s="5"/>
      <c r="F5168" s="5"/>
      <c r="G5168" s="5"/>
      <c r="H5168" s="5"/>
      <c r="I5168" s="5"/>
    </row>
    <row r="5169" spans="1:9" ht="13.5">
      <c r="A5169" s="7"/>
      <c r="B5169" s="3"/>
      <c r="C5169" s="5"/>
      <c r="D5169" s="5"/>
      <c r="E5169" s="5"/>
      <c r="F5169" s="5"/>
      <c r="G5169" s="5"/>
      <c r="H5169" s="5"/>
      <c r="I5169" s="5"/>
    </row>
    <row r="5170" spans="1:9" ht="13.5">
      <c r="A5170" s="7"/>
      <c r="B5170" s="3"/>
      <c r="C5170" s="5"/>
      <c r="D5170" s="5"/>
      <c r="E5170" s="5"/>
      <c r="F5170" s="5"/>
      <c r="G5170" s="5"/>
      <c r="H5170" s="5"/>
      <c r="I5170" s="5"/>
    </row>
    <row r="5171" spans="1:9" ht="13.5">
      <c r="A5171" s="7"/>
      <c r="B5171" s="3"/>
      <c r="C5171" s="5"/>
      <c r="D5171" s="5"/>
      <c r="E5171" s="5"/>
      <c r="F5171" s="5"/>
      <c r="G5171" s="5"/>
      <c r="H5171" s="5"/>
      <c r="I5171" s="5"/>
    </row>
    <row r="5172" spans="1:9" ht="13.5">
      <c r="A5172" s="7"/>
      <c r="B5172" s="3"/>
      <c r="C5172" s="5"/>
      <c r="D5172" s="5"/>
      <c r="E5172" s="5"/>
      <c r="F5172" s="5"/>
      <c r="G5172" s="5"/>
      <c r="H5172" s="5"/>
      <c r="I5172" s="5"/>
    </row>
    <row r="5173" spans="1:9" ht="13.5">
      <c r="A5173" s="7"/>
      <c r="B5173" s="3"/>
      <c r="C5173" s="5"/>
      <c r="D5173" s="5"/>
      <c r="E5173" s="5"/>
      <c r="F5173" s="5"/>
      <c r="G5173" s="5"/>
      <c r="H5173" s="5"/>
      <c r="I5173" s="5"/>
    </row>
    <row r="5174" spans="1:9" ht="13.5">
      <c r="A5174" s="7"/>
      <c r="B5174" s="3"/>
      <c r="C5174" s="5"/>
      <c r="D5174" s="5"/>
      <c r="E5174" s="5"/>
      <c r="F5174" s="5"/>
      <c r="G5174" s="5"/>
      <c r="H5174" s="5"/>
      <c r="I5174" s="5"/>
    </row>
    <row r="5175" spans="1:9" ht="13.5">
      <c r="A5175" s="7"/>
      <c r="B5175" s="3"/>
      <c r="C5175" s="5"/>
      <c r="D5175" s="5"/>
      <c r="E5175" s="5"/>
      <c r="F5175" s="5"/>
      <c r="G5175" s="5"/>
      <c r="H5175" s="5"/>
      <c r="I5175" s="5"/>
    </row>
    <row r="5176" spans="1:9" ht="13.5">
      <c r="A5176" s="7"/>
      <c r="B5176" s="3"/>
      <c r="C5176" s="5"/>
      <c r="D5176" s="5"/>
      <c r="E5176" s="5"/>
      <c r="F5176" s="5"/>
      <c r="G5176" s="5"/>
      <c r="H5176" s="5"/>
      <c r="I5176" s="5"/>
    </row>
    <row r="5177" spans="1:9" ht="13.5">
      <c r="A5177" s="7"/>
      <c r="B5177" s="3"/>
      <c r="C5177" s="5"/>
      <c r="D5177" s="5"/>
      <c r="E5177" s="5"/>
      <c r="F5177" s="5"/>
      <c r="G5177" s="5"/>
      <c r="H5177" s="5"/>
      <c r="I5177" s="5"/>
    </row>
    <row r="5178" spans="1:9" ht="13.5">
      <c r="A5178" s="7"/>
      <c r="B5178" s="3"/>
      <c r="C5178" s="5"/>
      <c r="D5178" s="5"/>
      <c r="E5178" s="5"/>
      <c r="F5178" s="5"/>
      <c r="G5178" s="5"/>
      <c r="H5178" s="5"/>
      <c r="I5178" s="5"/>
    </row>
    <row r="5179" spans="1:9" ht="13.5">
      <c r="A5179" s="7"/>
      <c r="B5179" s="3"/>
      <c r="C5179" s="5"/>
      <c r="D5179" s="5"/>
      <c r="E5179" s="5"/>
      <c r="F5179" s="5"/>
      <c r="G5179" s="5"/>
      <c r="H5179" s="5"/>
      <c r="I5179" s="5"/>
    </row>
    <row r="5180" spans="1:9" ht="13.5">
      <c r="A5180" s="7"/>
      <c r="B5180" s="3"/>
      <c r="C5180" s="5"/>
      <c r="D5180" s="5"/>
      <c r="E5180" s="5"/>
      <c r="F5180" s="5"/>
      <c r="G5180" s="5"/>
      <c r="H5180" s="5"/>
      <c r="I5180" s="5"/>
    </row>
    <row r="5181" spans="1:9" ht="13.5">
      <c r="A5181" s="7"/>
      <c r="B5181" s="3"/>
      <c r="C5181" s="5"/>
      <c r="D5181" s="5"/>
      <c r="E5181" s="5"/>
      <c r="F5181" s="5"/>
      <c r="G5181" s="5"/>
      <c r="H5181" s="5"/>
      <c r="I5181" s="5"/>
    </row>
    <row r="5182" spans="1:9" ht="13.5">
      <c r="A5182" s="7"/>
      <c r="B5182" s="3"/>
      <c r="C5182" s="5"/>
      <c r="D5182" s="5"/>
      <c r="E5182" s="5"/>
      <c r="F5182" s="5"/>
      <c r="G5182" s="5"/>
      <c r="H5182" s="5"/>
      <c r="I5182" s="5"/>
    </row>
    <row r="5183" spans="1:9" ht="13.5">
      <c r="A5183" s="7"/>
      <c r="B5183" s="3"/>
      <c r="C5183" s="5"/>
      <c r="D5183" s="5"/>
      <c r="E5183" s="5"/>
      <c r="F5183" s="5"/>
      <c r="G5183" s="5"/>
      <c r="H5183" s="5"/>
      <c r="I5183" s="5"/>
    </row>
    <row r="5184" spans="1:9" ht="13.5">
      <c r="A5184" s="7"/>
      <c r="B5184" s="3"/>
      <c r="C5184" s="5"/>
      <c r="D5184" s="5"/>
      <c r="E5184" s="5"/>
      <c r="F5184" s="5"/>
      <c r="G5184" s="5"/>
      <c r="H5184" s="5"/>
      <c r="I5184" s="5"/>
    </row>
    <row r="5185" spans="1:9" ht="13.5">
      <c r="A5185" s="7"/>
      <c r="B5185" s="3"/>
      <c r="C5185" s="5"/>
      <c r="D5185" s="5"/>
      <c r="E5185" s="5"/>
      <c r="F5185" s="5"/>
      <c r="G5185" s="5"/>
      <c r="H5185" s="5"/>
      <c r="I5185" s="5"/>
    </row>
    <row r="5186" spans="1:9" ht="13.5">
      <c r="A5186" s="7"/>
      <c r="B5186" s="3"/>
      <c r="C5186" s="5"/>
      <c r="D5186" s="5"/>
      <c r="E5186" s="5"/>
      <c r="F5186" s="5"/>
      <c r="G5186" s="5"/>
      <c r="H5186" s="5"/>
      <c r="I5186" s="5"/>
    </row>
    <row r="5187" spans="1:9" ht="13.5">
      <c r="A5187" s="7"/>
      <c r="B5187" s="3"/>
      <c r="C5187" s="5"/>
      <c r="D5187" s="5"/>
      <c r="E5187" s="5"/>
      <c r="F5187" s="5"/>
      <c r="G5187" s="5"/>
      <c r="H5187" s="5"/>
      <c r="I5187" s="5"/>
    </row>
    <row r="5188" spans="1:9" ht="13.5">
      <c r="A5188" s="7"/>
      <c r="B5188" s="3"/>
      <c r="C5188" s="5"/>
      <c r="D5188" s="5"/>
      <c r="E5188" s="5"/>
      <c r="F5188" s="5"/>
      <c r="G5188" s="5"/>
      <c r="H5188" s="5"/>
      <c r="I5188" s="5"/>
    </row>
    <row r="5189" spans="1:9" ht="13.5">
      <c r="A5189" s="7"/>
      <c r="B5189" s="3"/>
      <c r="C5189" s="5"/>
      <c r="D5189" s="5"/>
      <c r="E5189" s="5"/>
      <c r="F5189" s="5"/>
      <c r="G5189" s="5"/>
      <c r="H5189" s="5"/>
      <c r="I5189" s="5"/>
    </row>
    <row r="5190" spans="1:9" ht="13.5">
      <c r="A5190" s="7"/>
      <c r="B5190" s="3"/>
      <c r="C5190" s="5"/>
      <c r="D5190" s="5"/>
      <c r="E5190" s="5"/>
      <c r="F5190" s="5"/>
      <c r="G5190" s="5"/>
      <c r="H5190" s="5"/>
      <c r="I5190" s="5"/>
    </row>
    <row r="5191" spans="1:9" ht="13.5">
      <c r="A5191" s="7"/>
      <c r="B5191" s="3"/>
      <c r="C5191" s="5"/>
      <c r="D5191" s="5"/>
      <c r="E5191" s="5"/>
      <c r="F5191" s="5"/>
      <c r="G5191" s="5"/>
      <c r="H5191" s="5"/>
      <c r="I5191" s="5"/>
    </row>
    <row r="5192" spans="1:9" ht="13.5">
      <c r="A5192" s="7"/>
      <c r="B5192" s="3"/>
      <c r="C5192" s="5"/>
      <c r="D5192" s="5"/>
      <c r="E5192" s="5"/>
      <c r="F5192" s="5"/>
      <c r="G5192" s="5"/>
      <c r="H5192" s="5"/>
      <c r="I5192" s="5"/>
    </row>
    <row r="5193" spans="1:9" ht="13.5">
      <c r="A5193" s="7"/>
      <c r="B5193" s="3"/>
      <c r="C5193" s="5"/>
      <c r="D5193" s="5"/>
      <c r="E5193" s="5"/>
      <c r="F5193" s="5"/>
      <c r="G5193" s="5"/>
      <c r="H5193" s="5"/>
      <c r="I5193" s="5"/>
    </row>
    <row r="5194" spans="1:9" ht="13.5">
      <c r="A5194" s="7"/>
      <c r="B5194" s="3"/>
      <c r="C5194" s="5"/>
      <c r="D5194" s="5"/>
      <c r="E5194" s="5"/>
      <c r="F5194" s="5"/>
      <c r="G5194" s="5"/>
      <c r="H5194" s="5"/>
      <c r="I5194" s="5"/>
    </row>
    <row r="5195" spans="1:9" ht="13.5">
      <c r="A5195" s="7"/>
      <c r="B5195" s="3"/>
      <c r="C5195" s="5"/>
      <c r="D5195" s="5"/>
      <c r="E5195" s="5"/>
      <c r="F5195" s="5"/>
      <c r="G5195" s="5"/>
      <c r="H5195" s="5"/>
      <c r="I5195" s="5"/>
    </row>
    <row r="5196" spans="1:9" ht="13.5">
      <c r="A5196" s="7"/>
      <c r="B5196" s="3"/>
      <c r="C5196" s="5"/>
      <c r="D5196" s="5"/>
      <c r="E5196" s="5"/>
      <c r="F5196" s="5"/>
      <c r="G5196" s="5"/>
      <c r="H5196" s="5"/>
      <c r="I5196" s="5"/>
    </row>
    <row r="5197" spans="1:9" ht="13.5">
      <c r="A5197" s="7"/>
      <c r="B5197" s="3"/>
      <c r="C5197" s="5"/>
      <c r="D5197" s="5"/>
      <c r="E5197" s="5"/>
      <c r="F5197" s="5"/>
      <c r="G5197" s="5"/>
      <c r="H5197" s="5"/>
      <c r="I5197" s="5"/>
    </row>
    <row r="5198" spans="1:9" ht="13.5">
      <c r="A5198" s="7"/>
      <c r="B5198" s="3"/>
      <c r="C5198" s="5"/>
      <c r="D5198" s="5"/>
      <c r="E5198" s="5"/>
      <c r="F5198" s="5"/>
      <c r="G5198" s="5"/>
      <c r="H5198" s="5"/>
      <c r="I5198" s="5"/>
    </row>
    <row r="5199" spans="1:9" ht="13.5">
      <c r="A5199" s="7"/>
      <c r="B5199" s="3"/>
      <c r="C5199" s="5"/>
      <c r="D5199" s="5"/>
      <c r="E5199" s="5"/>
      <c r="F5199" s="5"/>
      <c r="G5199" s="5"/>
      <c r="H5199" s="5"/>
      <c r="I5199" s="5"/>
    </row>
    <row r="5200" spans="1:9" ht="13.5">
      <c r="A5200" s="7"/>
      <c r="B5200" s="3"/>
      <c r="C5200" s="5"/>
      <c r="D5200" s="5"/>
      <c r="E5200" s="5"/>
      <c r="F5200" s="5"/>
      <c r="G5200" s="5"/>
      <c r="H5200" s="5"/>
      <c r="I5200" s="5"/>
    </row>
    <row r="5201" spans="1:9" ht="13.5">
      <c r="A5201" s="7"/>
      <c r="B5201" s="3"/>
      <c r="C5201" s="5"/>
      <c r="D5201" s="5"/>
      <c r="E5201" s="5"/>
      <c r="F5201" s="5"/>
      <c r="G5201" s="5"/>
      <c r="H5201" s="5"/>
      <c r="I5201" s="5"/>
    </row>
    <row r="5202" spans="1:9" ht="13.5">
      <c r="A5202" s="7"/>
      <c r="B5202" s="3"/>
      <c r="C5202" s="5"/>
      <c r="D5202" s="5"/>
      <c r="E5202" s="5"/>
      <c r="F5202" s="5"/>
      <c r="G5202" s="5"/>
      <c r="H5202" s="5"/>
      <c r="I5202" s="5"/>
    </row>
    <row r="5203" spans="1:9" ht="13.5">
      <c r="A5203" s="7"/>
      <c r="B5203" s="3"/>
      <c r="C5203" s="5"/>
      <c r="D5203" s="5"/>
      <c r="E5203" s="5"/>
      <c r="F5203" s="5"/>
      <c r="G5203" s="5"/>
      <c r="H5203" s="5"/>
      <c r="I5203" s="5"/>
    </row>
    <row r="5204" spans="1:9" ht="13.5">
      <c r="A5204" s="7"/>
      <c r="B5204" s="3"/>
      <c r="C5204" s="5"/>
      <c r="D5204" s="5"/>
      <c r="E5204" s="5"/>
      <c r="F5204" s="5"/>
      <c r="G5204" s="5"/>
      <c r="H5204" s="5"/>
      <c r="I5204" s="5"/>
    </row>
    <row r="5205" spans="1:9" ht="13.5">
      <c r="A5205" s="7"/>
      <c r="B5205" s="3"/>
      <c r="C5205" s="5"/>
      <c r="D5205" s="5"/>
      <c r="E5205" s="5"/>
      <c r="F5205" s="5"/>
      <c r="G5205" s="5"/>
      <c r="H5205" s="5"/>
      <c r="I5205" s="5"/>
    </row>
    <row r="5206" spans="1:9" ht="13.5">
      <c r="A5206" s="7"/>
      <c r="B5206" s="3"/>
      <c r="C5206" s="5"/>
      <c r="D5206" s="5"/>
      <c r="E5206" s="5"/>
      <c r="F5206" s="5"/>
      <c r="G5206" s="5"/>
      <c r="H5206" s="5"/>
      <c r="I5206" s="5"/>
    </row>
    <row r="5207" spans="1:9" ht="13.5">
      <c r="A5207" s="7"/>
      <c r="B5207" s="3"/>
      <c r="C5207" s="5"/>
      <c r="D5207" s="5"/>
      <c r="E5207" s="5"/>
      <c r="F5207" s="5"/>
      <c r="G5207" s="5"/>
      <c r="H5207" s="5"/>
      <c r="I5207" s="5"/>
    </row>
    <row r="5208" spans="1:9" ht="13.5">
      <c r="A5208" s="7"/>
      <c r="B5208" s="3"/>
      <c r="C5208" s="5"/>
      <c r="D5208" s="5"/>
      <c r="E5208" s="5"/>
      <c r="F5208" s="5"/>
      <c r="G5208" s="5"/>
      <c r="H5208" s="5"/>
      <c r="I5208" s="5"/>
    </row>
    <row r="5209" spans="1:9" ht="13.5">
      <c r="A5209" s="7"/>
      <c r="B5209" s="3"/>
      <c r="C5209" s="5"/>
      <c r="D5209" s="5"/>
      <c r="E5209" s="5"/>
      <c r="F5209" s="5"/>
      <c r="G5209" s="5"/>
      <c r="H5209" s="5"/>
      <c r="I5209" s="5"/>
    </row>
    <row r="5210" spans="1:9" ht="13.5">
      <c r="A5210" s="7"/>
      <c r="B5210" s="3"/>
      <c r="C5210" s="5"/>
      <c r="D5210" s="5"/>
      <c r="E5210" s="5"/>
      <c r="F5210" s="5"/>
      <c r="G5210" s="5"/>
      <c r="H5210" s="5"/>
      <c r="I5210" s="5"/>
    </row>
    <row r="5211" spans="1:9" ht="13.5">
      <c r="A5211" s="7"/>
      <c r="B5211" s="3"/>
      <c r="C5211" s="5"/>
      <c r="D5211" s="5"/>
      <c r="E5211" s="5"/>
      <c r="F5211" s="5"/>
      <c r="G5211" s="5"/>
      <c r="H5211" s="5"/>
      <c r="I5211" s="5"/>
    </row>
    <row r="5212" spans="1:9" ht="13.5">
      <c r="A5212" s="7"/>
      <c r="B5212" s="3"/>
      <c r="C5212" s="5"/>
      <c r="D5212" s="5"/>
      <c r="E5212" s="5"/>
      <c r="F5212" s="5"/>
      <c r="G5212" s="5"/>
      <c r="H5212" s="5"/>
      <c r="I5212" s="5"/>
    </row>
    <row r="5213" spans="1:9" ht="13.5">
      <c r="A5213" s="7"/>
      <c r="B5213" s="3"/>
      <c r="C5213" s="5"/>
      <c r="D5213" s="5"/>
      <c r="E5213" s="5"/>
      <c r="F5213" s="5"/>
      <c r="G5213" s="5"/>
      <c r="H5213" s="5"/>
      <c r="I5213" s="5"/>
    </row>
    <row r="5214" spans="1:9" ht="13.5">
      <c r="A5214" s="7"/>
      <c r="B5214" s="3"/>
      <c r="C5214" s="5"/>
      <c r="D5214" s="5"/>
      <c r="E5214" s="5"/>
      <c r="F5214" s="5"/>
      <c r="G5214" s="5"/>
      <c r="H5214" s="5"/>
      <c r="I5214" s="5"/>
    </row>
    <row r="5215" spans="1:9" ht="13.5">
      <c r="A5215" s="7"/>
      <c r="B5215" s="3"/>
      <c r="C5215" s="5"/>
      <c r="D5215" s="5"/>
      <c r="E5215" s="5"/>
      <c r="F5215" s="5"/>
      <c r="G5215" s="5"/>
      <c r="H5215" s="5"/>
      <c r="I5215" s="5"/>
    </row>
    <row r="5216" spans="1:9" ht="13.5">
      <c r="A5216" s="7"/>
      <c r="B5216" s="3"/>
      <c r="C5216" s="5"/>
      <c r="D5216" s="5"/>
      <c r="E5216" s="5"/>
      <c r="F5216" s="5"/>
      <c r="G5216" s="5"/>
      <c r="H5216" s="5"/>
      <c r="I5216" s="5"/>
    </row>
    <row r="5217" spans="1:9" ht="13.5">
      <c r="A5217" s="7"/>
      <c r="B5217" s="3"/>
      <c r="C5217" s="5"/>
      <c r="D5217" s="5"/>
      <c r="E5217" s="5"/>
      <c r="F5217" s="5"/>
      <c r="G5217" s="5"/>
      <c r="H5217" s="5"/>
      <c r="I5217" s="5"/>
    </row>
    <row r="5218" spans="1:9" ht="13.5">
      <c r="A5218" s="7"/>
      <c r="B5218" s="3"/>
      <c r="C5218" s="5"/>
      <c r="D5218" s="5"/>
      <c r="E5218" s="5"/>
      <c r="F5218" s="5"/>
      <c r="G5218" s="5"/>
      <c r="H5218" s="5"/>
      <c r="I5218" s="5"/>
    </row>
    <row r="5219" spans="1:9" ht="13.5">
      <c r="A5219" s="7"/>
      <c r="B5219" s="3"/>
      <c r="C5219" s="5"/>
      <c r="D5219" s="5"/>
      <c r="E5219" s="5"/>
      <c r="F5219" s="5"/>
      <c r="G5219" s="5"/>
      <c r="H5219" s="5"/>
      <c r="I5219" s="5"/>
    </row>
    <row r="5220" spans="1:9" ht="13.5">
      <c r="A5220" s="7"/>
      <c r="B5220" s="3"/>
      <c r="C5220" s="5"/>
      <c r="D5220" s="5"/>
      <c r="E5220" s="5"/>
      <c r="F5220" s="5"/>
      <c r="G5220" s="5"/>
      <c r="H5220" s="5"/>
      <c r="I5220" s="5"/>
    </row>
    <row r="5221" spans="1:9" ht="13.5">
      <c r="A5221" s="7"/>
      <c r="B5221" s="3"/>
      <c r="C5221" s="5"/>
      <c r="D5221" s="5"/>
      <c r="E5221" s="5"/>
      <c r="F5221" s="5"/>
      <c r="G5221" s="5"/>
      <c r="H5221" s="5"/>
      <c r="I5221" s="5"/>
    </row>
    <row r="5222" spans="1:9" ht="13.5">
      <c r="A5222" s="7"/>
      <c r="B5222" s="3"/>
      <c r="C5222" s="5"/>
      <c r="D5222" s="5"/>
      <c r="E5222" s="5"/>
      <c r="F5222" s="5"/>
      <c r="G5222" s="5"/>
      <c r="H5222" s="5"/>
      <c r="I5222" s="5"/>
    </row>
    <row r="5223" spans="1:9" ht="13.5">
      <c r="A5223" s="7"/>
      <c r="B5223" s="3"/>
      <c r="C5223" s="5"/>
      <c r="D5223" s="5"/>
      <c r="E5223" s="5"/>
      <c r="F5223" s="5"/>
      <c r="G5223" s="5"/>
      <c r="H5223" s="5"/>
      <c r="I5223" s="5"/>
    </row>
    <row r="5224" spans="1:9" ht="13.5">
      <c r="A5224" s="7"/>
      <c r="B5224" s="3"/>
      <c r="C5224" s="5"/>
      <c r="D5224" s="5"/>
      <c r="E5224" s="5"/>
      <c r="F5224" s="5"/>
      <c r="G5224" s="5"/>
      <c r="H5224" s="5"/>
      <c r="I5224" s="5"/>
    </row>
    <row r="5225" spans="1:9" ht="13.5">
      <c r="A5225" s="7"/>
      <c r="B5225" s="3"/>
      <c r="C5225" s="5"/>
      <c r="D5225" s="5"/>
      <c r="E5225" s="5"/>
      <c r="F5225" s="5"/>
      <c r="G5225" s="5"/>
      <c r="H5225" s="5"/>
      <c r="I5225" s="5"/>
    </row>
    <row r="5226" spans="1:9" ht="13.5">
      <c r="A5226" s="7"/>
      <c r="B5226" s="3"/>
      <c r="C5226" s="5"/>
      <c r="D5226" s="5"/>
      <c r="E5226" s="5"/>
      <c r="F5226" s="5"/>
      <c r="G5226" s="5"/>
      <c r="H5226" s="5"/>
      <c r="I5226" s="5"/>
    </row>
    <row r="5227" spans="1:9" ht="13.5">
      <c r="A5227" s="7"/>
      <c r="B5227" s="3"/>
      <c r="C5227" s="5"/>
      <c r="D5227" s="5"/>
      <c r="E5227" s="5"/>
      <c r="F5227" s="5"/>
      <c r="G5227" s="5"/>
      <c r="H5227" s="5"/>
      <c r="I5227" s="5"/>
    </row>
    <row r="5228" spans="1:9" ht="13.5">
      <c r="A5228" s="7"/>
      <c r="B5228" s="3"/>
      <c r="C5228" s="5"/>
      <c r="D5228" s="5"/>
      <c r="E5228" s="5"/>
      <c r="F5228" s="5"/>
      <c r="G5228" s="5"/>
      <c r="H5228" s="5"/>
      <c r="I5228" s="5"/>
    </row>
    <row r="5229" spans="1:9" ht="13.5">
      <c r="A5229" s="7"/>
      <c r="B5229" s="3"/>
      <c r="C5229" s="5"/>
      <c r="D5229" s="5"/>
      <c r="E5229" s="5"/>
      <c r="F5229" s="5"/>
      <c r="G5229" s="5"/>
      <c r="H5229" s="5"/>
      <c r="I5229" s="5"/>
    </row>
    <row r="5230" spans="1:9" ht="13.5">
      <c r="A5230" s="7"/>
      <c r="B5230" s="3"/>
      <c r="C5230" s="5"/>
      <c r="D5230" s="5"/>
      <c r="E5230" s="5"/>
      <c r="F5230" s="5"/>
      <c r="G5230" s="5"/>
      <c r="H5230" s="5"/>
      <c r="I5230" s="5"/>
    </row>
    <row r="5231" spans="1:9" ht="13.5">
      <c r="A5231" s="7"/>
      <c r="B5231" s="3"/>
      <c r="C5231" s="5"/>
      <c r="D5231" s="5"/>
      <c r="E5231" s="5"/>
      <c r="F5231" s="5"/>
      <c r="G5231" s="5"/>
      <c r="H5231" s="5"/>
      <c r="I5231" s="5"/>
    </row>
    <row r="5232" spans="1:9" ht="13.5">
      <c r="A5232" s="7"/>
      <c r="B5232" s="3"/>
      <c r="C5232" s="5"/>
      <c r="D5232" s="5"/>
      <c r="E5232" s="5"/>
      <c r="F5232" s="5"/>
      <c r="G5232" s="5"/>
      <c r="H5232" s="5"/>
      <c r="I5232" s="5"/>
    </row>
    <row r="5233" spans="1:9" ht="13.5">
      <c r="A5233" s="7"/>
      <c r="B5233" s="3"/>
      <c r="C5233" s="5"/>
      <c r="D5233" s="5"/>
      <c r="E5233" s="5"/>
      <c r="F5233" s="5"/>
      <c r="G5233" s="5"/>
      <c r="H5233" s="5"/>
      <c r="I5233" s="5"/>
    </row>
    <row r="5234" spans="1:9" ht="13.5">
      <c r="A5234" s="7"/>
      <c r="B5234" s="3"/>
      <c r="C5234" s="5"/>
      <c r="D5234" s="5"/>
      <c r="E5234" s="5"/>
      <c r="F5234" s="5"/>
      <c r="G5234" s="5"/>
      <c r="H5234" s="5"/>
      <c r="I5234" s="5"/>
    </row>
    <row r="5235" spans="1:9" ht="13.5">
      <c r="A5235" s="7"/>
      <c r="B5235" s="3"/>
      <c r="C5235" s="5"/>
      <c r="D5235" s="5"/>
      <c r="E5235" s="5"/>
      <c r="F5235" s="5"/>
      <c r="G5235" s="5"/>
      <c r="H5235" s="5"/>
      <c r="I5235" s="5"/>
    </row>
    <row r="5236" spans="1:9" ht="13.5">
      <c r="A5236" s="7"/>
      <c r="B5236" s="3"/>
      <c r="C5236" s="5"/>
      <c r="D5236" s="5"/>
      <c r="E5236" s="5"/>
      <c r="F5236" s="5"/>
      <c r="G5236" s="5"/>
      <c r="H5236" s="5"/>
      <c r="I5236" s="5"/>
    </row>
    <row r="5237" spans="1:9" ht="13.5">
      <c r="A5237" s="7"/>
      <c r="B5237" s="3"/>
      <c r="C5237" s="5"/>
      <c r="D5237" s="5"/>
      <c r="E5237" s="5"/>
      <c r="F5237" s="5"/>
      <c r="G5237" s="5"/>
      <c r="H5237" s="5"/>
      <c r="I5237" s="5"/>
    </row>
    <row r="5238" spans="1:9" ht="13.5">
      <c r="A5238" s="7"/>
      <c r="B5238" s="3"/>
      <c r="C5238" s="5"/>
      <c r="D5238" s="5"/>
      <c r="E5238" s="5"/>
      <c r="F5238" s="5"/>
      <c r="G5238" s="5"/>
      <c r="H5238" s="5"/>
      <c r="I5238" s="5"/>
    </row>
    <row r="5239" spans="1:9" ht="13.5">
      <c r="A5239" s="7"/>
      <c r="B5239" s="3"/>
      <c r="C5239" s="5"/>
      <c r="D5239" s="5"/>
      <c r="E5239" s="5"/>
      <c r="F5239" s="5"/>
      <c r="G5239" s="5"/>
      <c r="H5239" s="5"/>
      <c r="I5239" s="5"/>
    </row>
    <row r="5240" spans="1:9" ht="13.5">
      <c r="A5240" s="7"/>
      <c r="B5240" s="3"/>
      <c r="C5240" s="5"/>
      <c r="D5240" s="5"/>
      <c r="E5240" s="5"/>
      <c r="F5240" s="5"/>
      <c r="G5240" s="5"/>
      <c r="H5240" s="5"/>
      <c r="I5240" s="5"/>
    </row>
    <row r="5241" spans="1:9" ht="13.5">
      <c r="A5241" s="7"/>
      <c r="B5241" s="3"/>
      <c r="C5241" s="5"/>
      <c r="D5241" s="5"/>
      <c r="E5241" s="5"/>
      <c r="F5241" s="5"/>
      <c r="G5241" s="5"/>
      <c r="H5241" s="5"/>
      <c r="I5241" s="5"/>
    </row>
    <row r="5242" spans="1:9" ht="13.5">
      <c r="A5242" s="7"/>
      <c r="B5242" s="3"/>
      <c r="C5242" s="5"/>
      <c r="D5242" s="5"/>
      <c r="E5242" s="5"/>
      <c r="F5242" s="5"/>
      <c r="G5242" s="5"/>
      <c r="H5242" s="5"/>
      <c r="I5242" s="5"/>
    </row>
    <row r="5243" spans="1:9" ht="13.5">
      <c r="A5243" s="7"/>
      <c r="B5243" s="3"/>
      <c r="C5243" s="5"/>
      <c r="D5243" s="5"/>
      <c r="E5243" s="5"/>
      <c r="F5243" s="5"/>
      <c r="G5243" s="5"/>
      <c r="H5243" s="5"/>
      <c r="I5243" s="5"/>
    </row>
    <row r="5244" spans="1:9" ht="13.5">
      <c r="A5244" s="7"/>
      <c r="B5244" s="3"/>
      <c r="C5244" s="5"/>
      <c r="D5244" s="5"/>
      <c r="E5244" s="5"/>
      <c r="F5244" s="5"/>
      <c r="G5244" s="5"/>
      <c r="H5244" s="5"/>
      <c r="I5244" s="5"/>
    </row>
    <row r="5245" spans="1:9" ht="13.5">
      <c r="A5245" s="7"/>
      <c r="B5245" s="3"/>
      <c r="C5245" s="5"/>
      <c r="D5245" s="5"/>
      <c r="E5245" s="5"/>
      <c r="F5245" s="5"/>
      <c r="G5245" s="5"/>
      <c r="H5245" s="5"/>
      <c r="I5245" s="5"/>
    </row>
    <row r="5246" spans="1:9" ht="13.5">
      <c r="A5246" s="7"/>
      <c r="B5246" s="3"/>
      <c r="C5246" s="5"/>
      <c r="D5246" s="5"/>
      <c r="E5246" s="5"/>
      <c r="F5246" s="5"/>
      <c r="G5246" s="5"/>
      <c r="H5246" s="5"/>
      <c r="I5246" s="5"/>
    </row>
    <row r="5247" spans="1:9" ht="13.5">
      <c r="A5247" s="7"/>
      <c r="B5247" s="3"/>
      <c r="C5247" s="5"/>
      <c r="D5247" s="5"/>
      <c r="E5247" s="5"/>
      <c r="F5247" s="5"/>
      <c r="G5247" s="5"/>
      <c r="H5247" s="5"/>
      <c r="I5247" s="5"/>
    </row>
    <row r="5248" spans="1:9" ht="13.5">
      <c r="A5248" s="7"/>
      <c r="B5248" s="3"/>
      <c r="C5248" s="5"/>
      <c r="D5248" s="5"/>
      <c r="E5248" s="5"/>
      <c r="F5248" s="5"/>
      <c r="G5248" s="5"/>
      <c r="H5248" s="5"/>
      <c r="I5248" s="5"/>
    </row>
    <row r="5249" spans="1:9" ht="13.5">
      <c r="A5249" s="7"/>
      <c r="B5249" s="3"/>
      <c r="C5249" s="5"/>
      <c r="D5249" s="5"/>
      <c r="E5249" s="5"/>
      <c r="F5249" s="5"/>
      <c r="G5249" s="5"/>
      <c r="H5249" s="5"/>
      <c r="I5249" s="5"/>
    </row>
    <row r="5250" spans="1:9" ht="13.5">
      <c r="A5250" s="7"/>
      <c r="B5250" s="3"/>
      <c r="C5250" s="5"/>
      <c r="D5250" s="5"/>
      <c r="E5250" s="5"/>
      <c r="F5250" s="5"/>
      <c r="G5250" s="5"/>
      <c r="H5250" s="5"/>
      <c r="I5250" s="5"/>
    </row>
    <row r="5251" spans="1:9" ht="13.5">
      <c r="A5251" s="7"/>
      <c r="B5251" s="3"/>
      <c r="C5251" s="5"/>
      <c r="D5251" s="5"/>
      <c r="E5251" s="5"/>
      <c r="F5251" s="5"/>
      <c r="G5251" s="5"/>
      <c r="H5251" s="5"/>
      <c r="I5251" s="5"/>
    </row>
    <row r="5252" spans="1:9" ht="13.5">
      <c r="A5252" s="7"/>
      <c r="B5252" s="3"/>
      <c r="C5252" s="5"/>
      <c r="D5252" s="5"/>
      <c r="E5252" s="5"/>
      <c r="F5252" s="5"/>
      <c r="G5252" s="5"/>
      <c r="H5252" s="5"/>
      <c r="I5252" s="5"/>
    </row>
    <row r="5253" spans="1:9" ht="13.5">
      <c r="A5253" s="7"/>
      <c r="B5253" s="3"/>
      <c r="C5253" s="5"/>
      <c r="D5253" s="5"/>
      <c r="E5253" s="5"/>
      <c r="F5253" s="5"/>
      <c r="G5253" s="5"/>
      <c r="H5253" s="5"/>
      <c r="I5253" s="5"/>
    </row>
    <row r="5254" spans="1:9" ht="13.5">
      <c r="A5254" s="7"/>
      <c r="B5254" s="3"/>
      <c r="C5254" s="5"/>
      <c r="D5254" s="5"/>
      <c r="E5254" s="5"/>
      <c r="F5254" s="5"/>
      <c r="G5254" s="5"/>
      <c r="H5254" s="5"/>
      <c r="I5254" s="5"/>
    </row>
    <row r="5255" spans="1:9" ht="13.5">
      <c r="A5255" s="7"/>
      <c r="B5255" s="3"/>
      <c r="C5255" s="5"/>
      <c r="D5255" s="5"/>
      <c r="E5255" s="5"/>
      <c r="F5255" s="5"/>
      <c r="G5255" s="5"/>
      <c r="H5255" s="5"/>
      <c r="I5255" s="5"/>
    </row>
    <row r="5256" spans="1:9" ht="13.5">
      <c r="A5256" s="7"/>
      <c r="B5256" s="3"/>
      <c r="C5256" s="5"/>
      <c r="D5256" s="5"/>
      <c r="E5256" s="5"/>
      <c r="F5256" s="5"/>
      <c r="G5256" s="5"/>
      <c r="H5256" s="5"/>
      <c r="I5256" s="5"/>
    </row>
    <row r="5257" spans="1:9" ht="13.5">
      <c r="A5257" s="7"/>
      <c r="B5257" s="3"/>
      <c r="C5257" s="5"/>
      <c r="D5257" s="5"/>
      <c r="E5257" s="5"/>
      <c r="F5257" s="5"/>
      <c r="G5257" s="5"/>
      <c r="H5257" s="5"/>
      <c r="I5257" s="5"/>
    </row>
    <row r="5258" spans="1:9" ht="13.5">
      <c r="A5258" s="7"/>
      <c r="B5258" s="3"/>
      <c r="C5258" s="5"/>
      <c r="D5258" s="5"/>
      <c r="E5258" s="5"/>
      <c r="F5258" s="5"/>
      <c r="G5258" s="5"/>
      <c r="H5258" s="5"/>
      <c r="I5258" s="5"/>
    </row>
    <row r="5259" spans="1:9" ht="13.5">
      <c r="A5259" s="7"/>
      <c r="B5259" s="3"/>
      <c r="C5259" s="5"/>
      <c r="D5259" s="5"/>
      <c r="E5259" s="5"/>
      <c r="F5259" s="5"/>
      <c r="G5259" s="5"/>
      <c r="H5259" s="5"/>
      <c r="I5259" s="5"/>
    </row>
    <row r="5260" spans="1:9" ht="13.5">
      <c r="A5260" s="7"/>
      <c r="B5260" s="3"/>
      <c r="C5260" s="5"/>
      <c r="D5260" s="5"/>
      <c r="E5260" s="5"/>
      <c r="F5260" s="5"/>
      <c r="G5260" s="5"/>
      <c r="H5260" s="5"/>
      <c r="I5260" s="5"/>
    </row>
    <row r="5261" spans="1:9" ht="13.5">
      <c r="A5261" s="7"/>
      <c r="B5261" s="3"/>
      <c r="C5261" s="5"/>
      <c r="D5261" s="5"/>
      <c r="E5261" s="5"/>
      <c r="F5261" s="5"/>
      <c r="G5261" s="5"/>
      <c r="H5261" s="5"/>
      <c r="I5261" s="5"/>
    </row>
    <row r="5262" spans="1:9" ht="13.5">
      <c r="A5262" s="7"/>
      <c r="B5262" s="3"/>
      <c r="C5262" s="5"/>
      <c r="D5262" s="5"/>
      <c r="E5262" s="5"/>
      <c r="F5262" s="5"/>
      <c r="G5262" s="5"/>
      <c r="H5262" s="5"/>
      <c r="I5262" s="5"/>
    </row>
    <row r="5263" spans="1:9" ht="13.5">
      <c r="A5263" s="7"/>
      <c r="B5263" s="3"/>
      <c r="C5263" s="5"/>
      <c r="D5263" s="5"/>
      <c r="E5263" s="5"/>
      <c r="F5263" s="5"/>
      <c r="G5263" s="5"/>
      <c r="H5263" s="5"/>
      <c r="I5263" s="5"/>
    </row>
    <row r="5264" spans="1:9" ht="13.5">
      <c r="A5264" s="7"/>
      <c r="B5264" s="3"/>
      <c r="C5264" s="5"/>
      <c r="D5264" s="5"/>
      <c r="E5264" s="5"/>
      <c r="F5264" s="5"/>
      <c r="G5264" s="5"/>
      <c r="H5264" s="5"/>
      <c r="I5264" s="5"/>
    </row>
    <row r="5265" spans="1:9" ht="13.5">
      <c r="A5265" s="7"/>
      <c r="B5265" s="3"/>
      <c r="C5265" s="5"/>
      <c r="D5265" s="5"/>
      <c r="E5265" s="5"/>
      <c r="F5265" s="5"/>
      <c r="G5265" s="5"/>
      <c r="H5265" s="5"/>
      <c r="I5265" s="5"/>
    </row>
    <row r="5266" spans="1:9" ht="13.5">
      <c r="A5266" s="7"/>
      <c r="B5266" s="3"/>
      <c r="C5266" s="5"/>
      <c r="D5266" s="5"/>
      <c r="E5266" s="5"/>
      <c r="F5266" s="5"/>
      <c r="G5266" s="5"/>
      <c r="H5266" s="5"/>
      <c r="I5266" s="5"/>
    </row>
    <row r="5267" spans="1:9" ht="13.5">
      <c r="A5267" s="7"/>
      <c r="B5267" s="3"/>
      <c r="C5267" s="5"/>
      <c r="D5267" s="5"/>
      <c r="E5267" s="5"/>
      <c r="F5267" s="5"/>
      <c r="G5267" s="5"/>
      <c r="H5267" s="5"/>
      <c r="I5267" s="5"/>
    </row>
    <row r="5268" spans="1:9" ht="13.5">
      <c r="A5268" s="7"/>
      <c r="B5268" s="3"/>
      <c r="C5268" s="5"/>
      <c r="D5268" s="5"/>
      <c r="E5268" s="5"/>
      <c r="F5268" s="5"/>
      <c r="G5268" s="5"/>
      <c r="H5268" s="5"/>
      <c r="I5268" s="5"/>
    </row>
    <row r="5269" spans="1:9" ht="13.5">
      <c r="A5269" s="7"/>
      <c r="B5269" s="3"/>
      <c r="C5269" s="5"/>
      <c r="D5269" s="5"/>
      <c r="E5269" s="5"/>
      <c r="F5269" s="5"/>
      <c r="G5269" s="5"/>
      <c r="H5269" s="5"/>
      <c r="I5269" s="5"/>
    </row>
    <row r="5270" spans="1:9" ht="13.5">
      <c r="A5270" s="7"/>
      <c r="B5270" s="3"/>
      <c r="C5270" s="5"/>
      <c r="D5270" s="5"/>
      <c r="E5270" s="5"/>
      <c r="F5270" s="5"/>
      <c r="G5270" s="5"/>
      <c r="H5270" s="5"/>
      <c r="I5270" s="5"/>
    </row>
    <row r="5271" spans="1:9" ht="13.5">
      <c r="A5271" s="7"/>
      <c r="B5271" s="3"/>
      <c r="C5271" s="5"/>
      <c r="D5271" s="5"/>
      <c r="E5271" s="5"/>
      <c r="F5271" s="5"/>
      <c r="G5271" s="5"/>
      <c r="H5271" s="5"/>
      <c r="I5271" s="5"/>
    </row>
    <row r="5272" spans="1:9" ht="13.5">
      <c r="A5272" s="7"/>
      <c r="B5272" s="3"/>
      <c r="C5272" s="5"/>
      <c r="D5272" s="5"/>
      <c r="E5272" s="5"/>
      <c r="F5272" s="5"/>
      <c r="G5272" s="5"/>
      <c r="H5272" s="5"/>
      <c r="I5272" s="5"/>
    </row>
    <row r="5273" spans="1:9" ht="13.5">
      <c r="A5273" s="7"/>
      <c r="B5273" s="3"/>
      <c r="C5273" s="5"/>
      <c r="D5273" s="5"/>
      <c r="E5273" s="5"/>
      <c r="F5273" s="5"/>
      <c r="G5273" s="5"/>
      <c r="H5273" s="5"/>
      <c r="I5273" s="5"/>
    </row>
    <row r="5274" spans="1:9" ht="13.5">
      <c r="A5274" s="7"/>
      <c r="B5274" s="3"/>
      <c r="C5274" s="5"/>
      <c r="D5274" s="5"/>
      <c r="E5274" s="5"/>
      <c r="F5274" s="5"/>
      <c r="G5274" s="5"/>
      <c r="H5274" s="5"/>
      <c r="I5274" s="5"/>
    </row>
    <row r="5275" spans="1:9" ht="13.5">
      <c r="A5275" s="7"/>
      <c r="B5275" s="3"/>
      <c r="C5275" s="5"/>
      <c r="D5275" s="5"/>
      <c r="E5275" s="5"/>
      <c r="F5275" s="5"/>
      <c r="G5275" s="5"/>
      <c r="H5275" s="5"/>
      <c r="I5275" s="5"/>
    </row>
    <row r="5276" spans="1:9" ht="13.5">
      <c r="A5276" s="7"/>
      <c r="B5276" s="3"/>
      <c r="C5276" s="5"/>
      <c r="D5276" s="5"/>
      <c r="E5276" s="5"/>
      <c r="F5276" s="5"/>
      <c r="G5276" s="5"/>
      <c r="H5276" s="5"/>
      <c r="I5276" s="5"/>
    </row>
    <row r="5277" spans="1:9" ht="13.5">
      <c r="A5277" s="7"/>
      <c r="B5277" s="3"/>
      <c r="C5277" s="5"/>
      <c r="D5277" s="5"/>
      <c r="E5277" s="5"/>
      <c r="F5277" s="5"/>
      <c r="G5277" s="5"/>
      <c r="H5277" s="5"/>
      <c r="I5277" s="5"/>
    </row>
    <row r="5278" spans="1:9" ht="13.5">
      <c r="A5278" s="7"/>
      <c r="B5278" s="3"/>
      <c r="C5278" s="5"/>
      <c r="D5278" s="5"/>
      <c r="E5278" s="5"/>
      <c r="F5278" s="5"/>
      <c r="G5278" s="5"/>
      <c r="H5278" s="5"/>
      <c r="I5278" s="5"/>
    </row>
    <row r="5279" spans="1:9" ht="13.5">
      <c r="A5279" s="7"/>
      <c r="B5279" s="3"/>
      <c r="C5279" s="5"/>
      <c r="D5279" s="5"/>
      <c r="E5279" s="5"/>
      <c r="F5279" s="5"/>
      <c r="G5279" s="5"/>
      <c r="H5279" s="5"/>
      <c r="I5279" s="5"/>
    </row>
    <row r="5280" spans="1:9" ht="13.5">
      <c r="A5280" s="7"/>
      <c r="B5280" s="3"/>
      <c r="C5280" s="5"/>
      <c r="D5280" s="5"/>
      <c r="E5280" s="5"/>
      <c r="F5280" s="5"/>
      <c r="G5280" s="5"/>
      <c r="H5280" s="5"/>
      <c r="I5280" s="5"/>
    </row>
    <row r="5281" spans="1:9" ht="13.5">
      <c r="A5281" s="7"/>
      <c r="B5281" s="3"/>
      <c r="C5281" s="5"/>
      <c r="D5281" s="5"/>
      <c r="E5281" s="5"/>
      <c r="F5281" s="5"/>
      <c r="G5281" s="5"/>
      <c r="H5281" s="5"/>
      <c r="I5281" s="5"/>
    </row>
    <row r="5282" spans="1:9" ht="13.5">
      <c r="A5282" s="7"/>
      <c r="B5282" s="3"/>
      <c r="C5282" s="5"/>
      <c r="D5282" s="5"/>
      <c r="E5282" s="5"/>
      <c r="F5282" s="5"/>
      <c r="G5282" s="5"/>
      <c r="H5282" s="5"/>
      <c r="I5282" s="5"/>
    </row>
    <row r="5283" spans="1:9" ht="13.5">
      <c r="A5283" s="7"/>
      <c r="B5283" s="3"/>
      <c r="C5283" s="5"/>
      <c r="D5283" s="5"/>
      <c r="E5283" s="5"/>
      <c r="F5283" s="5"/>
      <c r="G5283" s="5"/>
      <c r="H5283" s="5"/>
      <c r="I5283" s="5"/>
    </row>
    <row r="5284" spans="1:9" ht="13.5">
      <c r="A5284" s="7"/>
      <c r="B5284" s="3"/>
      <c r="C5284" s="5"/>
      <c r="D5284" s="5"/>
      <c r="E5284" s="5"/>
      <c r="F5284" s="5"/>
      <c r="G5284" s="5"/>
      <c r="H5284" s="5"/>
      <c r="I5284" s="5"/>
    </row>
    <row r="5285" spans="1:9" ht="13.5">
      <c r="A5285" s="7"/>
      <c r="B5285" s="3"/>
      <c r="C5285" s="5"/>
      <c r="D5285" s="5"/>
      <c r="E5285" s="5"/>
      <c r="F5285" s="5"/>
      <c r="G5285" s="5"/>
      <c r="H5285" s="5"/>
      <c r="I5285" s="5"/>
    </row>
    <row r="5286" spans="1:9" ht="13.5">
      <c r="A5286" s="7"/>
      <c r="B5286" s="3"/>
      <c r="C5286" s="5"/>
      <c r="D5286" s="5"/>
      <c r="E5286" s="5"/>
      <c r="F5286" s="5"/>
      <c r="G5286" s="5"/>
      <c r="H5286" s="5"/>
      <c r="I5286" s="5"/>
    </row>
    <row r="5287" spans="1:9" ht="13.5">
      <c r="A5287" s="7"/>
      <c r="B5287" s="3"/>
      <c r="C5287" s="5"/>
      <c r="D5287" s="5"/>
      <c r="E5287" s="5"/>
      <c r="F5287" s="5"/>
      <c r="G5287" s="5"/>
      <c r="H5287" s="5"/>
      <c r="I5287" s="5"/>
    </row>
    <row r="5288" spans="1:9" ht="13.5">
      <c r="A5288" s="7"/>
      <c r="B5288" s="3"/>
      <c r="C5288" s="5"/>
      <c r="D5288" s="5"/>
      <c r="E5288" s="5"/>
      <c r="F5288" s="5"/>
      <c r="G5288" s="5"/>
      <c r="H5288" s="5"/>
      <c r="I5288" s="5"/>
    </row>
    <row r="5289" spans="1:9" ht="13.5">
      <c r="A5289" s="7"/>
      <c r="B5289" s="3"/>
      <c r="C5289" s="5"/>
      <c r="D5289" s="5"/>
      <c r="E5289" s="5"/>
      <c r="F5289" s="5"/>
      <c r="G5289" s="5"/>
      <c r="H5289" s="5"/>
      <c r="I5289" s="5"/>
    </row>
    <row r="5290" spans="1:9" ht="13.5">
      <c r="A5290" s="7"/>
      <c r="B5290" s="3"/>
      <c r="C5290" s="5"/>
      <c r="D5290" s="5"/>
      <c r="E5290" s="5"/>
      <c r="F5290" s="5"/>
      <c r="G5290" s="5"/>
      <c r="H5290" s="5"/>
      <c r="I5290" s="5"/>
    </row>
    <row r="5291" spans="1:9" ht="13.5">
      <c r="A5291" s="7"/>
      <c r="B5291" s="3"/>
      <c r="C5291" s="5"/>
      <c r="D5291" s="5"/>
      <c r="E5291" s="5"/>
      <c r="F5291" s="5"/>
      <c r="G5291" s="5"/>
      <c r="H5291" s="5"/>
      <c r="I5291" s="5"/>
    </row>
    <row r="5292" spans="1:9" ht="13.5">
      <c r="A5292" s="7"/>
      <c r="B5292" s="3"/>
      <c r="C5292" s="5"/>
      <c r="D5292" s="5"/>
      <c r="E5292" s="5"/>
      <c r="F5292" s="5"/>
      <c r="G5292" s="5"/>
      <c r="H5292" s="5"/>
      <c r="I5292" s="5"/>
    </row>
    <row r="5293" spans="1:9" ht="13.5">
      <c r="A5293" s="7"/>
      <c r="B5293" s="3"/>
      <c r="C5293" s="5"/>
      <c r="D5293" s="5"/>
      <c r="E5293" s="5"/>
      <c r="F5293" s="5"/>
      <c r="G5293" s="5"/>
      <c r="H5293" s="5"/>
      <c r="I5293" s="5"/>
    </row>
    <row r="5294" spans="1:9" ht="13.5">
      <c r="A5294" s="7"/>
      <c r="B5294" s="3"/>
      <c r="C5294" s="5"/>
      <c r="D5294" s="5"/>
      <c r="E5294" s="5"/>
      <c r="F5294" s="5"/>
      <c r="G5294" s="5"/>
      <c r="H5294" s="5"/>
      <c r="I5294" s="5"/>
    </row>
    <row r="5295" spans="1:9" ht="13.5">
      <c r="A5295" s="7"/>
      <c r="B5295" s="3"/>
      <c r="C5295" s="5"/>
      <c r="D5295" s="5"/>
      <c r="E5295" s="5"/>
      <c r="F5295" s="5"/>
      <c r="G5295" s="5"/>
      <c r="H5295" s="5"/>
      <c r="I5295" s="5"/>
    </row>
    <row r="5296" spans="1:9" ht="13.5">
      <c r="A5296" s="7"/>
      <c r="B5296" s="3"/>
      <c r="C5296" s="5"/>
      <c r="D5296" s="5"/>
      <c r="E5296" s="5"/>
      <c r="F5296" s="5"/>
      <c r="G5296" s="5"/>
      <c r="H5296" s="5"/>
      <c r="I5296" s="5"/>
    </row>
    <row r="5297" spans="1:9" ht="13.5">
      <c r="A5297" s="7"/>
      <c r="B5297" s="3"/>
      <c r="C5297" s="5"/>
      <c r="D5297" s="5"/>
      <c r="E5297" s="5"/>
      <c r="F5297" s="5"/>
      <c r="G5297" s="5"/>
      <c r="H5297" s="5"/>
      <c r="I5297" s="5"/>
    </row>
    <row r="5298" spans="1:9" ht="13.5">
      <c r="A5298" s="7"/>
      <c r="B5298" s="3"/>
      <c r="C5298" s="5"/>
      <c r="D5298" s="5"/>
      <c r="E5298" s="5"/>
      <c r="F5298" s="5"/>
      <c r="G5298" s="5"/>
      <c r="H5298" s="5"/>
      <c r="I5298" s="5"/>
    </row>
    <row r="5299" spans="1:9" ht="13.5">
      <c r="A5299" s="7"/>
      <c r="B5299" s="3"/>
      <c r="C5299" s="5"/>
      <c r="D5299" s="5"/>
      <c r="E5299" s="5"/>
      <c r="F5299" s="5"/>
      <c r="G5299" s="5"/>
      <c r="H5299" s="5"/>
      <c r="I5299" s="5"/>
    </row>
    <row r="5300" spans="1:9" ht="13.5">
      <c r="A5300" s="7"/>
      <c r="B5300" s="3"/>
      <c r="C5300" s="5"/>
      <c r="D5300" s="5"/>
      <c r="E5300" s="5"/>
      <c r="F5300" s="5"/>
      <c r="G5300" s="5"/>
      <c r="H5300" s="5"/>
      <c r="I5300" s="5"/>
    </row>
    <row r="5301" spans="1:9" ht="13.5">
      <c r="A5301" s="7"/>
      <c r="B5301" s="3"/>
      <c r="C5301" s="5"/>
      <c r="D5301" s="5"/>
      <c r="E5301" s="5"/>
      <c r="F5301" s="5"/>
      <c r="G5301" s="5"/>
      <c r="H5301" s="5"/>
      <c r="I5301" s="5"/>
    </row>
    <row r="5302" spans="1:9" ht="13.5">
      <c r="A5302" s="7"/>
      <c r="B5302" s="3"/>
      <c r="C5302" s="5"/>
      <c r="D5302" s="5"/>
      <c r="E5302" s="5"/>
      <c r="F5302" s="5"/>
      <c r="G5302" s="5"/>
      <c r="H5302" s="5"/>
      <c r="I5302" s="5"/>
    </row>
    <row r="5303" spans="1:9" ht="13.5">
      <c r="A5303" s="7"/>
      <c r="B5303" s="3"/>
      <c r="C5303" s="5"/>
      <c r="D5303" s="5"/>
      <c r="E5303" s="5"/>
      <c r="F5303" s="5"/>
      <c r="G5303" s="5"/>
      <c r="H5303" s="5"/>
      <c r="I5303" s="5"/>
    </row>
    <row r="5304" spans="1:9" ht="13.5">
      <c r="A5304" s="7"/>
      <c r="B5304" s="3"/>
      <c r="C5304" s="5"/>
      <c r="D5304" s="5"/>
      <c r="E5304" s="5"/>
      <c r="F5304" s="5"/>
      <c r="G5304" s="5"/>
      <c r="H5304" s="5"/>
      <c r="I5304" s="5"/>
    </row>
    <row r="5305" spans="1:9" ht="13.5">
      <c r="A5305" s="7"/>
      <c r="B5305" s="3"/>
      <c r="C5305" s="5"/>
      <c r="D5305" s="5"/>
      <c r="E5305" s="5"/>
      <c r="F5305" s="5"/>
      <c r="G5305" s="5"/>
      <c r="H5305" s="5"/>
      <c r="I5305" s="5"/>
    </row>
    <row r="5306" spans="1:9" ht="13.5">
      <c r="A5306" s="7"/>
      <c r="B5306" s="3"/>
      <c r="C5306" s="5"/>
      <c r="D5306" s="5"/>
      <c r="E5306" s="5"/>
      <c r="F5306" s="5"/>
      <c r="G5306" s="5"/>
      <c r="H5306" s="5"/>
      <c r="I5306" s="5"/>
    </row>
    <row r="5307" spans="1:9" ht="13.5">
      <c r="A5307" s="7"/>
      <c r="B5307" s="3"/>
      <c r="C5307" s="5"/>
      <c r="D5307" s="5"/>
      <c r="E5307" s="5"/>
      <c r="F5307" s="5"/>
      <c r="G5307" s="5"/>
      <c r="H5307" s="5"/>
      <c r="I5307" s="5"/>
    </row>
    <row r="5308" spans="1:9" ht="13.5">
      <c r="A5308" s="7"/>
      <c r="B5308" s="3"/>
      <c r="C5308" s="5"/>
      <c r="D5308" s="5"/>
      <c r="E5308" s="5"/>
      <c r="F5308" s="5"/>
      <c r="G5308" s="5"/>
      <c r="H5308" s="5"/>
      <c r="I5308" s="5"/>
    </row>
    <row r="5309" spans="1:9" ht="13.5">
      <c r="A5309" s="7"/>
      <c r="B5309" s="3"/>
      <c r="C5309" s="5"/>
      <c r="D5309" s="5"/>
      <c r="E5309" s="5"/>
      <c r="F5309" s="5"/>
      <c r="G5309" s="5"/>
      <c r="H5309" s="5"/>
      <c r="I5309" s="5"/>
    </row>
    <row r="5310" spans="1:9" ht="13.5">
      <c r="A5310" s="7"/>
      <c r="B5310" s="3"/>
      <c r="C5310" s="5"/>
      <c r="D5310" s="5"/>
      <c r="E5310" s="5"/>
      <c r="F5310" s="5"/>
      <c r="G5310" s="5"/>
      <c r="H5310" s="5"/>
      <c r="I5310" s="5"/>
    </row>
    <row r="5311" spans="1:9" ht="13.5">
      <c r="A5311" s="7"/>
      <c r="B5311" s="3"/>
      <c r="C5311" s="5"/>
      <c r="D5311" s="5"/>
      <c r="E5311" s="5"/>
      <c r="F5311" s="5"/>
      <c r="G5311" s="5"/>
      <c r="H5311" s="5"/>
      <c r="I5311" s="5"/>
    </row>
    <row r="5312" spans="1:9" ht="13.5">
      <c r="A5312" s="7"/>
      <c r="B5312" s="3"/>
      <c r="C5312" s="5"/>
      <c r="D5312" s="5"/>
      <c r="E5312" s="5"/>
      <c r="F5312" s="5"/>
      <c r="G5312" s="5"/>
      <c r="H5312" s="5"/>
      <c r="I5312" s="5"/>
    </row>
    <row r="5313" spans="1:9" ht="13.5">
      <c r="A5313" s="7"/>
      <c r="B5313" s="3"/>
      <c r="C5313" s="5"/>
      <c r="D5313" s="5"/>
      <c r="E5313" s="5"/>
      <c r="F5313" s="5"/>
      <c r="G5313" s="5"/>
      <c r="H5313" s="5"/>
      <c r="I5313" s="5"/>
    </row>
    <row r="5314" spans="1:9" ht="13.5">
      <c r="A5314" s="7"/>
      <c r="B5314" s="3"/>
      <c r="C5314" s="5"/>
      <c r="D5314" s="5"/>
      <c r="E5314" s="5"/>
      <c r="F5314" s="5"/>
      <c r="G5314" s="5"/>
      <c r="H5314" s="5"/>
      <c r="I5314" s="5"/>
    </row>
    <row r="5315" spans="1:9" ht="13.5">
      <c r="A5315" s="7"/>
      <c r="B5315" s="3"/>
      <c r="C5315" s="5"/>
      <c r="D5315" s="5"/>
      <c r="E5315" s="5"/>
      <c r="F5315" s="5"/>
      <c r="G5315" s="5"/>
      <c r="H5315" s="5"/>
      <c r="I5315" s="5"/>
    </row>
    <row r="5316" spans="1:9" ht="13.5">
      <c r="A5316" s="7"/>
      <c r="B5316" s="3"/>
      <c r="C5316" s="5"/>
      <c r="D5316" s="5"/>
      <c r="E5316" s="5"/>
      <c r="F5316" s="5"/>
      <c r="G5316" s="5"/>
      <c r="H5316" s="5"/>
      <c r="I5316" s="5"/>
    </row>
    <row r="5317" spans="1:9" ht="13.5">
      <c r="A5317" s="7"/>
      <c r="B5317" s="3"/>
      <c r="C5317" s="5"/>
      <c r="D5317" s="5"/>
      <c r="E5317" s="5"/>
      <c r="F5317" s="5"/>
      <c r="G5317" s="5"/>
      <c r="H5317" s="5"/>
      <c r="I5317" s="5"/>
    </row>
    <row r="5318" spans="1:9" ht="13.5">
      <c r="A5318" s="7"/>
      <c r="B5318" s="3"/>
      <c r="C5318" s="5"/>
      <c r="D5318" s="5"/>
      <c r="E5318" s="5"/>
      <c r="F5318" s="5"/>
      <c r="G5318" s="5"/>
      <c r="H5318" s="5"/>
      <c r="I5318" s="5"/>
    </row>
    <row r="5319" spans="1:9" ht="13.5">
      <c r="A5319" s="7"/>
      <c r="B5319" s="3"/>
      <c r="C5319" s="5"/>
      <c r="D5319" s="5"/>
      <c r="E5319" s="5"/>
      <c r="F5319" s="5"/>
      <c r="G5319" s="5"/>
      <c r="H5319" s="5"/>
      <c r="I5319" s="5"/>
    </row>
    <row r="5320" spans="1:9" ht="13.5">
      <c r="A5320" s="7"/>
      <c r="B5320" s="3"/>
      <c r="C5320" s="5"/>
      <c r="D5320" s="5"/>
      <c r="E5320" s="5"/>
      <c r="F5320" s="5"/>
      <c r="G5320" s="5"/>
      <c r="H5320" s="5"/>
      <c r="I5320" s="5"/>
    </row>
    <row r="5321" spans="1:9" ht="13.5">
      <c r="A5321" s="7"/>
      <c r="B5321" s="3"/>
      <c r="C5321" s="5"/>
      <c r="D5321" s="5"/>
      <c r="E5321" s="5"/>
      <c r="F5321" s="5"/>
      <c r="G5321" s="5"/>
      <c r="H5321" s="5"/>
      <c r="I5321" s="5"/>
    </row>
    <row r="5322" spans="1:9" ht="13.5">
      <c r="A5322" s="7"/>
      <c r="B5322" s="3"/>
      <c r="C5322" s="5"/>
      <c r="D5322" s="5"/>
      <c r="E5322" s="5"/>
      <c r="F5322" s="5"/>
      <c r="G5322" s="5"/>
      <c r="H5322" s="5"/>
      <c r="I5322" s="5"/>
    </row>
    <row r="5323" spans="1:9" ht="13.5">
      <c r="A5323" s="7"/>
      <c r="B5323" s="3"/>
      <c r="C5323" s="5"/>
      <c r="D5323" s="5"/>
      <c r="E5323" s="5"/>
      <c r="F5323" s="5"/>
      <c r="G5323" s="5"/>
      <c r="H5323" s="5"/>
      <c r="I5323" s="5"/>
    </row>
    <row r="5324" spans="1:9" ht="13.5">
      <c r="A5324" s="7"/>
      <c r="B5324" s="3"/>
      <c r="C5324" s="5"/>
      <c r="D5324" s="5"/>
      <c r="E5324" s="5"/>
      <c r="F5324" s="5"/>
      <c r="G5324" s="5"/>
      <c r="H5324" s="5"/>
      <c r="I5324" s="5"/>
    </row>
    <row r="5325" spans="1:9" ht="13.5">
      <c r="A5325" s="7"/>
      <c r="B5325" s="3"/>
      <c r="C5325" s="5"/>
      <c r="D5325" s="5"/>
      <c r="E5325" s="5"/>
      <c r="F5325" s="5"/>
      <c r="G5325" s="5"/>
      <c r="H5325" s="5"/>
      <c r="I5325" s="5"/>
    </row>
    <row r="5326" spans="1:9" ht="13.5">
      <c r="A5326" s="7"/>
      <c r="B5326" s="3"/>
      <c r="C5326" s="5"/>
      <c r="D5326" s="5"/>
      <c r="E5326" s="5"/>
      <c r="F5326" s="5"/>
      <c r="G5326" s="5"/>
      <c r="H5326" s="5"/>
      <c r="I5326" s="5"/>
    </row>
    <row r="5327" spans="1:9" ht="13.5">
      <c r="A5327" s="7"/>
      <c r="B5327" s="3"/>
      <c r="C5327" s="5"/>
      <c r="D5327" s="5"/>
      <c r="E5327" s="5"/>
      <c r="F5327" s="5"/>
      <c r="G5327" s="5"/>
      <c r="H5327" s="5"/>
      <c r="I5327" s="5"/>
    </row>
    <row r="5328" spans="1:9" ht="13.5">
      <c r="A5328" s="7"/>
      <c r="B5328" s="3"/>
      <c r="C5328" s="5"/>
      <c r="D5328" s="5"/>
      <c r="E5328" s="5"/>
      <c r="F5328" s="5"/>
      <c r="G5328" s="5"/>
      <c r="H5328" s="5"/>
      <c r="I5328" s="5"/>
    </row>
    <row r="5329" spans="1:9" ht="13.5">
      <c r="A5329" s="7"/>
      <c r="B5329" s="3"/>
      <c r="C5329" s="5"/>
      <c r="D5329" s="5"/>
      <c r="E5329" s="5"/>
      <c r="F5329" s="5"/>
      <c r="G5329" s="5"/>
      <c r="H5329" s="5"/>
      <c r="I5329" s="5"/>
    </row>
    <row r="5330" spans="1:9" ht="13.5">
      <c r="A5330" s="7"/>
      <c r="B5330" s="3"/>
      <c r="C5330" s="5"/>
      <c r="D5330" s="5"/>
      <c r="E5330" s="5"/>
      <c r="F5330" s="5"/>
      <c r="G5330" s="5"/>
      <c r="H5330" s="5"/>
      <c r="I5330" s="5"/>
    </row>
    <row r="5331" spans="1:9" ht="13.5">
      <c r="A5331" s="7"/>
      <c r="B5331" s="3"/>
      <c r="C5331" s="5"/>
      <c r="D5331" s="5"/>
      <c r="E5331" s="5"/>
      <c r="F5331" s="5"/>
      <c r="G5331" s="5"/>
      <c r="H5331" s="5"/>
      <c r="I5331" s="5"/>
    </row>
    <row r="5332" spans="1:9" ht="13.5">
      <c r="A5332" s="7"/>
      <c r="B5332" s="3"/>
      <c r="C5332" s="5"/>
      <c r="D5332" s="5"/>
      <c r="E5332" s="5"/>
      <c r="F5332" s="5"/>
      <c r="G5332" s="5"/>
      <c r="H5332" s="5"/>
      <c r="I5332" s="5"/>
    </row>
    <row r="5333" spans="1:9" ht="13.5">
      <c r="A5333" s="7"/>
      <c r="B5333" s="3"/>
      <c r="C5333" s="5"/>
      <c r="D5333" s="5"/>
      <c r="E5333" s="5"/>
      <c r="F5333" s="5"/>
      <c r="G5333" s="5"/>
      <c r="H5333" s="5"/>
      <c r="I5333" s="5"/>
    </row>
    <row r="5334" spans="1:9" ht="13.5">
      <c r="A5334" s="7"/>
      <c r="B5334" s="3"/>
      <c r="C5334" s="5"/>
      <c r="D5334" s="5"/>
      <c r="E5334" s="5"/>
      <c r="F5334" s="5"/>
      <c r="G5334" s="5"/>
      <c r="H5334" s="5"/>
      <c r="I5334" s="5"/>
    </row>
    <row r="5335" spans="1:9" ht="13.5">
      <c r="A5335" s="7"/>
      <c r="B5335" s="3"/>
      <c r="C5335" s="5"/>
      <c r="D5335" s="5"/>
      <c r="E5335" s="5"/>
      <c r="F5335" s="5"/>
      <c r="G5335" s="5"/>
      <c r="H5335" s="5"/>
      <c r="I5335" s="5"/>
    </row>
    <row r="5336" spans="1:9" ht="13.5">
      <c r="A5336" s="7"/>
      <c r="B5336" s="3"/>
      <c r="C5336" s="5"/>
      <c r="D5336" s="5"/>
      <c r="E5336" s="5"/>
      <c r="F5336" s="5"/>
      <c r="G5336" s="5"/>
      <c r="H5336" s="5"/>
      <c r="I5336" s="5"/>
    </row>
    <row r="5337" spans="1:9" ht="13.5">
      <c r="A5337" s="7"/>
      <c r="B5337" s="3"/>
      <c r="C5337" s="5"/>
      <c r="D5337" s="5"/>
      <c r="E5337" s="5"/>
      <c r="F5337" s="5"/>
      <c r="G5337" s="5"/>
      <c r="H5337" s="5"/>
      <c r="I5337" s="5"/>
    </row>
    <row r="5338" spans="1:9" ht="13.5">
      <c r="A5338" s="7"/>
      <c r="B5338" s="3"/>
      <c r="C5338" s="5"/>
      <c r="D5338" s="5"/>
      <c r="E5338" s="5"/>
      <c r="F5338" s="5"/>
      <c r="G5338" s="5"/>
      <c r="H5338" s="5"/>
      <c r="I5338" s="5"/>
    </row>
    <row r="5339" spans="1:9" ht="13.5">
      <c r="A5339" s="7"/>
      <c r="B5339" s="3"/>
      <c r="C5339" s="5"/>
      <c r="D5339" s="5"/>
      <c r="E5339" s="5"/>
      <c r="F5339" s="5"/>
      <c r="G5339" s="5"/>
      <c r="H5339" s="5"/>
      <c r="I5339" s="5"/>
    </row>
    <row r="5340" spans="1:9" ht="13.5">
      <c r="A5340" s="7"/>
      <c r="B5340" s="3"/>
      <c r="C5340" s="5"/>
      <c r="D5340" s="5"/>
      <c r="E5340" s="5"/>
      <c r="F5340" s="5"/>
      <c r="G5340" s="5"/>
      <c r="H5340" s="5"/>
      <c r="I5340" s="5"/>
    </row>
    <row r="5341" spans="1:9" ht="13.5">
      <c r="A5341" s="7"/>
      <c r="B5341" s="3"/>
      <c r="C5341" s="5"/>
      <c r="D5341" s="5"/>
      <c r="E5341" s="5"/>
      <c r="F5341" s="5"/>
      <c r="G5341" s="5"/>
      <c r="H5341" s="5"/>
      <c r="I5341" s="5"/>
    </row>
    <row r="5342" spans="1:9" ht="13.5">
      <c r="A5342" s="7"/>
      <c r="B5342" s="3"/>
      <c r="C5342" s="5"/>
      <c r="D5342" s="5"/>
      <c r="E5342" s="5"/>
      <c r="F5342" s="5"/>
      <c r="G5342" s="5"/>
      <c r="H5342" s="5"/>
      <c r="I5342" s="5"/>
    </row>
    <row r="5343" spans="1:9" ht="13.5">
      <c r="A5343" s="7"/>
      <c r="B5343" s="3"/>
      <c r="C5343" s="5"/>
      <c r="D5343" s="5"/>
      <c r="E5343" s="5"/>
      <c r="F5343" s="5"/>
      <c r="G5343" s="5"/>
      <c r="H5343" s="5"/>
      <c r="I5343" s="5"/>
    </row>
    <row r="5344" spans="1:9" ht="13.5">
      <c r="A5344" s="7"/>
      <c r="B5344" s="3"/>
      <c r="C5344" s="5"/>
      <c r="D5344" s="5"/>
      <c r="E5344" s="5"/>
      <c r="F5344" s="5"/>
      <c r="G5344" s="5"/>
      <c r="H5344" s="5"/>
      <c r="I5344" s="5"/>
    </row>
    <row r="5345" spans="1:9" ht="13.5">
      <c r="A5345" s="7"/>
      <c r="B5345" s="3"/>
      <c r="C5345" s="5"/>
      <c r="D5345" s="5"/>
      <c r="E5345" s="5"/>
      <c r="F5345" s="5"/>
      <c r="G5345" s="5"/>
      <c r="H5345" s="5"/>
      <c r="I5345" s="5"/>
    </row>
    <row r="5346" spans="1:9" ht="13.5">
      <c r="A5346" s="7"/>
      <c r="B5346" s="3"/>
      <c r="C5346" s="5"/>
      <c r="D5346" s="5"/>
      <c r="E5346" s="5"/>
      <c r="F5346" s="5"/>
      <c r="G5346" s="5"/>
      <c r="H5346" s="5"/>
      <c r="I5346" s="5"/>
    </row>
    <row r="5347" spans="1:9" ht="13.5">
      <c r="A5347" s="7"/>
      <c r="B5347" s="3"/>
      <c r="C5347" s="5"/>
      <c r="D5347" s="5"/>
      <c r="E5347" s="5"/>
      <c r="F5347" s="5"/>
      <c r="G5347" s="5"/>
      <c r="H5347" s="5"/>
      <c r="I5347" s="6"/>
    </row>
  </sheetData>
  <autoFilter ref="A1:I5347" xr:uid="{00000000-0009-0000-0000-000000000000}"/>
  <conditionalFormatting sqref="C1691">
    <cfRule type="notContainsBlanks" dxfId="0" priority="1">
      <formula>LEN(TRIM(C1691))&gt;0</formula>
    </cfRule>
  </conditionalFormatting>
  <dataValidations count="15">
    <dataValidation type="list" allowBlank="1" showErrorMessage="1" sqref="H2:H1712 H1716:H1735 H1738:H1817 H1819:H1868 H1872:H1985 H1988:H2022 H2027:H2028 H2030:H2122 H2124:H2330 H2334:H2350 H2352:H2371 H2373:H2379 H2420:H2445 H2448:H2480 H2482:H2555 H2557:H2624 H2626:H2707 H2709:H2718 H2720:H2739 H2741:H2745 H2747:H2836 H2838:H2868 H2870:H2877 H2880:H2891 H2893:H2929 H2931:H2940 H2944:H2947 H2949:H3069 H3075:H3108 H3110:H3122 H3124:H3208 H3210:H3212 H3214:H5347" xr:uid="{00000000-0002-0000-0000-000000000000}">
      <formula1>"SE,ENG,DK,FI,NO,DE,US,CA,Chile,UE,UK,NL,SA,IN,LATAM"</formula1>
    </dataValidation>
    <dataValidation type="list" allowBlank="1" showErrorMessage="1" sqref="A174 A194 A340:A344 A351:A359 A370:A373 A376:A378 A382:A390 A397:A400 A402:A407 A4061 A4133 A4206 A4208:A4209 A4289" xr:uid="{00000000-0002-0000-0000-000001000000}">
      <formula1>"basalt.se,2snickare.se,flyttbolagetstockholm.se,boule.com,esma.se,toshibatecblog.se,barberandbabes.se,bossesuppsala.se,choicesuppsala.se,fransuppsala.se,secura.se,iustus.se,klangkitchen.se,townhousebyklang.se,carotte.se,hyrminmaskin.se,maklarcentrum.se,ka"&amp;"rpia.se,bespokebureau.com,fann.se,vardagsfrid.se,srsgroup.se,e-identitet.se,sushiyama.se,boverk.se,mywindow.se,binsell.se,maxmarkiser.se,scro.se,thepepdog.com,lovdals.se,childacademysports.se,https://cajsas-kok.se/,kilafors.se,granbycatering.se,plat-konsu"&amp;"lt.se,swedoffice,haxan.se,tiotak.se,askskinfo.com,adligo.io,pontechmarina.com,pontonhamnar.se,tryggbil.se,vont.se,villarelining.se,blugiallo.se,robomarkets.com,distansinstitutet.se,schjodt.com,sufracofinebrands.com,lansfast.se,bigbenstandup.com,foyen.se,i"&amp;"sakstrafikskola.se,miamipool.se,lemontree.se,fairinvestments,conclean.se,arctic.se,vontobel.com,creditsafe.com,spelacasino.io,aretrotale.com,alfa.no,yagya.com,pontech"</formula1>
    </dataValidation>
    <dataValidation type="list" allowBlank="1" showErrorMessage="1" sqref="A2080" xr:uid="{00000000-0002-0000-0000-000002000000}">
      <formula1>"vontabel.com,tiotak.se,yagya.com,sufracofinebrands.com,schjodt.com,nem.health,logosol.de,lansfast.se,ljusgrossisten.se,kopbarnvagn.se,haxan.se,fairinvestments.se,elmarknad.se,elenkelt.se,dieselkraft.se,chronos.se,bästförsäkringar.se,blugiallo.com,bigbenst"&amp;"andup.com,askskinfo.com,arctic.se,toyota-forklifts.se,swedoffice,creditsafe.se,pontech,vont,villarelining.se,happysocks.com,www.adligo.io,rehabgrossisten.com,tryggbil.se,robomarkets.com,lemontree.se,sambla,miamipool.se,conclean.se,aretrotale.com,Alfa.no,a"&amp;"retrotale.com,zperfume.se,distansinstitutet.se,tandea.se,foyen.se,veterinarklinikenbirsta.se,???,isakstrafikskola.se,oconnors.se,advancepointcap.com,freckeus.se,ledkungen.se,hemplybalance.com,spoors.health,ritty.se,triwa.com,alexbyggkonsult.se,rosmarinolj"&amp;"a.nu,notyfile.se/sv,carpcon.se,e-ciggbolaget.se,saneringscompaniet.se,mariatand.se,sundsvallbergvarme.se,w3solenergi.se,hvvs.se,norteam.se,everynightstudios.com,IP i Sverige,Lansfast Danderyd &amp; täby,Finansplassen.no,pontonhamnar.se,legendbygg.com,rawhemp."&amp;"se,cannabislight.se,glitnor.com,spelklubben.se,alvtorpet.se,evide.se,heteknik.se,qsundsvall.se,ttsab.nu,reveljens.se,rosapensionat.se,Alfa.se,Betsson.no,nordenhydralic.se,merinfo.se,elavtaldirekt.se,filippa-k.com/se/sv/,m6bygg.se,kelleher-international,tr"&amp;"yggvi.se,awaio.com,massagestockholm.se,Aaatak.se,gordetmedrw.se,mrnicco.com,restate.se,storgruppen.se,startmotor.se,sakraror.se,ampilo.se,spolarent.se,purakliniken.se,snusnetto.se,kvarnx.com,cdg.io,seniorrabatt.se,cherry.com,kelleher-international.com,jov"&amp;"ialsundsvall.se,hampabonden.se,joureliten.se,snuset.se,nettotobak.com,rusta.se,ekstromgaray.se,soartzy.com,bethard.com,myownwater.com,mynicco.com,nodepositbonus.cc,hbel.se,navx.store,pricecarz.com,zmarta.se,rusta.se,kamux.fi,peaccounting.se,comeon.com"</formula1>
    </dataValidation>
    <dataValidation type="list" allowBlank="1" showErrorMessage="1" sqref="A1274" xr:uid="{00000000-0002-0000-0000-000003000000}">
      <formula1>"vontabel.com,tiotak.se,yagya.com,sufracofinebrands.com,schjodt.com,nem.health,logosol.de,lansfast.se,ljusgrossisten.se,kopbarnvagn.se,haxan.se,fairinvestments.se,elmarknad.se,elenkelt.se,dieselkraft.se,chronos.se,bästförsäkringar.se,blugiallo.com,bigbenst"&amp;"andup.com,askskinfo.com,arctic.se,toyota-forklifts.se,swedoffice,creditsafe.se,pontech,vont,villarelining.se,happysocks.com,www.adligo.io,rehabgrossisten.com,tryggbil.se,robomarkets.com,lemontree.se,sambla,miamipool.se,conclean.se,aretrotale.com,Alfa.no,a"&amp;"retrotale.com,zperfume.se,distansinstitutet.se,tandea.se,foyen.se,veterinarklinikenbirsta.se,???,isakstrafikskola.se,oconnors.se,advancepointcap.com,freckeus.se,ledkungen.se,hemplybalance.com,spoors.health,ritty.se,triwa.com,alexbyggkonsult.se,rosmarinolj"&amp;"a.nu,notyfile.se/sv,carpcon.se,e-ciggbolaget.se,saneringscompaniet.se,mariatand.se,sundsvallbergvarme.se,w3solenergi.se,hvvs.se,norteam.se,everynightstudios.com,IP i Sverige,Lansfast Danderyd &amp; täby,Finansplassen.no,pontonhamnar.se,legendbygg.com,rawhemp."&amp;"se,cannabislight.se,glitnor.com,spelklubben.se,alvtorpet.se,evide.se,heteknik.se,qsundsvall.se,ttsab.nu,reveljens.se,rosapensionat.se,Alfa.se,Betsson.no,nordenhydralic.se,merinfo.se,elavtaldirekt.se,filippa-k.com/se/sv/,m6bygg.se,kelleher-international,tr"&amp;"yggvi.se,awaio.com,massagestockholm.se,Aaatak.se,gordetmedrw.se,mrnicco.com,restate.se,storgruppen.se,startmotor.se,sakraror.se,ampilo.se,spolarent.se,purakliniken.se,nettotobak.com,kvarn.com,snuset.se,bethard.com/sv,cherry.com,seniorrabatt.se"</formula1>
    </dataValidation>
    <dataValidation type="list" allowBlank="1" showErrorMessage="1" sqref="H1713:H1715 H1736:H1737 H1818 H1869:H1871 H1986:H1987 H2023:H2026 H2029 H2123 H2331:H2333 H2351 H2372 H2380:H2419 H2446:H2447 H2481 H2556 H2708 H2719 H2740 H2746 H2837 H2869 H2878:H2879 H2892 H2930 H2941:H2943 H2948 H3070:H3074 H3109 H3123 H3209 H3213" xr:uid="{00000000-0002-0000-0000-000004000000}">
      <formula1>"SE,ENG,DK,FI,NO,GE,US,CA,Chile,UE,UK,NL"</formula1>
    </dataValidation>
    <dataValidation type="list" allowBlank="1" showErrorMessage="1" sqref="G2:G2836 G2838:G2868 G2870:G2891 G2893:G2899 G2904:G2940 G2944:G5347" xr:uid="{00000000-0002-0000-0000-000005000000}">
      <formula1>"Artikel,Startsida,Partner,Site,MS,Blogg,Insert"</formula1>
    </dataValidation>
    <dataValidation type="list" allowBlank="1" showErrorMessage="1" sqref="A2123 A2188" xr:uid="{00000000-0002-0000-0000-000007000000}">
      <formula1>"vontabel.com,tiotak.se,yagya.com,sufracofinebrands.com,schjodt.com,nem.health,logosol.de,lansfast.se,ljusgrossisten.se,kopbarnvagn.se,haxan.se,fairinvestments.se,elmarknad.se,elenkelt.se,dieselkraft.se,chronos.se,bästförsäkringar.se,blugiallo.com,bigbenst"&amp;"andup.com,askskinfo.com,arctic.se,toyota-forklifts.se,swedoffice,creditsafe.se,pontech,vont,villarelining.se,happysocks.com,www.adligo.io,rehabgrossisten.com,tryggbil.se,robomarkets.com,lemontree.se,sambla,miamipool.se,conclean.se,aretrotale.com,Alfa.no,a"&amp;"retrotale.com,zperfume.se,distansinstitutet.se,tandea.se,foyen.se,veterinarklinikenbirsta.se,???,isakstrafikskola.se,oconnors.se,advancepointcap.com,freckeus.se,ledkungen.se,hemplybalance.com,spoors.health,ritty.se,triwa.com,alexbyggkonsult.se,rosmarinolj"&amp;"a.nu,notyfile.se/sv,carpcon.se,e-ciggbolaget.se,saneringscompaniet.se,mariatand.se,sundsvallbergvarme.se,w3solenergi.se,hvvs.se,norteam.se,everynightstudios.com,IP i Sverige,Lansfast Danderyd &amp; täby,Finansplassen.no,pontonhamnar.se,legendbygg.com,rawhemp."&amp;"se,cannabislight.se,glitnor.com,spelklubben.se,alvtorpet.se,evide.se,heteknik.se,qsundsvall.se,ttsab.nu,reveljens.se,rosapensionat.se,Alfa.se,Betsson.no,nordenhydralic.se,merinfo.se,elavtaldirekt.se,filippa-k.com/se/sv/,m6bygg.se,kelleher-international,tr"&amp;"yggvi.se,awaio.com,massagestockholm.se,Aaatak.se,gordetmedrw.se,mrnicco.com,restate.se,storgruppen.se,startmotor.se,sakraror.se,ampilo.se,spolarent.se,purakliniken.se,snusnetto.se,kvarnx.com,cdg.io,seniorrabatt.se,cherry.com,kelleher-international.com,jov"&amp;"ialsundsvall.se,hampabonden.se,joureliten.se,snuset.se,nettotobak.com,rusta.se,ekstromgaray.se,soartzy.com,bethard.com,myownwater.com,mynicco.com,nodepositbonus.cc,hbel.se,navx.store,pricecarz.com,zmarta.se,rusta.se,kamux.fi,peaccounting.se,hajper.com"</formula1>
    </dataValidation>
    <dataValidation type="list" allowBlank="1" showErrorMessage="1" sqref="G2837 G2869 G2892 G2900:G2903 G2941:G2943" xr:uid="{00000000-0002-0000-0000-000008000000}">
      <formula1>"Artikel,Startsida,Partner,Site,MS,Blogg"</formula1>
    </dataValidation>
    <dataValidation type="list" allowBlank="1" showErrorMessage="1" sqref="A2837 A2869 A2892" xr:uid="{00000000-0002-0000-0000-000009000000}">
      <formula1>"vontabel.com,tiotak.se,yagya.com,sufracofinebrands.com,schjodt.com,nem.health,logosol.de,lansfast.se,ljusgrossisten.se,kopbarnvagn.se,haxan.se,fairinvestments.se,elmarknad.se,elenkelt.se,dieselkraft.se,chronos.se,bästförsäkringar.se,blugiallo.com,bigbenst"&amp;"andup.com,askskinfo.com,arctic.se,toyota-forklifts.se,swedoffice,creditsafe.se,pontech,vont,villarelining.se,happysocks.com,www.adligo.io,rehabgrossisten.com,tryggbil.se,robomarkets.com,lemontree.se,sambla,miamipool.se,conclean.se,aretrotale.com,Alfa.no,a"&amp;"retrotale.com,zperfume.se,distansinstitutet.se,tandea.se,foyen.se,veterinarklinikenbirsta.se,???,isakstrafikskola.se,oconnors.se,advancepointcap.com,freckeus.se,ledkungen.se,hemplybalance.com,spoors.health,ritty.se,triwa.com,alexbyggkonsult.se,rosmarinolj"&amp;"a.nu,notyfile.se/sv,carpcon.se,e-ciggbolaget.se,saneringscompaniet.se,mariatand.se,sundsvallbergvarme.se,w3solenergi.se,hvvs.se,norteam.se,everynightstudios.com,IP i Sverige,Lansfast Danderyd &amp; täby,Finansplassen.no,pontonhamnar.se,legendbygg.com,rawhemp."&amp;"se,cannabislight.se,glitnor.com,spelklubben.se,alvtorpet.se,evide.se,heteknik.se,qsundsvall.se,ttsab.nu,reveljens.se,rosapensionat.se,Alfa.se,Betsson.no,nordenhydralic.se,merinfo.se,elavtaldirekt.se,filippa-k.com/se/sv/,m6bygg.se,kelleher-international,tr"&amp;"yggvi.se,awaio.com,massagestockholm.se,Aaatak.se,gordetmedrw.se,mrnicco.com,restate.se,storgruppen.se,startmotor.se,sakraror.se,ampilo.se,spolarent.se,purakliniken.se,snusnetto.se,kvarnx.com,cdg.io,seniorrabatt.se,cherry.com,kelleher-international.com,jov"&amp;"ialsundsvall.se,hampabonden.se,joureliten.se,snuset.se,nettotobak.com,rusta.se,ekstromgaray.se,soartzy.com,bethard.com,myownwater.com,mynicco.com,nodepositbonus.cc,hbel.se,navx.store,pricecarz.com,zmarta.se,rusta.se,kamux.fi,peaccounting.se,upplevelse.com"&amp;",casinogringos.se,nätcasinoguide.se,dinkorskola.se,hund.se,optitech-sverige.se,vardagsfrid.se,nordicknots.se,nettotobak.com"</formula1>
    </dataValidation>
    <dataValidation type="list" allowBlank="1" showErrorMessage="1" sqref="A246" xr:uid="{00000000-0002-0000-0000-00000B000000}">
      <formula1>"vontabel.com,tiotak.se,yagya.com,sufracofinebrands.com,schjodt.com,pontech.se,nem.health,logosol.de,lansfast.se,ljusgrossisten.se,kopbarnvagn.se,haxan.se,fairinvestments.se,elmarknad.se,elenkelt.se,dieselkraft.se,chronos.se,bästförsäkringar.se,blugiallo.c"&amp;"om,bigbenstandup.com,askskinfo.com,arctic.se,toyota-forklifts.se,swedoffice,creditsafe.se,pontech,vont,Villa reiling,happysocks.com,www.adligo.io,rehabgrossisten.com,Tryggbil,tr"</formula1>
    </dataValidation>
    <dataValidation type="list" allowBlank="1" showErrorMessage="1" sqref="A2:A173 A175:A193 A195:A245 A247:A339 A345:A350 A360:A369 A374:A375 A379:A381 A391:A396 A401 A408:A1273 A1275:A1482 A1484:A2079 A2081:A2117 A2119:A2122 A2124:A2187 A2189:A2836 A2838:A2868 A2870:A2891 A2893:A4060 A4062:A4132 A4134:A4205 A4207 A4210:A4288 A4290:A4492 A4494:A4633 A4635:A4825 A4827:A5347" xr:uid="{00000000-0002-0000-0000-00000C000000}">
      <formula1>"vontabel.com,tiotak.se,yagya.com,sufracofinebrands.com,schjodt.com,nem.health,logosol.de,lansfast.se,ljusgrossisten.se,kopbarnvagn.se,haxan.se,fairinvestments.se,elmarknad.se,elenkelt.se,dieselkraft.se,chronos.se,bästförsäkringar.se,blugiallo.com,bigbenst"&amp;"andup.com,askskinfo.com,arctic.se,toyota-forklifts.se,swedoffice,creditsafe.se,pontech,vont,villarelining.se,happysocks.com,www.adligo.io,rehabgrossisten.com,tryggbil.se,robomarkets.com,lemontree.se,sambla,miamipool.se,conclean.se,aretrotale.com,Alfa.no,a"&amp;"retrotale.com,zperfume.se,distansinstitutet.se,tandea.se,foyen.se,veterinarklinikenbirsta.se,???,isakstrafikskola.se,oconnors.se,advancepointcap.com,freckeus.se,ledkungen.se,hemplybalance.com,spoors.health,ritty.se,triwa.com,alexbyggkonsult.se,rosmarinolj"&amp;"a.nu,notyfile.se/sv,carpcon.se,e-ciggbolaget.se,saneringscompaniet.se,mariatand.se,sundsvallbergvarme.se,w3solenergi.se,hvvs.se,norteam.se,everynightstudios.com,IP i Sverige,Lansfast Danderyd &amp; täby,Finansplassen.no,pontonhamnar.se,legendbygg.com,rawhemp."&amp;"se,cannabislight.se,glitnor.com,spelklubben.se,alvtorpet.se,evide.se,heteknik.se,qsundsvall.se,ttsab.nu,reveljens.se,rosapensionat.se,Alfa.se,Betsson.no,nordenhydralic.se,merinfo.se,elavtaldirekt.se,filippa-k.com/se/sv/,m6bygg.se,kelleher-international,tr"&amp;"yggvi.se,awaio.com,massagestockholm.se,Aaatak.se,gordetmedrw.se,mrnicco.com,restate.se,storgruppen.se,startmotor.se,sakraror.se,ampilo.se,spolarent.se,purakliniken.se,snusnetto.se,kvarnx.com,cdg.io,seniorrabatt.se,cherry.com,kelleher-international.com,jov"&amp;"ialsundsvall.se,hampabonden.se,joureliten.se,snuset.se,nettotobak.com,rusta.se,ekstromgaray.se,soartzy.com,bethard.com,myownwater.com,mynicco.com,nodepositbonus.cc,hbel.se,navx.store,pricecarz.com,zmarta,rusta.se,kamux.fi,kleer.se,upplevelse.com,acnespeci"&amp;"alisten.se,supernormal.health,coface,kanalgratis.se,printler.com,michaelofrisorerna.se,chattanoogarehab.com,clearfuze.com,dinkorskola.se,hund.se,bbml.se,racha-organics,petster.se,nätcasinoguide.se,casinogringos.se,tigerofsweden.com,cwinz.com,cateringfabri"&amp;"ken.se,swedenlongstay.se,skidvalla.se,optitech-sverige.se,vardagsfrid.se,svenskafonster.se,cdbilvardsprodukter.se,mockfjards.se,tkw.se,himala.ai,nordicknots.com,aerius.se,svenskiptv.com,godies.fi,ataraxiavardcentral.se,mobot.com,technobark.com,dryft.se,ta"&amp;"ndläkare.se,sesec.se,glassfactory.fi,flygbussarna.se,bergetsro.se,bus4you.se,Tandea Haninge,wellio.se,swefleet.se,rbentreprenad.se,lilla-varlden.se,axofinans.se,willabgarden.de,Invozio,Leaptodigital,kruunukaluste.fi,Minifinder.se,dbet.com,lsb.se,ekonomico"&amp;".se,gonorthshop.com,bethard.com,nettotobak.com,hajper.com,svenskaeljouren.se,rorjour247.se,svenskalasjouren.se,rörmokare.nu,nätcasinoguide.se,stockholms-rorvvs.se,yourgild.com,Sahlsten Skincare,videoslots.com,kungaslottet.se,mrvegas.com,megariches.com,mak"&amp;"larringen.se,indoorprofessional.se,turner.fi,joinstriveon.com,4him4her.com,comfydence.se,merchoteket.se,Violamilano.com,epidemicsounds.com,northtracker.com,muuttohaukat,Bettingsyndikatet,jakt.se,sandudden,lessworries.com,Finns.se"</formula1>
    </dataValidation>
    <dataValidation type="list" allowBlank="1" showErrorMessage="1" sqref="A4634 A4826" xr:uid="{00000000-0002-0000-0000-00000D000000}">
      <formula1>"vontabel.com,tiotak.se,yagya.com,sufracofinebrands.com,schjodt.com,nem.health,logosol.de,lansfast.se,ljusgrossisten.se,kopbarnvagn.se,haxan.se,fairinvestments.se,elmarknad.se,elenkelt.se,dieselkraft.se,chronos.se,bästförsäkringar.se,blugiallo.com,bigbenst"&amp;"andup.com,askskinfo.com,arctic.se,toyota-forklifts.se,swedoffice,creditsafe.se,pontech,vont,villarelining.se,happysocks.com,www.adligo.io,rehabgrossisten.com,tryggbil.se,robomarkets.com,lemontree.se,sambla,miamipool.se,conclean.se,aretrotale.com,Alfa.no,a"&amp;"retrotale.com,zperfume.se,distansinstitutet.se,tandea.se,foyen.se,veterinarklinikenbirsta.se,???,isakstrafikskola.se,oconnors.se,advancepointcap.com,freckeus.se,ledkungen.se,hemplybalance.com,spoors.health,ritty.se,triwa.com,alexbyggkonsult.se,rosmarinolj"&amp;"a.nu,notyfile.se/sv,carpcon.se,e-ciggbolaget.se,saneringscompaniet.se,mariatand.se,sundsvallbergvarme.se,w3solenergi.se,hvvs.se,norteam.se,everynightstudios.com,IP i Sverige,Lansfast Danderyd &amp; täby,Finansplassen.no,pontonhamnar.se,legendbygg.com,rawhemp."&amp;"se,cannabislight.se,glitnor.com,spelklubben.se,alvtorpet.se,evide.se,heteknik.se,qsundsvall.se,ttsab.nu,reveljens.se,rosapensionat.se,Alfa.se,Betsson.no,nordenhydralic.se,merinfo.se,elavtaldirekt.se,filippa-k.com/se/sv/,m6bygg.se,kelleher-international,tr"&amp;"yggvi.se,awaio.com,massagestockholm.se,Aaatak.se,gordetmedrw.se,mrnicco.com,restate.se,storgruppen.se,startmotor.se,sakraror.se,ampilo.se,spolarent.se,purakliniken.se,snusnetto.se,kvarnx.com,cdg.io,seniorrabatt.se,cherry.com,kelleher-international.com,jov"&amp;"ialsundsvall.se,hampabonden.se,joureliten.se,snuset.se,nettotobak.com,rusta.se,ekstromgaray.se,soartzy.com,bethard.com,myownwater.com,mynicco.com,nodepositbonus.cc,hbel.se,navx.store,pricecarz.com,zmarta,rusta.se,kamux.fi,kleer.se,upplevelse.com,acnespeci"&amp;"alisten.se,supernormal.health,coface,kanalgratis.se,printler.com,michaelofrisorerna.se,chattanoogarehab.com,clearfuze.com,dinkorskola.se,hund.se,bbml.se,racha-organics,petster.se,nätcasinoguide.se,casinogringos.se,tigerofsweden.com,cwinz.com,cateringfabri"&amp;"ken.se,swedenlongstay.se,skidvalla.se,optitech-sverige.se,vardagsfrid.se,svenskafonster.se,cdbilvardsprodukter.se,mockfjards.se,tkw.se,himala.ai,nordicknots.com,aerius.se,svenskiptv.com,godies.fi,ataraxiavardcentral.se,mobot.com,technobark.com,dryft.se,ta"&amp;"ndläkare.se,sesec.se,glassfactory.fi,flygbussarna.se,bergetsro.se,bus4you.se,Tandea Haninge,wellio.se,swefleet.se,rbentreprenad.se,lilla-varlden.se,axofinans.se,willabgarden.de,Invozio,Leaptodigital,kruunukaluste.fi,Minifinder.se,dbet.com,lsb.se,ekonomico"&amp;".se,gonorthshop.com,bethard.com,nettotobak.com,hajper.com,svenskaeljouren.se,rorjour247.se,svenskalasjouren.se,rörmokare.nu,nätcasinoguide.se,stockholms-rorvvs.se,yourgild.com,Sahlsten Skincare,videoslots.com,kungaslottet.se,mrvegas.com,megariches.com,mak"&amp;"larringen.se,indoorprofessional.se,turner.fi,joinstriveon.com,4him4her.com,comfydence.se,merchoteket.se,Violamilano.com,epidemicsounds.com,northtracker.com,muuttohaukat,Bettingsyndikatet,jakt.se,sandudden,lessworries.com,Finns.se,Sveaförsäkring"</formula1>
    </dataValidation>
    <dataValidation type="list" allowBlank="1" showErrorMessage="1" sqref="A1483" xr:uid="{00000000-0002-0000-0000-00000E000000}">
      <formula1>"vontabel.com,tiotak.se,yagya.com,sufracofinebrands.com,schjodt.com,nem.health,logosol.de,lansfast.se,ljusgrossisten.se,kopbarnvagn.se,haxan.se,fairinvestments.se,elmarknad.se,elenkelt.se,dieselkraft.se,chronos.se,bästförsäkringar.se,blugiallo.com,bigbenst"&amp;"andup.com,askskinfo.com,arctic.se,toyota-forklifts.se,swedoffice,creditsafe.se,pontech,vont,villarelining.se,happysocks.com,www.adligo.io,rehabgrossisten.com,tryggbil.se,robomarkets.com,lemontree.se,sambla,miamipool.se,conclean.se,aretrotale.com,Alfa.no,a"&amp;"retrotale.com,zperfume.se,distansinstitutet.se,tandea.se,foyen.se,veterinarklinikenbirsta.se,???,isakstrafikskola.se,oconnors.se,advancepointcap.com,freckeus.se,ledkungen.se,hemplybalance.com,spoors.health,ritty.se,triwa.com,alexbyggkonsult.se,rosmarinolj"&amp;"a.nu,notyfile.se/sv,carpcon.se,e-ciggbolaget.se,saneringscompaniet.se,mariatand.se,sundsvallbergvarme.se,w3solenergi.se,hvvs.se,norteam.se,everynightstudios.com,IP i Sverige,Lansfast Danderyd &amp; täby,Finansplassen.no,pontonhamnar.se,legendbygg.com,rawhemp."&amp;"se,cannabislight.se,glitnor.com,spelklubben.se,alvtorpet.se,evide.se,heteknik.se,qsundsvall.se,ttsab.nu,reveljens.se,rosapensionat.se,Alfa.se,Betsson.no,nordenhydralic.se,merinfo.se,elavtaldirekt.se,filippa-k.com/se/sv/,m6bygg.se,kelleher-international,tr"&amp;"yggvi.se,awaio.com,massagestockholm.se,Aaatak.se,gordetmedrw.se,mrnicco.com,restate.se,storgruppen.se,startmotor.se,sakraror.se,ampilo.se,spolarent.se,purakliniken.se,snusnetto.se,kvarnx.com,cdg.io,jovialsundsvall.se"</formula1>
    </dataValidation>
    <dataValidation type="list" allowBlank="1" showErrorMessage="1" sqref="A2118" xr:uid="{00000000-0002-0000-0000-00000F000000}">
      <formula1>"vontabel.com,tiotak.se,yagya.com,sufracofinebrands.com,schjodt.com,nem.health,logosol.de,lansfast.se,ljusgrossisten.se,kopbarnvagn.se,haxan.se,fairinvestments.se,elmarknad.se,elenkelt.se,dieselkraft.se,chronos.se,bästförsäkringar.se,blugiallo.com,bigbenst"&amp;"andup.com,askskinfo.com,arctic.se,toyota-forklifts.se,swedoffice,creditsafe.se,pontech,vont,villarelining.se,happysocks.com,www.adligo.io,rehabgrossisten.com,tryggbil.se,robomarkets.com,lemontree.se,sambla,miamipool.se,conclean.se,aretrotale.com,Alfa.no,a"&amp;"retrotale.com,zperfume.se,distansinstitutet.se,tandea.se,foyen.se,veterinarklinikenbirsta.se,???,isakstrafikskola.se,oconnors.se,advancepointcap.com,freckeus.se,ledkungen.se,hemplybalance.com,spoors.health,ritty.se,triwa.com,alexbyggkonsult.se,rosmarinolj"&amp;"a.nu,notyfile.se/sv,carpcon.se,e-ciggbolaget.se,saneringscompaniet.se,mariatand.se,sundsvallbergvarme.se,w3solenergi.se,hvvs.se,norteam.se,everynightstudios.com,IP i Sverige,Lansfast Danderyd &amp; täby,Finansplassen.no,pontonhamnar.se,legendbygg.com,rawhemp."&amp;"se,cannabislight.se,glitnor.com,spelklubben.se,alvtorpet.se,evide.se,heteknik.se,qsundsvall.se,ttsab.nu,reveljens.se,rosapensionat.se,Alfa.se,Betsson.no,nordenhydralic.se,merinfo.se,elavtaldirekt.se,filippa-k.com/se/sv/,m6bygg.se,kelleher-international,tr"&amp;"yggvi.se,awaio.com,massagestockholm.se,Aaatak.se,gordetmedrw.se,mrnicco.com,restate.se,storgruppen.se,startmotor.se,sakraror.se,ampilo.se,spolarent.se,purakliniken.se,snusnetto.se,kvarnx.com,cdg.io,seniorrabatt.se,cherry.com,kelleher-international.com,jov"&amp;"ialsundsvall.se,hampabonden.se,joureliten.se,snuset.se,nettotobak.com,rusta.se,ekstromgaray.se,soartzy.com,bethard.com,myownwater.com,mynicco.com,nodepositbonus.cc,hbel.se,navx.store,pricecarz.com,zmarta.se,rusta.se,kamux.fi,peaccounting.se,upplevelse.com"&amp;",acnespecialisten.se,supernormal.health,coface,kanalgratis.se,printler.com,michaelofrisorerna.se,chattanoogarehab.com,clearfuze.com,swedenlongstay.se"</formula1>
    </dataValidation>
    <dataValidation type="list" allowBlank="1" showErrorMessage="1" sqref="H2625" xr:uid="{00000000-0002-0000-0000-000010000000}">
      <formula1>"SE,ENG,DK,FI,NO,GE,US,CA,Chile,UE,UK,NL,SA,IN"</formula1>
    </dataValidation>
  </dataValidations>
  <hyperlinks>
    <hyperlink ref="A2" r:id="rId1" xr:uid="{00000000-0004-0000-0000-000000000000}"/>
    <hyperlink ref="C2" r:id="rId2" xr:uid="{00000000-0004-0000-0000-000001000000}"/>
    <hyperlink ref="D2" r:id="rId3" xr:uid="{00000000-0004-0000-0000-000002000000}"/>
    <hyperlink ref="A3" r:id="rId4" xr:uid="{00000000-0004-0000-0000-000003000000}"/>
    <hyperlink ref="C3" r:id="rId5" xr:uid="{00000000-0004-0000-0000-000004000000}"/>
    <hyperlink ref="D3" r:id="rId6" xr:uid="{00000000-0004-0000-0000-000005000000}"/>
    <hyperlink ref="A4" r:id="rId7" xr:uid="{00000000-0004-0000-0000-000006000000}"/>
    <hyperlink ref="C4" r:id="rId8" xr:uid="{00000000-0004-0000-0000-000007000000}"/>
    <hyperlink ref="D4" r:id="rId9" xr:uid="{00000000-0004-0000-0000-000008000000}"/>
    <hyperlink ref="A5" r:id="rId10" xr:uid="{00000000-0004-0000-0000-000009000000}"/>
    <hyperlink ref="C5" r:id="rId11" xr:uid="{00000000-0004-0000-0000-00000A000000}"/>
    <hyperlink ref="D5" r:id="rId12" xr:uid="{00000000-0004-0000-0000-00000B000000}"/>
    <hyperlink ref="A6" r:id="rId13" xr:uid="{00000000-0004-0000-0000-00000C000000}"/>
    <hyperlink ref="C6" r:id="rId14" xr:uid="{00000000-0004-0000-0000-00000D000000}"/>
    <hyperlink ref="D6" r:id="rId15" xr:uid="{00000000-0004-0000-0000-00000E000000}"/>
    <hyperlink ref="A7" r:id="rId16" xr:uid="{00000000-0004-0000-0000-00000F000000}"/>
    <hyperlink ref="C7" r:id="rId17" xr:uid="{00000000-0004-0000-0000-000010000000}"/>
    <hyperlink ref="D7" r:id="rId18" xr:uid="{00000000-0004-0000-0000-000011000000}"/>
    <hyperlink ref="A8" r:id="rId19" xr:uid="{00000000-0004-0000-0000-000012000000}"/>
    <hyperlink ref="C8" r:id="rId20" xr:uid="{00000000-0004-0000-0000-000013000000}"/>
    <hyperlink ref="D8" r:id="rId21" xr:uid="{00000000-0004-0000-0000-000014000000}"/>
    <hyperlink ref="A9" r:id="rId22" xr:uid="{00000000-0004-0000-0000-000015000000}"/>
    <hyperlink ref="C9" r:id="rId23" xr:uid="{00000000-0004-0000-0000-000016000000}"/>
    <hyperlink ref="D9" r:id="rId24" xr:uid="{00000000-0004-0000-0000-000017000000}"/>
    <hyperlink ref="A10" r:id="rId25" xr:uid="{00000000-0004-0000-0000-000018000000}"/>
    <hyperlink ref="C10" r:id="rId26" xr:uid="{00000000-0004-0000-0000-000019000000}"/>
    <hyperlink ref="D10" r:id="rId27" xr:uid="{00000000-0004-0000-0000-00001A000000}"/>
    <hyperlink ref="A11" r:id="rId28" xr:uid="{00000000-0004-0000-0000-00001B000000}"/>
    <hyperlink ref="C11" r:id="rId29" xr:uid="{00000000-0004-0000-0000-00001C000000}"/>
    <hyperlink ref="D11" r:id="rId30" xr:uid="{00000000-0004-0000-0000-00001D000000}"/>
    <hyperlink ref="C12" r:id="rId31" xr:uid="{00000000-0004-0000-0000-00001E000000}"/>
    <hyperlink ref="D12" r:id="rId32" xr:uid="{00000000-0004-0000-0000-00001F000000}"/>
    <hyperlink ref="E12" r:id="rId33" xr:uid="{00000000-0004-0000-0000-000020000000}"/>
    <hyperlink ref="C13" r:id="rId34" xr:uid="{00000000-0004-0000-0000-000021000000}"/>
    <hyperlink ref="C14" r:id="rId35" xr:uid="{00000000-0004-0000-0000-000022000000}"/>
    <hyperlink ref="D14" r:id="rId36" xr:uid="{00000000-0004-0000-0000-000023000000}"/>
    <hyperlink ref="A15" r:id="rId37" xr:uid="{00000000-0004-0000-0000-000024000000}"/>
    <hyperlink ref="C15" r:id="rId38" xr:uid="{00000000-0004-0000-0000-000025000000}"/>
    <hyperlink ref="D15" r:id="rId39" xr:uid="{00000000-0004-0000-0000-000026000000}"/>
    <hyperlink ref="A16" r:id="rId40" xr:uid="{00000000-0004-0000-0000-000027000000}"/>
    <hyperlink ref="C16" r:id="rId41" xr:uid="{00000000-0004-0000-0000-000028000000}"/>
    <hyperlink ref="D16" r:id="rId42" xr:uid="{00000000-0004-0000-0000-000029000000}"/>
    <hyperlink ref="A17" r:id="rId43" xr:uid="{00000000-0004-0000-0000-00002A000000}"/>
    <hyperlink ref="C17" r:id="rId44" xr:uid="{00000000-0004-0000-0000-00002B000000}"/>
    <hyperlink ref="D17" r:id="rId45" xr:uid="{00000000-0004-0000-0000-00002C000000}"/>
    <hyperlink ref="A18" r:id="rId46" xr:uid="{00000000-0004-0000-0000-00002D000000}"/>
    <hyperlink ref="C18" r:id="rId47" xr:uid="{00000000-0004-0000-0000-00002E000000}"/>
    <hyperlink ref="D18" r:id="rId48" xr:uid="{00000000-0004-0000-0000-00002F000000}"/>
    <hyperlink ref="A19" r:id="rId49" xr:uid="{00000000-0004-0000-0000-000030000000}"/>
    <hyperlink ref="C19" r:id="rId50" xr:uid="{00000000-0004-0000-0000-000031000000}"/>
    <hyperlink ref="D19" r:id="rId51" xr:uid="{00000000-0004-0000-0000-000032000000}"/>
    <hyperlink ref="A20" r:id="rId52" xr:uid="{00000000-0004-0000-0000-000033000000}"/>
    <hyperlink ref="C20" r:id="rId53" xr:uid="{00000000-0004-0000-0000-000034000000}"/>
    <hyperlink ref="D20" r:id="rId54" xr:uid="{00000000-0004-0000-0000-000035000000}"/>
    <hyperlink ref="A21" r:id="rId55" xr:uid="{00000000-0004-0000-0000-000036000000}"/>
    <hyperlink ref="C21" r:id="rId56" xr:uid="{00000000-0004-0000-0000-000037000000}"/>
    <hyperlink ref="D21" r:id="rId57" xr:uid="{00000000-0004-0000-0000-000038000000}"/>
    <hyperlink ref="E21" r:id="rId58" xr:uid="{00000000-0004-0000-0000-000039000000}"/>
    <hyperlink ref="C22" r:id="rId59" xr:uid="{00000000-0004-0000-0000-00003A000000}"/>
    <hyperlink ref="D22" r:id="rId60" xr:uid="{00000000-0004-0000-0000-00003B000000}"/>
    <hyperlink ref="A23" r:id="rId61" xr:uid="{00000000-0004-0000-0000-00003C000000}"/>
    <hyperlink ref="C23" r:id="rId62" xr:uid="{00000000-0004-0000-0000-00003D000000}"/>
    <hyperlink ref="D23" r:id="rId63" xr:uid="{00000000-0004-0000-0000-00003E000000}"/>
    <hyperlink ref="A24" r:id="rId64" xr:uid="{00000000-0004-0000-0000-00003F000000}"/>
    <hyperlink ref="C24" r:id="rId65" xr:uid="{00000000-0004-0000-0000-000040000000}"/>
    <hyperlink ref="D24" r:id="rId66" xr:uid="{00000000-0004-0000-0000-000041000000}"/>
    <hyperlink ref="A25" r:id="rId67" xr:uid="{00000000-0004-0000-0000-000042000000}"/>
    <hyperlink ref="C25" r:id="rId68" xr:uid="{00000000-0004-0000-0000-000043000000}"/>
    <hyperlink ref="D25" r:id="rId69" xr:uid="{00000000-0004-0000-0000-000044000000}"/>
    <hyperlink ref="A26" r:id="rId70" xr:uid="{00000000-0004-0000-0000-000045000000}"/>
    <hyperlink ref="C26" r:id="rId71" xr:uid="{00000000-0004-0000-0000-000046000000}"/>
    <hyperlink ref="D26" r:id="rId72" xr:uid="{00000000-0004-0000-0000-000047000000}"/>
    <hyperlink ref="C27" r:id="rId73" xr:uid="{00000000-0004-0000-0000-000048000000}"/>
    <hyperlink ref="D27" r:id="rId74" xr:uid="{00000000-0004-0000-0000-000049000000}"/>
    <hyperlink ref="A28" r:id="rId75" xr:uid="{00000000-0004-0000-0000-00004A000000}"/>
    <hyperlink ref="C28" r:id="rId76" xr:uid="{00000000-0004-0000-0000-00004B000000}"/>
    <hyperlink ref="D28" r:id="rId77" xr:uid="{00000000-0004-0000-0000-00004C000000}"/>
    <hyperlink ref="C29" r:id="rId78" xr:uid="{00000000-0004-0000-0000-00004D000000}"/>
    <hyperlink ref="D29" r:id="rId79" xr:uid="{00000000-0004-0000-0000-00004E000000}"/>
    <hyperlink ref="A30" r:id="rId80" xr:uid="{00000000-0004-0000-0000-00004F000000}"/>
    <hyperlink ref="C30" r:id="rId81" xr:uid="{00000000-0004-0000-0000-000050000000}"/>
    <hyperlink ref="D30" r:id="rId82" xr:uid="{00000000-0004-0000-0000-000051000000}"/>
    <hyperlink ref="A31" r:id="rId83" xr:uid="{00000000-0004-0000-0000-000052000000}"/>
    <hyperlink ref="C31" r:id="rId84" xr:uid="{00000000-0004-0000-0000-000053000000}"/>
    <hyperlink ref="D31" r:id="rId85" xr:uid="{00000000-0004-0000-0000-000054000000}"/>
    <hyperlink ref="E31" r:id="rId86" xr:uid="{00000000-0004-0000-0000-000055000000}"/>
    <hyperlink ref="C32" r:id="rId87" xr:uid="{00000000-0004-0000-0000-000056000000}"/>
    <hyperlink ref="D32" r:id="rId88" xr:uid="{00000000-0004-0000-0000-000057000000}"/>
    <hyperlink ref="A33" r:id="rId89" xr:uid="{00000000-0004-0000-0000-000058000000}"/>
    <hyperlink ref="C33" r:id="rId90" xr:uid="{00000000-0004-0000-0000-000059000000}"/>
    <hyperlink ref="D33" r:id="rId91" xr:uid="{00000000-0004-0000-0000-00005A000000}"/>
    <hyperlink ref="A34" r:id="rId92" xr:uid="{00000000-0004-0000-0000-00005B000000}"/>
    <hyperlink ref="C34" r:id="rId93" xr:uid="{00000000-0004-0000-0000-00005C000000}"/>
    <hyperlink ref="D34" r:id="rId94" xr:uid="{00000000-0004-0000-0000-00005D000000}"/>
    <hyperlink ref="C35" r:id="rId95" xr:uid="{00000000-0004-0000-0000-00005E000000}"/>
    <hyperlink ref="D35" r:id="rId96" xr:uid="{00000000-0004-0000-0000-00005F000000}"/>
    <hyperlink ref="C36" r:id="rId97" xr:uid="{00000000-0004-0000-0000-000060000000}"/>
    <hyperlink ref="D36" r:id="rId98" xr:uid="{00000000-0004-0000-0000-000061000000}"/>
    <hyperlink ref="A37" r:id="rId99" xr:uid="{00000000-0004-0000-0000-000062000000}"/>
    <hyperlink ref="C37" r:id="rId100" xr:uid="{00000000-0004-0000-0000-000063000000}"/>
    <hyperlink ref="D37" r:id="rId101" xr:uid="{00000000-0004-0000-0000-000064000000}"/>
    <hyperlink ref="C38" r:id="rId102" xr:uid="{00000000-0004-0000-0000-000065000000}"/>
    <hyperlink ref="D38" r:id="rId103" xr:uid="{00000000-0004-0000-0000-000066000000}"/>
    <hyperlink ref="C39" r:id="rId104" xr:uid="{00000000-0004-0000-0000-000067000000}"/>
    <hyperlink ref="D39" r:id="rId105" xr:uid="{00000000-0004-0000-0000-000068000000}"/>
    <hyperlink ref="A40" r:id="rId106" xr:uid="{00000000-0004-0000-0000-000069000000}"/>
    <hyperlink ref="C40" r:id="rId107" xr:uid="{00000000-0004-0000-0000-00006A000000}"/>
    <hyperlink ref="D40" r:id="rId108" xr:uid="{00000000-0004-0000-0000-00006B000000}"/>
    <hyperlink ref="A41" r:id="rId109" xr:uid="{00000000-0004-0000-0000-00006C000000}"/>
    <hyperlink ref="C41" r:id="rId110" xr:uid="{00000000-0004-0000-0000-00006D000000}"/>
    <hyperlink ref="D41" r:id="rId111" xr:uid="{00000000-0004-0000-0000-00006E000000}"/>
    <hyperlink ref="A42" r:id="rId112" xr:uid="{00000000-0004-0000-0000-00006F000000}"/>
    <hyperlink ref="C42" r:id="rId113" xr:uid="{00000000-0004-0000-0000-000070000000}"/>
    <hyperlink ref="D42" r:id="rId114" xr:uid="{00000000-0004-0000-0000-000071000000}"/>
    <hyperlink ref="A43" r:id="rId115" xr:uid="{00000000-0004-0000-0000-000072000000}"/>
    <hyperlink ref="C43" r:id="rId116" xr:uid="{00000000-0004-0000-0000-000073000000}"/>
    <hyperlink ref="D43" r:id="rId117" xr:uid="{00000000-0004-0000-0000-000074000000}"/>
    <hyperlink ref="C44" r:id="rId118" xr:uid="{00000000-0004-0000-0000-000075000000}"/>
    <hyperlink ref="D44" r:id="rId119" xr:uid="{00000000-0004-0000-0000-000076000000}"/>
    <hyperlink ref="A45" r:id="rId120" xr:uid="{00000000-0004-0000-0000-000077000000}"/>
    <hyperlink ref="C45" r:id="rId121" xr:uid="{00000000-0004-0000-0000-000078000000}"/>
    <hyperlink ref="D45" r:id="rId122" xr:uid="{00000000-0004-0000-0000-000079000000}"/>
    <hyperlink ref="A46" r:id="rId123" xr:uid="{00000000-0004-0000-0000-00007A000000}"/>
    <hyperlink ref="C46" r:id="rId124" xr:uid="{00000000-0004-0000-0000-00007B000000}"/>
    <hyperlink ref="D46" r:id="rId125" xr:uid="{00000000-0004-0000-0000-00007C000000}"/>
    <hyperlink ref="E46" r:id="rId126" xr:uid="{00000000-0004-0000-0000-00007D000000}"/>
    <hyperlink ref="A47" r:id="rId127" xr:uid="{00000000-0004-0000-0000-00007E000000}"/>
    <hyperlink ref="C47" r:id="rId128" xr:uid="{00000000-0004-0000-0000-00007F000000}"/>
    <hyperlink ref="D47" r:id="rId129" xr:uid="{00000000-0004-0000-0000-000080000000}"/>
    <hyperlink ref="C48" r:id="rId130" xr:uid="{00000000-0004-0000-0000-000081000000}"/>
    <hyperlink ref="D48" r:id="rId131" xr:uid="{00000000-0004-0000-0000-000082000000}"/>
    <hyperlink ref="E48" r:id="rId132" xr:uid="{00000000-0004-0000-0000-000083000000}"/>
    <hyperlink ref="A49" r:id="rId133" xr:uid="{00000000-0004-0000-0000-000084000000}"/>
    <hyperlink ref="C49" r:id="rId134" xr:uid="{00000000-0004-0000-0000-000085000000}"/>
    <hyperlink ref="D49" r:id="rId135" xr:uid="{00000000-0004-0000-0000-000086000000}"/>
    <hyperlink ref="A50" r:id="rId136" xr:uid="{00000000-0004-0000-0000-000087000000}"/>
    <hyperlink ref="C50" r:id="rId137" xr:uid="{00000000-0004-0000-0000-000088000000}"/>
    <hyperlink ref="D50" r:id="rId138" xr:uid="{00000000-0004-0000-0000-000089000000}"/>
    <hyperlink ref="A51" r:id="rId139" xr:uid="{00000000-0004-0000-0000-00008A000000}"/>
    <hyperlink ref="C51" r:id="rId140" xr:uid="{00000000-0004-0000-0000-00008B000000}"/>
    <hyperlink ref="D51" r:id="rId141" xr:uid="{00000000-0004-0000-0000-00008C000000}"/>
    <hyperlink ref="C52" r:id="rId142" xr:uid="{00000000-0004-0000-0000-00008D000000}"/>
    <hyperlink ref="D52" r:id="rId143" xr:uid="{00000000-0004-0000-0000-00008E000000}"/>
    <hyperlink ref="C53" r:id="rId144" xr:uid="{00000000-0004-0000-0000-00008F000000}"/>
    <hyperlink ref="D53" r:id="rId145" xr:uid="{00000000-0004-0000-0000-000090000000}"/>
    <hyperlink ref="A54" r:id="rId146" xr:uid="{00000000-0004-0000-0000-000091000000}"/>
    <hyperlink ref="C54" r:id="rId147" xr:uid="{00000000-0004-0000-0000-000092000000}"/>
    <hyperlink ref="D54" r:id="rId148" xr:uid="{00000000-0004-0000-0000-000093000000}"/>
    <hyperlink ref="C55" r:id="rId149" xr:uid="{00000000-0004-0000-0000-000094000000}"/>
    <hyperlink ref="D55" r:id="rId150" xr:uid="{00000000-0004-0000-0000-000095000000}"/>
    <hyperlink ref="A56" r:id="rId151" xr:uid="{00000000-0004-0000-0000-000096000000}"/>
    <hyperlink ref="C56" r:id="rId152" xr:uid="{00000000-0004-0000-0000-000097000000}"/>
    <hyperlink ref="D56" r:id="rId153" xr:uid="{00000000-0004-0000-0000-000098000000}"/>
    <hyperlink ref="A57" r:id="rId154" xr:uid="{00000000-0004-0000-0000-000099000000}"/>
    <hyperlink ref="C57" r:id="rId155" xr:uid="{00000000-0004-0000-0000-00009A000000}"/>
    <hyperlink ref="D57" r:id="rId156" xr:uid="{00000000-0004-0000-0000-00009B000000}"/>
    <hyperlink ref="A58" r:id="rId157" xr:uid="{00000000-0004-0000-0000-00009C000000}"/>
    <hyperlink ref="C58" r:id="rId158" xr:uid="{00000000-0004-0000-0000-00009D000000}"/>
    <hyperlink ref="D58" r:id="rId159" xr:uid="{00000000-0004-0000-0000-00009E000000}"/>
    <hyperlink ref="A59" r:id="rId160" xr:uid="{00000000-0004-0000-0000-00009F000000}"/>
    <hyperlink ref="C59" r:id="rId161" xr:uid="{00000000-0004-0000-0000-0000A0000000}"/>
    <hyperlink ref="D59" r:id="rId162" xr:uid="{00000000-0004-0000-0000-0000A1000000}"/>
    <hyperlink ref="A60" r:id="rId163" xr:uid="{00000000-0004-0000-0000-0000A2000000}"/>
    <hyperlink ref="C60" r:id="rId164" xr:uid="{00000000-0004-0000-0000-0000A3000000}"/>
    <hyperlink ref="D60" r:id="rId165" xr:uid="{00000000-0004-0000-0000-0000A4000000}"/>
    <hyperlink ref="A61" r:id="rId166" xr:uid="{00000000-0004-0000-0000-0000A5000000}"/>
    <hyperlink ref="C61" r:id="rId167" xr:uid="{00000000-0004-0000-0000-0000A6000000}"/>
    <hyperlink ref="D61" r:id="rId168" xr:uid="{00000000-0004-0000-0000-0000A7000000}"/>
    <hyperlink ref="A62" r:id="rId169" xr:uid="{00000000-0004-0000-0000-0000A8000000}"/>
    <hyperlink ref="C62" r:id="rId170" xr:uid="{00000000-0004-0000-0000-0000A9000000}"/>
    <hyperlink ref="D62" r:id="rId171" xr:uid="{00000000-0004-0000-0000-0000AA000000}"/>
    <hyperlink ref="C63" r:id="rId172" xr:uid="{00000000-0004-0000-0000-0000AB000000}"/>
    <hyperlink ref="D63" r:id="rId173" xr:uid="{00000000-0004-0000-0000-0000AC000000}"/>
    <hyperlink ref="A64" r:id="rId174" xr:uid="{00000000-0004-0000-0000-0000AD000000}"/>
    <hyperlink ref="C64" r:id="rId175" xr:uid="{00000000-0004-0000-0000-0000AE000000}"/>
    <hyperlink ref="D64" r:id="rId176" xr:uid="{00000000-0004-0000-0000-0000AF000000}"/>
    <hyperlink ref="A65" r:id="rId177" xr:uid="{00000000-0004-0000-0000-0000B0000000}"/>
    <hyperlink ref="C65" r:id="rId178" xr:uid="{00000000-0004-0000-0000-0000B1000000}"/>
    <hyperlink ref="D65" r:id="rId179" xr:uid="{00000000-0004-0000-0000-0000B2000000}"/>
    <hyperlink ref="A66" r:id="rId180" xr:uid="{00000000-0004-0000-0000-0000B3000000}"/>
    <hyperlink ref="C66" r:id="rId181" xr:uid="{00000000-0004-0000-0000-0000B4000000}"/>
    <hyperlink ref="D66" r:id="rId182" xr:uid="{00000000-0004-0000-0000-0000B5000000}"/>
    <hyperlink ref="A67" r:id="rId183" xr:uid="{00000000-0004-0000-0000-0000B6000000}"/>
    <hyperlink ref="C67" r:id="rId184" xr:uid="{00000000-0004-0000-0000-0000B7000000}"/>
    <hyperlink ref="D67" r:id="rId185" xr:uid="{00000000-0004-0000-0000-0000B8000000}"/>
    <hyperlink ref="A68" r:id="rId186" xr:uid="{00000000-0004-0000-0000-0000B9000000}"/>
    <hyperlink ref="C68" r:id="rId187" xr:uid="{00000000-0004-0000-0000-0000BA000000}"/>
    <hyperlink ref="D68" r:id="rId188" xr:uid="{00000000-0004-0000-0000-0000BB000000}"/>
    <hyperlink ref="A69" r:id="rId189" xr:uid="{00000000-0004-0000-0000-0000BC000000}"/>
    <hyperlink ref="C69" r:id="rId190" xr:uid="{00000000-0004-0000-0000-0000BD000000}"/>
    <hyperlink ref="D69" r:id="rId191" xr:uid="{00000000-0004-0000-0000-0000BE000000}"/>
    <hyperlink ref="A70" r:id="rId192" xr:uid="{00000000-0004-0000-0000-0000BF000000}"/>
    <hyperlink ref="C70" r:id="rId193" xr:uid="{00000000-0004-0000-0000-0000C0000000}"/>
    <hyperlink ref="D70" r:id="rId194" xr:uid="{00000000-0004-0000-0000-0000C1000000}"/>
    <hyperlink ref="A71" r:id="rId195" xr:uid="{00000000-0004-0000-0000-0000C2000000}"/>
    <hyperlink ref="C71" r:id="rId196" xr:uid="{00000000-0004-0000-0000-0000C3000000}"/>
    <hyperlink ref="D71" r:id="rId197" xr:uid="{00000000-0004-0000-0000-0000C4000000}"/>
    <hyperlink ref="A72" r:id="rId198" xr:uid="{00000000-0004-0000-0000-0000C5000000}"/>
    <hyperlink ref="C72" r:id="rId199" xr:uid="{00000000-0004-0000-0000-0000C6000000}"/>
    <hyperlink ref="D72" r:id="rId200" xr:uid="{00000000-0004-0000-0000-0000C7000000}"/>
    <hyperlink ref="A73" r:id="rId201" xr:uid="{00000000-0004-0000-0000-0000C8000000}"/>
    <hyperlink ref="C73" r:id="rId202" xr:uid="{00000000-0004-0000-0000-0000C9000000}"/>
    <hyperlink ref="D73" r:id="rId203" xr:uid="{00000000-0004-0000-0000-0000CA000000}"/>
    <hyperlink ref="A74" r:id="rId204" xr:uid="{00000000-0004-0000-0000-0000CB000000}"/>
    <hyperlink ref="C74" r:id="rId205" xr:uid="{00000000-0004-0000-0000-0000CC000000}"/>
    <hyperlink ref="D74" r:id="rId206" xr:uid="{00000000-0004-0000-0000-0000CD000000}"/>
    <hyperlink ref="A75" r:id="rId207" xr:uid="{00000000-0004-0000-0000-0000CE000000}"/>
    <hyperlink ref="C75" r:id="rId208" xr:uid="{00000000-0004-0000-0000-0000CF000000}"/>
    <hyperlink ref="D75" r:id="rId209" xr:uid="{00000000-0004-0000-0000-0000D0000000}"/>
    <hyperlink ref="E75" r:id="rId210" xr:uid="{00000000-0004-0000-0000-0000D1000000}"/>
    <hyperlink ref="A76" r:id="rId211" xr:uid="{00000000-0004-0000-0000-0000D2000000}"/>
    <hyperlink ref="C76" r:id="rId212" xr:uid="{00000000-0004-0000-0000-0000D3000000}"/>
    <hyperlink ref="D76" r:id="rId213" xr:uid="{00000000-0004-0000-0000-0000D4000000}"/>
    <hyperlink ref="A77" r:id="rId214" xr:uid="{00000000-0004-0000-0000-0000D5000000}"/>
    <hyperlink ref="C77" r:id="rId215" xr:uid="{00000000-0004-0000-0000-0000D6000000}"/>
    <hyperlink ref="D77" r:id="rId216" xr:uid="{00000000-0004-0000-0000-0000D7000000}"/>
    <hyperlink ref="A78" r:id="rId217" xr:uid="{00000000-0004-0000-0000-0000D8000000}"/>
    <hyperlink ref="C78" r:id="rId218" xr:uid="{00000000-0004-0000-0000-0000D9000000}"/>
    <hyperlink ref="D78" r:id="rId219" xr:uid="{00000000-0004-0000-0000-0000DA000000}"/>
    <hyperlink ref="A79" r:id="rId220" xr:uid="{00000000-0004-0000-0000-0000DB000000}"/>
    <hyperlink ref="C79" r:id="rId221" xr:uid="{00000000-0004-0000-0000-0000DC000000}"/>
    <hyperlink ref="D79" r:id="rId222" xr:uid="{00000000-0004-0000-0000-0000DD000000}"/>
    <hyperlink ref="A80" r:id="rId223" xr:uid="{00000000-0004-0000-0000-0000DE000000}"/>
    <hyperlink ref="C80" r:id="rId224" xr:uid="{00000000-0004-0000-0000-0000DF000000}"/>
    <hyperlink ref="D80" r:id="rId225" xr:uid="{00000000-0004-0000-0000-0000E0000000}"/>
    <hyperlink ref="A81" r:id="rId226" xr:uid="{00000000-0004-0000-0000-0000E1000000}"/>
    <hyperlink ref="C81" r:id="rId227" xr:uid="{00000000-0004-0000-0000-0000E2000000}"/>
    <hyperlink ref="D81" r:id="rId228" xr:uid="{00000000-0004-0000-0000-0000E3000000}"/>
    <hyperlink ref="A82" r:id="rId229" xr:uid="{00000000-0004-0000-0000-0000E4000000}"/>
    <hyperlink ref="C82" r:id="rId230" xr:uid="{00000000-0004-0000-0000-0000E5000000}"/>
    <hyperlink ref="D82" r:id="rId231" xr:uid="{00000000-0004-0000-0000-0000E6000000}"/>
    <hyperlink ref="A83" r:id="rId232" xr:uid="{00000000-0004-0000-0000-0000E7000000}"/>
    <hyperlink ref="C83" r:id="rId233" xr:uid="{00000000-0004-0000-0000-0000E8000000}"/>
    <hyperlink ref="D83" r:id="rId234" xr:uid="{00000000-0004-0000-0000-0000E9000000}"/>
    <hyperlink ref="C84" r:id="rId235" xr:uid="{00000000-0004-0000-0000-0000EA000000}"/>
    <hyperlink ref="D84" r:id="rId236" xr:uid="{00000000-0004-0000-0000-0000EB000000}"/>
    <hyperlink ref="A85" r:id="rId237" xr:uid="{00000000-0004-0000-0000-0000EC000000}"/>
    <hyperlink ref="C85" r:id="rId238" xr:uid="{00000000-0004-0000-0000-0000ED000000}"/>
    <hyperlink ref="D85" r:id="rId239" xr:uid="{00000000-0004-0000-0000-0000EE000000}"/>
    <hyperlink ref="A86" r:id="rId240" xr:uid="{00000000-0004-0000-0000-0000EF000000}"/>
    <hyperlink ref="C86" r:id="rId241" xr:uid="{00000000-0004-0000-0000-0000F0000000}"/>
    <hyperlink ref="D86" r:id="rId242" xr:uid="{00000000-0004-0000-0000-0000F1000000}"/>
    <hyperlink ref="A87" r:id="rId243" xr:uid="{00000000-0004-0000-0000-0000F2000000}"/>
    <hyperlink ref="C87" r:id="rId244" xr:uid="{00000000-0004-0000-0000-0000F3000000}"/>
    <hyperlink ref="D87" r:id="rId245" xr:uid="{00000000-0004-0000-0000-0000F4000000}"/>
    <hyperlink ref="A88" r:id="rId246" xr:uid="{00000000-0004-0000-0000-0000F5000000}"/>
    <hyperlink ref="C88" r:id="rId247" xr:uid="{00000000-0004-0000-0000-0000F6000000}"/>
    <hyperlink ref="D88" r:id="rId248" xr:uid="{00000000-0004-0000-0000-0000F7000000}"/>
    <hyperlink ref="C89" r:id="rId249" xr:uid="{00000000-0004-0000-0000-0000F8000000}"/>
    <hyperlink ref="D89" r:id="rId250" xr:uid="{00000000-0004-0000-0000-0000F9000000}"/>
    <hyperlink ref="A90" r:id="rId251" xr:uid="{00000000-0004-0000-0000-0000FA000000}"/>
    <hyperlink ref="C90" r:id="rId252" xr:uid="{00000000-0004-0000-0000-0000FB000000}"/>
    <hyperlink ref="D90" r:id="rId253" xr:uid="{00000000-0004-0000-0000-0000FC000000}"/>
    <hyperlink ref="A91" r:id="rId254" xr:uid="{00000000-0004-0000-0000-0000FD000000}"/>
    <hyperlink ref="C91" r:id="rId255" xr:uid="{00000000-0004-0000-0000-0000FE000000}"/>
    <hyperlink ref="D91" r:id="rId256" xr:uid="{00000000-0004-0000-0000-0000FF000000}"/>
    <hyperlink ref="C92" r:id="rId257" xr:uid="{00000000-0004-0000-0000-000000010000}"/>
    <hyperlink ref="D92" r:id="rId258" xr:uid="{00000000-0004-0000-0000-000001010000}"/>
    <hyperlink ref="A93" r:id="rId259" xr:uid="{00000000-0004-0000-0000-000002010000}"/>
    <hyperlink ref="C93" r:id="rId260" xr:uid="{00000000-0004-0000-0000-000003010000}"/>
    <hyperlink ref="D93" r:id="rId261" xr:uid="{00000000-0004-0000-0000-000004010000}"/>
    <hyperlink ref="A94" r:id="rId262" xr:uid="{00000000-0004-0000-0000-000005010000}"/>
    <hyperlink ref="C94" r:id="rId263" xr:uid="{00000000-0004-0000-0000-000006010000}"/>
    <hyperlink ref="D94" r:id="rId264" xr:uid="{00000000-0004-0000-0000-000007010000}"/>
    <hyperlink ref="A95" r:id="rId265" xr:uid="{00000000-0004-0000-0000-000008010000}"/>
    <hyperlink ref="C95" r:id="rId266" xr:uid="{00000000-0004-0000-0000-000009010000}"/>
    <hyperlink ref="D95" r:id="rId267" xr:uid="{00000000-0004-0000-0000-00000A010000}"/>
    <hyperlink ref="A96" r:id="rId268" xr:uid="{00000000-0004-0000-0000-00000B010000}"/>
    <hyperlink ref="C96" r:id="rId269" xr:uid="{00000000-0004-0000-0000-00000C010000}"/>
    <hyperlink ref="D96" r:id="rId270" xr:uid="{00000000-0004-0000-0000-00000D010000}"/>
    <hyperlink ref="A97" r:id="rId271" xr:uid="{00000000-0004-0000-0000-00000E010000}"/>
    <hyperlink ref="C97" r:id="rId272" xr:uid="{00000000-0004-0000-0000-00000F010000}"/>
    <hyperlink ref="D97" r:id="rId273" xr:uid="{00000000-0004-0000-0000-000010010000}"/>
    <hyperlink ref="A98" r:id="rId274" xr:uid="{00000000-0004-0000-0000-000011010000}"/>
    <hyperlink ref="C98" r:id="rId275" xr:uid="{00000000-0004-0000-0000-000012010000}"/>
    <hyperlink ref="D98" r:id="rId276" xr:uid="{00000000-0004-0000-0000-000013010000}"/>
    <hyperlink ref="A99" r:id="rId277" xr:uid="{00000000-0004-0000-0000-000014010000}"/>
    <hyperlink ref="C99" r:id="rId278" xr:uid="{00000000-0004-0000-0000-000015010000}"/>
    <hyperlink ref="D99" r:id="rId279" xr:uid="{00000000-0004-0000-0000-000016010000}"/>
    <hyperlink ref="A100" r:id="rId280" xr:uid="{00000000-0004-0000-0000-000017010000}"/>
    <hyperlink ref="C100" r:id="rId281" xr:uid="{00000000-0004-0000-0000-000018010000}"/>
    <hyperlink ref="D100" r:id="rId282" xr:uid="{00000000-0004-0000-0000-000019010000}"/>
    <hyperlink ref="A101" r:id="rId283" xr:uid="{00000000-0004-0000-0000-00001A010000}"/>
    <hyperlink ref="C101" r:id="rId284" xr:uid="{00000000-0004-0000-0000-00001B010000}"/>
    <hyperlink ref="D101" r:id="rId285" xr:uid="{00000000-0004-0000-0000-00001C010000}"/>
    <hyperlink ref="A102" r:id="rId286" xr:uid="{00000000-0004-0000-0000-00001D010000}"/>
    <hyperlink ref="C102" r:id="rId287" xr:uid="{00000000-0004-0000-0000-00001E010000}"/>
    <hyperlink ref="D102" r:id="rId288" xr:uid="{00000000-0004-0000-0000-00001F010000}"/>
    <hyperlink ref="A103" r:id="rId289" xr:uid="{00000000-0004-0000-0000-000020010000}"/>
    <hyperlink ref="C103" r:id="rId290" xr:uid="{00000000-0004-0000-0000-000021010000}"/>
    <hyperlink ref="D103" r:id="rId291" xr:uid="{00000000-0004-0000-0000-000022010000}"/>
    <hyperlink ref="C104" r:id="rId292" xr:uid="{00000000-0004-0000-0000-000023010000}"/>
    <hyperlink ref="D104" r:id="rId293" xr:uid="{00000000-0004-0000-0000-000024010000}"/>
    <hyperlink ref="A105" r:id="rId294" xr:uid="{00000000-0004-0000-0000-000025010000}"/>
    <hyperlink ref="C105" r:id="rId295" xr:uid="{00000000-0004-0000-0000-000026010000}"/>
    <hyperlink ref="D105" r:id="rId296" xr:uid="{00000000-0004-0000-0000-000027010000}"/>
    <hyperlink ref="A106" r:id="rId297" xr:uid="{00000000-0004-0000-0000-000028010000}"/>
    <hyperlink ref="C106" r:id="rId298" xr:uid="{00000000-0004-0000-0000-000029010000}"/>
    <hyperlink ref="D106" r:id="rId299" xr:uid="{00000000-0004-0000-0000-00002A010000}"/>
    <hyperlink ref="A107" r:id="rId300" xr:uid="{00000000-0004-0000-0000-00002B010000}"/>
    <hyperlink ref="C107" r:id="rId301" xr:uid="{00000000-0004-0000-0000-00002C010000}"/>
    <hyperlink ref="D107" r:id="rId302" xr:uid="{00000000-0004-0000-0000-00002D010000}"/>
    <hyperlink ref="A108" r:id="rId303" xr:uid="{00000000-0004-0000-0000-00002E010000}"/>
    <hyperlink ref="C108" r:id="rId304" xr:uid="{00000000-0004-0000-0000-00002F010000}"/>
    <hyperlink ref="D108" r:id="rId305" xr:uid="{00000000-0004-0000-0000-000030010000}"/>
    <hyperlink ref="C109" r:id="rId306" location="mobileAnchor" xr:uid="{00000000-0004-0000-0000-000031010000}"/>
    <hyperlink ref="D109" r:id="rId307" xr:uid="{00000000-0004-0000-0000-000032010000}"/>
    <hyperlink ref="A110" r:id="rId308" xr:uid="{00000000-0004-0000-0000-000033010000}"/>
    <hyperlink ref="C110" r:id="rId309" xr:uid="{00000000-0004-0000-0000-000034010000}"/>
    <hyperlink ref="D110" r:id="rId310" xr:uid="{00000000-0004-0000-0000-000035010000}"/>
    <hyperlink ref="C111" r:id="rId311" xr:uid="{00000000-0004-0000-0000-000036010000}"/>
    <hyperlink ref="D111" r:id="rId312" xr:uid="{00000000-0004-0000-0000-000037010000}"/>
    <hyperlink ref="A112" r:id="rId313" xr:uid="{00000000-0004-0000-0000-000038010000}"/>
    <hyperlink ref="C112" r:id="rId314" xr:uid="{00000000-0004-0000-0000-000039010000}"/>
    <hyperlink ref="D112" r:id="rId315" xr:uid="{00000000-0004-0000-0000-00003A010000}"/>
    <hyperlink ref="A113" r:id="rId316" xr:uid="{00000000-0004-0000-0000-00003B010000}"/>
    <hyperlink ref="C113" r:id="rId317" xr:uid="{00000000-0004-0000-0000-00003C010000}"/>
    <hyperlink ref="D113" r:id="rId318" xr:uid="{00000000-0004-0000-0000-00003D010000}"/>
    <hyperlink ref="A114" r:id="rId319" xr:uid="{00000000-0004-0000-0000-00003E010000}"/>
    <hyperlink ref="C114" r:id="rId320" xr:uid="{00000000-0004-0000-0000-00003F010000}"/>
    <hyperlink ref="D114" r:id="rId321" xr:uid="{00000000-0004-0000-0000-000040010000}"/>
    <hyperlink ref="C115" r:id="rId322" xr:uid="{00000000-0004-0000-0000-000041010000}"/>
    <hyperlink ref="D115" r:id="rId323" xr:uid="{00000000-0004-0000-0000-000042010000}"/>
    <hyperlink ref="A116" r:id="rId324" xr:uid="{00000000-0004-0000-0000-000043010000}"/>
    <hyperlink ref="C116" r:id="rId325" xr:uid="{00000000-0004-0000-0000-000044010000}"/>
    <hyperlink ref="D116" r:id="rId326" xr:uid="{00000000-0004-0000-0000-000045010000}"/>
    <hyperlink ref="A117" r:id="rId327" xr:uid="{00000000-0004-0000-0000-000046010000}"/>
    <hyperlink ref="C117" r:id="rId328" xr:uid="{00000000-0004-0000-0000-000047010000}"/>
    <hyperlink ref="D117" r:id="rId329" xr:uid="{00000000-0004-0000-0000-000048010000}"/>
    <hyperlink ref="A118" r:id="rId330" xr:uid="{00000000-0004-0000-0000-000049010000}"/>
    <hyperlink ref="C118" r:id="rId331" xr:uid="{00000000-0004-0000-0000-00004A010000}"/>
    <hyperlink ref="D118" r:id="rId332" xr:uid="{00000000-0004-0000-0000-00004B010000}"/>
    <hyperlink ref="A119" r:id="rId333" xr:uid="{00000000-0004-0000-0000-00004C010000}"/>
    <hyperlink ref="C119" r:id="rId334" xr:uid="{00000000-0004-0000-0000-00004D010000}"/>
    <hyperlink ref="D119" r:id="rId335" xr:uid="{00000000-0004-0000-0000-00004E010000}"/>
    <hyperlink ref="A120" r:id="rId336" xr:uid="{00000000-0004-0000-0000-00004F010000}"/>
    <hyperlink ref="C120" r:id="rId337" xr:uid="{00000000-0004-0000-0000-000050010000}"/>
    <hyperlink ref="D120" r:id="rId338" xr:uid="{00000000-0004-0000-0000-000051010000}"/>
    <hyperlink ref="C121" r:id="rId339" xr:uid="{00000000-0004-0000-0000-000052010000}"/>
    <hyperlink ref="D121" r:id="rId340" xr:uid="{00000000-0004-0000-0000-000053010000}"/>
    <hyperlink ref="A122" r:id="rId341" xr:uid="{00000000-0004-0000-0000-000054010000}"/>
    <hyperlink ref="C122" r:id="rId342" xr:uid="{00000000-0004-0000-0000-000055010000}"/>
    <hyperlink ref="D122" r:id="rId343" xr:uid="{00000000-0004-0000-0000-000056010000}"/>
    <hyperlink ref="C123" r:id="rId344" xr:uid="{00000000-0004-0000-0000-000057010000}"/>
    <hyperlink ref="D123" r:id="rId345" xr:uid="{00000000-0004-0000-0000-000058010000}"/>
    <hyperlink ref="A124" r:id="rId346" xr:uid="{00000000-0004-0000-0000-000059010000}"/>
    <hyperlink ref="C124" r:id="rId347" xr:uid="{00000000-0004-0000-0000-00005A010000}"/>
    <hyperlink ref="D124" r:id="rId348" xr:uid="{00000000-0004-0000-0000-00005B010000}"/>
    <hyperlink ref="C125" r:id="rId349" xr:uid="{00000000-0004-0000-0000-00005C010000}"/>
    <hyperlink ref="D125" r:id="rId350" xr:uid="{00000000-0004-0000-0000-00005D010000}"/>
    <hyperlink ref="A126" r:id="rId351" xr:uid="{00000000-0004-0000-0000-00005E010000}"/>
    <hyperlink ref="C126" r:id="rId352" xr:uid="{00000000-0004-0000-0000-00005F010000}"/>
    <hyperlink ref="D126" r:id="rId353" xr:uid="{00000000-0004-0000-0000-000060010000}"/>
    <hyperlink ref="C127" r:id="rId354" xr:uid="{00000000-0004-0000-0000-000061010000}"/>
    <hyperlink ref="D127" r:id="rId355" xr:uid="{00000000-0004-0000-0000-000062010000}"/>
    <hyperlink ref="A128" r:id="rId356" xr:uid="{00000000-0004-0000-0000-000063010000}"/>
    <hyperlink ref="C128" r:id="rId357" xr:uid="{00000000-0004-0000-0000-000064010000}"/>
    <hyperlink ref="D128" r:id="rId358" xr:uid="{00000000-0004-0000-0000-000065010000}"/>
    <hyperlink ref="A129" r:id="rId359" xr:uid="{00000000-0004-0000-0000-000066010000}"/>
    <hyperlink ref="C129" r:id="rId360" xr:uid="{00000000-0004-0000-0000-000067010000}"/>
    <hyperlink ref="D129" r:id="rId361" xr:uid="{00000000-0004-0000-0000-000068010000}"/>
    <hyperlink ref="C130" r:id="rId362" xr:uid="{00000000-0004-0000-0000-000069010000}"/>
    <hyperlink ref="D130" r:id="rId363" xr:uid="{00000000-0004-0000-0000-00006A010000}"/>
    <hyperlink ref="A131" r:id="rId364" xr:uid="{00000000-0004-0000-0000-00006B010000}"/>
    <hyperlink ref="C131" r:id="rId365" xr:uid="{00000000-0004-0000-0000-00006C010000}"/>
    <hyperlink ref="D131" r:id="rId366" xr:uid="{00000000-0004-0000-0000-00006D010000}"/>
    <hyperlink ref="C132" r:id="rId367" xr:uid="{00000000-0004-0000-0000-00006E010000}"/>
    <hyperlink ref="D132" r:id="rId368" xr:uid="{00000000-0004-0000-0000-00006F010000}"/>
    <hyperlink ref="A133" r:id="rId369" xr:uid="{00000000-0004-0000-0000-000070010000}"/>
    <hyperlink ref="C133" r:id="rId370" xr:uid="{00000000-0004-0000-0000-000071010000}"/>
    <hyperlink ref="D133" r:id="rId371" xr:uid="{00000000-0004-0000-0000-000072010000}"/>
    <hyperlink ref="A134" r:id="rId372" xr:uid="{00000000-0004-0000-0000-000073010000}"/>
    <hyperlink ref="C134" r:id="rId373" xr:uid="{00000000-0004-0000-0000-000074010000}"/>
    <hyperlink ref="D134" r:id="rId374" xr:uid="{00000000-0004-0000-0000-000075010000}"/>
    <hyperlink ref="A135" r:id="rId375" xr:uid="{00000000-0004-0000-0000-000076010000}"/>
    <hyperlink ref="C135" r:id="rId376" xr:uid="{00000000-0004-0000-0000-000077010000}"/>
    <hyperlink ref="D135" r:id="rId377" xr:uid="{00000000-0004-0000-0000-000078010000}"/>
    <hyperlink ref="A136" r:id="rId378" xr:uid="{00000000-0004-0000-0000-000079010000}"/>
    <hyperlink ref="C136" r:id="rId379" xr:uid="{00000000-0004-0000-0000-00007A010000}"/>
    <hyperlink ref="D136" r:id="rId380" xr:uid="{00000000-0004-0000-0000-00007B010000}"/>
    <hyperlink ref="C137" r:id="rId381" xr:uid="{00000000-0004-0000-0000-00007C010000}"/>
    <hyperlink ref="D137" r:id="rId382" xr:uid="{00000000-0004-0000-0000-00007D010000}"/>
    <hyperlink ref="A138" r:id="rId383" xr:uid="{00000000-0004-0000-0000-00007E010000}"/>
    <hyperlink ref="C138" r:id="rId384" xr:uid="{00000000-0004-0000-0000-00007F010000}"/>
    <hyperlink ref="D138" r:id="rId385" xr:uid="{00000000-0004-0000-0000-000080010000}"/>
    <hyperlink ref="A139" r:id="rId386" xr:uid="{00000000-0004-0000-0000-000081010000}"/>
    <hyperlink ref="C139" r:id="rId387" xr:uid="{00000000-0004-0000-0000-000082010000}"/>
    <hyperlink ref="D139" r:id="rId388" xr:uid="{00000000-0004-0000-0000-000083010000}"/>
    <hyperlink ref="A140" r:id="rId389" xr:uid="{00000000-0004-0000-0000-000084010000}"/>
    <hyperlink ref="C140" r:id="rId390" xr:uid="{00000000-0004-0000-0000-000085010000}"/>
    <hyperlink ref="D140" r:id="rId391" xr:uid="{00000000-0004-0000-0000-000086010000}"/>
    <hyperlink ref="A141" r:id="rId392" xr:uid="{00000000-0004-0000-0000-000087010000}"/>
    <hyperlink ref="C141" r:id="rId393" xr:uid="{00000000-0004-0000-0000-000088010000}"/>
    <hyperlink ref="D141" r:id="rId394" xr:uid="{00000000-0004-0000-0000-000089010000}"/>
    <hyperlink ref="C142" r:id="rId395" xr:uid="{00000000-0004-0000-0000-00008A010000}"/>
    <hyperlink ref="D142" r:id="rId396" xr:uid="{00000000-0004-0000-0000-00008B010000}"/>
    <hyperlink ref="A143" r:id="rId397" xr:uid="{00000000-0004-0000-0000-00008C010000}"/>
    <hyperlink ref="C143" r:id="rId398" xr:uid="{00000000-0004-0000-0000-00008D010000}"/>
    <hyperlink ref="D143" r:id="rId399" xr:uid="{00000000-0004-0000-0000-00008E010000}"/>
    <hyperlink ref="A144" r:id="rId400" xr:uid="{00000000-0004-0000-0000-00008F010000}"/>
    <hyperlink ref="C144" r:id="rId401" xr:uid="{00000000-0004-0000-0000-000090010000}"/>
    <hyperlink ref="D144" r:id="rId402" xr:uid="{00000000-0004-0000-0000-000091010000}"/>
    <hyperlink ref="A145" r:id="rId403" xr:uid="{00000000-0004-0000-0000-000092010000}"/>
    <hyperlink ref="C145" r:id="rId404" xr:uid="{00000000-0004-0000-0000-000093010000}"/>
    <hyperlink ref="D145" r:id="rId405" xr:uid="{00000000-0004-0000-0000-000094010000}"/>
    <hyperlink ref="A146" r:id="rId406" xr:uid="{00000000-0004-0000-0000-000095010000}"/>
    <hyperlink ref="C146" r:id="rId407" xr:uid="{00000000-0004-0000-0000-000096010000}"/>
    <hyperlink ref="D146" r:id="rId408" xr:uid="{00000000-0004-0000-0000-000097010000}"/>
    <hyperlink ref="A147" r:id="rId409" xr:uid="{00000000-0004-0000-0000-000098010000}"/>
    <hyperlink ref="C147" r:id="rId410" xr:uid="{00000000-0004-0000-0000-000099010000}"/>
    <hyperlink ref="D147" r:id="rId411" xr:uid="{00000000-0004-0000-0000-00009A010000}"/>
    <hyperlink ref="A148" r:id="rId412" xr:uid="{00000000-0004-0000-0000-00009B010000}"/>
    <hyperlink ref="C148" r:id="rId413" xr:uid="{00000000-0004-0000-0000-00009C010000}"/>
    <hyperlink ref="D148" r:id="rId414" xr:uid="{00000000-0004-0000-0000-00009D010000}"/>
    <hyperlink ref="A149" r:id="rId415" xr:uid="{00000000-0004-0000-0000-00009E010000}"/>
    <hyperlink ref="C149" r:id="rId416" xr:uid="{00000000-0004-0000-0000-00009F010000}"/>
    <hyperlink ref="D149" r:id="rId417" xr:uid="{00000000-0004-0000-0000-0000A0010000}"/>
    <hyperlink ref="A150" r:id="rId418" xr:uid="{00000000-0004-0000-0000-0000A1010000}"/>
    <hyperlink ref="C150" r:id="rId419" xr:uid="{00000000-0004-0000-0000-0000A2010000}"/>
    <hyperlink ref="D150" r:id="rId420" xr:uid="{00000000-0004-0000-0000-0000A3010000}"/>
    <hyperlink ref="C151" r:id="rId421" xr:uid="{00000000-0004-0000-0000-0000A4010000}"/>
    <hyperlink ref="D151" r:id="rId422" xr:uid="{00000000-0004-0000-0000-0000A5010000}"/>
    <hyperlink ref="A152" r:id="rId423" xr:uid="{00000000-0004-0000-0000-0000A6010000}"/>
    <hyperlink ref="C152" r:id="rId424" xr:uid="{00000000-0004-0000-0000-0000A7010000}"/>
    <hyperlink ref="D152" r:id="rId425" xr:uid="{00000000-0004-0000-0000-0000A8010000}"/>
    <hyperlink ref="C153" r:id="rId426" xr:uid="{00000000-0004-0000-0000-0000A9010000}"/>
    <hyperlink ref="D153" r:id="rId427" xr:uid="{00000000-0004-0000-0000-0000AA010000}"/>
    <hyperlink ref="C154" r:id="rId428" xr:uid="{00000000-0004-0000-0000-0000AB010000}"/>
    <hyperlink ref="D154" r:id="rId429" xr:uid="{00000000-0004-0000-0000-0000AC010000}"/>
    <hyperlink ref="A155" r:id="rId430" xr:uid="{00000000-0004-0000-0000-0000AD010000}"/>
    <hyperlink ref="C155" r:id="rId431" xr:uid="{00000000-0004-0000-0000-0000AE010000}"/>
    <hyperlink ref="D155" r:id="rId432" xr:uid="{00000000-0004-0000-0000-0000AF010000}"/>
    <hyperlink ref="C156" r:id="rId433" xr:uid="{00000000-0004-0000-0000-0000B0010000}"/>
    <hyperlink ref="D156" r:id="rId434" xr:uid="{00000000-0004-0000-0000-0000B1010000}"/>
    <hyperlink ref="A157" r:id="rId435" xr:uid="{00000000-0004-0000-0000-0000B2010000}"/>
    <hyperlink ref="C157" r:id="rId436" xr:uid="{00000000-0004-0000-0000-0000B3010000}"/>
    <hyperlink ref="D157" r:id="rId437" xr:uid="{00000000-0004-0000-0000-0000B4010000}"/>
    <hyperlink ref="A158" r:id="rId438" xr:uid="{00000000-0004-0000-0000-0000B5010000}"/>
    <hyperlink ref="C158" r:id="rId439" xr:uid="{00000000-0004-0000-0000-0000B6010000}"/>
    <hyperlink ref="D158" r:id="rId440" xr:uid="{00000000-0004-0000-0000-0000B7010000}"/>
    <hyperlink ref="A159" r:id="rId441" xr:uid="{00000000-0004-0000-0000-0000B8010000}"/>
    <hyperlink ref="C159" r:id="rId442" xr:uid="{00000000-0004-0000-0000-0000B9010000}"/>
    <hyperlink ref="D159" r:id="rId443" xr:uid="{00000000-0004-0000-0000-0000BA010000}"/>
    <hyperlink ref="A160" r:id="rId444" xr:uid="{00000000-0004-0000-0000-0000BB010000}"/>
    <hyperlink ref="C160" r:id="rId445" xr:uid="{00000000-0004-0000-0000-0000BC010000}"/>
    <hyperlink ref="D160" r:id="rId446" xr:uid="{00000000-0004-0000-0000-0000BD010000}"/>
    <hyperlink ref="A161" r:id="rId447" xr:uid="{00000000-0004-0000-0000-0000BE010000}"/>
    <hyperlink ref="C161" r:id="rId448" xr:uid="{00000000-0004-0000-0000-0000BF010000}"/>
    <hyperlink ref="D161" r:id="rId449" xr:uid="{00000000-0004-0000-0000-0000C0010000}"/>
    <hyperlink ref="A162" r:id="rId450" xr:uid="{00000000-0004-0000-0000-0000C1010000}"/>
    <hyperlink ref="C162" r:id="rId451" xr:uid="{00000000-0004-0000-0000-0000C2010000}"/>
    <hyperlink ref="D162" r:id="rId452" xr:uid="{00000000-0004-0000-0000-0000C3010000}"/>
    <hyperlink ref="A163" r:id="rId453" xr:uid="{00000000-0004-0000-0000-0000C4010000}"/>
    <hyperlink ref="C163" r:id="rId454" xr:uid="{00000000-0004-0000-0000-0000C5010000}"/>
    <hyperlink ref="D163" r:id="rId455" xr:uid="{00000000-0004-0000-0000-0000C6010000}"/>
    <hyperlink ref="A164" r:id="rId456" xr:uid="{00000000-0004-0000-0000-0000C7010000}"/>
    <hyperlink ref="C164" r:id="rId457" xr:uid="{00000000-0004-0000-0000-0000C8010000}"/>
    <hyperlink ref="D164" r:id="rId458" xr:uid="{00000000-0004-0000-0000-0000C9010000}"/>
    <hyperlink ref="C165" r:id="rId459" xr:uid="{00000000-0004-0000-0000-0000CA010000}"/>
    <hyperlink ref="D165" r:id="rId460" xr:uid="{00000000-0004-0000-0000-0000CB010000}"/>
    <hyperlink ref="C166" r:id="rId461" xr:uid="{00000000-0004-0000-0000-0000CC010000}"/>
    <hyperlink ref="D166" r:id="rId462" xr:uid="{00000000-0004-0000-0000-0000CD010000}"/>
    <hyperlink ref="A167" r:id="rId463" xr:uid="{00000000-0004-0000-0000-0000CE010000}"/>
    <hyperlink ref="C167" r:id="rId464" xr:uid="{00000000-0004-0000-0000-0000CF010000}"/>
    <hyperlink ref="D167" r:id="rId465" xr:uid="{00000000-0004-0000-0000-0000D0010000}"/>
    <hyperlink ref="C168" r:id="rId466" xr:uid="{00000000-0004-0000-0000-0000D1010000}"/>
    <hyperlink ref="D168" r:id="rId467" xr:uid="{00000000-0004-0000-0000-0000D2010000}"/>
    <hyperlink ref="A169" r:id="rId468" xr:uid="{00000000-0004-0000-0000-0000D3010000}"/>
    <hyperlink ref="C169" r:id="rId469" xr:uid="{00000000-0004-0000-0000-0000D4010000}"/>
    <hyperlink ref="D169" r:id="rId470" xr:uid="{00000000-0004-0000-0000-0000D5010000}"/>
    <hyperlink ref="A170" r:id="rId471" xr:uid="{00000000-0004-0000-0000-0000D6010000}"/>
    <hyperlink ref="C170" r:id="rId472" xr:uid="{00000000-0004-0000-0000-0000D7010000}"/>
    <hyperlink ref="D170" r:id="rId473" xr:uid="{00000000-0004-0000-0000-0000D8010000}"/>
    <hyperlink ref="A171" r:id="rId474" xr:uid="{00000000-0004-0000-0000-0000D9010000}"/>
    <hyperlink ref="C171" r:id="rId475" xr:uid="{00000000-0004-0000-0000-0000DA010000}"/>
    <hyperlink ref="D171" r:id="rId476" xr:uid="{00000000-0004-0000-0000-0000DB010000}"/>
    <hyperlink ref="A172" r:id="rId477" xr:uid="{00000000-0004-0000-0000-0000DC010000}"/>
    <hyperlink ref="C172" r:id="rId478" xr:uid="{00000000-0004-0000-0000-0000DD010000}"/>
    <hyperlink ref="D172" r:id="rId479" xr:uid="{00000000-0004-0000-0000-0000DE010000}"/>
    <hyperlink ref="A173" r:id="rId480" xr:uid="{00000000-0004-0000-0000-0000DF010000}"/>
    <hyperlink ref="C173" r:id="rId481" xr:uid="{00000000-0004-0000-0000-0000E0010000}"/>
    <hyperlink ref="D173" r:id="rId482" xr:uid="{00000000-0004-0000-0000-0000E1010000}"/>
    <hyperlink ref="C174" r:id="rId483" xr:uid="{00000000-0004-0000-0000-0000E2010000}"/>
    <hyperlink ref="D174" r:id="rId484" xr:uid="{00000000-0004-0000-0000-0000E3010000}"/>
    <hyperlink ref="C175" r:id="rId485" xr:uid="{00000000-0004-0000-0000-0000E4010000}"/>
    <hyperlink ref="D175" r:id="rId486" xr:uid="{00000000-0004-0000-0000-0000E5010000}"/>
    <hyperlink ref="C176" r:id="rId487" xr:uid="{00000000-0004-0000-0000-0000E6010000}"/>
    <hyperlink ref="D176" r:id="rId488" xr:uid="{00000000-0004-0000-0000-0000E7010000}"/>
    <hyperlink ref="A177" r:id="rId489" xr:uid="{00000000-0004-0000-0000-0000E8010000}"/>
    <hyperlink ref="C177" r:id="rId490" xr:uid="{00000000-0004-0000-0000-0000E9010000}"/>
    <hyperlink ref="D177" r:id="rId491" xr:uid="{00000000-0004-0000-0000-0000EA010000}"/>
    <hyperlink ref="A178" r:id="rId492" xr:uid="{00000000-0004-0000-0000-0000EB010000}"/>
    <hyperlink ref="C178" r:id="rId493" xr:uid="{00000000-0004-0000-0000-0000EC010000}"/>
    <hyperlink ref="D178" r:id="rId494" xr:uid="{00000000-0004-0000-0000-0000ED010000}"/>
    <hyperlink ref="A179" r:id="rId495" xr:uid="{00000000-0004-0000-0000-0000EE010000}"/>
    <hyperlink ref="C179" r:id="rId496" xr:uid="{00000000-0004-0000-0000-0000EF010000}"/>
    <hyperlink ref="D179" r:id="rId497" xr:uid="{00000000-0004-0000-0000-0000F0010000}"/>
    <hyperlink ref="A180" r:id="rId498" xr:uid="{00000000-0004-0000-0000-0000F1010000}"/>
    <hyperlink ref="C180" r:id="rId499" xr:uid="{00000000-0004-0000-0000-0000F2010000}"/>
    <hyperlink ref="D180" r:id="rId500" xr:uid="{00000000-0004-0000-0000-0000F3010000}"/>
    <hyperlink ref="A181" r:id="rId501" xr:uid="{00000000-0004-0000-0000-0000F4010000}"/>
    <hyperlink ref="C181" r:id="rId502" xr:uid="{00000000-0004-0000-0000-0000F5010000}"/>
    <hyperlink ref="D181" r:id="rId503" xr:uid="{00000000-0004-0000-0000-0000F6010000}"/>
    <hyperlink ref="A182" r:id="rId504" xr:uid="{00000000-0004-0000-0000-0000F7010000}"/>
    <hyperlink ref="C182" r:id="rId505" xr:uid="{00000000-0004-0000-0000-0000F8010000}"/>
    <hyperlink ref="D182" r:id="rId506" xr:uid="{00000000-0004-0000-0000-0000F9010000}"/>
    <hyperlink ref="A183" r:id="rId507" xr:uid="{00000000-0004-0000-0000-0000FA010000}"/>
    <hyperlink ref="C183" r:id="rId508" xr:uid="{00000000-0004-0000-0000-0000FB010000}"/>
    <hyperlink ref="D183" r:id="rId509" xr:uid="{00000000-0004-0000-0000-0000FC010000}"/>
    <hyperlink ref="A184" r:id="rId510" xr:uid="{00000000-0004-0000-0000-0000FD010000}"/>
    <hyperlink ref="C184" r:id="rId511" xr:uid="{00000000-0004-0000-0000-0000FE010000}"/>
    <hyperlink ref="D184" r:id="rId512" xr:uid="{00000000-0004-0000-0000-0000FF010000}"/>
    <hyperlink ref="E184" r:id="rId513" xr:uid="{00000000-0004-0000-0000-000000020000}"/>
    <hyperlink ref="A185" r:id="rId514" xr:uid="{00000000-0004-0000-0000-000001020000}"/>
    <hyperlink ref="C185" r:id="rId515" xr:uid="{00000000-0004-0000-0000-000002020000}"/>
    <hyperlink ref="D185" r:id="rId516" xr:uid="{00000000-0004-0000-0000-000003020000}"/>
    <hyperlink ref="C186" r:id="rId517" xr:uid="{00000000-0004-0000-0000-000004020000}"/>
    <hyperlink ref="D186" r:id="rId518" xr:uid="{00000000-0004-0000-0000-000005020000}"/>
    <hyperlink ref="C187" r:id="rId519" xr:uid="{00000000-0004-0000-0000-000006020000}"/>
    <hyperlink ref="D187" r:id="rId520" xr:uid="{00000000-0004-0000-0000-000007020000}"/>
    <hyperlink ref="C188" r:id="rId521" xr:uid="{00000000-0004-0000-0000-000008020000}"/>
    <hyperlink ref="D188" r:id="rId522" xr:uid="{00000000-0004-0000-0000-000009020000}"/>
    <hyperlink ref="A189" r:id="rId523" xr:uid="{00000000-0004-0000-0000-00000A020000}"/>
    <hyperlink ref="C189" r:id="rId524" xr:uid="{00000000-0004-0000-0000-00000B020000}"/>
    <hyperlink ref="D189" r:id="rId525" xr:uid="{00000000-0004-0000-0000-00000C020000}"/>
    <hyperlink ref="A190" r:id="rId526" xr:uid="{00000000-0004-0000-0000-00000D020000}"/>
    <hyperlink ref="C190" r:id="rId527" xr:uid="{00000000-0004-0000-0000-00000E020000}"/>
    <hyperlink ref="D190" r:id="rId528" xr:uid="{00000000-0004-0000-0000-00000F020000}"/>
    <hyperlink ref="A191" r:id="rId529" xr:uid="{00000000-0004-0000-0000-000010020000}"/>
    <hyperlink ref="C191" r:id="rId530" xr:uid="{00000000-0004-0000-0000-000011020000}"/>
    <hyperlink ref="D191" r:id="rId531" xr:uid="{00000000-0004-0000-0000-000012020000}"/>
    <hyperlink ref="A192" r:id="rId532" xr:uid="{00000000-0004-0000-0000-000013020000}"/>
    <hyperlink ref="C192" r:id="rId533" xr:uid="{00000000-0004-0000-0000-000014020000}"/>
    <hyperlink ref="D192" r:id="rId534" xr:uid="{00000000-0004-0000-0000-000015020000}"/>
    <hyperlink ref="C193" r:id="rId535" xr:uid="{00000000-0004-0000-0000-000016020000}"/>
    <hyperlink ref="D193" r:id="rId536" xr:uid="{00000000-0004-0000-0000-000017020000}"/>
    <hyperlink ref="C194" r:id="rId537" xr:uid="{00000000-0004-0000-0000-000018020000}"/>
    <hyperlink ref="D194" r:id="rId538" xr:uid="{00000000-0004-0000-0000-000019020000}"/>
    <hyperlink ref="C195" r:id="rId539" xr:uid="{00000000-0004-0000-0000-00001A020000}"/>
    <hyperlink ref="D195" r:id="rId540" xr:uid="{00000000-0004-0000-0000-00001B020000}"/>
    <hyperlink ref="A196" r:id="rId541" xr:uid="{00000000-0004-0000-0000-00001C020000}"/>
    <hyperlink ref="C196" r:id="rId542" xr:uid="{00000000-0004-0000-0000-00001D020000}"/>
    <hyperlink ref="D196" r:id="rId543" xr:uid="{00000000-0004-0000-0000-00001E020000}"/>
    <hyperlink ref="A197" r:id="rId544" xr:uid="{00000000-0004-0000-0000-00001F020000}"/>
    <hyperlink ref="C197" r:id="rId545" xr:uid="{00000000-0004-0000-0000-000020020000}"/>
    <hyperlink ref="D197" r:id="rId546" xr:uid="{00000000-0004-0000-0000-000021020000}"/>
    <hyperlink ref="A198" r:id="rId547" xr:uid="{00000000-0004-0000-0000-000022020000}"/>
    <hyperlink ref="C198" r:id="rId548" xr:uid="{00000000-0004-0000-0000-000023020000}"/>
    <hyperlink ref="D198" r:id="rId549" xr:uid="{00000000-0004-0000-0000-000024020000}"/>
    <hyperlink ref="A199" r:id="rId550" xr:uid="{00000000-0004-0000-0000-000025020000}"/>
    <hyperlink ref="C199" r:id="rId551" xr:uid="{00000000-0004-0000-0000-000026020000}"/>
    <hyperlink ref="D199" r:id="rId552" xr:uid="{00000000-0004-0000-0000-000027020000}"/>
    <hyperlink ref="A200" r:id="rId553" xr:uid="{00000000-0004-0000-0000-000028020000}"/>
    <hyperlink ref="C200" r:id="rId554" xr:uid="{00000000-0004-0000-0000-000029020000}"/>
    <hyperlink ref="D200" r:id="rId555" xr:uid="{00000000-0004-0000-0000-00002A020000}"/>
    <hyperlink ref="A201" r:id="rId556" xr:uid="{00000000-0004-0000-0000-00002B020000}"/>
    <hyperlink ref="C201" r:id="rId557" xr:uid="{00000000-0004-0000-0000-00002C020000}"/>
    <hyperlink ref="D201" r:id="rId558" xr:uid="{00000000-0004-0000-0000-00002D020000}"/>
    <hyperlink ref="A202" r:id="rId559" xr:uid="{00000000-0004-0000-0000-00002E020000}"/>
    <hyperlink ref="C202" r:id="rId560" xr:uid="{00000000-0004-0000-0000-00002F020000}"/>
    <hyperlink ref="D202" r:id="rId561" xr:uid="{00000000-0004-0000-0000-000030020000}"/>
    <hyperlink ref="A203" r:id="rId562" xr:uid="{00000000-0004-0000-0000-000031020000}"/>
    <hyperlink ref="C203" r:id="rId563" xr:uid="{00000000-0004-0000-0000-000032020000}"/>
    <hyperlink ref="D203" r:id="rId564" xr:uid="{00000000-0004-0000-0000-000033020000}"/>
    <hyperlink ref="A204" r:id="rId565" xr:uid="{00000000-0004-0000-0000-000034020000}"/>
    <hyperlink ref="C204" r:id="rId566" xr:uid="{00000000-0004-0000-0000-000035020000}"/>
    <hyperlink ref="D204" r:id="rId567" xr:uid="{00000000-0004-0000-0000-000036020000}"/>
    <hyperlink ref="A205" r:id="rId568" xr:uid="{00000000-0004-0000-0000-000037020000}"/>
    <hyperlink ref="C205" r:id="rId569" xr:uid="{00000000-0004-0000-0000-000038020000}"/>
    <hyperlink ref="D205" r:id="rId570" xr:uid="{00000000-0004-0000-0000-000039020000}"/>
    <hyperlink ref="A206" r:id="rId571" xr:uid="{00000000-0004-0000-0000-00003A020000}"/>
    <hyperlink ref="C206" r:id="rId572" xr:uid="{00000000-0004-0000-0000-00003B020000}"/>
    <hyperlink ref="D206" r:id="rId573" xr:uid="{00000000-0004-0000-0000-00003C020000}"/>
    <hyperlink ref="A207" r:id="rId574" xr:uid="{00000000-0004-0000-0000-00003D020000}"/>
    <hyperlink ref="C207" r:id="rId575" xr:uid="{00000000-0004-0000-0000-00003E020000}"/>
    <hyperlink ref="D207" r:id="rId576" xr:uid="{00000000-0004-0000-0000-00003F020000}"/>
    <hyperlink ref="A208" r:id="rId577" xr:uid="{00000000-0004-0000-0000-000040020000}"/>
    <hyperlink ref="C208" r:id="rId578" xr:uid="{00000000-0004-0000-0000-000041020000}"/>
    <hyperlink ref="D208" r:id="rId579" xr:uid="{00000000-0004-0000-0000-000042020000}"/>
    <hyperlink ref="C209" r:id="rId580" xr:uid="{00000000-0004-0000-0000-000043020000}"/>
    <hyperlink ref="D209" r:id="rId581" xr:uid="{00000000-0004-0000-0000-000044020000}"/>
    <hyperlink ref="A210" r:id="rId582" xr:uid="{00000000-0004-0000-0000-000045020000}"/>
    <hyperlink ref="C210" r:id="rId583" xr:uid="{00000000-0004-0000-0000-000046020000}"/>
    <hyperlink ref="D210" r:id="rId584" xr:uid="{00000000-0004-0000-0000-000047020000}"/>
    <hyperlink ref="A211" r:id="rId585" xr:uid="{00000000-0004-0000-0000-000048020000}"/>
    <hyperlink ref="C211" r:id="rId586" xr:uid="{00000000-0004-0000-0000-000049020000}"/>
    <hyperlink ref="D211" r:id="rId587" xr:uid="{00000000-0004-0000-0000-00004A020000}"/>
    <hyperlink ref="A212" r:id="rId588" xr:uid="{00000000-0004-0000-0000-00004B020000}"/>
    <hyperlink ref="C212" r:id="rId589" xr:uid="{00000000-0004-0000-0000-00004C020000}"/>
    <hyperlink ref="D212" r:id="rId590" xr:uid="{00000000-0004-0000-0000-00004D020000}"/>
    <hyperlink ref="A213" r:id="rId591" xr:uid="{00000000-0004-0000-0000-00004E020000}"/>
    <hyperlink ref="C213" r:id="rId592" xr:uid="{00000000-0004-0000-0000-00004F020000}"/>
    <hyperlink ref="D213" r:id="rId593" xr:uid="{00000000-0004-0000-0000-000050020000}"/>
    <hyperlink ref="C214" r:id="rId594" xr:uid="{00000000-0004-0000-0000-000051020000}"/>
    <hyperlink ref="D214" r:id="rId595" xr:uid="{00000000-0004-0000-0000-000052020000}"/>
    <hyperlink ref="C215" r:id="rId596" xr:uid="{00000000-0004-0000-0000-000053020000}"/>
    <hyperlink ref="D215" r:id="rId597" xr:uid="{00000000-0004-0000-0000-000054020000}"/>
    <hyperlink ref="C216" r:id="rId598" xr:uid="{00000000-0004-0000-0000-000055020000}"/>
    <hyperlink ref="D216" r:id="rId599" xr:uid="{00000000-0004-0000-0000-000056020000}"/>
    <hyperlink ref="A217" r:id="rId600" xr:uid="{00000000-0004-0000-0000-000057020000}"/>
    <hyperlink ref="C217" r:id="rId601" xr:uid="{00000000-0004-0000-0000-000058020000}"/>
    <hyperlink ref="D217" r:id="rId602" xr:uid="{00000000-0004-0000-0000-000059020000}"/>
    <hyperlink ref="A218" r:id="rId603" xr:uid="{00000000-0004-0000-0000-00005A020000}"/>
    <hyperlink ref="C218" r:id="rId604" xr:uid="{00000000-0004-0000-0000-00005B020000}"/>
    <hyperlink ref="D218" r:id="rId605" xr:uid="{00000000-0004-0000-0000-00005C020000}"/>
    <hyperlink ref="A219" r:id="rId606" xr:uid="{00000000-0004-0000-0000-00005D020000}"/>
    <hyperlink ref="C219" r:id="rId607" xr:uid="{00000000-0004-0000-0000-00005E020000}"/>
    <hyperlink ref="D219" r:id="rId608" xr:uid="{00000000-0004-0000-0000-00005F020000}"/>
    <hyperlink ref="A220" r:id="rId609" xr:uid="{00000000-0004-0000-0000-000060020000}"/>
    <hyperlink ref="C220" r:id="rId610" xr:uid="{00000000-0004-0000-0000-000061020000}"/>
    <hyperlink ref="D220" r:id="rId611" xr:uid="{00000000-0004-0000-0000-000062020000}"/>
    <hyperlink ref="A221" r:id="rId612" xr:uid="{00000000-0004-0000-0000-000063020000}"/>
    <hyperlink ref="C221" r:id="rId613" xr:uid="{00000000-0004-0000-0000-000064020000}"/>
    <hyperlink ref="D221" r:id="rId614" xr:uid="{00000000-0004-0000-0000-000065020000}"/>
    <hyperlink ref="A222" r:id="rId615" xr:uid="{00000000-0004-0000-0000-000066020000}"/>
    <hyperlink ref="C222" r:id="rId616" xr:uid="{00000000-0004-0000-0000-000067020000}"/>
    <hyperlink ref="D222" r:id="rId617" xr:uid="{00000000-0004-0000-0000-000068020000}"/>
    <hyperlink ref="E222" r:id="rId618" xr:uid="{00000000-0004-0000-0000-000069020000}"/>
    <hyperlink ref="A223" r:id="rId619" xr:uid="{00000000-0004-0000-0000-00006A020000}"/>
    <hyperlink ref="C223" r:id="rId620" xr:uid="{00000000-0004-0000-0000-00006B020000}"/>
    <hyperlink ref="D223" r:id="rId621" xr:uid="{00000000-0004-0000-0000-00006C020000}"/>
    <hyperlink ref="A224" r:id="rId622" xr:uid="{00000000-0004-0000-0000-00006D020000}"/>
    <hyperlink ref="C224" r:id="rId623" xr:uid="{00000000-0004-0000-0000-00006E020000}"/>
    <hyperlink ref="D224" r:id="rId624" xr:uid="{00000000-0004-0000-0000-00006F020000}"/>
    <hyperlink ref="A225" r:id="rId625" xr:uid="{00000000-0004-0000-0000-000070020000}"/>
    <hyperlink ref="C225" r:id="rId626" xr:uid="{00000000-0004-0000-0000-000071020000}"/>
    <hyperlink ref="D225" r:id="rId627" xr:uid="{00000000-0004-0000-0000-000072020000}"/>
    <hyperlink ref="A226" r:id="rId628" xr:uid="{00000000-0004-0000-0000-000073020000}"/>
    <hyperlink ref="C226" r:id="rId629" xr:uid="{00000000-0004-0000-0000-000074020000}"/>
    <hyperlink ref="D226" r:id="rId630" xr:uid="{00000000-0004-0000-0000-000075020000}"/>
    <hyperlink ref="A227" r:id="rId631" xr:uid="{00000000-0004-0000-0000-000076020000}"/>
    <hyperlink ref="C227" r:id="rId632" xr:uid="{00000000-0004-0000-0000-000077020000}"/>
    <hyperlink ref="D227" r:id="rId633" xr:uid="{00000000-0004-0000-0000-000078020000}"/>
    <hyperlink ref="E227" r:id="rId634" xr:uid="{00000000-0004-0000-0000-000079020000}"/>
    <hyperlink ref="A228" r:id="rId635" xr:uid="{00000000-0004-0000-0000-00007A020000}"/>
    <hyperlink ref="C228" r:id="rId636" xr:uid="{00000000-0004-0000-0000-00007B020000}"/>
    <hyperlink ref="D228" r:id="rId637" xr:uid="{00000000-0004-0000-0000-00007C020000}"/>
    <hyperlink ref="A229" r:id="rId638" xr:uid="{00000000-0004-0000-0000-00007D020000}"/>
    <hyperlink ref="C229" r:id="rId639" xr:uid="{00000000-0004-0000-0000-00007E020000}"/>
    <hyperlink ref="D229" r:id="rId640" xr:uid="{00000000-0004-0000-0000-00007F020000}"/>
    <hyperlink ref="A230" r:id="rId641" xr:uid="{00000000-0004-0000-0000-000080020000}"/>
    <hyperlink ref="C230" r:id="rId642" xr:uid="{00000000-0004-0000-0000-000081020000}"/>
    <hyperlink ref="D230" r:id="rId643" xr:uid="{00000000-0004-0000-0000-000082020000}"/>
    <hyperlink ref="A231" r:id="rId644" xr:uid="{00000000-0004-0000-0000-000083020000}"/>
    <hyperlink ref="C231" r:id="rId645" xr:uid="{00000000-0004-0000-0000-000084020000}"/>
    <hyperlink ref="D231" r:id="rId646" xr:uid="{00000000-0004-0000-0000-000085020000}"/>
    <hyperlink ref="A232" r:id="rId647" xr:uid="{00000000-0004-0000-0000-000086020000}"/>
    <hyperlink ref="C232" r:id="rId648" xr:uid="{00000000-0004-0000-0000-000087020000}"/>
    <hyperlink ref="D232" r:id="rId649" xr:uid="{00000000-0004-0000-0000-000088020000}"/>
    <hyperlink ref="A233" r:id="rId650" xr:uid="{00000000-0004-0000-0000-000089020000}"/>
    <hyperlink ref="C233" r:id="rId651" xr:uid="{00000000-0004-0000-0000-00008A020000}"/>
    <hyperlink ref="D233" r:id="rId652" xr:uid="{00000000-0004-0000-0000-00008B020000}"/>
    <hyperlink ref="A234" r:id="rId653" xr:uid="{00000000-0004-0000-0000-00008C020000}"/>
    <hyperlink ref="C234" r:id="rId654" xr:uid="{00000000-0004-0000-0000-00008D020000}"/>
    <hyperlink ref="D234" r:id="rId655" xr:uid="{00000000-0004-0000-0000-00008E020000}"/>
    <hyperlink ref="A235" r:id="rId656" xr:uid="{00000000-0004-0000-0000-00008F020000}"/>
    <hyperlink ref="C235" r:id="rId657" xr:uid="{00000000-0004-0000-0000-000090020000}"/>
    <hyperlink ref="D235" r:id="rId658" xr:uid="{00000000-0004-0000-0000-000091020000}"/>
    <hyperlink ref="A236" r:id="rId659" xr:uid="{00000000-0004-0000-0000-000092020000}"/>
    <hyperlink ref="C236" r:id="rId660" xr:uid="{00000000-0004-0000-0000-000093020000}"/>
    <hyperlink ref="D236" r:id="rId661" xr:uid="{00000000-0004-0000-0000-000094020000}"/>
    <hyperlink ref="A237" r:id="rId662" xr:uid="{00000000-0004-0000-0000-000095020000}"/>
    <hyperlink ref="C237" r:id="rId663" xr:uid="{00000000-0004-0000-0000-000096020000}"/>
    <hyperlink ref="D237" r:id="rId664" xr:uid="{00000000-0004-0000-0000-000097020000}"/>
    <hyperlink ref="A238" r:id="rId665" xr:uid="{00000000-0004-0000-0000-000098020000}"/>
    <hyperlink ref="C238" r:id="rId666" xr:uid="{00000000-0004-0000-0000-000099020000}"/>
    <hyperlink ref="D238" r:id="rId667" xr:uid="{00000000-0004-0000-0000-00009A020000}"/>
    <hyperlink ref="A239" r:id="rId668" xr:uid="{00000000-0004-0000-0000-00009B020000}"/>
    <hyperlink ref="C239" r:id="rId669" xr:uid="{00000000-0004-0000-0000-00009C020000}"/>
    <hyperlink ref="D239" r:id="rId670" xr:uid="{00000000-0004-0000-0000-00009D020000}"/>
    <hyperlink ref="A240" r:id="rId671" xr:uid="{00000000-0004-0000-0000-00009E020000}"/>
    <hyperlink ref="C240" r:id="rId672" xr:uid="{00000000-0004-0000-0000-00009F020000}"/>
    <hyperlink ref="D240" r:id="rId673" xr:uid="{00000000-0004-0000-0000-0000A0020000}"/>
    <hyperlink ref="A241" r:id="rId674" xr:uid="{00000000-0004-0000-0000-0000A1020000}"/>
    <hyperlink ref="C241" r:id="rId675" xr:uid="{00000000-0004-0000-0000-0000A2020000}"/>
    <hyperlink ref="D241" r:id="rId676" xr:uid="{00000000-0004-0000-0000-0000A3020000}"/>
    <hyperlink ref="A242" r:id="rId677" xr:uid="{00000000-0004-0000-0000-0000A4020000}"/>
    <hyperlink ref="C242" r:id="rId678" xr:uid="{00000000-0004-0000-0000-0000A5020000}"/>
    <hyperlink ref="D242" r:id="rId679" xr:uid="{00000000-0004-0000-0000-0000A6020000}"/>
    <hyperlink ref="A243" r:id="rId680" xr:uid="{00000000-0004-0000-0000-0000A7020000}"/>
    <hyperlink ref="C243" r:id="rId681" xr:uid="{00000000-0004-0000-0000-0000A8020000}"/>
    <hyperlink ref="D243" r:id="rId682" xr:uid="{00000000-0004-0000-0000-0000A9020000}"/>
    <hyperlink ref="A244" r:id="rId683" xr:uid="{00000000-0004-0000-0000-0000AA020000}"/>
    <hyperlink ref="C244" r:id="rId684" xr:uid="{00000000-0004-0000-0000-0000AB020000}"/>
    <hyperlink ref="D244" r:id="rId685" xr:uid="{00000000-0004-0000-0000-0000AC020000}"/>
    <hyperlink ref="A245" r:id="rId686" xr:uid="{00000000-0004-0000-0000-0000AD020000}"/>
    <hyperlink ref="C245" r:id="rId687" xr:uid="{00000000-0004-0000-0000-0000AE020000}"/>
    <hyperlink ref="D245" r:id="rId688" xr:uid="{00000000-0004-0000-0000-0000AF020000}"/>
    <hyperlink ref="C246" r:id="rId689" xr:uid="{00000000-0004-0000-0000-0000B0020000}"/>
    <hyperlink ref="D246" r:id="rId690" xr:uid="{00000000-0004-0000-0000-0000B1020000}"/>
    <hyperlink ref="C247" r:id="rId691" xr:uid="{00000000-0004-0000-0000-0000B2020000}"/>
    <hyperlink ref="D247" r:id="rId692" xr:uid="{00000000-0004-0000-0000-0000B3020000}"/>
    <hyperlink ref="C248" r:id="rId693" xr:uid="{00000000-0004-0000-0000-0000B4020000}"/>
    <hyperlink ref="D248" r:id="rId694" xr:uid="{00000000-0004-0000-0000-0000B5020000}"/>
    <hyperlink ref="A249" r:id="rId695" xr:uid="{00000000-0004-0000-0000-0000B6020000}"/>
    <hyperlink ref="C249" r:id="rId696" xr:uid="{00000000-0004-0000-0000-0000B7020000}"/>
    <hyperlink ref="D249" r:id="rId697" xr:uid="{00000000-0004-0000-0000-0000B8020000}"/>
    <hyperlink ref="A250" r:id="rId698" xr:uid="{00000000-0004-0000-0000-0000B9020000}"/>
    <hyperlink ref="C250" r:id="rId699" xr:uid="{00000000-0004-0000-0000-0000BA020000}"/>
    <hyperlink ref="D250" r:id="rId700" xr:uid="{00000000-0004-0000-0000-0000BB020000}"/>
    <hyperlink ref="A251" r:id="rId701" xr:uid="{00000000-0004-0000-0000-0000BC020000}"/>
    <hyperlink ref="C251" r:id="rId702" xr:uid="{00000000-0004-0000-0000-0000BD020000}"/>
    <hyperlink ref="D251" r:id="rId703" xr:uid="{00000000-0004-0000-0000-0000BE020000}"/>
    <hyperlink ref="A252" r:id="rId704" xr:uid="{00000000-0004-0000-0000-0000BF020000}"/>
    <hyperlink ref="C252" r:id="rId705" xr:uid="{00000000-0004-0000-0000-0000C0020000}"/>
    <hyperlink ref="D252" r:id="rId706" xr:uid="{00000000-0004-0000-0000-0000C1020000}"/>
    <hyperlink ref="A253" r:id="rId707" xr:uid="{00000000-0004-0000-0000-0000C2020000}"/>
    <hyperlink ref="C253" r:id="rId708" xr:uid="{00000000-0004-0000-0000-0000C3020000}"/>
    <hyperlink ref="D253" r:id="rId709" xr:uid="{00000000-0004-0000-0000-0000C4020000}"/>
    <hyperlink ref="E253" r:id="rId710" xr:uid="{00000000-0004-0000-0000-0000C5020000}"/>
    <hyperlink ref="A254" r:id="rId711" xr:uid="{00000000-0004-0000-0000-0000C6020000}"/>
    <hyperlink ref="C254" r:id="rId712" xr:uid="{00000000-0004-0000-0000-0000C7020000}"/>
    <hyperlink ref="D254" r:id="rId713" xr:uid="{00000000-0004-0000-0000-0000C8020000}"/>
    <hyperlink ref="A255" r:id="rId714" xr:uid="{00000000-0004-0000-0000-0000C9020000}"/>
    <hyperlink ref="C255" r:id="rId715" xr:uid="{00000000-0004-0000-0000-0000CA020000}"/>
    <hyperlink ref="D255" r:id="rId716" xr:uid="{00000000-0004-0000-0000-0000CB020000}"/>
    <hyperlink ref="A256" r:id="rId717" xr:uid="{00000000-0004-0000-0000-0000CC020000}"/>
    <hyperlink ref="C256" r:id="rId718" xr:uid="{00000000-0004-0000-0000-0000CD020000}"/>
    <hyperlink ref="D256" r:id="rId719" xr:uid="{00000000-0004-0000-0000-0000CE020000}"/>
    <hyperlink ref="A257" r:id="rId720" xr:uid="{00000000-0004-0000-0000-0000CF020000}"/>
    <hyperlink ref="C257" r:id="rId721" xr:uid="{00000000-0004-0000-0000-0000D0020000}"/>
    <hyperlink ref="D257" r:id="rId722" xr:uid="{00000000-0004-0000-0000-0000D1020000}"/>
    <hyperlink ref="A258" r:id="rId723" xr:uid="{00000000-0004-0000-0000-0000D2020000}"/>
    <hyperlink ref="C258" r:id="rId724" xr:uid="{00000000-0004-0000-0000-0000D3020000}"/>
    <hyperlink ref="D258" r:id="rId725" xr:uid="{00000000-0004-0000-0000-0000D4020000}"/>
    <hyperlink ref="A259" r:id="rId726" xr:uid="{00000000-0004-0000-0000-0000D5020000}"/>
    <hyperlink ref="C259" r:id="rId727" xr:uid="{00000000-0004-0000-0000-0000D6020000}"/>
    <hyperlink ref="D259" r:id="rId728" xr:uid="{00000000-0004-0000-0000-0000D7020000}"/>
    <hyperlink ref="A260" r:id="rId729" xr:uid="{00000000-0004-0000-0000-0000D8020000}"/>
    <hyperlink ref="C260" r:id="rId730" xr:uid="{00000000-0004-0000-0000-0000D9020000}"/>
    <hyperlink ref="D260" r:id="rId731" xr:uid="{00000000-0004-0000-0000-0000DA020000}"/>
    <hyperlink ref="A261" r:id="rId732" xr:uid="{00000000-0004-0000-0000-0000DB020000}"/>
    <hyperlink ref="C261" r:id="rId733" xr:uid="{00000000-0004-0000-0000-0000DC020000}"/>
    <hyperlink ref="D261" r:id="rId734" xr:uid="{00000000-0004-0000-0000-0000DD020000}"/>
    <hyperlink ref="A262" r:id="rId735" xr:uid="{00000000-0004-0000-0000-0000DE020000}"/>
    <hyperlink ref="C262" r:id="rId736" xr:uid="{00000000-0004-0000-0000-0000DF020000}"/>
    <hyperlink ref="D262" r:id="rId737" xr:uid="{00000000-0004-0000-0000-0000E0020000}"/>
    <hyperlink ref="A263" r:id="rId738" xr:uid="{00000000-0004-0000-0000-0000E1020000}"/>
    <hyperlink ref="C263" r:id="rId739" xr:uid="{00000000-0004-0000-0000-0000E2020000}"/>
    <hyperlink ref="D263" r:id="rId740" xr:uid="{00000000-0004-0000-0000-0000E3020000}"/>
    <hyperlink ref="A264" r:id="rId741" xr:uid="{00000000-0004-0000-0000-0000E4020000}"/>
    <hyperlink ref="C264" r:id="rId742" xr:uid="{00000000-0004-0000-0000-0000E5020000}"/>
    <hyperlink ref="D264" r:id="rId743" xr:uid="{00000000-0004-0000-0000-0000E6020000}"/>
    <hyperlink ref="A265" r:id="rId744" xr:uid="{00000000-0004-0000-0000-0000E7020000}"/>
    <hyperlink ref="C265" r:id="rId745" xr:uid="{00000000-0004-0000-0000-0000E8020000}"/>
    <hyperlink ref="D265" r:id="rId746" xr:uid="{00000000-0004-0000-0000-0000E9020000}"/>
    <hyperlink ref="A266" r:id="rId747" xr:uid="{00000000-0004-0000-0000-0000EA020000}"/>
    <hyperlink ref="C266" r:id="rId748" xr:uid="{00000000-0004-0000-0000-0000EB020000}"/>
    <hyperlink ref="D266" r:id="rId749" xr:uid="{00000000-0004-0000-0000-0000EC020000}"/>
    <hyperlink ref="A267" r:id="rId750" xr:uid="{00000000-0004-0000-0000-0000ED020000}"/>
    <hyperlink ref="C267" r:id="rId751" xr:uid="{00000000-0004-0000-0000-0000EE020000}"/>
    <hyperlink ref="D267" r:id="rId752" xr:uid="{00000000-0004-0000-0000-0000EF020000}"/>
    <hyperlink ref="E267" r:id="rId753" xr:uid="{00000000-0004-0000-0000-0000F0020000}"/>
    <hyperlink ref="A268" r:id="rId754" xr:uid="{00000000-0004-0000-0000-0000F1020000}"/>
    <hyperlink ref="C268" r:id="rId755" xr:uid="{00000000-0004-0000-0000-0000F2020000}"/>
    <hyperlink ref="D268" r:id="rId756" xr:uid="{00000000-0004-0000-0000-0000F3020000}"/>
    <hyperlink ref="A269" r:id="rId757" xr:uid="{00000000-0004-0000-0000-0000F4020000}"/>
    <hyperlink ref="C269" r:id="rId758" xr:uid="{00000000-0004-0000-0000-0000F5020000}"/>
    <hyperlink ref="D269" r:id="rId759" xr:uid="{00000000-0004-0000-0000-0000F6020000}"/>
    <hyperlink ref="A270" r:id="rId760" xr:uid="{00000000-0004-0000-0000-0000F7020000}"/>
    <hyperlink ref="C270" r:id="rId761" xr:uid="{00000000-0004-0000-0000-0000F8020000}"/>
    <hyperlink ref="D270" r:id="rId762" xr:uid="{00000000-0004-0000-0000-0000F9020000}"/>
    <hyperlink ref="A271" r:id="rId763" xr:uid="{00000000-0004-0000-0000-0000FA020000}"/>
    <hyperlink ref="C271" r:id="rId764" xr:uid="{00000000-0004-0000-0000-0000FB020000}"/>
    <hyperlink ref="D271" r:id="rId765" xr:uid="{00000000-0004-0000-0000-0000FC020000}"/>
    <hyperlink ref="C272" r:id="rId766" xr:uid="{00000000-0004-0000-0000-0000FD020000}"/>
    <hyperlink ref="D272" r:id="rId767" xr:uid="{00000000-0004-0000-0000-0000FE020000}"/>
    <hyperlink ref="C273" r:id="rId768" xr:uid="{00000000-0004-0000-0000-0000FF020000}"/>
    <hyperlink ref="D273" r:id="rId769" xr:uid="{00000000-0004-0000-0000-000000030000}"/>
    <hyperlink ref="C274" r:id="rId770" xr:uid="{00000000-0004-0000-0000-000001030000}"/>
    <hyperlink ref="D274" r:id="rId771" xr:uid="{00000000-0004-0000-0000-000002030000}"/>
    <hyperlink ref="A275" r:id="rId772" xr:uid="{00000000-0004-0000-0000-000003030000}"/>
    <hyperlink ref="C275" r:id="rId773" xr:uid="{00000000-0004-0000-0000-000004030000}"/>
    <hyperlink ref="D275" r:id="rId774" xr:uid="{00000000-0004-0000-0000-000005030000}"/>
    <hyperlink ref="A276" r:id="rId775" xr:uid="{00000000-0004-0000-0000-000006030000}"/>
    <hyperlink ref="C276" r:id="rId776" xr:uid="{00000000-0004-0000-0000-000007030000}"/>
    <hyperlink ref="D276" r:id="rId777" xr:uid="{00000000-0004-0000-0000-000008030000}"/>
    <hyperlink ref="A277" r:id="rId778" xr:uid="{00000000-0004-0000-0000-000009030000}"/>
    <hyperlink ref="C277" r:id="rId779" xr:uid="{00000000-0004-0000-0000-00000A030000}"/>
    <hyperlink ref="D277" r:id="rId780" xr:uid="{00000000-0004-0000-0000-00000B030000}"/>
    <hyperlink ref="A278" r:id="rId781" xr:uid="{00000000-0004-0000-0000-00000C030000}"/>
    <hyperlink ref="C278" r:id="rId782" xr:uid="{00000000-0004-0000-0000-00000D030000}"/>
    <hyperlink ref="D278" r:id="rId783" xr:uid="{00000000-0004-0000-0000-00000E030000}"/>
    <hyperlink ref="A279" r:id="rId784" xr:uid="{00000000-0004-0000-0000-00000F030000}"/>
    <hyperlink ref="C279" r:id="rId785" xr:uid="{00000000-0004-0000-0000-000010030000}"/>
    <hyperlink ref="D279" r:id="rId786" xr:uid="{00000000-0004-0000-0000-000011030000}"/>
    <hyperlink ref="A280" r:id="rId787" xr:uid="{00000000-0004-0000-0000-000012030000}"/>
    <hyperlink ref="C280" r:id="rId788" xr:uid="{00000000-0004-0000-0000-000013030000}"/>
    <hyperlink ref="D280" r:id="rId789" xr:uid="{00000000-0004-0000-0000-000014030000}"/>
    <hyperlink ref="C281" r:id="rId790" xr:uid="{00000000-0004-0000-0000-000015030000}"/>
    <hyperlink ref="D281" r:id="rId791" xr:uid="{00000000-0004-0000-0000-000016030000}"/>
    <hyperlink ref="A282" r:id="rId792" xr:uid="{00000000-0004-0000-0000-000017030000}"/>
    <hyperlink ref="C282" r:id="rId793" xr:uid="{00000000-0004-0000-0000-000018030000}"/>
    <hyperlink ref="D282" r:id="rId794" xr:uid="{00000000-0004-0000-0000-000019030000}"/>
    <hyperlink ref="A283" r:id="rId795" xr:uid="{00000000-0004-0000-0000-00001A030000}"/>
    <hyperlink ref="C283" r:id="rId796" xr:uid="{00000000-0004-0000-0000-00001B030000}"/>
    <hyperlink ref="D283" r:id="rId797" xr:uid="{00000000-0004-0000-0000-00001C030000}"/>
    <hyperlink ref="A284" r:id="rId798" xr:uid="{00000000-0004-0000-0000-00001D030000}"/>
    <hyperlink ref="C284" r:id="rId799" xr:uid="{00000000-0004-0000-0000-00001E030000}"/>
    <hyperlink ref="D284" r:id="rId800" xr:uid="{00000000-0004-0000-0000-00001F030000}"/>
    <hyperlink ref="A285" r:id="rId801" xr:uid="{00000000-0004-0000-0000-000020030000}"/>
    <hyperlink ref="C285" r:id="rId802" xr:uid="{00000000-0004-0000-0000-000021030000}"/>
    <hyperlink ref="D285" r:id="rId803" xr:uid="{00000000-0004-0000-0000-000022030000}"/>
    <hyperlink ref="A286" r:id="rId804" xr:uid="{00000000-0004-0000-0000-000023030000}"/>
    <hyperlink ref="C286" r:id="rId805" xr:uid="{00000000-0004-0000-0000-000024030000}"/>
    <hyperlink ref="D286" r:id="rId806" xr:uid="{00000000-0004-0000-0000-000025030000}"/>
    <hyperlink ref="A287" r:id="rId807" xr:uid="{00000000-0004-0000-0000-000026030000}"/>
    <hyperlink ref="C287" r:id="rId808" xr:uid="{00000000-0004-0000-0000-000027030000}"/>
    <hyperlink ref="D287" r:id="rId809" xr:uid="{00000000-0004-0000-0000-000028030000}"/>
    <hyperlink ref="E287" r:id="rId810" xr:uid="{00000000-0004-0000-0000-000029030000}"/>
    <hyperlink ref="A288" r:id="rId811" xr:uid="{00000000-0004-0000-0000-00002A030000}"/>
    <hyperlink ref="C288" r:id="rId812" xr:uid="{00000000-0004-0000-0000-00002B030000}"/>
    <hyperlink ref="D288" r:id="rId813" xr:uid="{00000000-0004-0000-0000-00002C030000}"/>
    <hyperlink ref="A289" r:id="rId814" xr:uid="{00000000-0004-0000-0000-00002D030000}"/>
    <hyperlink ref="C289" r:id="rId815" xr:uid="{00000000-0004-0000-0000-00002E030000}"/>
    <hyperlink ref="D289" r:id="rId816" xr:uid="{00000000-0004-0000-0000-00002F030000}"/>
    <hyperlink ref="A290" r:id="rId817" xr:uid="{00000000-0004-0000-0000-000030030000}"/>
    <hyperlink ref="C290" r:id="rId818" xr:uid="{00000000-0004-0000-0000-000031030000}"/>
    <hyperlink ref="D290" r:id="rId819" xr:uid="{00000000-0004-0000-0000-000032030000}"/>
    <hyperlink ref="A291" r:id="rId820" xr:uid="{00000000-0004-0000-0000-000033030000}"/>
    <hyperlink ref="C291" r:id="rId821" xr:uid="{00000000-0004-0000-0000-000034030000}"/>
    <hyperlink ref="D291" r:id="rId822" xr:uid="{00000000-0004-0000-0000-000035030000}"/>
    <hyperlink ref="A292" r:id="rId823" xr:uid="{00000000-0004-0000-0000-000036030000}"/>
    <hyperlink ref="C292" r:id="rId824" xr:uid="{00000000-0004-0000-0000-000037030000}"/>
    <hyperlink ref="D292" r:id="rId825" xr:uid="{00000000-0004-0000-0000-000038030000}"/>
    <hyperlink ref="A293" r:id="rId826" xr:uid="{00000000-0004-0000-0000-000039030000}"/>
    <hyperlink ref="C293" r:id="rId827" xr:uid="{00000000-0004-0000-0000-00003A030000}"/>
    <hyperlink ref="D293" r:id="rId828" xr:uid="{00000000-0004-0000-0000-00003B030000}"/>
    <hyperlink ref="C294" r:id="rId829" xr:uid="{00000000-0004-0000-0000-00003C030000}"/>
    <hyperlink ref="D294" r:id="rId830" xr:uid="{00000000-0004-0000-0000-00003D030000}"/>
    <hyperlink ref="C295" r:id="rId831" xr:uid="{00000000-0004-0000-0000-00003E030000}"/>
    <hyperlink ref="D295" r:id="rId832" xr:uid="{00000000-0004-0000-0000-00003F030000}"/>
    <hyperlink ref="C296" r:id="rId833" xr:uid="{00000000-0004-0000-0000-000040030000}"/>
    <hyperlink ref="D296" r:id="rId834" xr:uid="{00000000-0004-0000-0000-000041030000}"/>
    <hyperlink ref="E296" r:id="rId835" xr:uid="{00000000-0004-0000-0000-000042030000}"/>
    <hyperlink ref="A297" r:id="rId836" xr:uid="{00000000-0004-0000-0000-000043030000}"/>
    <hyperlink ref="C297" r:id="rId837" xr:uid="{00000000-0004-0000-0000-000044030000}"/>
    <hyperlink ref="D297" r:id="rId838" xr:uid="{00000000-0004-0000-0000-000045030000}"/>
    <hyperlink ref="A298" r:id="rId839" xr:uid="{00000000-0004-0000-0000-000046030000}"/>
    <hyperlink ref="C298" r:id="rId840" xr:uid="{00000000-0004-0000-0000-000047030000}"/>
    <hyperlink ref="D298" r:id="rId841" xr:uid="{00000000-0004-0000-0000-000048030000}"/>
    <hyperlink ref="A299" r:id="rId842" xr:uid="{00000000-0004-0000-0000-000049030000}"/>
    <hyperlink ref="C299" r:id="rId843" xr:uid="{00000000-0004-0000-0000-00004A030000}"/>
    <hyperlink ref="D299" r:id="rId844" xr:uid="{00000000-0004-0000-0000-00004B030000}"/>
    <hyperlink ref="A300" r:id="rId845" xr:uid="{00000000-0004-0000-0000-00004C030000}"/>
    <hyperlink ref="C300" r:id="rId846" xr:uid="{00000000-0004-0000-0000-00004D030000}"/>
    <hyperlink ref="D300" r:id="rId847" xr:uid="{00000000-0004-0000-0000-00004E030000}"/>
    <hyperlink ref="A301" r:id="rId848" xr:uid="{00000000-0004-0000-0000-00004F030000}"/>
    <hyperlink ref="C301" r:id="rId849" xr:uid="{00000000-0004-0000-0000-000050030000}"/>
    <hyperlink ref="D301" r:id="rId850" xr:uid="{00000000-0004-0000-0000-000051030000}"/>
    <hyperlink ref="A302" r:id="rId851" xr:uid="{00000000-0004-0000-0000-000052030000}"/>
    <hyperlink ref="C302" r:id="rId852" xr:uid="{00000000-0004-0000-0000-000053030000}"/>
    <hyperlink ref="D302" r:id="rId853" xr:uid="{00000000-0004-0000-0000-000054030000}"/>
    <hyperlink ref="A303" r:id="rId854" xr:uid="{00000000-0004-0000-0000-000055030000}"/>
    <hyperlink ref="C303" r:id="rId855" xr:uid="{00000000-0004-0000-0000-000056030000}"/>
    <hyperlink ref="D303" r:id="rId856" xr:uid="{00000000-0004-0000-0000-000057030000}"/>
    <hyperlink ref="A304" r:id="rId857" xr:uid="{00000000-0004-0000-0000-000058030000}"/>
    <hyperlink ref="C304" r:id="rId858" xr:uid="{00000000-0004-0000-0000-000059030000}"/>
    <hyperlink ref="D304" r:id="rId859" xr:uid="{00000000-0004-0000-0000-00005A030000}"/>
    <hyperlink ref="A305" r:id="rId860" xr:uid="{00000000-0004-0000-0000-00005B030000}"/>
    <hyperlink ref="C305" r:id="rId861" xr:uid="{00000000-0004-0000-0000-00005C030000}"/>
    <hyperlink ref="D305" r:id="rId862" xr:uid="{00000000-0004-0000-0000-00005D030000}"/>
    <hyperlink ref="A306" r:id="rId863" xr:uid="{00000000-0004-0000-0000-00005E030000}"/>
    <hyperlink ref="C306" r:id="rId864" xr:uid="{00000000-0004-0000-0000-00005F030000}"/>
    <hyperlink ref="D306" r:id="rId865" xr:uid="{00000000-0004-0000-0000-000060030000}"/>
    <hyperlink ref="C307" r:id="rId866" xr:uid="{00000000-0004-0000-0000-000061030000}"/>
    <hyperlink ref="D307" r:id="rId867" xr:uid="{00000000-0004-0000-0000-000062030000}"/>
    <hyperlink ref="C308" r:id="rId868" xr:uid="{00000000-0004-0000-0000-000063030000}"/>
    <hyperlink ref="D308" r:id="rId869" xr:uid="{00000000-0004-0000-0000-000064030000}"/>
    <hyperlink ref="A309" r:id="rId870" xr:uid="{00000000-0004-0000-0000-000065030000}"/>
    <hyperlink ref="C309" r:id="rId871" xr:uid="{00000000-0004-0000-0000-000066030000}"/>
    <hyperlink ref="D309" r:id="rId872" xr:uid="{00000000-0004-0000-0000-000067030000}"/>
    <hyperlink ref="A310" r:id="rId873" xr:uid="{00000000-0004-0000-0000-000068030000}"/>
    <hyperlink ref="C310" r:id="rId874" xr:uid="{00000000-0004-0000-0000-000069030000}"/>
    <hyperlink ref="D310" r:id="rId875" xr:uid="{00000000-0004-0000-0000-00006A030000}"/>
    <hyperlink ref="C311" r:id="rId876" xr:uid="{00000000-0004-0000-0000-00006B030000}"/>
    <hyperlink ref="D311" r:id="rId877" xr:uid="{00000000-0004-0000-0000-00006C030000}"/>
    <hyperlink ref="A312" r:id="rId878" xr:uid="{00000000-0004-0000-0000-00006D030000}"/>
    <hyperlink ref="C312" r:id="rId879" xr:uid="{00000000-0004-0000-0000-00006E030000}"/>
    <hyperlink ref="D312" r:id="rId880" xr:uid="{00000000-0004-0000-0000-00006F030000}"/>
    <hyperlink ref="C313" r:id="rId881" xr:uid="{00000000-0004-0000-0000-000070030000}"/>
    <hyperlink ref="D313" r:id="rId882" xr:uid="{00000000-0004-0000-0000-000071030000}"/>
    <hyperlink ref="A314" r:id="rId883" xr:uid="{00000000-0004-0000-0000-000072030000}"/>
    <hyperlink ref="C314" r:id="rId884" xr:uid="{00000000-0004-0000-0000-000073030000}"/>
    <hyperlink ref="D314" r:id="rId885" xr:uid="{00000000-0004-0000-0000-000074030000}"/>
    <hyperlink ref="A315" r:id="rId886" xr:uid="{00000000-0004-0000-0000-000075030000}"/>
    <hyperlink ref="C315" r:id="rId887" xr:uid="{00000000-0004-0000-0000-000076030000}"/>
    <hyperlink ref="D315" r:id="rId888" xr:uid="{00000000-0004-0000-0000-000077030000}"/>
    <hyperlink ref="C316" r:id="rId889" xr:uid="{00000000-0004-0000-0000-000078030000}"/>
    <hyperlink ref="D316" r:id="rId890" xr:uid="{00000000-0004-0000-0000-000079030000}"/>
    <hyperlink ref="A317" r:id="rId891" xr:uid="{00000000-0004-0000-0000-00007A030000}"/>
    <hyperlink ref="C317" r:id="rId892" xr:uid="{00000000-0004-0000-0000-00007B030000}"/>
    <hyperlink ref="D317" r:id="rId893" xr:uid="{00000000-0004-0000-0000-00007C030000}"/>
    <hyperlink ref="A318" r:id="rId894" xr:uid="{00000000-0004-0000-0000-00007D030000}"/>
    <hyperlink ref="C318" r:id="rId895" xr:uid="{00000000-0004-0000-0000-00007E030000}"/>
    <hyperlink ref="D318" r:id="rId896" xr:uid="{00000000-0004-0000-0000-00007F030000}"/>
    <hyperlink ref="A319" r:id="rId897" xr:uid="{00000000-0004-0000-0000-000080030000}"/>
    <hyperlink ref="C319" r:id="rId898" xr:uid="{00000000-0004-0000-0000-000081030000}"/>
    <hyperlink ref="D319" r:id="rId899" xr:uid="{00000000-0004-0000-0000-000082030000}"/>
    <hyperlink ref="A320" r:id="rId900" xr:uid="{00000000-0004-0000-0000-000083030000}"/>
    <hyperlink ref="C320" r:id="rId901" xr:uid="{00000000-0004-0000-0000-000084030000}"/>
    <hyperlink ref="D320" r:id="rId902" xr:uid="{00000000-0004-0000-0000-000085030000}"/>
    <hyperlink ref="A321" r:id="rId903" xr:uid="{00000000-0004-0000-0000-000086030000}"/>
    <hyperlink ref="C321" r:id="rId904" xr:uid="{00000000-0004-0000-0000-000087030000}"/>
    <hyperlink ref="D321" r:id="rId905" xr:uid="{00000000-0004-0000-0000-000088030000}"/>
    <hyperlink ref="E321" r:id="rId906" xr:uid="{00000000-0004-0000-0000-000089030000}"/>
    <hyperlink ref="A322" r:id="rId907" xr:uid="{00000000-0004-0000-0000-00008A030000}"/>
    <hyperlink ref="C322" r:id="rId908" xr:uid="{00000000-0004-0000-0000-00008B030000}"/>
    <hyperlink ref="D322" r:id="rId909" xr:uid="{00000000-0004-0000-0000-00008C030000}"/>
    <hyperlink ref="A323" r:id="rId910" xr:uid="{00000000-0004-0000-0000-00008D030000}"/>
    <hyperlink ref="C323" r:id="rId911" xr:uid="{00000000-0004-0000-0000-00008E030000}"/>
    <hyperlink ref="D323" r:id="rId912" xr:uid="{00000000-0004-0000-0000-00008F030000}"/>
    <hyperlink ref="A324" r:id="rId913" xr:uid="{00000000-0004-0000-0000-000090030000}"/>
    <hyperlink ref="C324" r:id="rId914" xr:uid="{00000000-0004-0000-0000-000091030000}"/>
    <hyperlink ref="D324" r:id="rId915" xr:uid="{00000000-0004-0000-0000-000092030000}"/>
    <hyperlink ref="A325" r:id="rId916" xr:uid="{00000000-0004-0000-0000-000093030000}"/>
    <hyperlink ref="C325" r:id="rId917" xr:uid="{00000000-0004-0000-0000-000094030000}"/>
    <hyperlink ref="D325" r:id="rId918" xr:uid="{00000000-0004-0000-0000-000095030000}"/>
    <hyperlink ref="A326" r:id="rId919" xr:uid="{00000000-0004-0000-0000-000096030000}"/>
    <hyperlink ref="C326" r:id="rId920" xr:uid="{00000000-0004-0000-0000-000097030000}"/>
    <hyperlink ref="D326" r:id="rId921" xr:uid="{00000000-0004-0000-0000-000098030000}"/>
    <hyperlink ref="A327" r:id="rId922" xr:uid="{00000000-0004-0000-0000-000099030000}"/>
    <hyperlink ref="C327" r:id="rId923" xr:uid="{00000000-0004-0000-0000-00009A030000}"/>
    <hyperlink ref="D327" r:id="rId924" xr:uid="{00000000-0004-0000-0000-00009B030000}"/>
    <hyperlink ref="A328" r:id="rId925" xr:uid="{00000000-0004-0000-0000-00009C030000}"/>
    <hyperlink ref="C328" r:id="rId926" xr:uid="{00000000-0004-0000-0000-00009D030000}"/>
    <hyperlink ref="D328" r:id="rId927" xr:uid="{00000000-0004-0000-0000-00009E030000}"/>
    <hyperlink ref="A329" r:id="rId928" xr:uid="{00000000-0004-0000-0000-00009F030000}"/>
    <hyperlink ref="C329" r:id="rId929" xr:uid="{00000000-0004-0000-0000-0000A0030000}"/>
    <hyperlink ref="D329" r:id="rId930" xr:uid="{00000000-0004-0000-0000-0000A1030000}"/>
    <hyperlink ref="A330" r:id="rId931" xr:uid="{00000000-0004-0000-0000-0000A2030000}"/>
    <hyperlink ref="C330" r:id="rId932" xr:uid="{00000000-0004-0000-0000-0000A3030000}"/>
    <hyperlink ref="D330" r:id="rId933" xr:uid="{00000000-0004-0000-0000-0000A4030000}"/>
    <hyperlink ref="A331" r:id="rId934" xr:uid="{00000000-0004-0000-0000-0000A5030000}"/>
    <hyperlink ref="C331" r:id="rId935" xr:uid="{00000000-0004-0000-0000-0000A6030000}"/>
    <hyperlink ref="D331" r:id="rId936" xr:uid="{00000000-0004-0000-0000-0000A7030000}"/>
    <hyperlink ref="E331" r:id="rId937" xr:uid="{00000000-0004-0000-0000-0000A8030000}"/>
    <hyperlink ref="A332" r:id="rId938" xr:uid="{00000000-0004-0000-0000-0000A9030000}"/>
    <hyperlink ref="C332" r:id="rId939" xr:uid="{00000000-0004-0000-0000-0000AA030000}"/>
    <hyperlink ref="D332" r:id="rId940" xr:uid="{00000000-0004-0000-0000-0000AB030000}"/>
    <hyperlink ref="A333" r:id="rId941" xr:uid="{00000000-0004-0000-0000-0000AC030000}"/>
    <hyperlink ref="C333" r:id="rId942" xr:uid="{00000000-0004-0000-0000-0000AD030000}"/>
    <hyperlink ref="D333" r:id="rId943" xr:uid="{00000000-0004-0000-0000-0000AE030000}"/>
    <hyperlink ref="A334" r:id="rId944" xr:uid="{00000000-0004-0000-0000-0000AF030000}"/>
    <hyperlink ref="C334" r:id="rId945" xr:uid="{00000000-0004-0000-0000-0000B0030000}"/>
    <hyperlink ref="D334" r:id="rId946" xr:uid="{00000000-0004-0000-0000-0000B1030000}"/>
    <hyperlink ref="A335" r:id="rId947" xr:uid="{00000000-0004-0000-0000-0000B2030000}"/>
    <hyperlink ref="C335" r:id="rId948" xr:uid="{00000000-0004-0000-0000-0000B3030000}"/>
    <hyperlink ref="D335" r:id="rId949" xr:uid="{00000000-0004-0000-0000-0000B4030000}"/>
    <hyperlink ref="A336" r:id="rId950" xr:uid="{00000000-0004-0000-0000-0000B5030000}"/>
    <hyperlink ref="C336" r:id="rId951" xr:uid="{00000000-0004-0000-0000-0000B6030000}"/>
    <hyperlink ref="D336" r:id="rId952" xr:uid="{00000000-0004-0000-0000-0000B7030000}"/>
    <hyperlink ref="A337" r:id="rId953" xr:uid="{00000000-0004-0000-0000-0000B8030000}"/>
    <hyperlink ref="C337" r:id="rId954" xr:uid="{00000000-0004-0000-0000-0000B9030000}"/>
    <hyperlink ref="D337" r:id="rId955" xr:uid="{00000000-0004-0000-0000-0000BA030000}"/>
    <hyperlink ref="A338" r:id="rId956" xr:uid="{00000000-0004-0000-0000-0000BB030000}"/>
    <hyperlink ref="C338" r:id="rId957" xr:uid="{00000000-0004-0000-0000-0000BC030000}"/>
    <hyperlink ref="D338" r:id="rId958" xr:uid="{00000000-0004-0000-0000-0000BD030000}"/>
    <hyperlink ref="A339" r:id="rId959" xr:uid="{00000000-0004-0000-0000-0000BE030000}"/>
    <hyperlink ref="C339" r:id="rId960" xr:uid="{00000000-0004-0000-0000-0000BF030000}"/>
    <hyperlink ref="D339" r:id="rId961" xr:uid="{00000000-0004-0000-0000-0000C0030000}"/>
    <hyperlink ref="A340" r:id="rId962" xr:uid="{00000000-0004-0000-0000-0000C1030000}"/>
    <hyperlink ref="C340" r:id="rId963" xr:uid="{00000000-0004-0000-0000-0000C2030000}"/>
    <hyperlink ref="D340" r:id="rId964" xr:uid="{00000000-0004-0000-0000-0000C3030000}"/>
    <hyperlink ref="A341" r:id="rId965" xr:uid="{00000000-0004-0000-0000-0000C4030000}"/>
    <hyperlink ref="C341" r:id="rId966" xr:uid="{00000000-0004-0000-0000-0000C5030000}"/>
    <hyperlink ref="D341" r:id="rId967" xr:uid="{00000000-0004-0000-0000-0000C6030000}"/>
    <hyperlink ref="A342" r:id="rId968" xr:uid="{00000000-0004-0000-0000-0000C7030000}"/>
    <hyperlink ref="C342" r:id="rId969" xr:uid="{00000000-0004-0000-0000-0000C8030000}"/>
    <hyperlink ref="D342" r:id="rId970" xr:uid="{00000000-0004-0000-0000-0000C9030000}"/>
    <hyperlink ref="A343" r:id="rId971" xr:uid="{00000000-0004-0000-0000-0000CA030000}"/>
    <hyperlink ref="C343" r:id="rId972" xr:uid="{00000000-0004-0000-0000-0000CB030000}"/>
    <hyperlink ref="D343" r:id="rId973" xr:uid="{00000000-0004-0000-0000-0000CC030000}"/>
    <hyperlink ref="A344" r:id="rId974" xr:uid="{00000000-0004-0000-0000-0000CD030000}"/>
    <hyperlink ref="C344" r:id="rId975" xr:uid="{00000000-0004-0000-0000-0000CE030000}"/>
    <hyperlink ref="D344" r:id="rId976" xr:uid="{00000000-0004-0000-0000-0000CF030000}"/>
    <hyperlink ref="C345" r:id="rId977" xr:uid="{00000000-0004-0000-0000-0000D0030000}"/>
    <hyperlink ref="D345" r:id="rId978" xr:uid="{00000000-0004-0000-0000-0000D1030000}"/>
    <hyperlink ref="A346" r:id="rId979" xr:uid="{00000000-0004-0000-0000-0000D2030000}"/>
    <hyperlink ref="C346" r:id="rId980" xr:uid="{00000000-0004-0000-0000-0000D3030000}"/>
    <hyperlink ref="D346" r:id="rId981" xr:uid="{00000000-0004-0000-0000-0000D4030000}"/>
    <hyperlink ref="A347" r:id="rId982" xr:uid="{00000000-0004-0000-0000-0000D5030000}"/>
    <hyperlink ref="C347" r:id="rId983" xr:uid="{00000000-0004-0000-0000-0000D6030000}"/>
    <hyperlink ref="D347" r:id="rId984" xr:uid="{00000000-0004-0000-0000-0000D7030000}"/>
    <hyperlink ref="E347" r:id="rId985" xr:uid="{00000000-0004-0000-0000-0000D8030000}"/>
    <hyperlink ref="A348" r:id="rId986" xr:uid="{00000000-0004-0000-0000-0000D9030000}"/>
    <hyperlink ref="C348" r:id="rId987" xr:uid="{00000000-0004-0000-0000-0000DA030000}"/>
    <hyperlink ref="D348" r:id="rId988" xr:uid="{00000000-0004-0000-0000-0000DB030000}"/>
    <hyperlink ref="A349" r:id="rId989" xr:uid="{00000000-0004-0000-0000-0000DC030000}"/>
    <hyperlink ref="C349" r:id="rId990" xr:uid="{00000000-0004-0000-0000-0000DD030000}"/>
    <hyperlink ref="D349" r:id="rId991" xr:uid="{00000000-0004-0000-0000-0000DE030000}"/>
    <hyperlink ref="E349" r:id="rId992" xr:uid="{00000000-0004-0000-0000-0000DF030000}"/>
    <hyperlink ref="A350" r:id="rId993" xr:uid="{00000000-0004-0000-0000-0000E0030000}"/>
    <hyperlink ref="C350" r:id="rId994" xr:uid="{00000000-0004-0000-0000-0000E1030000}"/>
    <hyperlink ref="D350" r:id="rId995" xr:uid="{00000000-0004-0000-0000-0000E2030000}"/>
    <hyperlink ref="A351" r:id="rId996" xr:uid="{00000000-0004-0000-0000-0000E3030000}"/>
    <hyperlink ref="C351" r:id="rId997" xr:uid="{00000000-0004-0000-0000-0000E4030000}"/>
    <hyperlink ref="D351" r:id="rId998" xr:uid="{00000000-0004-0000-0000-0000E5030000}"/>
    <hyperlink ref="A352" r:id="rId999" xr:uid="{00000000-0004-0000-0000-0000E7030000}"/>
    <hyperlink ref="C352" r:id="rId1000" xr:uid="{00000000-0004-0000-0000-0000E8030000}"/>
    <hyperlink ref="D352" r:id="rId1001" xr:uid="{00000000-0004-0000-0000-0000E9030000}"/>
    <hyperlink ref="A353" r:id="rId1002" xr:uid="{00000000-0004-0000-0000-0000EB030000}"/>
    <hyperlink ref="C353" r:id="rId1003" xr:uid="{00000000-0004-0000-0000-0000EC030000}"/>
    <hyperlink ref="D353" r:id="rId1004" xr:uid="{00000000-0004-0000-0000-0000ED030000}"/>
    <hyperlink ref="A354" r:id="rId1005" xr:uid="{00000000-0004-0000-0000-0000EF030000}"/>
    <hyperlink ref="C354" r:id="rId1006" xr:uid="{00000000-0004-0000-0000-0000F0030000}"/>
    <hyperlink ref="D354" r:id="rId1007" xr:uid="{00000000-0004-0000-0000-0000F1030000}"/>
    <hyperlink ref="A355" r:id="rId1008" xr:uid="{00000000-0004-0000-0000-0000F3030000}"/>
    <hyperlink ref="C355" r:id="rId1009" xr:uid="{00000000-0004-0000-0000-0000F4030000}"/>
    <hyperlink ref="D355" r:id="rId1010" xr:uid="{00000000-0004-0000-0000-0000F5030000}"/>
    <hyperlink ref="A356" r:id="rId1011" xr:uid="{00000000-0004-0000-0000-0000F7030000}"/>
    <hyperlink ref="C356" r:id="rId1012" xr:uid="{00000000-0004-0000-0000-0000F8030000}"/>
    <hyperlink ref="D356" r:id="rId1013" xr:uid="{00000000-0004-0000-0000-0000F9030000}"/>
    <hyperlink ref="A357" r:id="rId1014" xr:uid="{00000000-0004-0000-0000-0000FB030000}"/>
    <hyperlink ref="C357" r:id="rId1015" xr:uid="{00000000-0004-0000-0000-0000FC030000}"/>
    <hyperlink ref="D357" r:id="rId1016" xr:uid="{00000000-0004-0000-0000-0000FD030000}"/>
    <hyperlink ref="A358" r:id="rId1017" xr:uid="{00000000-0004-0000-0000-0000FF030000}"/>
    <hyperlink ref="C358" r:id="rId1018" xr:uid="{00000000-0004-0000-0000-000000040000}"/>
    <hyperlink ref="D358" r:id="rId1019" xr:uid="{00000000-0004-0000-0000-000001040000}"/>
    <hyperlink ref="A359" r:id="rId1020" xr:uid="{00000000-0004-0000-0000-000003040000}"/>
    <hyperlink ref="C359" r:id="rId1021" xr:uid="{00000000-0004-0000-0000-000004040000}"/>
    <hyperlink ref="D359" r:id="rId1022" xr:uid="{00000000-0004-0000-0000-000005040000}"/>
    <hyperlink ref="A360" r:id="rId1023" xr:uid="{00000000-0004-0000-0000-000007040000}"/>
    <hyperlink ref="C360" r:id="rId1024" xr:uid="{00000000-0004-0000-0000-000008040000}"/>
    <hyperlink ref="D360" r:id="rId1025" xr:uid="{00000000-0004-0000-0000-000009040000}"/>
    <hyperlink ref="A361" r:id="rId1026" xr:uid="{00000000-0004-0000-0000-00000A040000}"/>
    <hyperlink ref="C361" r:id="rId1027" location="google_vignette" xr:uid="{00000000-0004-0000-0000-00000B040000}"/>
    <hyperlink ref="D361" r:id="rId1028" xr:uid="{00000000-0004-0000-0000-00000C040000}"/>
    <hyperlink ref="A362" r:id="rId1029" xr:uid="{00000000-0004-0000-0000-00000D040000}"/>
    <hyperlink ref="C362" r:id="rId1030" xr:uid="{00000000-0004-0000-0000-00000E040000}"/>
    <hyperlink ref="D362" r:id="rId1031" xr:uid="{00000000-0004-0000-0000-00000F040000}"/>
    <hyperlink ref="A363" r:id="rId1032" xr:uid="{00000000-0004-0000-0000-000010040000}"/>
    <hyperlink ref="C363" r:id="rId1033" xr:uid="{00000000-0004-0000-0000-000011040000}"/>
    <hyperlink ref="D363" r:id="rId1034" xr:uid="{00000000-0004-0000-0000-000012040000}"/>
    <hyperlink ref="A364" r:id="rId1035" xr:uid="{00000000-0004-0000-0000-000013040000}"/>
    <hyperlink ref="C364" r:id="rId1036" xr:uid="{00000000-0004-0000-0000-000014040000}"/>
    <hyperlink ref="D364" r:id="rId1037" xr:uid="{00000000-0004-0000-0000-000015040000}"/>
    <hyperlink ref="A365" r:id="rId1038" xr:uid="{00000000-0004-0000-0000-000016040000}"/>
    <hyperlink ref="C365" r:id="rId1039" xr:uid="{00000000-0004-0000-0000-000017040000}"/>
    <hyperlink ref="D365" r:id="rId1040" xr:uid="{00000000-0004-0000-0000-000018040000}"/>
    <hyperlink ref="A366" r:id="rId1041" xr:uid="{00000000-0004-0000-0000-000019040000}"/>
    <hyperlink ref="C366" r:id="rId1042" xr:uid="{00000000-0004-0000-0000-00001A040000}"/>
    <hyperlink ref="D366" r:id="rId1043" xr:uid="{00000000-0004-0000-0000-00001B040000}"/>
    <hyperlink ref="A367" r:id="rId1044" xr:uid="{00000000-0004-0000-0000-00001C040000}"/>
    <hyperlink ref="C367" r:id="rId1045" xr:uid="{00000000-0004-0000-0000-00001D040000}"/>
    <hyperlink ref="D367" r:id="rId1046" xr:uid="{00000000-0004-0000-0000-00001E040000}"/>
    <hyperlink ref="A368" r:id="rId1047" xr:uid="{00000000-0004-0000-0000-00001F040000}"/>
    <hyperlink ref="C368" r:id="rId1048" location="google_vignette" xr:uid="{00000000-0004-0000-0000-000020040000}"/>
    <hyperlink ref="D368" r:id="rId1049" xr:uid="{00000000-0004-0000-0000-000021040000}"/>
    <hyperlink ref="A369" r:id="rId1050" xr:uid="{00000000-0004-0000-0000-000022040000}"/>
    <hyperlink ref="C369" r:id="rId1051" xr:uid="{00000000-0004-0000-0000-000023040000}"/>
    <hyperlink ref="D369" r:id="rId1052" xr:uid="{00000000-0004-0000-0000-000024040000}"/>
    <hyperlink ref="A370" r:id="rId1053" xr:uid="{00000000-0004-0000-0000-000025040000}"/>
    <hyperlink ref="C370" r:id="rId1054" xr:uid="{00000000-0004-0000-0000-000026040000}"/>
    <hyperlink ref="D370" r:id="rId1055" xr:uid="{00000000-0004-0000-0000-000027040000}"/>
    <hyperlink ref="E370" r:id="rId1056" xr:uid="{00000000-0004-0000-0000-000028040000}"/>
    <hyperlink ref="A371" r:id="rId1057" xr:uid="{00000000-0004-0000-0000-000029040000}"/>
    <hyperlink ref="C371" r:id="rId1058" xr:uid="{00000000-0004-0000-0000-00002A040000}"/>
    <hyperlink ref="D371" r:id="rId1059" xr:uid="{00000000-0004-0000-0000-00002B040000}"/>
    <hyperlink ref="A372" r:id="rId1060" xr:uid="{00000000-0004-0000-0000-00002D040000}"/>
    <hyperlink ref="C372" r:id="rId1061" xr:uid="{00000000-0004-0000-0000-00002E040000}"/>
    <hyperlink ref="D372" r:id="rId1062" xr:uid="{00000000-0004-0000-0000-00002F040000}"/>
    <hyperlink ref="C373" r:id="rId1063" xr:uid="{00000000-0004-0000-0000-000031040000}"/>
    <hyperlink ref="D373" r:id="rId1064" xr:uid="{00000000-0004-0000-0000-000032040000}"/>
    <hyperlink ref="A374" r:id="rId1065" xr:uid="{00000000-0004-0000-0000-000034040000}"/>
    <hyperlink ref="C374" r:id="rId1066" xr:uid="{00000000-0004-0000-0000-000035040000}"/>
    <hyperlink ref="D374" r:id="rId1067" xr:uid="{00000000-0004-0000-0000-000036040000}"/>
    <hyperlink ref="A375" r:id="rId1068" xr:uid="{00000000-0004-0000-0000-000037040000}"/>
    <hyperlink ref="C375" r:id="rId1069" xr:uid="{00000000-0004-0000-0000-000038040000}"/>
    <hyperlink ref="D375" r:id="rId1070" xr:uid="{00000000-0004-0000-0000-000039040000}"/>
    <hyperlink ref="A376" r:id="rId1071" xr:uid="{00000000-0004-0000-0000-00003A040000}"/>
    <hyperlink ref="C376" r:id="rId1072" xr:uid="{00000000-0004-0000-0000-00003B040000}"/>
    <hyperlink ref="D376" r:id="rId1073" xr:uid="{00000000-0004-0000-0000-00003C040000}"/>
    <hyperlink ref="A377" r:id="rId1074" xr:uid="{00000000-0004-0000-0000-00003E040000}"/>
    <hyperlink ref="C377" r:id="rId1075" xr:uid="{00000000-0004-0000-0000-00003F040000}"/>
    <hyperlink ref="D377" r:id="rId1076" xr:uid="{00000000-0004-0000-0000-000040040000}"/>
    <hyperlink ref="A378" r:id="rId1077" xr:uid="{00000000-0004-0000-0000-000042040000}"/>
    <hyperlink ref="C378" r:id="rId1078" xr:uid="{00000000-0004-0000-0000-000043040000}"/>
    <hyperlink ref="D378" r:id="rId1079" xr:uid="{00000000-0004-0000-0000-000044040000}"/>
    <hyperlink ref="A379" r:id="rId1080" xr:uid="{00000000-0004-0000-0000-000046040000}"/>
    <hyperlink ref="C379" r:id="rId1081" xr:uid="{00000000-0004-0000-0000-000047040000}"/>
    <hyperlink ref="D379" r:id="rId1082" xr:uid="{00000000-0004-0000-0000-000048040000}"/>
    <hyperlink ref="A380" r:id="rId1083" xr:uid="{00000000-0004-0000-0000-000049040000}"/>
    <hyperlink ref="C380" r:id="rId1084" xr:uid="{00000000-0004-0000-0000-00004A040000}"/>
    <hyperlink ref="D380" r:id="rId1085" xr:uid="{00000000-0004-0000-0000-00004B040000}"/>
    <hyperlink ref="C381" r:id="rId1086" xr:uid="{00000000-0004-0000-0000-00004C040000}"/>
    <hyperlink ref="D381" r:id="rId1087" xr:uid="{00000000-0004-0000-0000-00004D040000}"/>
    <hyperlink ref="A382" r:id="rId1088" xr:uid="{00000000-0004-0000-0000-00004F040000}"/>
    <hyperlink ref="C382" r:id="rId1089" xr:uid="{00000000-0004-0000-0000-000050040000}"/>
    <hyperlink ref="D382" r:id="rId1090" xr:uid="{00000000-0004-0000-0000-000051040000}"/>
    <hyperlink ref="A383" r:id="rId1091" xr:uid="{00000000-0004-0000-0000-000053040000}"/>
    <hyperlink ref="C383" r:id="rId1092" xr:uid="{00000000-0004-0000-0000-000054040000}"/>
    <hyperlink ref="D383" r:id="rId1093" xr:uid="{00000000-0004-0000-0000-000055040000}"/>
    <hyperlink ref="A384" r:id="rId1094" xr:uid="{00000000-0004-0000-0000-000057040000}"/>
    <hyperlink ref="C384" r:id="rId1095" xr:uid="{00000000-0004-0000-0000-000058040000}"/>
    <hyperlink ref="D384" r:id="rId1096" xr:uid="{00000000-0004-0000-0000-000059040000}"/>
    <hyperlink ref="A385" r:id="rId1097" xr:uid="{00000000-0004-0000-0000-00005B040000}"/>
    <hyperlink ref="C385" r:id="rId1098" xr:uid="{00000000-0004-0000-0000-00005C040000}"/>
    <hyperlink ref="D385" r:id="rId1099" xr:uid="{00000000-0004-0000-0000-00005D040000}"/>
    <hyperlink ref="A386" r:id="rId1100" xr:uid="{00000000-0004-0000-0000-00005F040000}"/>
    <hyperlink ref="C386" r:id="rId1101" xr:uid="{00000000-0004-0000-0000-000060040000}"/>
    <hyperlink ref="D386" r:id="rId1102" xr:uid="{00000000-0004-0000-0000-000061040000}"/>
    <hyperlink ref="A387" r:id="rId1103" xr:uid="{00000000-0004-0000-0000-000063040000}"/>
    <hyperlink ref="C387" r:id="rId1104" xr:uid="{00000000-0004-0000-0000-000064040000}"/>
    <hyperlink ref="D387" r:id="rId1105" xr:uid="{00000000-0004-0000-0000-000065040000}"/>
    <hyperlink ref="A388" r:id="rId1106" xr:uid="{00000000-0004-0000-0000-000067040000}"/>
    <hyperlink ref="C388" r:id="rId1107" xr:uid="{00000000-0004-0000-0000-000068040000}"/>
    <hyperlink ref="D388" r:id="rId1108" xr:uid="{00000000-0004-0000-0000-000069040000}"/>
    <hyperlink ref="A389" r:id="rId1109" xr:uid="{00000000-0004-0000-0000-00006B040000}"/>
    <hyperlink ref="C389" r:id="rId1110" xr:uid="{00000000-0004-0000-0000-00006C040000}"/>
    <hyperlink ref="A390" r:id="rId1111" xr:uid="{00000000-0004-0000-0000-00006E040000}"/>
    <hyperlink ref="C390" r:id="rId1112" xr:uid="{00000000-0004-0000-0000-00006F040000}"/>
    <hyperlink ref="A391" r:id="rId1113" xr:uid="{00000000-0004-0000-0000-000071040000}"/>
    <hyperlink ref="C391" r:id="rId1114" xr:uid="{00000000-0004-0000-0000-000072040000}"/>
    <hyperlink ref="D391" r:id="rId1115" xr:uid="{00000000-0004-0000-0000-000073040000}"/>
    <hyperlink ref="A392" r:id="rId1116" xr:uid="{00000000-0004-0000-0000-000074040000}"/>
    <hyperlink ref="C392" r:id="rId1117" xr:uid="{00000000-0004-0000-0000-000075040000}"/>
    <hyperlink ref="D392" r:id="rId1118" xr:uid="{00000000-0004-0000-0000-000076040000}"/>
    <hyperlink ref="A393" r:id="rId1119" xr:uid="{00000000-0004-0000-0000-000077040000}"/>
    <hyperlink ref="C393" r:id="rId1120" xr:uid="{00000000-0004-0000-0000-000078040000}"/>
    <hyperlink ref="D393" r:id="rId1121" xr:uid="{00000000-0004-0000-0000-000079040000}"/>
    <hyperlink ref="A394" r:id="rId1122" xr:uid="{00000000-0004-0000-0000-00007A040000}"/>
    <hyperlink ref="C394" r:id="rId1123" xr:uid="{00000000-0004-0000-0000-00007B040000}"/>
    <hyperlink ref="D394" r:id="rId1124" xr:uid="{00000000-0004-0000-0000-00007C040000}"/>
    <hyperlink ref="A395" r:id="rId1125" xr:uid="{00000000-0004-0000-0000-00007D040000}"/>
    <hyperlink ref="C395" r:id="rId1126" xr:uid="{00000000-0004-0000-0000-00007E040000}"/>
    <hyperlink ref="D395" r:id="rId1127" xr:uid="{00000000-0004-0000-0000-00007F040000}"/>
    <hyperlink ref="A396" r:id="rId1128" xr:uid="{00000000-0004-0000-0000-000081040000}"/>
    <hyperlink ref="C396" r:id="rId1129" xr:uid="{00000000-0004-0000-0000-000082040000}"/>
    <hyperlink ref="D396" r:id="rId1130" xr:uid="{00000000-0004-0000-0000-000083040000}"/>
    <hyperlink ref="A397" r:id="rId1131" xr:uid="{00000000-0004-0000-0000-000084040000}"/>
    <hyperlink ref="C397" r:id="rId1132" xr:uid="{00000000-0004-0000-0000-000085040000}"/>
    <hyperlink ref="A398" r:id="rId1133" xr:uid="{00000000-0004-0000-0000-000087040000}"/>
    <hyperlink ref="C398" r:id="rId1134" xr:uid="{00000000-0004-0000-0000-000088040000}"/>
    <hyperlink ref="D398" r:id="rId1135" xr:uid="{00000000-0004-0000-0000-000089040000}"/>
    <hyperlink ref="A399" r:id="rId1136" xr:uid="{00000000-0004-0000-0000-00008B040000}"/>
    <hyperlink ref="C399" r:id="rId1137" xr:uid="{00000000-0004-0000-0000-00008C040000}"/>
    <hyperlink ref="D399" r:id="rId1138" xr:uid="{00000000-0004-0000-0000-00008D040000}"/>
    <hyperlink ref="A400" r:id="rId1139" xr:uid="{00000000-0004-0000-0000-00008F040000}"/>
    <hyperlink ref="C400" r:id="rId1140" xr:uid="{00000000-0004-0000-0000-000090040000}"/>
    <hyperlink ref="D400" r:id="rId1141" xr:uid="{00000000-0004-0000-0000-000091040000}"/>
    <hyperlink ref="A401" r:id="rId1142" xr:uid="{00000000-0004-0000-0000-000093040000}"/>
    <hyperlink ref="C401" r:id="rId1143" xr:uid="{00000000-0004-0000-0000-000094040000}"/>
    <hyperlink ref="D401" r:id="rId1144" xr:uid="{00000000-0004-0000-0000-000095040000}"/>
    <hyperlink ref="C402" r:id="rId1145" xr:uid="{00000000-0004-0000-0000-000096040000}"/>
    <hyperlink ref="D402" r:id="rId1146" xr:uid="{00000000-0004-0000-0000-000097040000}"/>
    <hyperlink ref="C403" r:id="rId1147" xr:uid="{00000000-0004-0000-0000-000099040000}"/>
    <hyperlink ref="D403" r:id="rId1148" xr:uid="{00000000-0004-0000-0000-00009A040000}"/>
    <hyperlink ref="C404" r:id="rId1149" xr:uid="{00000000-0004-0000-0000-00009C040000}"/>
    <hyperlink ref="D404" r:id="rId1150" xr:uid="{00000000-0004-0000-0000-00009D040000}"/>
    <hyperlink ref="A405" r:id="rId1151" xr:uid="{00000000-0004-0000-0000-00009F040000}"/>
    <hyperlink ref="C405" r:id="rId1152" xr:uid="{00000000-0004-0000-0000-0000A0040000}"/>
    <hyperlink ref="A406" r:id="rId1153" xr:uid="{00000000-0004-0000-0000-0000A2040000}"/>
    <hyperlink ref="C406" r:id="rId1154" xr:uid="{00000000-0004-0000-0000-0000A3040000}"/>
    <hyperlink ref="D406" r:id="rId1155" xr:uid="{00000000-0004-0000-0000-0000A4040000}"/>
    <hyperlink ref="A407" r:id="rId1156" xr:uid="{00000000-0004-0000-0000-0000A6040000}"/>
    <hyperlink ref="C407" r:id="rId1157" xr:uid="{00000000-0004-0000-0000-0000A7040000}"/>
    <hyperlink ref="A408" r:id="rId1158" xr:uid="{00000000-0004-0000-0000-0000A9040000}"/>
    <hyperlink ref="C408" r:id="rId1159" xr:uid="{00000000-0004-0000-0000-0000AA040000}"/>
    <hyperlink ref="D408" r:id="rId1160" xr:uid="{00000000-0004-0000-0000-0000AB040000}"/>
    <hyperlink ref="E408" r:id="rId1161" xr:uid="{00000000-0004-0000-0000-0000AC040000}"/>
    <hyperlink ref="C409" r:id="rId1162" xr:uid="{00000000-0004-0000-0000-0000AD040000}"/>
    <hyperlink ref="D409" r:id="rId1163" xr:uid="{00000000-0004-0000-0000-0000AE040000}"/>
    <hyperlink ref="A410" r:id="rId1164" xr:uid="{00000000-0004-0000-0000-0000B0040000}"/>
    <hyperlink ref="C410" r:id="rId1165" xr:uid="{00000000-0004-0000-0000-0000B1040000}"/>
    <hyperlink ref="D410" r:id="rId1166" xr:uid="{00000000-0004-0000-0000-0000B2040000}"/>
    <hyperlink ref="C411" r:id="rId1167" xr:uid="{00000000-0004-0000-0000-0000B3040000}"/>
    <hyperlink ref="D411" r:id="rId1168" xr:uid="{00000000-0004-0000-0000-0000B4040000}"/>
    <hyperlink ref="A412" r:id="rId1169" xr:uid="{00000000-0004-0000-0000-0000B5040000}"/>
    <hyperlink ref="C412" r:id="rId1170" xr:uid="{00000000-0004-0000-0000-0000B6040000}"/>
    <hyperlink ref="D412" r:id="rId1171" xr:uid="{00000000-0004-0000-0000-0000B7040000}"/>
    <hyperlink ref="A413" r:id="rId1172" xr:uid="{00000000-0004-0000-0000-0000B8040000}"/>
    <hyperlink ref="C413" r:id="rId1173" xr:uid="{00000000-0004-0000-0000-0000B9040000}"/>
    <hyperlink ref="D413" r:id="rId1174" xr:uid="{00000000-0004-0000-0000-0000BA040000}"/>
    <hyperlink ref="A414" r:id="rId1175" xr:uid="{00000000-0004-0000-0000-0000BB040000}"/>
    <hyperlink ref="C414" r:id="rId1176" xr:uid="{00000000-0004-0000-0000-0000BC040000}"/>
    <hyperlink ref="D414" r:id="rId1177" xr:uid="{00000000-0004-0000-0000-0000BD040000}"/>
    <hyperlink ref="E414" r:id="rId1178" xr:uid="{00000000-0004-0000-0000-0000BE040000}"/>
    <hyperlink ref="A415" r:id="rId1179" xr:uid="{00000000-0004-0000-0000-0000BF040000}"/>
    <hyperlink ref="C415" r:id="rId1180" xr:uid="{00000000-0004-0000-0000-0000C0040000}"/>
    <hyperlink ref="D415" r:id="rId1181" xr:uid="{00000000-0004-0000-0000-0000C1040000}"/>
    <hyperlink ref="C416" r:id="rId1182" xr:uid="{00000000-0004-0000-0000-0000C3040000}"/>
    <hyperlink ref="D416" r:id="rId1183" xr:uid="{00000000-0004-0000-0000-0000C4040000}"/>
    <hyperlink ref="A417" r:id="rId1184" xr:uid="{00000000-0004-0000-0000-0000C6040000}"/>
    <hyperlink ref="C417" r:id="rId1185" xr:uid="{00000000-0004-0000-0000-0000C7040000}"/>
    <hyperlink ref="D417" r:id="rId1186" xr:uid="{00000000-0004-0000-0000-0000C8040000}"/>
    <hyperlink ref="A418" r:id="rId1187" xr:uid="{00000000-0004-0000-0000-0000CA040000}"/>
    <hyperlink ref="C418" r:id="rId1188" xr:uid="{00000000-0004-0000-0000-0000CB040000}"/>
    <hyperlink ref="D418" r:id="rId1189" xr:uid="{00000000-0004-0000-0000-0000CC040000}"/>
    <hyperlink ref="A419" r:id="rId1190" xr:uid="{00000000-0004-0000-0000-0000CE040000}"/>
    <hyperlink ref="C419" r:id="rId1191" xr:uid="{00000000-0004-0000-0000-0000CF040000}"/>
    <hyperlink ref="D419" r:id="rId1192" xr:uid="{00000000-0004-0000-0000-0000D0040000}"/>
    <hyperlink ref="A420" r:id="rId1193" xr:uid="{00000000-0004-0000-0000-0000D2040000}"/>
    <hyperlink ref="C420" r:id="rId1194" xr:uid="{00000000-0004-0000-0000-0000D3040000}"/>
    <hyperlink ref="D420" r:id="rId1195" xr:uid="{00000000-0004-0000-0000-0000D4040000}"/>
    <hyperlink ref="A421" r:id="rId1196" xr:uid="{00000000-0004-0000-0000-0000D6040000}"/>
    <hyperlink ref="C421" r:id="rId1197" xr:uid="{00000000-0004-0000-0000-0000D7040000}"/>
    <hyperlink ref="D421" r:id="rId1198" xr:uid="{00000000-0004-0000-0000-0000D8040000}"/>
    <hyperlink ref="A422" r:id="rId1199" xr:uid="{00000000-0004-0000-0000-0000DA040000}"/>
    <hyperlink ref="C422" r:id="rId1200" xr:uid="{00000000-0004-0000-0000-0000DB040000}"/>
    <hyperlink ref="D422" r:id="rId1201" xr:uid="{00000000-0004-0000-0000-0000DC040000}"/>
    <hyperlink ref="C423" r:id="rId1202" xr:uid="{00000000-0004-0000-0000-0000DD040000}"/>
    <hyperlink ref="D423" r:id="rId1203" xr:uid="{00000000-0004-0000-0000-0000DE040000}"/>
    <hyperlink ref="A424" r:id="rId1204" xr:uid="{00000000-0004-0000-0000-0000E0040000}"/>
    <hyperlink ref="C424" r:id="rId1205" xr:uid="{00000000-0004-0000-0000-0000E1040000}"/>
    <hyperlink ref="D424" r:id="rId1206" xr:uid="{00000000-0004-0000-0000-0000E2040000}"/>
    <hyperlink ref="A425" r:id="rId1207" xr:uid="{00000000-0004-0000-0000-0000E4040000}"/>
    <hyperlink ref="C425" r:id="rId1208" xr:uid="{00000000-0004-0000-0000-0000E5040000}"/>
    <hyperlink ref="D425" r:id="rId1209" xr:uid="{00000000-0004-0000-0000-0000E6040000}"/>
    <hyperlink ref="C426" r:id="rId1210" xr:uid="{00000000-0004-0000-0000-0000E8040000}"/>
    <hyperlink ref="D426" r:id="rId1211" xr:uid="{00000000-0004-0000-0000-0000E9040000}"/>
    <hyperlink ref="C427" r:id="rId1212" xr:uid="{00000000-0004-0000-0000-0000EB040000}"/>
    <hyperlink ref="D427" r:id="rId1213" xr:uid="{00000000-0004-0000-0000-0000EC040000}"/>
    <hyperlink ref="A428" r:id="rId1214" xr:uid="{00000000-0004-0000-0000-0000EE040000}"/>
    <hyperlink ref="C428" r:id="rId1215" xr:uid="{00000000-0004-0000-0000-0000EF040000}"/>
    <hyperlink ref="D428" r:id="rId1216" xr:uid="{00000000-0004-0000-0000-0000F0040000}"/>
    <hyperlink ref="A429" r:id="rId1217" xr:uid="{00000000-0004-0000-0000-0000F2040000}"/>
    <hyperlink ref="C429" r:id="rId1218" xr:uid="{00000000-0004-0000-0000-0000F3040000}"/>
    <hyperlink ref="D429" r:id="rId1219" xr:uid="{00000000-0004-0000-0000-0000F4040000}"/>
    <hyperlink ref="A430" r:id="rId1220" xr:uid="{00000000-0004-0000-0000-0000F6040000}"/>
    <hyperlink ref="C430" r:id="rId1221" xr:uid="{00000000-0004-0000-0000-0000F7040000}"/>
    <hyperlink ref="D430" r:id="rId1222" xr:uid="{00000000-0004-0000-0000-0000F8040000}"/>
    <hyperlink ref="A431" r:id="rId1223" xr:uid="{00000000-0004-0000-0000-0000FA040000}"/>
    <hyperlink ref="C431" r:id="rId1224" xr:uid="{00000000-0004-0000-0000-0000FB040000}"/>
    <hyperlink ref="D431" r:id="rId1225" xr:uid="{00000000-0004-0000-0000-0000FC040000}"/>
    <hyperlink ref="A432" r:id="rId1226" xr:uid="{00000000-0004-0000-0000-0000FE040000}"/>
    <hyperlink ref="C432" r:id="rId1227" xr:uid="{00000000-0004-0000-0000-0000FF040000}"/>
    <hyperlink ref="D432" r:id="rId1228" xr:uid="{00000000-0004-0000-0000-000000050000}"/>
    <hyperlink ref="E432" r:id="rId1229" xr:uid="{00000000-0004-0000-0000-000001050000}"/>
    <hyperlink ref="A433" r:id="rId1230" xr:uid="{00000000-0004-0000-0000-000002050000}"/>
    <hyperlink ref="C433" r:id="rId1231" xr:uid="{00000000-0004-0000-0000-000003050000}"/>
    <hyperlink ref="D433" r:id="rId1232" xr:uid="{00000000-0004-0000-0000-000004050000}"/>
    <hyperlink ref="E433" r:id="rId1233" xr:uid="{00000000-0004-0000-0000-000005050000}"/>
    <hyperlink ref="A434" r:id="rId1234" xr:uid="{00000000-0004-0000-0000-000006050000}"/>
    <hyperlink ref="C434" r:id="rId1235" xr:uid="{00000000-0004-0000-0000-000007050000}"/>
    <hyperlink ref="D434" r:id="rId1236" xr:uid="{00000000-0004-0000-0000-000008050000}"/>
    <hyperlink ref="A435" r:id="rId1237" xr:uid="{00000000-0004-0000-0000-000009050000}"/>
    <hyperlink ref="C435" r:id="rId1238" xr:uid="{00000000-0004-0000-0000-00000A050000}"/>
    <hyperlink ref="D435" r:id="rId1239" xr:uid="{00000000-0004-0000-0000-00000B050000}"/>
    <hyperlink ref="A436" r:id="rId1240" xr:uid="{00000000-0004-0000-0000-00000C050000}"/>
    <hyperlink ref="C436" r:id="rId1241" xr:uid="{00000000-0004-0000-0000-00000D050000}"/>
    <hyperlink ref="D436" r:id="rId1242" xr:uid="{00000000-0004-0000-0000-00000E050000}"/>
    <hyperlink ref="C437" r:id="rId1243" xr:uid="{00000000-0004-0000-0000-00000F050000}"/>
    <hyperlink ref="D437" r:id="rId1244" xr:uid="{00000000-0004-0000-0000-000010050000}"/>
    <hyperlink ref="A438" r:id="rId1245" xr:uid="{00000000-0004-0000-0000-000011050000}"/>
    <hyperlink ref="C438" r:id="rId1246" xr:uid="{00000000-0004-0000-0000-000012050000}"/>
    <hyperlink ref="D438" r:id="rId1247" xr:uid="{00000000-0004-0000-0000-000013050000}"/>
    <hyperlink ref="E438" r:id="rId1248" xr:uid="{00000000-0004-0000-0000-000014050000}"/>
    <hyperlink ref="A439" r:id="rId1249" xr:uid="{00000000-0004-0000-0000-000015050000}"/>
    <hyperlink ref="C439" r:id="rId1250" xr:uid="{00000000-0004-0000-0000-000016050000}"/>
    <hyperlink ref="D439" r:id="rId1251" xr:uid="{00000000-0004-0000-0000-000017050000}"/>
    <hyperlink ref="A440" r:id="rId1252" xr:uid="{00000000-0004-0000-0000-000018050000}"/>
    <hyperlink ref="C440" r:id="rId1253" xr:uid="{00000000-0004-0000-0000-000019050000}"/>
    <hyperlink ref="D440" r:id="rId1254" xr:uid="{00000000-0004-0000-0000-00001A050000}"/>
    <hyperlink ref="A441" r:id="rId1255" xr:uid="{00000000-0004-0000-0000-00001B050000}"/>
    <hyperlink ref="C441" r:id="rId1256" xr:uid="{00000000-0004-0000-0000-00001C050000}"/>
    <hyperlink ref="D441" r:id="rId1257" xr:uid="{00000000-0004-0000-0000-00001D050000}"/>
    <hyperlink ref="C442" r:id="rId1258" xr:uid="{00000000-0004-0000-0000-00001E050000}"/>
    <hyperlink ref="D442" r:id="rId1259" xr:uid="{00000000-0004-0000-0000-00001F050000}"/>
    <hyperlink ref="A443" r:id="rId1260" xr:uid="{00000000-0004-0000-0000-000021050000}"/>
    <hyperlink ref="C443" r:id="rId1261" xr:uid="{00000000-0004-0000-0000-000022050000}"/>
    <hyperlink ref="D443" r:id="rId1262" xr:uid="{00000000-0004-0000-0000-000023050000}"/>
    <hyperlink ref="A444" r:id="rId1263" xr:uid="{00000000-0004-0000-0000-000024050000}"/>
    <hyperlink ref="C444" r:id="rId1264" xr:uid="{00000000-0004-0000-0000-000025050000}"/>
    <hyperlink ref="D444" r:id="rId1265" xr:uid="{00000000-0004-0000-0000-000026050000}"/>
    <hyperlink ref="E444" r:id="rId1266" xr:uid="{00000000-0004-0000-0000-000027050000}"/>
    <hyperlink ref="A445" r:id="rId1267" xr:uid="{00000000-0004-0000-0000-000029050000}"/>
    <hyperlink ref="C445" r:id="rId1268" xr:uid="{00000000-0004-0000-0000-00002A050000}"/>
    <hyperlink ref="D445" r:id="rId1269" xr:uid="{00000000-0004-0000-0000-00002B050000}"/>
    <hyperlink ref="A446" r:id="rId1270" xr:uid="{00000000-0004-0000-0000-00002D050000}"/>
    <hyperlink ref="C446" r:id="rId1271" xr:uid="{00000000-0004-0000-0000-00002E050000}"/>
    <hyperlink ref="D446" r:id="rId1272" xr:uid="{00000000-0004-0000-0000-00002F050000}"/>
    <hyperlink ref="A447" r:id="rId1273" xr:uid="{00000000-0004-0000-0000-000031050000}"/>
    <hyperlink ref="C447" r:id="rId1274" xr:uid="{00000000-0004-0000-0000-000032050000}"/>
    <hyperlink ref="D447" r:id="rId1275" xr:uid="{00000000-0004-0000-0000-000033050000}"/>
    <hyperlink ref="A448" r:id="rId1276" xr:uid="{00000000-0004-0000-0000-000035050000}"/>
    <hyperlink ref="C448" r:id="rId1277" xr:uid="{00000000-0004-0000-0000-000036050000}"/>
    <hyperlink ref="D448" r:id="rId1278" xr:uid="{00000000-0004-0000-0000-000037050000}"/>
    <hyperlink ref="A449" r:id="rId1279" xr:uid="{00000000-0004-0000-0000-000039050000}"/>
    <hyperlink ref="C449" r:id="rId1280" xr:uid="{00000000-0004-0000-0000-00003A050000}"/>
    <hyperlink ref="D449" r:id="rId1281" xr:uid="{00000000-0004-0000-0000-00003B050000}"/>
    <hyperlink ref="A450" r:id="rId1282" xr:uid="{00000000-0004-0000-0000-00003D050000}"/>
    <hyperlink ref="C450" r:id="rId1283" xr:uid="{00000000-0004-0000-0000-00003E050000}"/>
    <hyperlink ref="D450" r:id="rId1284" xr:uid="{00000000-0004-0000-0000-00003F050000}"/>
    <hyperlink ref="A451" r:id="rId1285" xr:uid="{00000000-0004-0000-0000-000041050000}"/>
    <hyperlink ref="C451" r:id="rId1286" xr:uid="{00000000-0004-0000-0000-000042050000}"/>
    <hyperlink ref="D451" r:id="rId1287" xr:uid="{00000000-0004-0000-0000-000043050000}"/>
    <hyperlink ref="A452" r:id="rId1288" xr:uid="{00000000-0004-0000-0000-000045050000}"/>
    <hyperlink ref="C452" r:id="rId1289" xr:uid="{00000000-0004-0000-0000-000046050000}"/>
    <hyperlink ref="D452" r:id="rId1290" xr:uid="{00000000-0004-0000-0000-000047050000}"/>
    <hyperlink ref="A453" r:id="rId1291" xr:uid="{00000000-0004-0000-0000-000049050000}"/>
    <hyperlink ref="C453" r:id="rId1292" xr:uid="{00000000-0004-0000-0000-00004A050000}"/>
    <hyperlink ref="D453" r:id="rId1293" xr:uid="{00000000-0004-0000-0000-00004B050000}"/>
    <hyperlink ref="A454" r:id="rId1294" xr:uid="{00000000-0004-0000-0000-00004D050000}"/>
    <hyperlink ref="C454" r:id="rId1295" xr:uid="{00000000-0004-0000-0000-00004E050000}"/>
    <hyperlink ref="D454" r:id="rId1296" xr:uid="{00000000-0004-0000-0000-00004F050000}"/>
    <hyperlink ref="A455" r:id="rId1297" xr:uid="{00000000-0004-0000-0000-000051050000}"/>
    <hyperlink ref="C455" r:id="rId1298" xr:uid="{00000000-0004-0000-0000-000052050000}"/>
    <hyperlink ref="D455" r:id="rId1299" xr:uid="{00000000-0004-0000-0000-000053050000}"/>
    <hyperlink ref="A456" r:id="rId1300" xr:uid="{00000000-0004-0000-0000-000055050000}"/>
    <hyperlink ref="C456" r:id="rId1301" xr:uid="{00000000-0004-0000-0000-000056050000}"/>
    <hyperlink ref="D456" r:id="rId1302" xr:uid="{00000000-0004-0000-0000-000057050000}"/>
    <hyperlink ref="A457" r:id="rId1303" xr:uid="{00000000-0004-0000-0000-000059050000}"/>
    <hyperlink ref="C457" r:id="rId1304" xr:uid="{00000000-0004-0000-0000-00005A050000}"/>
    <hyperlink ref="D457" r:id="rId1305" xr:uid="{00000000-0004-0000-0000-00005B050000}"/>
    <hyperlink ref="A458" r:id="rId1306" xr:uid="{00000000-0004-0000-0000-00005C050000}"/>
    <hyperlink ref="C458" r:id="rId1307" xr:uid="{00000000-0004-0000-0000-00005D050000}"/>
    <hyperlink ref="D458" r:id="rId1308" xr:uid="{00000000-0004-0000-0000-00005E050000}"/>
    <hyperlink ref="A459" r:id="rId1309" xr:uid="{00000000-0004-0000-0000-00005F050000}"/>
    <hyperlink ref="C459" r:id="rId1310" xr:uid="{00000000-0004-0000-0000-000060050000}"/>
    <hyperlink ref="D459" r:id="rId1311" xr:uid="{00000000-0004-0000-0000-000061050000}"/>
    <hyperlink ref="A460" r:id="rId1312" xr:uid="{00000000-0004-0000-0000-000062050000}"/>
    <hyperlink ref="C460" r:id="rId1313" xr:uid="{00000000-0004-0000-0000-000063050000}"/>
    <hyperlink ref="D460" r:id="rId1314" xr:uid="{00000000-0004-0000-0000-000064050000}"/>
    <hyperlink ref="A461" r:id="rId1315" xr:uid="{00000000-0004-0000-0000-000066050000}"/>
    <hyperlink ref="C461" r:id="rId1316" xr:uid="{00000000-0004-0000-0000-000067050000}"/>
    <hyperlink ref="D461" r:id="rId1317" xr:uid="{00000000-0004-0000-0000-000068050000}"/>
    <hyperlink ref="A462" r:id="rId1318" xr:uid="{00000000-0004-0000-0000-00006A050000}"/>
    <hyperlink ref="C462" r:id="rId1319" xr:uid="{00000000-0004-0000-0000-00006B050000}"/>
    <hyperlink ref="D462" r:id="rId1320" xr:uid="{00000000-0004-0000-0000-00006C050000}"/>
    <hyperlink ref="A463" r:id="rId1321" xr:uid="{00000000-0004-0000-0000-00006E050000}"/>
    <hyperlink ref="C463" r:id="rId1322" xr:uid="{00000000-0004-0000-0000-00006F050000}"/>
    <hyperlink ref="D463" r:id="rId1323" xr:uid="{00000000-0004-0000-0000-000070050000}"/>
    <hyperlink ref="A464" r:id="rId1324" xr:uid="{00000000-0004-0000-0000-000072050000}"/>
    <hyperlink ref="C464" r:id="rId1325" xr:uid="{00000000-0004-0000-0000-000073050000}"/>
    <hyperlink ref="D464" r:id="rId1326" xr:uid="{00000000-0004-0000-0000-000074050000}"/>
    <hyperlink ref="A465" r:id="rId1327" xr:uid="{00000000-0004-0000-0000-000076050000}"/>
    <hyperlink ref="C465" r:id="rId1328" xr:uid="{00000000-0004-0000-0000-000077050000}"/>
    <hyperlink ref="D465" r:id="rId1329" xr:uid="{00000000-0004-0000-0000-000078050000}"/>
    <hyperlink ref="A466" r:id="rId1330" xr:uid="{00000000-0004-0000-0000-00007A050000}"/>
    <hyperlink ref="C466" r:id="rId1331" xr:uid="{00000000-0004-0000-0000-00007B050000}"/>
    <hyperlink ref="D466" r:id="rId1332" xr:uid="{00000000-0004-0000-0000-00007C050000}"/>
    <hyperlink ref="A467" r:id="rId1333" xr:uid="{00000000-0004-0000-0000-00007E050000}"/>
    <hyperlink ref="C467" r:id="rId1334" xr:uid="{00000000-0004-0000-0000-00007F050000}"/>
    <hyperlink ref="D467" r:id="rId1335" xr:uid="{00000000-0004-0000-0000-000080050000}"/>
    <hyperlink ref="A468" r:id="rId1336" xr:uid="{00000000-0004-0000-0000-000082050000}"/>
    <hyperlink ref="C468" r:id="rId1337" xr:uid="{00000000-0004-0000-0000-000083050000}"/>
    <hyperlink ref="D468" r:id="rId1338" xr:uid="{00000000-0004-0000-0000-000084050000}"/>
    <hyperlink ref="A469" r:id="rId1339" xr:uid="{00000000-0004-0000-0000-000086050000}"/>
    <hyperlink ref="C469" r:id="rId1340" xr:uid="{00000000-0004-0000-0000-000087050000}"/>
    <hyperlink ref="D469" r:id="rId1341" xr:uid="{00000000-0004-0000-0000-000088050000}"/>
    <hyperlink ref="A470" r:id="rId1342" xr:uid="{00000000-0004-0000-0000-00008A050000}"/>
    <hyperlink ref="C470" r:id="rId1343" xr:uid="{00000000-0004-0000-0000-00008B050000}"/>
    <hyperlink ref="D470" r:id="rId1344" xr:uid="{00000000-0004-0000-0000-00008C050000}"/>
    <hyperlink ref="A471" r:id="rId1345" xr:uid="{00000000-0004-0000-0000-00008E050000}"/>
    <hyperlink ref="C471" r:id="rId1346" xr:uid="{00000000-0004-0000-0000-00008F050000}"/>
    <hyperlink ref="D471" r:id="rId1347" xr:uid="{00000000-0004-0000-0000-000090050000}"/>
    <hyperlink ref="A472" r:id="rId1348" xr:uid="{00000000-0004-0000-0000-000092050000}"/>
    <hyperlink ref="C472" r:id="rId1349" xr:uid="{00000000-0004-0000-0000-000093050000}"/>
    <hyperlink ref="D472" r:id="rId1350" xr:uid="{00000000-0004-0000-0000-000094050000}"/>
    <hyperlink ref="A473" r:id="rId1351" xr:uid="{00000000-0004-0000-0000-000096050000}"/>
    <hyperlink ref="C473" r:id="rId1352" xr:uid="{00000000-0004-0000-0000-000097050000}"/>
    <hyperlink ref="D473" r:id="rId1353" xr:uid="{00000000-0004-0000-0000-000098050000}"/>
    <hyperlink ref="A474" r:id="rId1354" xr:uid="{00000000-0004-0000-0000-00009A050000}"/>
    <hyperlink ref="C474" r:id="rId1355" xr:uid="{00000000-0004-0000-0000-00009B050000}"/>
    <hyperlink ref="D474" r:id="rId1356" xr:uid="{00000000-0004-0000-0000-00009C050000}"/>
    <hyperlink ref="A475" r:id="rId1357" xr:uid="{00000000-0004-0000-0000-00009E050000}"/>
    <hyperlink ref="C475" r:id="rId1358" xr:uid="{00000000-0004-0000-0000-00009F050000}"/>
    <hyperlink ref="D475" r:id="rId1359" xr:uid="{00000000-0004-0000-0000-0000A0050000}"/>
    <hyperlink ref="A476" r:id="rId1360" xr:uid="{00000000-0004-0000-0000-0000A2050000}"/>
    <hyperlink ref="C476" r:id="rId1361" xr:uid="{00000000-0004-0000-0000-0000A3050000}"/>
    <hyperlink ref="D476" r:id="rId1362" xr:uid="{00000000-0004-0000-0000-0000A4050000}"/>
    <hyperlink ref="A477" r:id="rId1363" xr:uid="{00000000-0004-0000-0000-0000A5050000}"/>
    <hyperlink ref="C477" r:id="rId1364" xr:uid="{00000000-0004-0000-0000-0000A6050000}"/>
    <hyperlink ref="D477" r:id="rId1365" xr:uid="{00000000-0004-0000-0000-0000A7050000}"/>
    <hyperlink ref="A478" r:id="rId1366" xr:uid="{00000000-0004-0000-0000-0000A8050000}"/>
    <hyperlink ref="C478" r:id="rId1367" xr:uid="{00000000-0004-0000-0000-0000A9050000}"/>
    <hyperlink ref="D478" r:id="rId1368" xr:uid="{00000000-0004-0000-0000-0000AA050000}"/>
    <hyperlink ref="A479" r:id="rId1369" xr:uid="{00000000-0004-0000-0000-0000AB050000}"/>
    <hyperlink ref="C479" r:id="rId1370" xr:uid="{00000000-0004-0000-0000-0000AC050000}"/>
    <hyperlink ref="D479" r:id="rId1371" xr:uid="{00000000-0004-0000-0000-0000AD050000}"/>
    <hyperlink ref="A480" r:id="rId1372" xr:uid="{00000000-0004-0000-0000-0000AF050000}"/>
    <hyperlink ref="C480" r:id="rId1373" xr:uid="{00000000-0004-0000-0000-0000B0050000}"/>
    <hyperlink ref="D480" r:id="rId1374" xr:uid="{00000000-0004-0000-0000-0000B1050000}"/>
    <hyperlink ref="A481" r:id="rId1375" xr:uid="{00000000-0004-0000-0000-0000B3050000}"/>
    <hyperlink ref="C481" r:id="rId1376" xr:uid="{00000000-0004-0000-0000-0000B4050000}"/>
    <hyperlink ref="D481" r:id="rId1377" xr:uid="{00000000-0004-0000-0000-0000B5050000}"/>
    <hyperlink ref="A482" r:id="rId1378" xr:uid="{00000000-0004-0000-0000-0000B7050000}"/>
    <hyperlink ref="C482" r:id="rId1379" xr:uid="{00000000-0004-0000-0000-0000B8050000}"/>
    <hyperlink ref="D482" r:id="rId1380" xr:uid="{00000000-0004-0000-0000-0000B9050000}"/>
    <hyperlink ref="A483" r:id="rId1381" xr:uid="{00000000-0004-0000-0000-0000BB050000}"/>
    <hyperlink ref="C483" r:id="rId1382" xr:uid="{00000000-0004-0000-0000-0000BC050000}"/>
    <hyperlink ref="D483" r:id="rId1383" xr:uid="{00000000-0004-0000-0000-0000BD050000}"/>
    <hyperlink ref="A484" r:id="rId1384" xr:uid="{00000000-0004-0000-0000-0000BF050000}"/>
    <hyperlink ref="C484" r:id="rId1385" xr:uid="{00000000-0004-0000-0000-0000C0050000}"/>
    <hyperlink ref="D484" r:id="rId1386" xr:uid="{00000000-0004-0000-0000-0000C1050000}"/>
    <hyperlink ref="E484" r:id="rId1387" xr:uid="{00000000-0004-0000-0000-0000C2050000}"/>
    <hyperlink ref="A485" r:id="rId1388" xr:uid="{00000000-0004-0000-0000-0000C3050000}"/>
    <hyperlink ref="C485" r:id="rId1389" xr:uid="{00000000-0004-0000-0000-0000C4050000}"/>
    <hyperlink ref="D485" r:id="rId1390" xr:uid="{00000000-0004-0000-0000-0000C5050000}"/>
    <hyperlink ref="A486" r:id="rId1391" xr:uid="{00000000-0004-0000-0000-0000C6050000}"/>
    <hyperlink ref="C486" r:id="rId1392" xr:uid="{00000000-0004-0000-0000-0000C7050000}"/>
    <hyperlink ref="D486" r:id="rId1393" xr:uid="{00000000-0004-0000-0000-0000C8050000}"/>
    <hyperlink ref="A487" r:id="rId1394" xr:uid="{00000000-0004-0000-0000-0000C9050000}"/>
    <hyperlink ref="C487" r:id="rId1395" xr:uid="{00000000-0004-0000-0000-0000CA050000}"/>
    <hyperlink ref="D487" r:id="rId1396" xr:uid="{00000000-0004-0000-0000-0000CB050000}"/>
    <hyperlink ref="A488" r:id="rId1397" xr:uid="{00000000-0004-0000-0000-0000CC050000}"/>
    <hyperlink ref="C488" r:id="rId1398" xr:uid="{00000000-0004-0000-0000-0000CD050000}"/>
    <hyperlink ref="D488" r:id="rId1399" xr:uid="{00000000-0004-0000-0000-0000CE050000}"/>
    <hyperlink ref="A489" r:id="rId1400" xr:uid="{00000000-0004-0000-0000-0000CF050000}"/>
    <hyperlink ref="C489" r:id="rId1401" xr:uid="{00000000-0004-0000-0000-0000D0050000}"/>
    <hyperlink ref="D489" r:id="rId1402" xr:uid="{00000000-0004-0000-0000-0000D1050000}"/>
    <hyperlink ref="A490" r:id="rId1403" xr:uid="{00000000-0004-0000-0000-0000D2050000}"/>
    <hyperlink ref="C490" r:id="rId1404" xr:uid="{00000000-0004-0000-0000-0000D3050000}"/>
    <hyperlink ref="D490" r:id="rId1405" xr:uid="{00000000-0004-0000-0000-0000D4050000}"/>
    <hyperlink ref="A491" r:id="rId1406" xr:uid="{00000000-0004-0000-0000-0000D5050000}"/>
    <hyperlink ref="C491" r:id="rId1407" xr:uid="{00000000-0004-0000-0000-0000D6050000}"/>
    <hyperlink ref="D491" r:id="rId1408" xr:uid="{00000000-0004-0000-0000-0000D7050000}"/>
    <hyperlink ref="A492" r:id="rId1409" xr:uid="{00000000-0004-0000-0000-0000D8050000}"/>
    <hyperlink ref="C492" r:id="rId1410" xr:uid="{00000000-0004-0000-0000-0000D9050000}"/>
    <hyperlink ref="D492" r:id="rId1411" xr:uid="{00000000-0004-0000-0000-0000DA050000}"/>
    <hyperlink ref="A493" r:id="rId1412" xr:uid="{00000000-0004-0000-0000-0000DB050000}"/>
    <hyperlink ref="C493" r:id="rId1413" xr:uid="{00000000-0004-0000-0000-0000DC050000}"/>
    <hyperlink ref="D493" r:id="rId1414" xr:uid="{00000000-0004-0000-0000-0000DD050000}"/>
    <hyperlink ref="E493" r:id="rId1415" xr:uid="{00000000-0004-0000-0000-0000DE050000}"/>
    <hyperlink ref="A494" r:id="rId1416" xr:uid="{00000000-0004-0000-0000-0000DF050000}"/>
    <hyperlink ref="C494" r:id="rId1417" xr:uid="{00000000-0004-0000-0000-0000E0050000}"/>
    <hyperlink ref="D494" r:id="rId1418" xr:uid="{00000000-0004-0000-0000-0000E1050000}"/>
    <hyperlink ref="E494" r:id="rId1419" xr:uid="{00000000-0004-0000-0000-0000E2050000}"/>
    <hyperlink ref="C495" r:id="rId1420" xr:uid="{00000000-0004-0000-0000-0000E3050000}"/>
    <hyperlink ref="D495" r:id="rId1421" xr:uid="{00000000-0004-0000-0000-0000E4050000}"/>
    <hyperlink ref="A496" r:id="rId1422" xr:uid="{00000000-0004-0000-0000-0000E5050000}"/>
    <hyperlink ref="C496" r:id="rId1423" xr:uid="{00000000-0004-0000-0000-0000E6050000}"/>
    <hyperlink ref="D496" r:id="rId1424" xr:uid="{00000000-0004-0000-0000-0000E7050000}"/>
    <hyperlink ref="A497" r:id="rId1425" xr:uid="{00000000-0004-0000-0000-0000E8050000}"/>
    <hyperlink ref="C497" r:id="rId1426" xr:uid="{00000000-0004-0000-0000-0000E9050000}"/>
    <hyperlink ref="D497" r:id="rId1427" xr:uid="{00000000-0004-0000-0000-0000EA050000}"/>
    <hyperlink ref="A498" r:id="rId1428" xr:uid="{00000000-0004-0000-0000-0000EB050000}"/>
    <hyperlink ref="C498" r:id="rId1429" xr:uid="{00000000-0004-0000-0000-0000EC050000}"/>
    <hyperlink ref="D498" r:id="rId1430" xr:uid="{00000000-0004-0000-0000-0000ED050000}"/>
    <hyperlink ref="C499" r:id="rId1431" xr:uid="{00000000-0004-0000-0000-0000EE050000}"/>
    <hyperlink ref="D499" r:id="rId1432" xr:uid="{00000000-0004-0000-0000-0000EF050000}"/>
    <hyperlink ref="A500" r:id="rId1433" xr:uid="{00000000-0004-0000-0000-0000F0050000}"/>
    <hyperlink ref="C500" r:id="rId1434" xr:uid="{00000000-0004-0000-0000-0000F1050000}"/>
    <hyperlink ref="D500" r:id="rId1435" xr:uid="{00000000-0004-0000-0000-0000F2050000}"/>
    <hyperlink ref="C501" r:id="rId1436" xr:uid="{00000000-0004-0000-0000-0000F3050000}"/>
    <hyperlink ref="D501" r:id="rId1437" xr:uid="{00000000-0004-0000-0000-0000F4050000}"/>
    <hyperlink ref="C502" r:id="rId1438" xr:uid="{00000000-0004-0000-0000-0000F5050000}"/>
    <hyperlink ref="D502" r:id="rId1439" xr:uid="{00000000-0004-0000-0000-0000F6050000}"/>
    <hyperlink ref="C503" r:id="rId1440" xr:uid="{00000000-0004-0000-0000-0000F7050000}"/>
    <hyperlink ref="D503" r:id="rId1441" xr:uid="{00000000-0004-0000-0000-0000F8050000}"/>
    <hyperlink ref="A504" r:id="rId1442" xr:uid="{00000000-0004-0000-0000-0000F9050000}"/>
    <hyperlink ref="C504" r:id="rId1443" xr:uid="{00000000-0004-0000-0000-0000FA050000}"/>
    <hyperlink ref="D504" r:id="rId1444" xr:uid="{00000000-0004-0000-0000-0000FB050000}"/>
    <hyperlink ref="A505" r:id="rId1445" xr:uid="{00000000-0004-0000-0000-0000FC050000}"/>
    <hyperlink ref="C505" r:id="rId1446" xr:uid="{00000000-0004-0000-0000-0000FD050000}"/>
    <hyperlink ref="D505" r:id="rId1447" xr:uid="{00000000-0004-0000-0000-0000FE050000}"/>
    <hyperlink ref="A506" r:id="rId1448" xr:uid="{00000000-0004-0000-0000-0000FF050000}"/>
    <hyperlink ref="C506" r:id="rId1449" xr:uid="{00000000-0004-0000-0000-000000060000}"/>
    <hyperlink ref="D506" r:id="rId1450" xr:uid="{00000000-0004-0000-0000-000001060000}"/>
    <hyperlink ref="A507" r:id="rId1451" xr:uid="{00000000-0004-0000-0000-000002060000}"/>
    <hyperlink ref="C507" r:id="rId1452" xr:uid="{00000000-0004-0000-0000-000003060000}"/>
    <hyperlink ref="D507" r:id="rId1453" xr:uid="{00000000-0004-0000-0000-000004060000}"/>
    <hyperlink ref="E507" r:id="rId1454" xr:uid="{00000000-0004-0000-0000-000005060000}"/>
    <hyperlink ref="A508" r:id="rId1455" xr:uid="{00000000-0004-0000-0000-000006060000}"/>
    <hyperlink ref="C508" r:id="rId1456" xr:uid="{00000000-0004-0000-0000-000007060000}"/>
    <hyperlink ref="D508" r:id="rId1457" xr:uid="{00000000-0004-0000-0000-000008060000}"/>
    <hyperlink ref="A509" r:id="rId1458" xr:uid="{00000000-0004-0000-0000-000009060000}"/>
    <hyperlink ref="C509" r:id="rId1459" xr:uid="{00000000-0004-0000-0000-00000A060000}"/>
    <hyperlink ref="D509" r:id="rId1460" xr:uid="{00000000-0004-0000-0000-00000B060000}"/>
    <hyperlink ref="A510" r:id="rId1461" xr:uid="{00000000-0004-0000-0000-00000C060000}"/>
    <hyperlink ref="C510" r:id="rId1462" xr:uid="{00000000-0004-0000-0000-00000D060000}"/>
    <hyperlink ref="D510" r:id="rId1463" xr:uid="{00000000-0004-0000-0000-00000E060000}"/>
    <hyperlink ref="A511" r:id="rId1464" xr:uid="{00000000-0004-0000-0000-00000F060000}"/>
    <hyperlink ref="C511" r:id="rId1465" xr:uid="{00000000-0004-0000-0000-000010060000}"/>
    <hyperlink ref="D511" r:id="rId1466" xr:uid="{00000000-0004-0000-0000-000011060000}"/>
    <hyperlink ref="A512" r:id="rId1467" xr:uid="{00000000-0004-0000-0000-000012060000}"/>
    <hyperlink ref="C512" r:id="rId1468" xr:uid="{00000000-0004-0000-0000-000013060000}"/>
    <hyperlink ref="D512" r:id="rId1469" xr:uid="{00000000-0004-0000-0000-000014060000}"/>
    <hyperlink ref="A513" r:id="rId1470" xr:uid="{00000000-0004-0000-0000-000015060000}"/>
    <hyperlink ref="C513" r:id="rId1471" xr:uid="{00000000-0004-0000-0000-000016060000}"/>
    <hyperlink ref="D513" r:id="rId1472" xr:uid="{00000000-0004-0000-0000-000017060000}"/>
    <hyperlink ref="A514" r:id="rId1473" xr:uid="{00000000-0004-0000-0000-000018060000}"/>
    <hyperlink ref="C514" r:id="rId1474" xr:uid="{00000000-0004-0000-0000-000019060000}"/>
    <hyperlink ref="D514" r:id="rId1475" xr:uid="{00000000-0004-0000-0000-00001A060000}"/>
    <hyperlink ref="A515" r:id="rId1476" xr:uid="{00000000-0004-0000-0000-00001B060000}"/>
    <hyperlink ref="C515" r:id="rId1477" xr:uid="{00000000-0004-0000-0000-00001C060000}"/>
    <hyperlink ref="D515" r:id="rId1478" xr:uid="{00000000-0004-0000-0000-00001D060000}"/>
    <hyperlink ref="A516" r:id="rId1479" xr:uid="{00000000-0004-0000-0000-00001E060000}"/>
    <hyperlink ref="C516" r:id="rId1480" xr:uid="{00000000-0004-0000-0000-00001F060000}"/>
    <hyperlink ref="D516" r:id="rId1481" xr:uid="{00000000-0004-0000-0000-000020060000}"/>
    <hyperlink ref="A517" r:id="rId1482" xr:uid="{00000000-0004-0000-0000-000021060000}"/>
    <hyperlink ref="C517" r:id="rId1483" xr:uid="{00000000-0004-0000-0000-000022060000}"/>
    <hyperlink ref="D517" r:id="rId1484" xr:uid="{00000000-0004-0000-0000-000023060000}"/>
    <hyperlink ref="A518" r:id="rId1485" xr:uid="{00000000-0004-0000-0000-000024060000}"/>
    <hyperlink ref="C518" r:id="rId1486" xr:uid="{00000000-0004-0000-0000-000025060000}"/>
    <hyperlink ref="D518" r:id="rId1487" xr:uid="{00000000-0004-0000-0000-000026060000}"/>
    <hyperlink ref="A519" r:id="rId1488" xr:uid="{00000000-0004-0000-0000-000027060000}"/>
    <hyperlink ref="C519" r:id="rId1489" xr:uid="{00000000-0004-0000-0000-000028060000}"/>
    <hyperlink ref="D519" r:id="rId1490" xr:uid="{00000000-0004-0000-0000-000029060000}"/>
    <hyperlink ref="E519" r:id="rId1491" xr:uid="{00000000-0004-0000-0000-00002A060000}"/>
    <hyperlink ref="A520" r:id="rId1492" xr:uid="{00000000-0004-0000-0000-00002B060000}"/>
    <hyperlink ref="C520" r:id="rId1493" xr:uid="{00000000-0004-0000-0000-00002C060000}"/>
    <hyperlink ref="D520" r:id="rId1494" xr:uid="{00000000-0004-0000-0000-00002D060000}"/>
    <hyperlink ref="A521" r:id="rId1495" xr:uid="{00000000-0004-0000-0000-00002E060000}"/>
    <hyperlink ref="C521" r:id="rId1496" xr:uid="{00000000-0004-0000-0000-00002F060000}"/>
    <hyperlink ref="D521" r:id="rId1497" xr:uid="{00000000-0004-0000-0000-000030060000}"/>
    <hyperlink ref="A522" r:id="rId1498" xr:uid="{00000000-0004-0000-0000-000031060000}"/>
    <hyperlink ref="C522" r:id="rId1499" xr:uid="{00000000-0004-0000-0000-000032060000}"/>
    <hyperlink ref="D522" r:id="rId1500" xr:uid="{00000000-0004-0000-0000-000033060000}"/>
    <hyperlink ref="C523" r:id="rId1501" xr:uid="{00000000-0004-0000-0000-000034060000}"/>
    <hyperlink ref="D523" r:id="rId1502" xr:uid="{00000000-0004-0000-0000-000035060000}"/>
    <hyperlink ref="C524" r:id="rId1503" xr:uid="{00000000-0004-0000-0000-000036060000}"/>
    <hyperlink ref="D524" r:id="rId1504" xr:uid="{00000000-0004-0000-0000-000037060000}"/>
    <hyperlink ref="A525" r:id="rId1505" xr:uid="{00000000-0004-0000-0000-000038060000}"/>
    <hyperlink ref="C525" r:id="rId1506" xr:uid="{00000000-0004-0000-0000-000039060000}"/>
    <hyperlink ref="D525" r:id="rId1507" xr:uid="{00000000-0004-0000-0000-00003A060000}"/>
    <hyperlink ref="A526" r:id="rId1508" xr:uid="{00000000-0004-0000-0000-00003B060000}"/>
    <hyperlink ref="C526" r:id="rId1509" xr:uid="{00000000-0004-0000-0000-00003C060000}"/>
    <hyperlink ref="D526" r:id="rId1510" xr:uid="{00000000-0004-0000-0000-00003D060000}"/>
    <hyperlink ref="A527" r:id="rId1511" xr:uid="{00000000-0004-0000-0000-00003E060000}"/>
    <hyperlink ref="C527" r:id="rId1512" xr:uid="{00000000-0004-0000-0000-00003F060000}"/>
    <hyperlink ref="D527" r:id="rId1513" xr:uid="{00000000-0004-0000-0000-000040060000}"/>
    <hyperlink ref="A528" r:id="rId1514" xr:uid="{00000000-0004-0000-0000-000041060000}"/>
    <hyperlink ref="C528" r:id="rId1515" xr:uid="{00000000-0004-0000-0000-000042060000}"/>
    <hyperlink ref="D528" r:id="rId1516" xr:uid="{00000000-0004-0000-0000-000043060000}"/>
    <hyperlink ref="A529" r:id="rId1517" xr:uid="{00000000-0004-0000-0000-000044060000}"/>
    <hyperlink ref="C529" r:id="rId1518" xr:uid="{00000000-0004-0000-0000-000045060000}"/>
    <hyperlink ref="D529" r:id="rId1519" xr:uid="{00000000-0004-0000-0000-000046060000}"/>
    <hyperlink ref="A530" r:id="rId1520" xr:uid="{00000000-0004-0000-0000-000047060000}"/>
    <hyperlink ref="C530" r:id="rId1521" xr:uid="{00000000-0004-0000-0000-000048060000}"/>
    <hyperlink ref="D530" r:id="rId1522" xr:uid="{00000000-0004-0000-0000-000049060000}"/>
    <hyperlink ref="A531" r:id="rId1523" xr:uid="{00000000-0004-0000-0000-00004A060000}"/>
    <hyperlink ref="C531" r:id="rId1524" xr:uid="{00000000-0004-0000-0000-00004B060000}"/>
    <hyperlink ref="D531" r:id="rId1525" xr:uid="{00000000-0004-0000-0000-00004C060000}"/>
    <hyperlink ref="C532" r:id="rId1526" xr:uid="{00000000-0004-0000-0000-00004D060000}"/>
    <hyperlink ref="D532" r:id="rId1527" xr:uid="{00000000-0004-0000-0000-00004E060000}"/>
    <hyperlink ref="A533" r:id="rId1528" xr:uid="{00000000-0004-0000-0000-00004F060000}"/>
    <hyperlink ref="C533" r:id="rId1529" xr:uid="{00000000-0004-0000-0000-000050060000}"/>
    <hyperlink ref="D533" r:id="rId1530" xr:uid="{00000000-0004-0000-0000-000051060000}"/>
    <hyperlink ref="A534" r:id="rId1531" xr:uid="{00000000-0004-0000-0000-000052060000}"/>
    <hyperlink ref="C534" r:id="rId1532" xr:uid="{00000000-0004-0000-0000-000053060000}"/>
    <hyperlink ref="D534" r:id="rId1533" xr:uid="{00000000-0004-0000-0000-000054060000}"/>
    <hyperlink ref="A535" r:id="rId1534" xr:uid="{00000000-0004-0000-0000-000055060000}"/>
    <hyperlink ref="C535" r:id="rId1535" xr:uid="{00000000-0004-0000-0000-000056060000}"/>
    <hyperlink ref="D535" r:id="rId1536" xr:uid="{00000000-0004-0000-0000-000057060000}"/>
    <hyperlink ref="A536" r:id="rId1537" xr:uid="{00000000-0004-0000-0000-000058060000}"/>
    <hyperlink ref="C536" r:id="rId1538" xr:uid="{00000000-0004-0000-0000-000059060000}"/>
    <hyperlink ref="D536" r:id="rId1539" xr:uid="{00000000-0004-0000-0000-00005A060000}"/>
    <hyperlink ref="A537" r:id="rId1540" xr:uid="{00000000-0004-0000-0000-00005B060000}"/>
    <hyperlink ref="C537" r:id="rId1541" xr:uid="{00000000-0004-0000-0000-00005C060000}"/>
    <hyperlink ref="D537" r:id="rId1542" xr:uid="{00000000-0004-0000-0000-00005D060000}"/>
    <hyperlink ref="A538" r:id="rId1543" xr:uid="{00000000-0004-0000-0000-00005E060000}"/>
    <hyperlink ref="C538" r:id="rId1544" xr:uid="{00000000-0004-0000-0000-00005F060000}"/>
    <hyperlink ref="D538" r:id="rId1545" xr:uid="{00000000-0004-0000-0000-000060060000}"/>
    <hyperlink ref="A539" r:id="rId1546" xr:uid="{00000000-0004-0000-0000-000061060000}"/>
    <hyperlink ref="C539" r:id="rId1547" xr:uid="{00000000-0004-0000-0000-000062060000}"/>
    <hyperlink ref="D539" r:id="rId1548" xr:uid="{00000000-0004-0000-0000-000063060000}"/>
    <hyperlink ref="A540" r:id="rId1549" xr:uid="{00000000-0004-0000-0000-000064060000}"/>
    <hyperlink ref="C540" r:id="rId1550" xr:uid="{00000000-0004-0000-0000-000065060000}"/>
    <hyperlink ref="D540" r:id="rId1551" xr:uid="{00000000-0004-0000-0000-000066060000}"/>
    <hyperlink ref="A541" r:id="rId1552" xr:uid="{00000000-0004-0000-0000-000067060000}"/>
    <hyperlink ref="C541" r:id="rId1553" xr:uid="{00000000-0004-0000-0000-000068060000}"/>
    <hyperlink ref="D541" r:id="rId1554" xr:uid="{00000000-0004-0000-0000-000069060000}"/>
    <hyperlink ref="A542" r:id="rId1555" xr:uid="{00000000-0004-0000-0000-00006A060000}"/>
    <hyperlink ref="C542" r:id="rId1556" xr:uid="{00000000-0004-0000-0000-00006B060000}"/>
    <hyperlink ref="D542" r:id="rId1557" xr:uid="{00000000-0004-0000-0000-00006C060000}"/>
    <hyperlink ref="A543" r:id="rId1558" xr:uid="{00000000-0004-0000-0000-00006D060000}"/>
    <hyperlink ref="C543" r:id="rId1559" xr:uid="{00000000-0004-0000-0000-00006E060000}"/>
    <hyperlink ref="D543" r:id="rId1560" xr:uid="{00000000-0004-0000-0000-00006F060000}"/>
    <hyperlink ref="C544" r:id="rId1561" xr:uid="{00000000-0004-0000-0000-000070060000}"/>
    <hyperlink ref="D544" r:id="rId1562" xr:uid="{00000000-0004-0000-0000-000071060000}"/>
    <hyperlink ref="A545" r:id="rId1563" xr:uid="{00000000-0004-0000-0000-000072060000}"/>
    <hyperlink ref="C545" r:id="rId1564" xr:uid="{00000000-0004-0000-0000-000073060000}"/>
    <hyperlink ref="D545" r:id="rId1565" xr:uid="{00000000-0004-0000-0000-000074060000}"/>
    <hyperlink ref="A546" r:id="rId1566" xr:uid="{00000000-0004-0000-0000-000075060000}"/>
    <hyperlink ref="C546" r:id="rId1567" xr:uid="{00000000-0004-0000-0000-000076060000}"/>
    <hyperlink ref="D546" r:id="rId1568" xr:uid="{00000000-0004-0000-0000-000077060000}"/>
    <hyperlink ref="A547" r:id="rId1569" xr:uid="{00000000-0004-0000-0000-000078060000}"/>
    <hyperlink ref="C547" r:id="rId1570" xr:uid="{00000000-0004-0000-0000-000079060000}"/>
    <hyperlink ref="D547" r:id="rId1571" xr:uid="{00000000-0004-0000-0000-00007A060000}"/>
    <hyperlink ref="A548" r:id="rId1572" xr:uid="{00000000-0004-0000-0000-00007B060000}"/>
    <hyperlink ref="C548" r:id="rId1573" xr:uid="{00000000-0004-0000-0000-00007C060000}"/>
    <hyperlink ref="D548" r:id="rId1574" xr:uid="{00000000-0004-0000-0000-00007D060000}"/>
    <hyperlink ref="A549" r:id="rId1575" xr:uid="{00000000-0004-0000-0000-00007F060000}"/>
    <hyperlink ref="C549" r:id="rId1576" xr:uid="{00000000-0004-0000-0000-000080060000}"/>
    <hyperlink ref="D549" r:id="rId1577" xr:uid="{00000000-0004-0000-0000-000081060000}"/>
    <hyperlink ref="A550" r:id="rId1578" xr:uid="{00000000-0004-0000-0000-000083060000}"/>
    <hyperlink ref="C550" r:id="rId1579" xr:uid="{00000000-0004-0000-0000-000084060000}"/>
    <hyperlink ref="D550" r:id="rId1580" xr:uid="{00000000-0004-0000-0000-000085060000}"/>
    <hyperlink ref="A551" r:id="rId1581" xr:uid="{00000000-0004-0000-0000-000087060000}"/>
    <hyperlink ref="C551" r:id="rId1582" xr:uid="{00000000-0004-0000-0000-000088060000}"/>
    <hyperlink ref="D551" r:id="rId1583" xr:uid="{00000000-0004-0000-0000-000089060000}"/>
    <hyperlink ref="A552" r:id="rId1584" xr:uid="{00000000-0004-0000-0000-00008B060000}"/>
    <hyperlink ref="C552" r:id="rId1585" xr:uid="{00000000-0004-0000-0000-00008C060000}"/>
    <hyperlink ref="D552" r:id="rId1586" xr:uid="{00000000-0004-0000-0000-00008D060000}"/>
    <hyperlink ref="A553" r:id="rId1587" xr:uid="{00000000-0004-0000-0000-00008F060000}"/>
    <hyperlink ref="C553" r:id="rId1588" xr:uid="{00000000-0004-0000-0000-000090060000}"/>
    <hyperlink ref="D553" r:id="rId1589" xr:uid="{00000000-0004-0000-0000-000091060000}"/>
    <hyperlink ref="A554" r:id="rId1590" xr:uid="{00000000-0004-0000-0000-000093060000}"/>
    <hyperlink ref="C554" r:id="rId1591" xr:uid="{00000000-0004-0000-0000-000094060000}"/>
    <hyperlink ref="D554" r:id="rId1592" xr:uid="{00000000-0004-0000-0000-000095060000}"/>
    <hyperlink ref="A555" r:id="rId1593" xr:uid="{00000000-0004-0000-0000-000097060000}"/>
    <hyperlink ref="C555" r:id="rId1594" xr:uid="{00000000-0004-0000-0000-000098060000}"/>
    <hyperlink ref="D555" r:id="rId1595" xr:uid="{00000000-0004-0000-0000-000099060000}"/>
    <hyperlink ref="A556" r:id="rId1596" xr:uid="{00000000-0004-0000-0000-00009B060000}"/>
    <hyperlink ref="C556" r:id="rId1597" xr:uid="{00000000-0004-0000-0000-00009C060000}"/>
    <hyperlink ref="D556" r:id="rId1598" xr:uid="{00000000-0004-0000-0000-00009D060000}"/>
    <hyperlink ref="A557" r:id="rId1599" xr:uid="{00000000-0004-0000-0000-00009F060000}"/>
    <hyperlink ref="C557" r:id="rId1600" xr:uid="{00000000-0004-0000-0000-0000A0060000}"/>
    <hyperlink ref="D557" r:id="rId1601" xr:uid="{00000000-0004-0000-0000-0000A1060000}"/>
    <hyperlink ref="A558" r:id="rId1602" xr:uid="{00000000-0004-0000-0000-0000A3060000}"/>
    <hyperlink ref="C558" r:id="rId1603" xr:uid="{00000000-0004-0000-0000-0000A4060000}"/>
    <hyperlink ref="D558" r:id="rId1604" xr:uid="{00000000-0004-0000-0000-0000A5060000}"/>
    <hyperlink ref="A559" r:id="rId1605" xr:uid="{00000000-0004-0000-0000-0000A7060000}"/>
    <hyperlink ref="C559" r:id="rId1606" xr:uid="{00000000-0004-0000-0000-0000A8060000}"/>
    <hyperlink ref="D559" r:id="rId1607" xr:uid="{00000000-0004-0000-0000-0000A9060000}"/>
    <hyperlink ref="A560" r:id="rId1608" xr:uid="{00000000-0004-0000-0000-0000AB060000}"/>
    <hyperlink ref="C560" r:id="rId1609" xr:uid="{00000000-0004-0000-0000-0000AC060000}"/>
    <hyperlink ref="D560" r:id="rId1610" xr:uid="{00000000-0004-0000-0000-0000AD060000}"/>
    <hyperlink ref="A561" r:id="rId1611" xr:uid="{00000000-0004-0000-0000-0000AF060000}"/>
    <hyperlink ref="C561" r:id="rId1612" xr:uid="{00000000-0004-0000-0000-0000B0060000}"/>
    <hyperlink ref="D561" r:id="rId1613" xr:uid="{00000000-0004-0000-0000-0000B1060000}"/>
    <hyperlink ref="A562" r:id="rId1614" xr:uid="{00000000-0004-0000-0000-0000B3060000}"/>
    <hyperlink ref="C562" r:id="rId1615" xr:uid="{00000000-0004-0000-0000-0000B4060000}"/>
    <hyperlink ref="D562" r:id="rId1616" xr:uid="{00000000-0004-0000-0000-0000B5060000}"/>
    <hyperlink ref="A563" r:id="rId1617" xr:uid="{00000000-0004-0000-0000-0000B7060000}"/>
    <hyperlink ref="C563" r:id="rId1618" xr:uid="{00000000-0004-0000-0000-0000B8060000}"/>
    <hyperlink ref="D563" r:id="rId1619" xr:uid="{00000000-0004-0000-0000-0000B9060000}"/>
    <hyperlink ref="C564" r:id="rId1620" xr:uid="{00000000-0004-0000-0000-0000BA060000}"/>
    <hyperlink ref="D564" r:id="rId1621" xr:uid="{00000000-0004-0000-0000-0000BB060000}"/>
    <hyperlink ref="C565" r:id="rId1622" xr:uid="{00000000-0004-0000-0000-0000BC060000}"/>
    <hyperlink ref="D565" r:id="rId1623" xr:uid="{00000000-0004-0000-0000-0000BD060000}"/>
    <hyperlink ref="A566" r:id="rId1624" xr:uid="{00000000-0004-0000-0000-0000BE060000}"/>
    <hyperlink ref="C566" r:id="rId1625" xr:uid="{00000000-0004-0000-0000-0000BF060000}"/>
    <hyperlink ref="D566" r:id="rId1626" xr:uid="{00000000-0004-0000-0000-0000C0060000}"/>
    <hyperlink ref="A567" r:id="rId1627" xr:uid="{00000000-0004-0000-0000-0000C1060000}"/>
    <hyperlink ref="C567" r:id="rId1628" xr:uid="{00000000-0004-0000-0000-0000C2060000}"/>
    <hyperlink ref="D567" r:id="rId1629" xr:uid="{00000000-0004-0000-0000-0000C3060000}"/>
    <hyperlink ref="A568" r:id="rId1630" xr:uid="{00000000-0004-0000-0000-0000C4060000}"/>
    <hyperlink ref="C568" r:id="rId1631" xr:uid="{00000000-0004-0000-0000-0000C5060000}"/>
    <hyperlink ref="D568" r:id="rId1632" xr:uid="{00000000-0004-0000-0000-0000C6060000}"/>
    <hyperlink ref="A569" r:id="rId1633" xr:uid="{00000000-0004-0000-0000-0000C7060000}"/>
    <hyperlink ref="C569" r:id="rId1634" xr:uid="{00000000-0004-0000-0000-0000C8060000}"/>
    <hyperlink ref="D569" r:id="rId1635" xr:uid="{00000000-0004-0000-0000-0000C9060000}"/>
    <hyperlink ref="E569" r:id="rId1636" xr:uid="{00000000-0004-0000-0000-0000CA060000}"/>
    <hyperlink ref="A570" r:id="rId1637" xr:uid="{00000000-0004-0000-0000-0000CB060000}"/>
    <hyperlink ref="C570" r:id="rId1638" xr:uid="{00000000-0004-0000-0000-0000CC060000}"/>
    <hyperlink ref="D570" r:id="rId1639" xr:uid="{00000000-0004-0000-0000-0000CD060000}"/>
    <hyperlink ref="A571" r:id="rId1640" xr:uid="{00000000-0004-0000-0000-0000CE060000}"/>
    <hyperlink ref="C571" r:id="rId1641" xr:uid="{00000000-0004-0000-0000-0000CF060000}"/>
    <hyperlink ref="D571" r:id="rId1642" xr:uid="{00000000-0004-0000-0000-0000D0060000}"/>
    <hyperlink ref="A572" r:id="rId1643" xr:uid="{00000000-0004-0000-0000-0000D1060000}"/>
    <hyperlink ref="C572" r:id="rId1644" xr:uid="{00000000-0004-0000-0000-0000D2060000}"/>
    <hyperlink ref="D572" r:id="rId1645" xr:uid="{00000000-0004-0000-0000-0000D3060000}"/>
    <hyperlink ref="A573" r:id="rId1646" xr:uid="{00000000-0004-0000-0000-0000D4060000}"/>
    <hyperlink ref="C573" r:id="rId1647" xr:uid="{00000000-0004-0000-0000-0000D5060000}"/>
    <hyperlink ref="D573" r:id="rId1648" xr:uid="{00000000-0004-0000-0000-0000D6060000}"/>
    <hyperlink ref="A574" r:id="rId1649" xr:uid="{00000000-0004-0000-0000-0000D7060000}"/>
    <hyperlink ref="C574" r:id="rId1650" xr:uid="{00000000-0004-0000-0000-0000D8060000}"/>
    <hyperlink ref="D574" r:id="rId1651" xr:uid="{00000000-0004-0000-0000-0000D9060000}"/>
    <hyperlink ref="A575" r:id="rId1652" xr:uid="{00000000-0004-0000-0000-0000DA060000}"/>
    <hyperlink ref="C575" r:id="rId1653" xr:uid="{00000000-0004-0000-0000-0000DB060000}"/>
    <hyperlink ref="D575" r:id="rId1654" xr:uid="{00000000-0004-0000-0000-0000DC060000}"/>
    <hyperlink ref="A576" r:id="rId1655" xr:uid="{00000000-0004-0000-0000-0000DD060000}"/>
    <hyperlink ref="C576" r:id="rId1656" xr:uid="{00000000-0004-0000-0000-0000DE060000}"/>
    <hyperlink ref="D576" r:id="rId1657" xr:uid="{00000000-0004-0000-0000-0000DF060000}"/>
    <hyperlink ref="C577" r:id="rId1658" xr:uid="{00000000-0004-0000-0000-0000E0060000}"/>
    <hyperlink ref="D577" r:id="rId1659" xr:uid="{00000000-0004-0000-0000-0000E1060000}"/>
    <hyperlink ref="A578" r:id="rId1660" xr:uid="{00000000-0004-0000-0000-0000E2060000}"/>
    <hyperlink ref="C578" r:id="rId1661" xr:uid="{00000000-0004-0000-0000-0000E3060000}"/>
    <hyperlink ref="D578" r:id="rId1662" xr:uid="{00000000-0004-0000-0000-0000E4060000}"/>
    <hyperlink ref="A579" r:id="rId1663" xr:uid="{00000000-0004-0000-0000-0000E5060000}"/>
    <hyperlink ref="C579" r:id="rId1664" xr:uid="{00000000-0004-0000-0000-0000E6060000}"/>
    <hyperlink ref="D579" r:id="rId1665" xr:uid="{00000000-0004-0000-0000-0000E7060000}"/>
    <hyperlink ref="A580" r:id="rId1666" xr:uid="{00000000-0004-0000-0000-0000E8060000}"/>
    <hyperlink ref="C580" r:id="rId1667" xr:uid="{00000000-0004-0000-0000-0000E9060000}"/>
    <hyperlink ref="D580" r:id="rId1668" xr:uid="{00000000-0004-0000-0000-0000EA060000}"/>
    <hyperlink ref="A581" r:id="rId1669" xr:uid="{00000000-0004-0000-0000-0000EB060000}"/>
    <hyperlink ref="C581" r:id="rId1670" xr:uid="{00000000-0004-0000-0000-0000EC060000}"/>
    <hyperlink ref="D581" r:id="rId1671" xr:uid="{00000000-0004-0000-0000-0000ED060000}"/>
    <hyperlink ref="A582" r:id="rId1672" xr:uid="{00000000-0004-0000-0000-0000EE060000}"/>
    <hyperlink ref="C582" r:id="rId1673" xr:uid="{00000000-0004-0000-0000-0000EF060000}"/>
    <hyperlink ref="D582" r:id="rId1674" xr:uid="{00000000-0004-0000-0000-0000F0060000}"/>
    <hyperlink ref="A583" r:id="rId1675" xr:uid="{00000000-0004-0000-0000-0000F1060000}"/>
    <hyperlink ref="C583" r:id="rId1676" xr:uid="{00000000-0004-0000-0000-0000F2060000}"/>
    <hyperlink ref="D583" r:id="rId1677" xr:uid="{00000000-0004-0000-0000-0000F3060000}"/>
    <hyperlink ref="A584" r:id="rId1678" xr:uid="{00000000-0004-0000-0000-0000F4060000}"/>
    <hyperlink ref="C584" r:id="rId1679" xr:uid="{00000000-0004-0000-0000-0000F5060000}"/>
    <hyperlink ref="D584" r:id="rId1680" xr:uid="{00000000-0004-0000-0000-0000F6060000}"/>
    <hyperlink ref="A585" r:id="rId1681" xr:uid="{00000000-0004-0000-0000-0000F7060000}"/>
    <hyperlink ref="C585" r:id="rId1682" xr:uid="{00000000-0004-0000-0000-0000F8060000}"/>
    <hyperlink ref="D585" r:id="rId1683" xr:uid="{00000000-0004-0000-0000-0000F9060000}"/>
    <hyperlink ref="A586" r:id="rId1684" xr:uid="{00000000-0004-0000-0000-0000FA060000}"/>
    <hyperlink ref="C586" r:id="rId1685" xr:uid="{00000000-0004-0000-0000-0000FB060000}"/>
    <hyperlink ref="D586" r:id="rId1686" xr:uid="{00000000-0004-0000-0000-0000FC060000}"/>
    <hyperlink ref="E586" r:id="rId1687" xr:uid="{00000000-0004-0000-0000-0000FD060000}"/>
    <hyperlink ref="A587" r:id="rId1688" xr:uid="{00000000-0004-0000-0000-0000FE060000}"/>
    <hyperlink ref="C587" r:id="rId1689" xr:uid="{00000000-0004-0000-0000-0000FF060000}"/>
    <hyperlink ref="D587" r:id="rId1690" xr:uid="{00000000-0004-0000-0000-000000070000}"/>
    <hyperlink ref="C588" r:id="rId1691" xr:uid="{00000000-0004-0000-0000-000001070000}"/>
    <hyperlink ref="D588" r:id="rId1692" xr:uid="{00000000-0004-0000-0000-000002070000}"/>
    <hyperlink ref="C589" r:id="rId1693" xr:uid="{00000000-0004-0000-0000-000003070000}"/>
    <hyperlink ref="D589" r:id="rId1694" xr:uid="{00000000-0004-0000-0000-000004070000}"/>
    <hyperlink ref="C590" r:id="rId1695" xr:uid="{00000000-0004-0000-0000-000005070000}"/>
    <hyperlink ref="D590" r:id="rId1696" xr:uid="{00000000-0004-0000-0000-000006070000}"/>
    <hyperlink ref="A591" r:id="rId1697" xr:uid="{00000000-0004-0000-0000-000007070000}"/>
    <hyperlink ref="C591" r:id="rId1698" xr:uid="{00000000-0004-0000-0000-000008070000}"/>
    <hyperlink ref="D591" r:id="rId1699" xr:uid="{00000000-0004-0000-0000-000009070000}"/>
    <hyperlink ref="E591" r:id="rId1700" xr:uid="{00000000-0004-0000-0000-00000A070000}"/>
    <hyperlink ref="A592" r:id="rId1701" xr:uid="{00000000-0004-0000-0000-00000B070000}"/>
    <hyperlink ref="C592" r:id="rId1702" xr:uid="{00000000-0004-0000-0000-00000C070000}"/>
    <hyperlink ref="D592" r:id="rId1703" xr:uid="{00000000-0004-0000-0000-00000D070000}"/>
    <hyperlink ref="E592" r:id="rId1704" xr:uid="{00000000-0004-0000-0000-00000E070000}"/>
    <hyperlink ref="C593" r:id="rId1705" xr:uid="{00000000-0004-0000-0000-00000F070000}"/>
    <hyperlink ref="D593" r:id="rId1706" xr:uid="{00000000-0004-0000-0000-000010070000}"/>
    <hyperlink ref="C594" r:id="rId1707" xr:uid="{00000000-0004-0000-0000-000011070000}"/>
    <hyperlink ref="D594" r:id="rId1708" xr:uid="{00000000-0004-0000-0000-000012070000}"/>
    <hyperlink ref="A595" r:id="rId1709" xr:uid="{00000000-0004-0000-0000-000013070000}"/>
    <hyperlink ref="C595" r:id="rId1710" xr:uid="{00000000-0004-0000-0000-000014070000}"/>
    <hyperlink ref="D595" r:id="rId1711" xr:uid="{00000000-0004-0000-0000-000015070000}"/>
    <hyperlink ref="A596" r:id="rId1712" xr:uid="{00000000-0004-0000-0000-000016070000}"/>
    <hyperlink ref="C596" r:id="rId1713" xr:uid="{00000000-0004-0000-0000-000017070000}"/>
    <hyperlink ref="D596" r:id="rId1714" xr:uid="{00000000-0004-0000-0000-000018070000}"/>
    <hyperlink ref="A597" r:id="rId1715" xr:uid="{00000000-0004-0000-0000-000019070000}"/>
    <hyperlink ref="C597" r:id="rId1716" xr:uid="{00000000-0004-0000-0000-00001A070000}"/>
    <hyperlink ref="D597" r:id="rId1717" xr:uid="{00000000-0004-0000-0000-00001B070000}"/>
    <hyperlink ref="A598" r:id="rId1718" xr:uid="{00000000-0004-0000-0000-00001C070000}"/>
    <hyperlink ref="C598" r:id="rId1719" xr:uid="{00000000-0004-0000-0000-00001D070000}"/>
    <hyperlink ref="D598" r:id="rId1720" xr:uid="{00000000-0004-0000-0000-00001E070000}"/>
    <hyperlink ref="A599" r:id="rId1721" xr:uid="{00000000-0004-0000-0000-00001F070000}"/>
    <hyperlink ref="C599" r:id="rId1722" xr:uid="{00000000-0004-0000-0000-000020070000}"/>
    <hyperlink ref="D599" r:id="rId1723" xr:uid="{00000000-0004-0000-0000-000021070000}"/>
    <hyperlink ref="A600" r:id="rId1724" xr:uid="{00000000-0004-0000-0000-000022070000}"/>
    <hyperlink ref="C600" r:id="rId1725" xr:uid="{00000000-0004-0000-0000-000023070000}"/>
    <hyperlink ref="D600" r:id="rId1726" xr:uid="{00000000-0004-0000-0000-000024070000}"/>
    <hyperlink ref="A601" r:id="rId1727" xr:uid="{00000000-0004-0000-0000-000025070000}"/>
    <hyperlink ref="C601" r:id="rId1728" xr:uid="{00000000-0004-0000-0000-000026070000}"/>
    <hyperlink ref="D601" r:id="rId1729" xr:uid="{00000000-0004-0000-0000-000027070000}"/>
    <hyperlink ref="A602" r:id="rId1730" xr:uid="{00000000-0004-0000-0000-000028070000}"/>
    <hyperlink ref="C602" r:id="rId1731" xr:uid="{00000000-0004-0000-0000-000029070000}"/>
    <hyperlink ref="D602" r:id="rId1732" xr:uid="{00000000-0004-0000-0000-00002A070000}"/>
    <hyperlink ref="A603" r:id="rId1733" xr:uid="{00000000-0004-0000-0000-00002B070000}"/>
    <hyperlink ref="C603" r:id="rId1734" xr:uid="{00000000-0004-0000-0000-00002C070000}"/>
    <hyperlink ref="D603" r:id="rId1735" xr:uid="{00000000-0004-0000-0000-00002D070000}"/>
    <hyperlink ref="C604" r:id="rId1736" xr:uid="{00000000-0004-0000-0000-00002E070000}"/>
    <hyperlink ref="D604" r:id="rId1737" xr:uid="{00000000-0004-0000-0000-00002F070000}"/>
    <hyperlink ref="C605" r:id="rId1738" xr:uid="{00000000-0004-0000-0000-000030070000}"/>
    <hyperlink ref="D605" r:id="rId1739" xr:uid="{00000000-0004-0000-0000-000031070000}"/>
    <hyperlink ref="A606" r:id="rId1740" xr:uid="{00000000-0004-0000-0000-000032070000}"/>
    <hyperlink ref="C606" r:id="rId1741" xr:uid="{00000000-0004-0000-0000-000033070000}"/>
    <hyperlink ref="D606" r:id="rId1742" xr:uid="{00000000-0004-0000-0000-000034070000}"/>
    <hyperlink ref="A607" r:id="rId1743" xr:uid="{00000000-0004-0000-0000-000035070000}"/>
    <hyperlink ref="C607" r:id="rId1744" xr:uid="{00000000-0004-0000-0000-000036070000}"/>
    <hyperlink ref="D607" r:id="rId1745" xr:uid="{00000000-0004-0000-0000-000037070000}"/>
    <hyperlink ref="A608" r:id="rId1746" xr:uid="{00000000-0004-0000-0000-000038070000}"/>
    <hyperlink ref="C608" r:id="rId1747" xr:uid="{00000000-0004-0000-0000-000039070000}"/>
    <hyperlink ref="D608" r:id="rId1748" xr:uid="{00000000-0004-0000-0000-00003A070000}"/>
    <hyperlink ref="A609" r:id="rId1749" xr:uid="{00000000-0004-0000-0000-00003B070000}"/>
    <hyperlink ref="C609" r:id="rId1750" xr:uid="{00000000-0004-0000-0000-00003C070000}"/>
    <hyperlink ref="D609" r:id="rId1751" xr:uid="{00000000-0004-0000-0000-00003D070000}"/>
    <hyperlink ref="C610" r:id="rId1752" xr:uid="{00000000-0004-0000-0000-00003E070000}"/>
    <hyperlink ref="D610" r:id="rId1753" xr:uid="{00000000-0004-0000-0000-00003F070000}"/>
    <hyperlink ref="A611" r:id="rId1754" xr:uid="{00000000-0004-0000-0000-000040070000}"/>
    <hyperlink ref="C611" r:id="rId1755" xr:uid="{00000000-0004-0000-0000-000041070000}"/>
    <hyperlink ref="D611" r:id="rId1756" xr:uid="{00000000-0004-0000-0000-000042070000}"/>
    <hyperlink ref="A612" r:id="rId1757" xr:uid="{00000000-0004-0000-0000-000043070000}"/>
    <hyperlink ref="C612" r:id="rId1758" xr:uid="{00000000-0004-0000-0000-000044070000}"/>
    <hyperlink ref="D612" r:id="rId1759" xr:uid="{00000000-0004-0000-0000-000045070000}"/>
    <hyperlink ref="A613" r:id="rId1760" xr:uid="{00000000-0004-0000-0000-000046070000}"/>
    <hyperlink ref="C613" r:id="rId1761" xr:uid="{00000000-0004-0000-0000-000047070000}"/>
    <hyperlink ref="D613" r:id="rId1762" xr:uid="{00000000-0004-0000-0000-000048070000}"/>
    <hyperlink ref="A614" r:id="rId1763" xr:uid="{00000000-0004-0000-0000-000049070000}"/>
    <hyperlink ref="C614" r:id="rId1764" xr:uid="{00000000-0004-0000-0000-00004A070000}"/>
    <hyperlink ref="D614" r:id="rId1765" xr:uid="{00000000-0004-0000-0000-00004B070000}"/>
    <hyperlink ref="C615" r:id="rId1766" xr:uid="{00000000-0004-0000-0000-00004C070000}"/>
    <hyperlink ref="D615" r:id="rId1767" xr:uid="{00000000-0004-0000-0000-00004D070000}"/>
    <hyperlink ref="A616" r:id="rId1768" xr:uid="{00000000-0004-0000-0000-00004E070000}"/>
    <hyperlink ref="C616" r:id="rId1769" xr:uid="{00000000-0004-0000-0000-00004F070000}"/>
    <hyperlink ref="D616" r:id="rId1770" xr:uid="{00000000-0004-0000-0000-000050070000}"/>
    <hyperlink ref="C617" r:id="rId1771" xr:uid="{00000000-0004-0000-0000-000051070000}"/>
    <hyperlink ref="D617" r:id="rId1772" xr:uid="{00000000-0004-0000-0000-000052070000}"/>
    <hyperlink ref="A618" r:id="rId1773" xr:uid="{00000000-0004-0000-0000-000053070000}"/>
    <hyperlink ref="C618" r:id="rId1774" xr:uid="{00000000-0004-0000-0000-000054070000}"/>
    <hyperlink ref="D618" r:id="rId1775" xr:uid="{00000000-0004-0000-0000-000055070000}"/>
    <hyperlink ref="A619" r:id="rId1776" xr:uid="{00000000-0004-0000-0000-000056070000}"/>
    <hyperlink ref="C619" r:id="rId1777" xr:uid="{00000000-0004-0000-0000-000057070000}"/>
    <hyperlink ref="D619" r:id="rId1778" xr:uid="{00000000-0004-0000-0000-000058070000}"/>
    <hyperlink ref="C620" r:id="rId1779" xr:uid="{00000000-0004-0000-0000-000059070000}"/>
    <hyperlink ref="D620" r:id="rId1780" xr:uid="{00000000-0004-0000-0000-00005A070000}"/>
    <hyperlink ref="A621" r:id="rId1781" xr:uid="{00000000-0004-0000-0000-00005B070000}"/>
    <hyperlink ref="C621" r:id="rId1782" xr:uid="{00000000-0004-0000-0000-00005C070000}"/>
    <hyperlink ref="D621" r:id="rId1783" xr:uid="{00000000-0004-0000-0000-00005D070000}"/>
    <hyperlink ref="A622" r:id="rId1784" xr:uid="{00000000-0004-0000-0000-00005E070000}"/>
    <hyperlink ref="C622" r:id="rId1785" xr:uid="{00000000-0004-0000-0000-00005F070000}"/>
    <hyperlink ref="D622" r:id="rId1786" xr:uid="{00000000-0004-0000-0000-000060070000}"/>
    <hyperlink ref="A623" r:id="rId1787" xr:uid="{00000000-0004-0000-0000-000061070000}"/>
    <hyperlink ref="C623" r:id="rId1788" xr:uid="{00000000-0004-0000-0000-000062070000}"/>
    <hyperlink ref="D623" r:id="rId1789" xr:uid="{00000000-0004-0000-0000-000063070000}"/>
    <hyperlink ref="A624" r:id="rId1790" xr:uid="{00000000-0004-0000-0000-000064070000}"/>
    <hyperlink ref="C624" r:id="rId1791" xr:uid="{00000000-0004-0000-0000-000065070000}"/>
    <hyperlink ref="D624" r:id="rId1792" xr:uid="{00000000-0004-0000-0000-000066070000}"/>
    <hyperlink ref="A625" r:id="rId1793" xr:uid="{00000000-0004-0000-0000-000068070000}"/>
    <hyperlink ref="C625" r:id="rId1794" xr:uid="{00000000-0004-0000-0000-000069070000}"/>
    <hyperlink ref="D625" r:id="rId1795" xr:uid="{00000000-0004-0000-0000-00006A070000}"/>
    <hyperlink ref="A626" r:id="rId1796" xr:uid="{00000000-0004-0000-0000-00006C070000}"/>
    <hyperlink ref="C626" r:id="rId1797" xr:uid="{00000000-0004-0000-0000-00006D070000}"/>
    <hyperlink ref="D626" r:id="rId1798" xr:uid="{00000000-0004-0000-0000-00006E070000}"/>
    <hyperlink ref="A627" r:id="rId1799" xr:uid="{00000000-0004-0000-0000-000070070000}"/>
    <hyperlink ref="C627" r:id="rId1800" xr:uid="{00000000-0004-0000-0000-000071070000}"/>
    <hyperlink ref="D627" r:id="rId1801" xr:uid="{00000000-0004-0000-0000-000072070000}"/>
    <hyperlink ref="A628" r:id="rId1802" xr:uid="{00000000-0004-0000-0000-000074070000}"/>
    <hyperlink ref="C628" r:id="rId1803" xr:uid="{00000000-0004-0000-0000-000075070000}"/>
    <hyperlink ref="D628" r:id="rId1804" xr:uid="{00000000-0004-0000-0000-000076070000}"/>
    <hyperlink ref="A629" r:id="rId1805" xr:uid="{00000000-0004-0000-0000-000078070000}"/>
    <hyperlink ref="C629" r:id="rId1806" xr:uid="{00000000-0004-0000-0000-000079070000}"/>
    <hyperlink ref="D629" r:id="rId1807" xr:uid="{00000000-0004-0000-0000-00007A070000}"/>
    <hyperlink ref="A630" r:id="rId1808" xr:uid="{00000000-0004-0000-0000-00007C070000}"/>
    <hyperlink ref="C630" r:id="rId1809" xr:uid="{00000000-0004-0000-0000-00007D070000}"/>
    <hyperlink ref="D630" r:id="rId1810" xr:uid="{00000000-0004-0000-0000-00007E070000}"/>
    <hyperlink ref="A631" r:id="rId1811" xr:uid="{00000000-0004-0000-0000-000080070000}"/>
    <hyperlink ref="C631" r:id="rId1812" xr:uid="{00000000-0004-0000-0000-000081070000}"/>
    <hyperlink ref="D631" r:id="rId1813" xr:uid="{00000000-0004-0000-0000-000082070000}"/>
    <hyperlink ref="A632" r:id="rId1814" xr:uid="{00000000-0004-0000-0000-000084070000}"/>
    <hyperlink ref="C632" r:id="rId1815" xr:uid="{00000000-0004-0000-0000-000085070000}"/>
    <hyperlink ref="D632" r:id="rId1816" xr:uid="{00000000-0004-0000-0000-000086070000}"/>
    <hyperlink ref="A633" r:id="rId1817" xr:uid="{00000000-0004-0000-0000-000088070000}"/>
    <hyperlink ref="C633" r:id="rId1818" xr:uid="{00000000-0004-0000-0000-000089070000}"/>
    <hyperlink ref="D633" r:id="rId1819" xr:uid="{00000000-0004-0000-0000-00008A070000}"/>
    <hyperlink ref="A634" r:id="rId1820" xr:uid="{00000000-0004-0000-0000-00008C070000}"/>
    <hyperlink ref="C634" r:id="rId1821" xr:uid="{00000000-0004-0000-0000-00008D070000}"/>
    <hyperlink ref="D634" r:id="rId1822" xr:uid="{00000000-0004-0000-0000-00008E070000}"/>
    <hyperlink ref="A635" r:id="rId1823" xr:uid="{00000000-0004-0000-0000-000090070000}"/>
    <hyperlink ref="C635" r:id="rId1824" xr:uid="{00000000-0004-0000-0000-000091070000}"/>
    <hyperlink ref="D635" r:id="rId1825" xr:uid="{00000000-0004-0000-0000-000092070000}"/>
    <hyperlink ref="A636" r:id="rId1826" xr:uid="{00000000-0004-0000-0000-000094070000}"/>
    <hyperlink ref="C636" r:id="rId1827" xr:uid="{00000000-0004-0000-0000-000095070000}"/>
    <hyperlink ref="D636" r:id="rId1828" xr:uid="{00000000-0004-0000-0000-000096070000}"/>
    <hyperlink ref="A637" r:id="rId1829" xr:uid="{00000000-0004-0000-0000-000098070000}"/>
    <hyperlink ref="C637" r:id="rId1830" xr:uid="{00000000-0004-0000-0000-000099070000}"/>
    <hyperlink ref="D637" r:id="rId1831" xr:uid="{00000000-0004-0000-0000-00009A070000}"/>
    <hyperlink ref="C638" r:id="rId1832" xr:uid="{00000000-0004-0000-0000-00009C070000}"/>
    <hyperlink ref="A639" r:id="rId1833" xr:uid="{00000000-0004-0000-0000-00009E070000}"/>
    <hyperlink ref="C639" r:id="rId1834" xr:uid="{00000000-0004-0000-0000-00009F070000}"/>
    <hyperlink ref="D639" r:id="rId1835" xr:uid="{00000000-0004-0000-0000-0000A0070000}"/>
    <hyperlink ref="C640" r:id="rId1836" xr:uid="{00000000-0004-0000-0000-0000A1070000}"/>
    <hyperlink ref="D640" r:id="rId1837" xr:uid="{00000000-0004-0000-0000-0000A2070000}"/>
    <hyperlink ref="A641" r:id="rId1838" xr:uid="{00000000-0004-0000-0000-0000A3070000}"/>
    <hyperlink ref="C641" r:id="rId1839" xr:uid="{00000000-0004-0000-0000-0000A4070000}"/>
    <hyperlink ref="D641" r:id="rId1840" xr:uid="{00000000-0004-0000-0000-0000A5070000}"/>
    <hyperlink ref="C642" r:id="rId1841" xr:uid="{00000000-0004-0000-0000-0000A6070000}"/>
    <hyperlink ref="D642" r:id="rId1842" xr:uid="{00000000-0004-0000-0000-0000A7070000}"/>
    <hyperlink ref="A643" r:id="rId1843" xr:uid="{00000000-0004-0000-0000-0000A8070000}"/>
    <hyperlink ref="C643" r:id="rId1844" xr:uid="{00000000-0004-0000-0000-0000A9070000}"/>
    <hyperlink ref="D643" r:id="rId1845" xr:uid="{00000000-0004-0000-0000-0000AA070000}"/>
    <hyperlink ref="C644" r:id="rId1846" xr:uid="{00000000-0004-0000-0000-0000AB070000}"/>
    <hyperlink ref="D644" r:id="rId1847" xr:uid="{00000000-0004-0000-0000-0000AC070000}"/>
    <hyperlink ref="C645" r:id="rId1848" xr:uid="{00000000-0004-0000-0000-0000AD070000}"/>
    <hyperlink ref="D645" r:id="rId1849" xr:uid="{00000000-0004-0000-0000-0000AE070000}"/>
    <hyperlink ref="A646" r:id="rId1850" xr:uid="{00000000-0004-0000-0000-0000AF070000}"/>
    <hyperlink ref="C646" r:id="rId1851" xr:uid="{00000000-0004-0000-0000-0000B0070000}"/>
    <hyperlink ref="D646" r:id="rId1852" xr:uid="{00000000-0004-0000-0000-0000B1070000}"/>
    <hyperlink ref="A647" r:id="rId1853" xr:uid="{00000000-0004-0000-0000-0000B3070000}"/>
    <hyperlink ref="C647" r:id="rId1854" xr:uid="{00000000-0004-0000-0000-0000B4070000}"/>
    <hyperlink ref="D647" r:id="rId1855" xr:uid="{00000000-0004-0000-0000-0000B5070000}"/>
    <hyperlink ref="A648" r:id="rId1856" xr:uid="{00000000-0004-0000-0000-0000B7070000}"/>
    <hyperlink ref="C648" r:id="rId1857" xr:uid="{00000000-0004-0000-0000-0000B8070000}"/>
    <hyperlink ref="D648" r:id="rId1858" xr:uid="{00000000-0004-0000-0000-0000B9070000}"/>
    <hyperlink ref="A649" r:id="rId1859" xr:uid="{00000000-0004-0000-0000-0000BB070000}"/>
    <hyperlink ref="C649" r:id="rId1860" xr:uid="{00000000-0004-0000-0000-0000BC070000}"/>
    <hyperlink ref="D649" r:id="rId1861" xr:uid="{00000000-0004-0000-0000-0000BD070000}"/>
    <hyperlink ref="A650" r:id="rId1862" xr:uid="{00000000-0004-0000-0000-0000BF070000}"/>
    <hyperlink ref="C650" r:id="rId1863" xr:uid="{00000000-0004-0000-0000-0000C0070000}"/>
    <hyperlink ref="D650" r:id="rId1864" xr:uid="{00000000-0004-0000-0000-0000C1070000}"/>
    <hyperlink ref="A651" r:id="rId1865" xr:uid="{00000000-0004-0000-0000-0000C2070000}"/>
    <hyperlink ref="C651" r:id="rId1866" xr:uid="{00000000-0004-0000-0000-0000C3070000}"/>
    <hyperlink ref="D651" r:id="rId1867" xr:uid="{00000000-0004-0000-0000-0000C4070000}"/>
    <hyperlink ref="A652" r:id="rId1868" xr:uid="{00000000-0004-0000-0000-0000C5070000}"/>
    <hyperlink ref="C652" r:id="rId1869" xr:uid="{00000000-0004-0000-0000-0000C6070000}"/>
    <hyperlink ref="D652" r:id="rId1870" xr:uid="{00000000-0004-0000-0000-0000C7070000}"/>
    <hyperlink ref="E652" r:id="rId1871" xr:uid="{00000000-0004-0000-0000-0000C8070000}"/>
    <hyperlink ref="A653" r:id="rId1872" xr:uid="{00000000-0004-0000-0000-0000C9070000}"/>
    <hyperlink ref="C653" r:id="rId1873" xr:uid="{00000000-0004-0000-0000-0000CA070000}"/>
    <hyperlink ref="D653" r:id="rId1874" xr:uid="{00000000-0004-0000-0000-0000CB070000}"/>
    <hyperlink ref="A654" r:id="rId1875" xr:uid="{00000000-0004-0000-0000-0000CC070000}"/>
    <hyperlink ref="C654" r:id="rId1876" xr:uid="{00000000-0004-0000-0000-0000CD070000}"/>
    <hyperlink ref="D654" r:id="rId1877" xr:uid="{00000000-0004-0000-0000-0000CE070000}"/>
    <hyperlink ref="A655" r:id="rId1878" xr:uid="{00000000-0004-0000-0000-0000CF070000}"/>
    <hyperlink ref="C655" r:id="rId1879" xr:uid="{00000000-0004-0000-0000-0000D0070000}"/>
    <hyperlink ref="D655" r:id="rId1880" xr:uid="{00000000-0004-0000-0000-0000D1070000}"/>
    <hyperlink ref="A656" r:id="rId1881" xr:uid="{00000000-0004-0000-0000-0000D2070000}"/>
    <hyperlink ref="C656" r:id="rId1882" xr:uid="{00000000-0004-0000-0000-0000D3070000}"/>
    <hyperlink ref="D656" r:id="rId1883" xr:uid="{00000000-0004-0000-0000-0000D4070000}"/>
    <hyperlink ref="E656" r:id="rId1884" xr:uid="{00000000-0004-0000-0000-0000D5070000}"/>
    <hyperlink ref="A657" r:id="rId1885" xr:uid="{00000000-0004-0000-0000-0000D6070000}"/>
    <hyperlink ref="C657" r:id="rId1886" xr:uid="{00000000-0004-0000-0000-0000D7070000}"/>
    <hyperlink ref="D657" r:id="rId1887" xr:uid="{00000000-0004-0000-0000-0000D8070000}"/>
    <hyperlink ref="C658" r:id="rId1888" xr:uid="{00000000-0004-0000-0000-0000D9070000}"/>
    <hyperlink ref="D658" r:id="rId1889" xr:uid="{00000000-0004-0000-0000-0000DA070000}"/>
    <hyperlink ref="E658" r:id="rId1890" xr:uid="{00000000-0004-0000-0000-0000DB070000}"/>
    <hyperlink ref="A659" r:id="rId1891" xr:uid="{00000000-0004-0000-0000-0000DC070000}"/>
    <hyperlink ref="C659" r:id="rId1892" xr:uid="{00000000-0004-0000-0000-0000DD070000}"/>
    <hyperlink ref="D659" r:id="rId1893" xr:uid="{00000000-0004-0000-0000-0000DE070000}"/>
    <hyperlink ref="C660" r:id="rId1894" xr:uid="{00000000-0004-0000-0000-0000DF070000}"/>
    <hyperlink ref="D660" r:id="rId1895" xr:uid="{00000000-0004-0000-0000-0000E0070000}"/>
    <hyperlink ref="A661" r:id="rId1896" xr:uid="{00000000-0004-0000-0000-0000E1070000}"/>
    <hyperlink ref="C661" r:id="rId1897" xr:uid="{00000000-0004-0000-0000-0000E2070000}"/>
    <hyperlink ref="D661" r:id="rId1898" xr:uid="{00000000-0004-0000-0000-0000E3070000}"/>
    <hyperlink ref="A662" r:id="rId1899" xr:uid="{00000000-0004-0000-0000-0000E4070000}"/>
    <hyperlink ref="C662" r:id="rId1900" xr:uid="{00000000-0004-0000-0000-0000E5070000}"/>
    <hyperlink ref="D662" r:id="rId1901" xr:uid="{00000000-0004-0000-0000-0000E6070000}"/>
    <hyperlink ref="A663" r:id="rId1902" xr:uid="{00000000-0004-0000-0000-0000E7070000}"/>
    <hyperlink ref="C663" r:id="rId1903" xr:uid="{00000000-0004-0000-0000-0000E8070000}"/>
    <hyperlink ref="D663" r:id="rId1904" xr:uid="{00000000-0004-0000-0000-0000E9070000}"/>
    <hyperlink ref="A664" r:id="rId1905" xr:uid="{00000000-0004-0000-0000-0000EA070000}"/>
    <hyperlink ref="C664" r:id="rId1906" xr:uid="{00000000-0004-0000-0000-0000EB070000}"/>
    <hyperlink ref="D664" r:id="rId1907" xr:uid="{00000000-0004-0000-0000-0000EC070000}"/>
    <hyperlink ref="C665" r:id="rId1908" xr:uid="{00000000-0004-0000-0000-0000ED070000}"/>
    <hyperlink ref="A666" r:id="rId1909" xr:uid="{00000000-0004-0000-0000-0000EE070000}"/>
    <hyperlink ref="C666" r:id="rId1910" xr:uid="{00000000-0004-0000-0000-0000EF070000}"/>
    <hyperlink ref="D666" r:id="rId1911" xr:uid="{00000000-0004-0000-0000-0000F0070000}"/>
    <hyperlink ref="A667" r:id="rId1912" xr:uid="{00000000-0004-0000-0000-0000F1070000}"/>
    <hyperlink ref="C667" r:id="rId1913" xr:uid="{00000000-0004-0000-0000-0000F2070000}"/>
    <hyperlink ref="D667" r:id="rId1914" xr:uid="{00000000-0004-0000-0000-0000F3070000}"/>
    <hyperlink ref="A668" r:id="rId1915" xr:uid="{00000000-0004-0000-0000-0000F4070000}"/>
    <hyperlink ref="C668" r:id="rId1916" xr:uid="{00000000-0004-0000-0000-0000F5070000}"/>
    <hyperlink ref="D668" r:id="rId1917" xr:uid="{00000000-0004-0000-0000-0000F6070000}"/>
    <hyperlink ref="C669" r:id="rId1918" xr:uid="{00000000-0004-0000-0000-0000F7070000}"/>
    <hyperlink ref="D669" r:id="rId1919" xr:uid="{00000000-0004-0000-0000-0000F8070000}"/>
    <hyperlink ref="A670" r:id="rId1920" xr:uid="{00000000-0004-0000-0000-0000F9070000}"/>
    <hyperlink ref="C670" r:id="rId1921" xr:uid="{00000000-0004-0000-0000-0000FA070000}"/>
    <hyperlink ref="D670" r:id="rId1922" xr:uid="{00000000-0004-0000-0000-0000FB070000}"/>
    <hyperlink ref="A671" r:id="rId1923" xr:uid="{00000000-0004-0000-0000-0000FC070000}"/>
    <hyperlink ref="C671" r:id="rId1924" xr:uid="{00000000-0004-0000-0000-0000FD070000}"/>
    <hyperlink ref="D671" r:id="rId1925" xr:uid="{00000000-0004-0000-0000-0000FE070000}"/>
    <hyperlink ref="C672" r:id="rId1926" xr:uid="{00000000-0004-0000-0000-0000FF070000}"/>
    <hyperlink ref="D672" r:id="rId1927" xr:uid="{00000000-0004-0000-0000-000000080000}"/>
    <hyperlink ref="A673" r:id="rId1928" xr:uid="{00000000-0004-0000-0000-000001080000}"/>
    <hyperlink ref="C673" r:id="rId1929" xr:uid="{00000000-0004-0000-0000-000002080000}"/>
    <hyperlink ref="D673" r:id="rId1930" xr:uid="{00000000-0004-0000-0000-000003080000}"/>
    <hyperlink ref="A674" r:id="rId1931" xr:uid="{00000000-0004-0000-0000-000004080000}"/>
    <hyperlink ref="C674" r:id="rId1932" xr:uid="{00000000-0004-0000-0000-000005080000}"/>
    <hyperlink ref="D674" r:id="rId1933" xr:uid="{00000000-0004-0000-0000-000006080000}"/>
    <hyperlink ref="A675" r:id="rId1934" xr:uid="{00000000-0004-0000-0000-000007080000}"/>
    <hyperlink ref="C675" r:id="rId1935" xr:uid="{00000000-0004-0000-0000-000008080000}"/>
    <hyperlink ref="D675" r:id="rId1936" xr:uid="{00000000-0004-0000-0000-000009080000}"/>
    <hyperlink ref="A676" r:id="rId1937" xr:uid="{00000000-0004-0000-0000-00000A080000}"/>
    <hyperlink ref="C676" r:id="rId1938" xr:uid="{00000000-0004-0000-0000-00000B080000}"/>
    <hyperlink ref="D676" r:id="rId1939" xr:uid="{00000000-0004-0000-0000-00000C080000}"/>
    <hyperlink ref="A677" r:id="rId1940" xr:uid="{00000000-0004-0000-0000-00000D080000}"/>
    <hyperlink ref="C677" r:id="rId1941" xr:uid="{00000000-0004-0000-0000-00000E080000}"/>
    <hyperlink ref="D677" r:id="rId1942" xr:uid="{00000000-0004-0000-0000-00000F080000}"/>
    <hyperlink ref="A678" r:id="rId1943" xr:uid="{00000000-0004-0000-0000-000010080000}"/>
    <hyperlink ref="C678" r:id="rId1944" xr:uid="{00000000-0004-0000-0000-000011080000}"/>
    <hyperlink ref="D678" r:id="rId1945" xr:uid="{00000000-0004-0000-0000-000012080000}"/>
    <hyperlink ref="C679" r:id="rId1946" xr:uid="{00000000-0004-0000-0000-000013080000}"/>
    <hyperlink ref="D679" r:id="rId1947" xr:uid="{00000000-0004-0000-0000-000014080000}"/>
    <hyperlink ref="A680" r:id="rId1948" xr:uid="{00000000-0004-0000-0000-000015080000}"/>
    <hyperlink ref="C680" r:id="rId1949" xr:uid="{00000000-0004-0000-0000-000016080000}"/>
    <hyperlink ref="D680" r:id="rId1950" xr:uid="{00000000-0004-0000-0000-000017080000}"/>
    <hyperlink ref="A681" r:id="rId1951" xr:uid="{00000000-0004-0000-0000-000018080000}"/>
    <hyperlink ref="C681" r:id="rId1952" xr:uid="{00000000-0004-0000-0000-000019080000}"/>
    <hyperlink ref="D681" r:id="rId1953" xr:uid="{00000000-0004-0000-0000-00001A080000}"/>
    <hyperlink ref="A682" r:id="rId1954" xr:uid="{00000000-0004-0000-0000-00001B080000}"/>
    <hyperlink ref="C682" r:id="rId1955" xr:uid="{00000000-0004-0000-0000-00001C080000}"/>
    <hyperlink ref="D682" r:id="rId1956" xr:uid="{00000000-0004-0000-0000-00001D080000}"/>
    <hyperlink ref="A683" r:id="rId1957" xr:uid="{00000000-0004-0000-0000-00001E080000}"/>
    <hyperlink ref="C683" r:id="rId1958" xr:uid="{00000000-0004-0000-0000-00001F080000}"/>
    <hyperlink ref="D683" r:id="rId1959" xr:uid="{00000000-0004-0000-0000-000020080000}"/>
    <hyperlink ref="C684" r:id="rId1960" xr:uid="{00000000-0004-0000-0000-000021080000}"/>
    <hyperlink ref="D684" r:id="rId1961" xr:uid="{00000000-0004-0000-0000-000022080000}"/>
    <hyperlink ref="A685" r:id="rId1962" xr:uid="{00000000-0004-0000-0000-000023080000}"/>
    <hyperlink ref="C685" r:id="rId1963" xr:uid="{00000000-0004-0000-0000-000024080000}"/>
    <hyperlink ref="D685" r:id="rId1964" xr:uid="{00000000-0004-0000-0000-000025080000}"/>
    <hyperlink ref="E685" r:id="rId1965" xr:uid="{00000000-0004-0000-0000-000026080000}"/>
    <hyperlink ref="A686" r:id="rId1966" xr:uid="{00000000-0004-0000-0000-000027080000}"/>
    <hyperlink ref="C686" r:id="rId1967" xr:uid="{00000000-0004-0000-0000-000028080000}"/>
    <hyperlink ref="D686" r:id="rId1968" xr:uid="{00000000-0004-0000-0000-000029080000}"/>
    <hyperlink ref="A687" r:id="rId1969" xr:uid="{00000000-0004-0000-0000-00002A080000}"/>
    <hyperlink ref="C687" r:id="rId1970" xr:uid="{00000000-0004-0000-0000-00002B080000}"/>
    <hyperlink ref="D687" r:id="rId1971" xr:uid="{00000000-0004-0000-0000-00002C080000}"/>
    <hyperlink ref="A688" r:id="rId1972" xr:uid="{00000000-0004-0000-0000-00002D080000}"/>
    <hyperlink ref="C688" r:id="rId1973" xr:uid="{00000000-0004-0000-0000-00002E080000}"/>
    <hyperlink ref="D688" r:id="rId1974" xr:uid="{00000000-0004-0000-0000-00002F080000}"/>
    <hyperlink ref="A689" r:id="rId1975" xr:uid="{00000000-0004-0000-0000-000030080000}"/>
    <hyperlink ref="C689" r:id="rId1976" xr:uid="{00000000-0004-0000-0000-000031080000}"/>
    <hyperlink ref="D689" r:id="rId1977" xr:uid="{00000000-0004-0000-0000-000032080000}"/>
    <hyperlink ref="A690" r:id="rId1978" xr:uid="{00000000-0004-0000-0000-000033080000}"/>
    <hyperlink ref="C690" r:id="rId1979" xr:uid="{00000000-0004-0000-0000-000034080000}"/>
    <hyperlink ref="D690" r:id="rId1980" xr:uid="{00000000-0004-0000-0000-000035080000}"/>
    <hyperlink ref="A691" r:id="rId1981" xr:uid="{00000000-0004-0000-0000-000036080000}"/>
    <hyperlink ref="C691" r:id="rId1982" xr:uid="{00000000-0004-0000-0000-000037080000}"/>
    <hyperlink ref="D691" r:id="rId1983" xr:uid="{00000000-0004-0000-0000-000038080000}"/>
    <hyperlink ref="C692" r:id="rId1984" xr:uid="{00000000-0004-0000-0000-000039080000}"/>
    <hyperlink ref="D692" r:id="rId1985" xr:uid="{00000000-0004-0000-0000-00003A080000}"/>
    <hyperlink ref="A693" r:id="rId1986" xr:uid="{00000000-0004-0000-0000-00003B080000}"/>
    <hyperlink ref="C693" r:id="rId1987" xr:uid="{00000000-0004-0000-0000-00003C080000}"/>
    <hyperlink ref="D693" r:id="rId1988" xr:uid="{00000000-0004-0000-0000-00003D080000}"/>
    <hyperlink ref="A694" r:id="rId1989" xr:uid="{00000000-0004-0000-0000-00003E080000}"/>
    <hyperlink ref="C694" r:id="rId1990" xr:uid="{00000000-0004-0000-0000-00003F080000}"/>
    <hyperlink ref="D694" r:id="rId1991" xr:uid="{00000000-0004-0000-0000-000040080000}"/>
    <hyperlink ref="A695" r:id="rId1992" xr:uid="{00000000-0004-0000-0000-000041080000}"/>
    <hyperlink ref="C695" r:id="rId1993" xr:uid="{00000000-0004-0000-0000-000042080000}"/>
    <hyperlink ref="D695" r:id="rId1994" xr:uid="{00000000-0004-0000-0000-000043080000}"/>
    <hyperlink ref="A696" r:id="rId1995" xr:uid="{00000000-0004-0000-0000-000044080000}"/>
    <hyperlink ref="C696" r:id="rId1996" xr:uid="{00000000-0004-0000-0000-000045080000}"/>
    <hyperlink ref="D696" r:id="rId1997" xr:uid="{00000000-0004-0000-0000-000046080000}"/>
    <hyperlink ref="C697" r:id="rId1998" xr:uid="{00000000-0004-0000-0000-000047080000}"/>
    <hyperlink ref="D697" r:id="rId1999" xr:uid="{00000000-0004-0000-0000-000048080000}"/>
    <hyperlink ref="A698" r:id="rId2000" xr:uid="{00000000-0004-0000-0000-000049080000}"/>
    <hyperlink ref="C698" r:id="rId2001" xr:uid="{00000000-0004-0000-0000-00004A080000}"/>
    <hyperlink ref="D698" r:id="rId2002" xr:uid="{00000000-0004-0000-0000-00004B080000}"/>
    <hyperlink ref="A699" r:id="rId2003" xr:uid="{00000000-0004-0000-0000-00004C080000}"/>
    <hyperlink ref="C699" r:id="rId2004" xr:uid="{00000000-0004-0000-0000-00004D080000}"/>
    <hyperlink ref="D699" r:id="rId2005" xr:uid="{00000000-0004-0000-0000-00004E080000}"/>
    <hyperlink ref="A700" r:id="rId2006" xr:uid="{00000000-0004-0000-0000-00004F080000}"/>
    <hyperlink ref="C700" r:id="rId2007" xr:uid="{00000000-0004-0000-0000-000050080000}"/>
    <hyperlink ref="D700" r:id="rId2008" xr:uid="{00000000-0004-0000-0000-000051080000}"/>
    <hyperlink ref="A701" r:id="rId2009" xr:uid="{00000000-0004-0000-0000-000052080000}"/>
    <hyperlink ref="C701" r:id="rId2010" xr:uid="{00000000-0004-0000-0000-000053080000}"/>
    <hyperlink ref="D701" r:id="rId2011" xr:uid="{00000000-0004-0000-0000-000054080000}"/>
    <hyperlink ref="A702" r:id="rId2012" xr:uid="{00000000-0004-0000-0000-000055080000}"/>
    <hyperlink ref="C702" r:id="rId2013" xr:uid="{00000000-0004-0000-0000-000056080000}"/>
    <hyperlink ref="D702" r:id="rId2014" xr:uid="{00000000-0004-0000-0000-000057080000}"/>
    <hyperlink ref="A703" r:id="rId2015" xr:uid="{00000000-0004-0000-0000-000058080000}"/>
    <hyperlink ref="C703" r:id="rId2016" xr:uid="{00000000-0004-0000-0000-000059080000}"/>
    <hyperlink ref="D703" r:id="rId2017" xr:uid="{00000000-0004-0000-0000-00005A080000}"/>
    <hyperlink ref="A704" r:id="rId2018" xr:uid="{00000000-0004-0000-0000-00005B080000}"/>
    <hyperlink ref="C704" r:id="rId2019" xr:uid="{00000000-0004-0000-0000-00005C080000}"/>
    <hyperlink ref="D704" r:id="rId2020" xr:uid="{00000000-0004-0000-0000-00005D080000}"/>
    <hyperlink ref="A705" r:id="rId2021" xr:uid="{00000000-0004-0000-0000-00005E080000}"/>
    <hyperlink ref="C705" r:id="rId2022" xr:uid="{00000000-0004-0000-0000-00005F080000}"/>
    <hyperlink ref="D705" r:id="rId2023" xr:uid="{00000000-0004-0000-0000-000060080000}"/>
    <hyperlink ref="A706" r:id="rId2024" xr:uid="{00000000-0004-0000-0000-000061080000}"/>
    <hyperlink ref="C706" r:id="rId2025" xr:uid="{00000000-0004-0000-0000-000062080000}"/>
    <hyperlink ref="D706" r:id="rId2026" xr:uid="{00000000-0004-0000-0000-000063080000}"/>
    <hyperlink ref="A707" r:id="rId2027" xr:uid="{00000000-0004-0000-0000-000064080000}"/>
    <hyperlink ref="C707" r:id="rId2028" xr:uid="{00000000-0004-0000-0000-000065080000}"/>
    <hyperlink ref="D707" r:id="rId2029" xr:uid="{00000000-0004-0000-0000-000066080000}"/>
    <hyperlink ref="A708" r:id="rId2030" xr:uid="{00000000-0004-0000-0000-000067080000}"/>
    <hyperlink ref="C708" r:id="rId2031" xr:uid="{00000000-0004-0000-0000-000068080000}"/>
    <hyperlink ref="D708" r:id="rId2032" xr:uid="{00000000-0004-0000-0000-000069080000}"/>
    <hyperlink ref="A709" r:id="rId2033" xr:uid="{00000000-0004-0000-0000-00006A080000}"/>
    <hyperlink ref="C709" r:id="rId2034" xr:uid="{00000000-0004-0000-0000-00006B080000}"/>
    <hyperlink ref="D709" r:id="rId2035" xr:uid="{00000000-0004-0000-0000-00006C080000}"/>
    <hyperlink ref="A710" r:id="rId2036" xr:uid="{00000000-0004-0000-0000-00006D080000}"/>
    <hyperlink ref="C710" r:id="rId2037" xr:uid="{00000000-0004-0000-0000-00006E080000}"/>
    <hyperlink ref="D710" r:id="rId2038" xr:uid="{00000000-0004-0000-0000-00006F080000}"/>
    <hyperlink ref="A711" r:id="rId2039" xr:uid="{00000000-0004-0000-0000-000070080000}"/>
    <hyperlink ref="C711" r:id="rId2040" xr:uid="{00000000-0004-0000-0000-000071080000}"/>
    <hyperlink ref="D711" r:id="rId2041" xr:uid="{00000000-0004-0000-0000-000072080000}"/>
    <hyperlink ref="A712" r:id="rId2042" xr:uid="{00000000-0004-0000-0000-000073080000}"/>
    <hyperlink ref="C712" r:id="rId2043" xr:uid="{00000000-0004-0000-0000-000074080000}"/>
    <hyperlink ref="D712" r:id="rId2044" xr:uid="{00000000-0004-0000-0000-000075080000}"/>
    <hyperlink ref="A713" r:id="rId2045" xr:uid="{00000000-0004-0000-0000-000076080000}"/>
    <hyperlink ref="C713" r:id="rId2046" xr:uid="{00000000-0004-0000-0000-000077080000}"/>
    <hyperlink ref="D713" r:id="rId2047" xr:uid="{00000000-0004-0000-0000-000078080000}"/>
    <hyperlink ref="A714" r:id="rId2048" xr:uid="{00000000-0004-0000-0000-000079080000}"/>
    <hyperlink ref="C714" r:id="rId2049" xr:uid="{00000000-0004-0000-0000-00007A080000}"/>
    <hyperlink ref="D714" r:id="rId2050" xr:uid="{00000000-0004-0000-0000-00007B080000}"/>
    <hyperlink ref="A715" r:id="rId2051" xr:uid="{00000000-0004-0000-0000-00007C080000}"/>
    <hyperlink ref="C715" r:id="rId2052" xr:uid="{00000000-0004-0000-0000-00007D080000}"/>
    <hyperlink ref="D715" r:id="rId2053" xr:uid="{00000000-0004-0000-0000-00007E080000}"/>
    <hyperlink ref="A716" r:id="rId2054" xr:uid="{00000000-0004-0000-0000-00007F080000}"/>
    <hyperlink ref="C716" r:id="rId2055" xr:uid="{00000000-0004-0000-0000-000080080000}"/>
    <hyperlink ref="D716" r:id="rId2056" xr:uid="{00000000-0004-0000-0000-000081080000}"/>
    <hyperlink ref="A717" r:id="rId2057" xr:uid="{00000000-0004-0000-0000-000082080000}"/>
    <hyperlink ref="C717" r:id="rId2058" xr:uid="{00000000-0004-0000-0000-000083080000}"/>
    <hyperlink ref="D717" r:id="rId2059" xr:uid="{00000000-0004-0000-0000-000084080000}"/>
    <hyperlink ref="A718" r:id="rId2060" xr:uid="{00000000-0004-0000-0000-000085080000}"/>
    <hyperlink ref="C718" r:id="rId2061" xr:uid="{00000000-0004-0000-0000-000086080000}"/>
    <hyperlink ref="D718" r:id="rId2062" xr:uid="{00000000-0004-0000-0000-000087080000}"/>
    <hyperlink ref="E718" r:id="rId2063" xr:uid="{00000000-0004-0000-0000-000088080000}"/>
    <hyperlink ref="A719" r:id="rId2064" xr:uid="{00000000-0004-0000-0000-000089080000}"/>
    <hyperlink ref="C719" r:id="rId2065" xr:uid="{00000000-0004-0000-0000-00008A080000}"/>
    <hyperlink ref="D719" r:id="rId2066" xr:uid="{00000000-0004-0000-0000-00008B080000}"/>
    <hyperlink ref="E719" r:id="rId2067" xr:uid="{00000000-0004-0000-0000-00008C080000}"/>
    <hyperlink ref="A720" r:id="rId2068" xr:uid="{00000000-0004-0000-0000-00008D080000}"/>
    <hyperlink ref="C720" r:id="rId2069" xr:uid="{00000000-0004-0000-0000-00008E080000}"/>
    <hyperlink ref="D720" r:id="rId2070" xr:uid="{00000000-0004-0000-0000-00008F080000}"/>
    <hyperlink ref="A721" r:id="rId2071" xr:uid="{00000000-0004-0000-0000-000090080000}"/>
    <hyperlink ref="C721" r:id="rId2072" xr:uid="{00000000-0004-0000-0000-000091080000}"/>
    <hyperlink ref="D721" r:id="rId2073" xr:uid="{00000000-0004-0000-0000-000092080000}"/>
    <hyperlink ref="A722" r:id="rId2074" xr:uid="{00000000-0004-0000-0000-000093080000}"/>
    <hyperlink ref="C722" r:id="rId2075" xr:uid="{00000000-0004-0000-0000-000094080000}"/>
    <hyperlink ref="D722" r:id="rId2076" xr:uid="{00000000-0004-0000-0000-000095080000}"/>
    <hyperlink ref="A723" r:id="rId2077" xr:uid="{00000000-0004-0000-0000-000096080000}"/>
    <hyperlink ref="C723" r:id="rId2078" xr:uid="{00000000-0004-0000-0000-000097080000}"/>
    <hyperlink ref="D723" r:id="rId2079" xr:uid="{00000000-0004-0000-0000-000098080000}"/>
    <hyperlink ref="A724" r:id="rId2080" xr:uid="{00000000-0004-0000-0000-000099080000}"/>
    <hyperlink ref="C724" r:id="rId2081" xr:uid="{00000000-0004-0000-0000-00009A080000}"/>
    <hyperlink ref="D724" r:id="rId2082" xr:uid="{00000000-0004-0000-0000-00009B080000}"/>
    <hyperlink ref="A725" r:id="rId2083" xr:uid="{00000000-0004-0000-0000-00009C080000}"/>
    <hyperlink ref="C725" r:id="rId2084" xr:uid="{00000000-0004-0000-0000-00009D080000}"/>
    <hyperlink ref="D725" r:id="rId2085" xr:uid="{00000000-0004-0000-0000-00009E080000}"/>
    <hyperlink ref="A726" r:id="rId2086" xr:uid="{00000000-0004-0000-0000-00009F080000}"/>
    <hyperlink ref="C726" r:id="rId2087" xr:uid="{00000000-0004-0000-0000-0000A0080000}"/>
    <hyperlink ref="D726" r:id="rId2088" xr:uid="{00000000-0004-0000-0000-0000A1080000}"/>
    <hyperlink ref="E726" r:id="rId2089" xr:uid="{00000000-0004-0000-0000-0000A2080000}"/>
    <hyperlink ref="A727" r:id="rId2090" xr:uid="{00000000-0004-0000-0000-0000A3080000}"/>
    <hyperlink ref="C727" r:id="rId2091" xr:uid="{00000000-0004-0000-0000-0000A4080000}"/>
    <hyperlink ref="D727" r:id="rId2092" xr:uid="{00000000-0004-0000-0000-0000A5080000}"/>
    <hyperlink ref="A728" r:id="rId2093" xr:uid="{00000000-0004-0000-0000-0000A6080000}"/>
    <hyperlink ref="C728" r:id="rId2094" xr:uid="{00000000-0004-0000-0000-0000A7080000}"/>
    <hyperlink ref="D728" r:id="rId2095" xr:uid="{00000000-0004-0000-0000-0000A8080000}"/>
    <hyperlink ref="A729" r:id="rId2096" xr:uid="{00000000-0004-0000-0000-0000A9080000}"/>
    <hyperlink ref="C729" r:id="rId2097" xr:uid="{00000000-0004-0000-0000-0000AA080000}"/>
    <hyperlink ref="D729" r:id="rId2098" xr:uid="{00000000-0004-0000-0000-0000AB080000}"/>
    <hyperlink ref="A730" r:id="rId2099" xr:uid="{00000000-0004-0000-0000-0000AC080000}"/>
    <hyperlink ref="C730" r:id="rId2100" xr:uid="{00000000-0004-0000-0000-0000AD080000}"/>
    <hyperlink ref="D730" r:id="rId2101" xr:uid="{00000000-0004-0000-0000-0000AE080000}"/>
    <hyperlink ref="A731" r:id="rId2102" xr:uid="{00000000-0004-0000-0000-0000AF080000}"/>
    <hyperlink ref="C731" r:id="rId2103" xr:uid="{00000000-0004-0000-0000-0000B0080000}"/>
    <hyperlink ref="D731" r:id="rId2104" xr:uid="{00000000-0004-0000-0000-0000B1080000}"/>
    <hyperlink ref="A732" r:id="rId2105" xr:uid="{00000000-0004-0000-0000-0000B2080000}"/>
    <hyperlink ref="C732" r:id="rId2106" xr:uid="{00000000-0004-0000-0000-0000B3080000}"/>
    <hyperlink ref="D732" r:id="rId2107" xr:uid="{00000000-0004-0000-0000-0000B4080000}"/>
    <hyperlink ref="A733" r:id="rId2108" xr:uid="{00000000-0004-0000-0000-0000B5080000}"/>
    <hyperlink ref="C733" r:id="rId2109" xr:uid="{00000000-0004-0000-0000-0000B6080000}"/>
    <hyperlink ref="D733" r:id="rId2110" xr:uid="{00000000-0004-0000-0000-0000B7080000}"/>
    <hyperlink ref="A734" r:id="rId2111" xr:uid="{00000000-0004-0000-0000-0000B8080000}"/>
    <hyperlink ref="C734" r:id="rId2112" xr:uid="{00000000-0004-0000-0000-0000B9080000}"/>
    <hyperlink ref="D734" r:id="rId2113" xr:uid="{00000000-0004-0000-0000-0000BA080000}"/>
    <hyperlink ref="A735" r:id="rId2114" xr:uid="{00000000-0004-0000-0000-0000BB080000}"/>
    <hyperlink ref="C735" r:id="rId2115" xr:uid="{00000000-0004-0000-0000-0000BC080000}"/>
    <hyperlink ref="D735" r:id="rId2116" xr:uid="{00000000-0004-0000-0000-0000BD080000}"/>
    <hyperlink ref="A736" r:id="rId2117" xr:uid="{00000000-0004-0000-0000-0000BE080000}"/>
    <hyperlink ref="C736" r:id="rId2118" xr:uid="{00000000-0004-0000-0000-0000BF080000}"/>
    <hyperlink ref="D736" r:id="rId2119" xr:uid="{00000000-0004-0000-0000-0000C0080000}"/>
    <hyperlink ref="A737" r:id="rId2120" xr:uid="{00000000-0004-0000-0000-0000C1080000}"/>
    <hyperlink ref="C737" r:id="rId2121" xr:uid="{00000000-0004-0000-0000-0000C2080000}"/>
    <hyperlink ref="D737" r:id="rId2122" xr:uid="{00000000-0004-0000-0000-0000C3080000}"/>
    <hyperlink ref="A738" r:id="rId2123" xr:uid="{00000000-0004-0000-0000-0000C4080000}"/>
    <hyperlink ref="C738" r:id="rId2124" xr:uid="{00000000-0004-0000-0000-0000C5080000}"/>
    <hyperlink ref="D738" r:id="rId2125" xr:uid="{00000000-0004-0000-0000-0000C6080000}"/>
    <hyperlink ref="A739" r:id="rId2126" xr:uid="{00000000-0004-0000-0000-0000C7080000}"/>
    <hyperlink ref="C739" r:id="rId2127" xr:uid="{00000000-0004-0000-0000-0000C8080000}"/>
    <hyperlink ref="D739" r:id="rId2128" xr:uid="{00000000-0004-0000-0000-0000C9080000}"/>
    <hyperlink ref="C740" r:id="rId2129" xr:uid="{00000000-0004-0000-0000-0000CA080000}"/>
    <hyperlink ref="D740" r:id="rId2130" xr:uid="{00000000-0004-0000-0000-0000CB080000}"/>
    <hyperlink ref="E740" r:id="rId2131" xr:uid="{00000000-0004-0000-0000-0000CC080000}"/>
    <hyperlink ref="A741" r:id="rId2132" xr:uid="{00000000-0004-0000-0000-0000CD080000}"/>
    <hyperlink ref="C741" r:id="rId2133" xr:uid="{00000000-0004-0000-0000-0000CE080000}"/>
    <hyperlink ref="D741" r:id="rId2134" xr:uid="{00000000-0004-0000-0000-0000CF080000}"/>
    <hyperlink ref="A742" r:id="rId2135" xr:uid="{00000000-0004-0000-0000-0000D0080000}"/>
    <hyperlink ref="C742" r:id="rId2136" xr:uid="{00000000-0004-0000-0000-0000D1080000}"/>
    <hyperlink ref="D742" r:id="rId2137" xr:uid="{00000000-0004-0000-0000-0000D2080000}"/>
    <hyperlink ref="A743" r:id="rId2138" xr:uid="{00000000-0004-0000-0000-0000D3080000}"/>
    <hyperlink ref="C743" r:id="rId2139" xr:uid="{00000000-0004-0000-0000-0000D4080000}"/>
    <hyperlink ref="D743" r:id="rId2140" xr:uid="{00000000-0004-0000-0000-0000D5080000}"/>
    <hyperlink ref="A744" r:id="rId2141" xr:uid="{00000000-0004-0000-0000-0000D6080000}"/>
    <hyperlink ref="C744" r:id="rId2142" xr:uid="{00000000-0004-0000-0000-0000D7080000}"/>
    <hyperlink ref="D744" r:id="rId2143" xr:uid="{00000000-0004-0000-0000-0000D8080000}"/>
    <hyperlink ref="A745" r:id="rId2144" xr:uid="{00000000-0004-0000-0000-0000D9080000}"/>
    <hyperlink ref="C745" r:id="rId2145" xr:uid="{00000000-0004-0000-0000-0000DA080000}"/>
    <hyperlink ref="D745" r:id="rId2146" xr:uid="{00000000-0004-0000-0000-0000DB080000}"/>
    <hyperlink ref="A746" r:id="rId2147" xr:uid="{00000000-0004-0000-0000-0000DC080000}"/>
    <hyperlink ref="C746" r:id="rId2148" xr:uid="{00000000-0004-0000-0000-0000DD080000}"/>
    <hyperlink ref="D746" r:id="rId2149" xr:uid="{00000000-0004-0000-0000-0000DE080000}"/>
    <hyperlink ref="A747" r:id="rId2150" xr:uid="{00000000-0004-0000-0000-0000DF080000}"/>
    <hyperlink ref="C747" r:id="rId2151" xr:uid="{00000000-0004-0000-0000-0000E0080000}"/>
    <hyperlink ref="D747" r:id="rId2152" xr:uid="{00000000-0004-0000-0000-0000E1080000}"/>
    <hyperlink ref="A748" r:id="rId2153" xr:uid="{00000000-0004-0000-0000-0000E2080000}"/>
    <hyperlink ref="C748" r:id="rId2154" xr:uid="{00000000-0004-0000-0000-0000E3080000}"/>
    <hyperlink ref="A749" r:id="rId2155" xr:uid="{00000000-0004-0000-0000-0000E4080000}"/>
    <hyperlink ref="C749" r:id="rId2156" xr:uid="{00000000-0004-0000-0000-0000E5080000}"/>
    <hyperlink ref="D749" r:id="rId2157" xr:uid="{00000000-0004-0000-0000-0000E6080000}"/>
    <hyperlink ref="A750" r:id="rId2158" xr:uid="{00000000-0004-0000-0000-0000E7080000}"/>
    <hyperlink ref="C750" r:id="rId2159" xr:uid="{00000000-0004-0000-0000-0000E8080000}"/>
    <hyperlink ref="D750" r:id="rId2160" xr:uid="{00000000-0004-0000-0000-0000E9080000}"/>
    <hyperlink ref="A751" r:id="rId2161" xr:uid="{00000000-0004-0000-0000-0000EA080000}"/>
    <hyperlink ref="C751" r:id="rId2162" xr:uid="{00000000-0004-0000-0000-0000EB080000}"/>
    <hyperlink ref="D751" r:id="rId2163" xr:uid="{00000000-0004-0000-0000-0000EC080000}"/>
    <hyperlink ref="A752" r:id="rId2164" xr:uid="{00000000-0004-0000-0000-0000ED080000}"/>
    <hyperlink ref="C752" r:id="rId2165" xr:uid="{00000000-0004-0000-0000-0000EE080000}"/>
    <hyperlink ref="D752" r:id="rId2166" xr:uid="{00000000-0004-0000-0000-0000EF080000}"/>
    <hyperlink ref="E752" r:id="rId2167" xr:uid="{00000000-0004-0000-0000-0000F0080000}"/>
    <hyperlink ref="A753" r:id="rId2168" xr:uid="{00000000-0004-0000-0000-0000F1080000}"/>
    <hyperlink ref="C753" r:id="rId2169" xr:uid="{00000000-0004-0000-0000-0000F2080000}"/>
    <hyperlink ref="D753" r:id="rId2170" xr:uid="{00000000-0004-0000-0000-0000F3080000}"/>
    <hyperlink ref="A754" r:id="rId2171" xr:uid="{00000000-0004-0000-0000-0000F4080000}"/>
    <hyperlink ref="C754" r:id="rId2172" xr:uid="{00000000-0004-0000-0000-0000F5080000}"/>
    <hyperlink ref="D754" r:id="rId2173" xr:uid="{00000000-0004-0000-0000-0000F6080000}"/>
    <hyperlink ref="A755" r:id="rId2174" xr:uid="{00000000-0004-0000-0000-0000F7080000}"/>
    <hyperlink ref="C755" r:id="rId2175" xr:uid="{00000000-0004-0000-0000-0000F8080000}"/>
    <hyperlink ref="D755" r:id="rId2176" xr:uid="{00000000-0004-0000-0000-0000F9080000}"/>
    <hyperlink ref="A756" r:id="rId2177" xr:uid="{00000000-0004-0000-0000-0000FA080000}"/>
    <hyperlink ref="C756" r:id="rId2178" xr:uid="{00000000-0004-0000-0000-0000FB080000}"/>
    <hyperlink ref="D756" r:id="rId2179" xr:uid="{00000000-0004-0000-0000-0000FC080000}"/>
    <hyperlink ref="A757" r:id="rId2180" xr:uid="{00000000-0004-0000-0000-0000FD080000}"/>
    <hyperlink ref="C757" r:id="rId2181" xr:uid="{00000000-0004-0000-0000-0000FE080000}"/>
    <hyperlink ref="D757" r:id="rId2182" xr:uid="{00000000-0004-0000-0000-0000FF080000}"/>
    <hyperlink ref="E757" r:id="rId2183" xr:uid="{00000000-0004-0000-0000-000000090000}"/>
    <hyperlink ref="C758" r:id="rId2184" xr:uid="{00000000-0004-0000-0000-000001090000}"/>
    <hyperlink ref="D758" r:id="rId2185" xr:uid="{00000000-0004-0000-0000-000002090000}"/>
    <hyperlink ref="A759" r:id="rId2186" xr:uid="{00000000-0004-0000-0000-000003090000}"/>
    <hyperlink ref="A760" r:id="rId2187" xr:uid="{00000000-0004-0000-0000-000004090000}"/>
    <hyperlink ref="C760" r:id="rId2188" xr:uid="{00000000-0004-0000-0000-000005090000}"/>
    <hyperlink ref="D760" r:id="rId2189" xr:uid="{00000000-0004-0000-0000-000006090000}"/>
    <hyperlink ref="C761" r:id="rId2190" xr:uid="{00000000-0004-0000-0000-000007090000}"/>
    <hyperlink ref="D761" r:id="rId2191" xr:uid="{00000000-0004-0000-0000-000008090000}"/>
    <hyperlink ref="E761" r:id="rId2192" xr:uid="{00000000-0004-0000-0000-000009090000}"/>
    <hyperlink ref="A762" r:id="rId2193" xr:uid="{00000000-0004-0000-0000-00000A090000}"/>
    <hyperlink ref="C762" r:id="rId2194" xr:uid="{00000000-0004-0000-0000-00000B090000}"/>
    <hyperlink ref="D762" r:id="rId2195" xr:uid="{00000000-0004-0000-0000-00000C090000}"/>
    <hyperlink ref="C763" r:id="rId2196" xr:uid="{00000000-0004-0000-0000-00000D090000}"/>
    <hyperlink ref="D763" r:id="rId2197" xr:uid="{00000000-0004-0000-0000-00000E090000}"/>
    <hyperlink ref="A764" r:id="rId2198" xr:uid="{00000000-0004-0000-0000-00000F090000}"/>
    <hyperlink ref="C764" r:id="rId2199" xr:uid="{00000000-0004-0000-0000-000010090000}"/>
    <hyperlink ref="D764" r:id="rId2200" xr:uid="{00000000-0004-0000-0000-000011090000}"/>
    <hyperlink ref="A765" r:id="rId2201" xr:uid="{00000000-0004-0000-0000-000012090000}"/>
    <hyperlink ref="C765" r:id="rId2202" xr:uid="{00000000-0004-0000-0000-000013090000}"/>
    <hyperlink ref="D765" r:id="rId2203" xr:uid="{00000000-0004-0000-0000-000014090000}"/>
    <hyperlink ref="E765" r:id="rId2204" xr:uid="{00000000-0004-0000-0000-000015090000}"/>
    <hyperlink ref="A766" r:id="rId2205" xr:uid="{00000000-0004-0000-0000-000016090000}"/>
    <hyperlink ref="C766" r:id="rId2206" xr:uid="{00000000-0004-0000-0000-000017090000}"/>
    <hyperlink ref="D766" r:id="rId2207" xr:uid="{00000000-0004-0000-0000-000018090000}"/>
    <hyperlink ref="C767" r:id="rId2208" xr:uid="{00000000-0004-0000-0000-000019090000}"/>
    <hyperlink ref="D767" r:id="rId2209" xr:uid="{00000000-0004-0000-0000-00001A090000}"/>
    <hyperlink ref="A768" r:id="rId2210" xr:uid="{00000000-0004-0000-0000-00001B090000}"/>
    <hyperlink ref="C768" r:id="rId2211" xr:uid="{00000000-0004-0000-0000-00001C090000}"/>
    <hyperlink ref="D768" r:id="rId2212" xr:uid="{00000000-0004-0000-0000-00001D090000}"/>
    <hyperlink ref="A769" r:id="rId2213" xr:uid="{00000000-0004-0000-0000-00001E090000}"/>
    <hyperlink ref="C769" r:id="rId2214" xr:uid="{00000000-0004-0000-0000-00001F090000}"/>
    <hyperlink ref="D769" r:id="rId2215" xr:uid="{00000000-0004-0000-0000-000020090000}"/>
    <hyperlink ref="A770" r:id="rId2216" xr:uid="{00000000-0004-0000-0000-000021090000}"/>
    <hyperlink ref="C770" r:id="rId2217" xr:uid="{00000000-0004-0000-0000-000022090000}"/>
    <hyperlink ref="D770" r:id="rId2218" xr:uid="{00000000-0004-0000-0000-000023090000}"/>
    <hyperlink ref="A771" r:id="rId2219" xr:uid="{00000000-0004-0000-0000-000024090000}"/>
    <hyperlink ref="C771" r:id="rId2220" xr:uid="{00000000-0004-0000-0000-000025090000}"/>
    <hyperlink ref="D771" r:id="rId2221" xr:uid="{00000000-0004-0000-0000-000026090000}"/>
    <hyperlink ref="C772" r:id="rId2222" xr:uid="{00000000-0004-0000-0000-000027090000}"/>
    <hyperlink ref="D772" r:id="rId2223" xr:uid="{00000000-0004-0000-0000-000028090000}"/>
    <hyperlink ref="A773" r:id="rId2224" xr:uid="{00000000-0004-0000-0000-000029090000}"/>
    <hyperlink ref="C773" r:id="rId2225" xr:uid="{00000000-0004-0000-0000-00002A090000}"/>
    <hyperlink ref="D773" r:id="rId2226" xr:uid="{00000000-0004-0000-0000-00002B090000}"/>
    <hyperlink ref="A774" r:id="rId2227" xr:uid="{00000000-0004-0000-0000-00002C090000}"/>
    <hyperlink ref="C774" r:id="rId2228" xr:uid="{00000000-0004-0000-0000-00002D090000}"/>
    <hyperlink ref="D774" r:id="rId2229" xr:uid="{00000000-0004-0000-0000-00002E090000}"/>
    <hyperlink ref="A775" r:id="rId2230" xr:uid="{00000000-0004-0000-0000-00002F090000}"/>
    <hyperlink ref="C775" r:id="rId2231" xr:uid="{00000000-0004-0000-0000-000030090000}"/>
    <hyperlink ref="D775" r:id="rId2232" xr:uid="{00000000-0004-0000-0000-000031090000}"/>
    <hyperlink ref="A776" r:id="rId2233" xr:uid="{00000000-0004-0000-0000-000032090000}"/>
    <hyperlink ref="C776" r:id="rId2234" xr:uid="{00000000-0004-0000-0000-000033090000}"/>
    <hyperlink ref="D776" r:id="rId2235" xr:uid="{00000000-0004-0000-0000-000034090000}"/>
    <hyperlink ref="A777" r:id="rId2236" xr:uid="{00000000-0004-0000-0000-000035090000}"/>
    <hyperlink ref="C777" r:id="rId2237" xr:uid="{00000000-0004-0000-0000-000036090000}"/>
    <hyperlink ref="D777" r:id="rId2238" xr:uid="{00000000-0004-0000-0000-000037090000}"/>
    <hyperlink ref="A778" r:id="rId2239" xr:uid="{00000000-0004-0000-0000-000038090000}"/>
    <hyperlink ref="C778" r:id="rId2240" xr:uid="{00000000-0004-0000-0000-000039090000}"/>
    <hyperlink ref="D778" r:id="rId2241" xr:uid="{00000000-0004-0000-0000-00003A090000}"/>
    <hyperlink ref="A779" r:id="rId2242" xr:uid="{00000000-0004-0000-0000-00003B090000}"/>
    <hyperlink ref="C779" r:id="rId2243" xr:uid="{00000000-0004-0000-0000-00003C090000}"/>
    <hyperlink ref="D779" r:id="rId2244" xr:uid="{00000000-0004-0000-0000-00003D090000}"/>
    <hyperlink ref="A780" r:id="rId2245" xr:uid="{00000000-0004-0000-0000-00003E090000}"/>
    <hyperlink ref="C780" r:id="rId2246" xr:uid="{00000000-0004-0000-0000-00003F090000}"/>
    <hyperlink ref="D780" r:id="rId2247" xr:uid="{00000000-0004-0000-0000-000040090000}"/>
    <hyperlink ref="C781" r:id="rId2248" xr:uid="{00000000-0004-0000-0000-000041090000}"/>
    <hyperlink ref="D781" r:id="rId2249" xr:uid="{00000000-0004-0000-0000-000042090000}"/>
    <hyperlink ref="A782" r:id="rId2250" xr:uid="{00000000-0004-0000-0000-000043090000}"/>
    <hyperlink ref="C782" r:id="rId2251" xr:uid="{00000000-0004-0000-0000-000044090000}"/>
    <hyperlink ref="D782" r:id="rId2252" xr:uid="{00000000-0004-0000-0000-000045090000}"/>
    <hyperlink ref="A783" r:id="rId2253" xr:uid="{00000000-0004-0000-0000-000046090000}"/>
    <hyperlink ref="C783" r:id="rId2254" xr:uid="{00000000-0004-0000-0000-000047090000}"/>
    <hyperlink ref="D783" r:id="rId2255" xr:uid="{00000000-0004-0000-0000-000048090000}"/>
    <hyperlink ref="A784" r:id="rId2256" xr:uid="{00000000-0004-0000-0000-000049090000}"/>
    <hyperlink ref="C784" r:id="rId2257" xr:uid="{00000000-0004-0000-0000-00004A090000}"/>
    <hyperlink ref="D784" r:id="rId2258" xr:uid="{00000000-0004-0000-0000-00004B090000}"/>
    <hyperlink ref="C785" r:id="rId2259" xr:uid="{00000000-0004-0000-0000-00004C090000}"/>
    <hyperlink ref="D785" r:id="rId2260" xr:uid="{00000000-0004-0000-0000-00004D090000}"/>
    <hyperlink ref="A786" r:id="rId2261" xr:uid="{00000000-0004-0000-0000-00004E090000}"/>
    <hyperlink ref="C786" r:id="rId2262" xr:uid="{00000000-0004-0000-0000-00004F090000}"/>
    <hyperlink ref="D786" r:id="rId2263" xr:uid="{00000000-0004-0000-0000-000050090000}"/>
    <hyperlink ref="C787" r:id="rId2264" xr:uid="{00000000-0004-0000-0000-000051090000}"/>
    <hyperlink ref="D787" r:id="rId2265" xr:uid="{00000000-0004-0000-0000-000052090000}"/>
    <hyperlink ref="A788" r:id="rId2266" xr:uid="{00000000-0004-0000-0000-000053090000}"/>
    <hyperlink ref="D788" r:id="rId2267" xr:uid="{00000000-0004-0000-0000-000054090000}"/>
    <hyperlink ref="C789" r:id="rId2268" xr:uid="{00000000-0004-0000-0000-000055090000}"/>
    <hyperlink ref="D789" r:id="rId2269" xr:uid="{00000000-0004-0000-0000-000056090000}"/>
    <hyperlink ref="C790" r:id="rId2270" xr:uid="{00000000-0004-0000-0000-000057090000}"/>
    <hyperlink ref="D790" r:id="rId2271" xr:uid="{00000000-0004-0000-0000-000058090000}"/>
    <hyperlink ref="A791" r:id="rId2272" xr:uid="{00000000-0004-0000-0000-000059090000}"/>
    <hyperlink ref="C791" r:id="rId2273" xr:uid="{00000000-0004-0000-0000-00005A090000}"/>
    <hyperlink ref="D791" r:id="rId2274" xr:uid="{00000000-0004-0000-0000-00005B090000}"/>
    <hyperlink ref="A792" r:id="rId2275" xr:uid="{00000000-0004-0000-0000-00005C090000}"/>
    <hyperlink ref="C792" r:id="rId2276" xr:uid="{00000000-0004-0000-0000-00005D090000}"/>
    <hyperlink ref="D792" r:id="rId2277" xr:uid="{00000000-0004-0000-0000-00005E090000}"/>
    <hyperlink ref="A793" r:id="rId2278" xr:uid="{00000000-0004-0000-0000-00005F090000}"/>
    <hyperlink ref="C793" r:id="rId2279" xr:uid="{00000000-0004-0000-0000-000060090000}"/>
    <hyperlink ref="D793" r:id="rId2280" xr:uid="{00000000-0004-0000-0000-000061090000}"/>
    <hyperlink ref="A794" r:id="rId2281" xr:uid="{00000000-0004-0000-0000-000062090000}"/>
    <hyperlink ref="C794" r:id="rId2282" xr:uid="{00000000-0004-0000-0000-000063090000}"/>
    <hyperlink ref="D794" r:id="rId2283" xr:uid="{00000000-0004-0000-0000-000064090000}"/>
    <hyperlink ref="A795" r:id="rId2284" xr:uid="{00000000-0004-0000-0000-000065090000}"/>
    <hyperlink ref="C795" r:id="rId2285" xr:uid="{00000000-0004-0000-0000-000066090000}"/>
    <hyperlink ref="D795" r:id="rId2286" xr:uid="{00000000-0004-0000-0000-000067090000}"/>
    <hyperlink ref="A796" r:id="rId2287" xr:uid="{00000000-0004-0000-0000-000068090000}"/>
    <hyperlink ref="C796" r:id="rId2288" xr:uid="{00000000-0004-0000-0000-000069090000}"/>
    <hyperlink ref="D796" r:id="rId2289" xr:uid="{00000000-0004-0000-0000-00006A090000}"/>
    <hyperlink ref="A797" r:id="rId2290" xr:uid="{00000000-0004-0000-0000-00006B090000}"/>
    <hyperlink ref="C797" r:id="rId2291" xr:uid="{00000000-0004-0000-0000-00006C090000}"/>
    <hyperlink ref="D797" r:id="rId2292" xr:uid="{00000000-0004-0000-0000-00006D090000}"/>
    <hyperlink ref="A798" r:id="rId2293" xr:uid="{00000000-0004-0000-0000-00006E090000}"/>
    <hyperlink ref="C798" r:id="rId2294" xr:uid="{00000000-0004-0000-0000-00006F090000}"/>
    <hyperlink ref="D798" r:id="rId2295" xr:uid="{00000000-0004-0000-0000-000070090000}"/>
    <hyperlink ref="A799" r:id="rId2296" xr:uid="{00000000-0004-0000-0000-000071090000}"/>
    <hyperlink ref="C799" r:id="rId2297" xr:uid="{00000000-0004-0000-0000-000072090000}"/>
    <hyperlink ref="D799" r:id="rId2298" xr:uid="{00000000-0004-0000-0000-000073090000}"/>
    <hyperlink ref="E799" r:id="rId2299" xr:uid="{00000000-0004-0000-0000-000074090000}"/>
    <hyperlink ref="A800" r:id="rId2300" xr:uid="{00000000-0004-0000-0000-000075090000}"/>
    <hyperlink ref="C800" r:id="rId2301" xr:uid="{00000000-0004-0000-0000-000076090000}"/>
    <hyperlink ref="D800" r:id="rId2302" xr:uid="{00000000-0004-0000-0000-000077090000}"/>
    <hyperlink ref="E800" r:id="rId2303" xr:uid="{00000000-0004-0000-0000-000078090000}"/>
    <hyperlink ref="A801" r:id="rId2304" xr:uid="{00000000-0004-0000-0000-000079090000}"/>
    <hyperlink ref="C801" r:id="rId2305" xr:uid="{00000000-0004-0000-0000-00007A090000}"/>
    <hyperlink ref="D801" r:id="rId2306" xr:uid="{00000000-0004-0000-0000-00007B090000}"/>
    <hyperlink ref="A802" r:id="rId2307" xr:uid="{00000000-0004-0000-0000-00007C090000}"/>
    <hyperlink ref="C802" r:id="rId2308" xr:uid="{00000000-0004-0000-0000-00007D090000}"/>
    <hyperlink ref="D802" r:id="rId2309" xr:uid="{00000000-0004-0000-0000-00007E090000}"/>
    <hyperlink ref="A803" r:id="rId2310" xr:uid="{00000000-0004-0000-0000-00007F090000}"/>
    <hyperlink ref="C803" r:id="rId2311" xr:uid="{00000000-0004-0000-0000-000080090000}"/>
    <hyperlink ref="D803" r:id="rId2312" xr:uid="{00000000-0004-0000-0000-000081090000}"/>
    <hyperlink ref="C804" r:id="rId2313" xr:uid="{00000000-0004-0000-0000-000082090000}"/>
    <hyperlink ref="D804" r:id="rId2314" xr:uid="{00000000-0004-0000-0000-000083090000}"/>
    <hyperlink ref="C805" r:id="rId2315" xr:uid="{00000000-0004-0000-0000-000084090000}"/>
    <hyperlink ref="D805" r:id="rId2316" xr:uid="{00000000-0004-0000-0000-000085090000}"/>
    <hyperlink ref="A806" r:id="rId2317" xr:uid="{00000000-0004-0000-0000-000086090000}"/>
    <hyperlink ref="C806" r:id="rId2318" xr:uid="{00000000-0004-0000-0000-000087090000}"/>
    <hyperlink ref="D806" r:id="rId2319" xr:uid="{00000000-0004-0000-0000-000088090000}"/>
    <hyperlink ref="A807" r:id="rId2320" xr:uid="{00000000-0004-0000-0000-000089090000}"/>
    <hyperlink ref="C807" r:id="rId2321" xr:uid="{00000000-0004-0000-0000-00008A090000}"/>
    <hyperlink ref="D807" r:id="rId2322" xr:uid="{00000000-0004-0000-0000-00008B090000}"/>
    <hyperlink ref="E807" r:id="rId2323" xr:uid="{00000000-0004-0000-0000-00008C090000}"/>
    <hyperlink ref="A808" r:id="rId2324" xr:uid="{00000000-0004-0000-0000-00008D090000}"/>
    <hyperlink ref="C808" r:id="rId2325" xr:uid="{00000000-0004-0000-0000-00008E090000}"/>
    <hyperlink ref="D808" r:id="rId2326" xr:uid="{00000000-0004-0000-0000-00008F090000}"/>
    <hyperlink ref="A809" r:id="rId2327" xr:uid="{00000000-0004-0000-0000-000090090000}"/>
    <hyperlink ref="C809" r:id="rId2328" xr:uid="{00000000-0004-0000-0000-000091090000}"/>
    <hyperlink ref="D809" r:id="rId2329" xr:uid="{00000000-0004-0000-0000-000092090000}"/>
    <hyperlink ref="C810" r:id="rId2330" xr:uid="{00000000-0004-0000-0000-000093090000}"/>
    <hyperlink ref="D810" r:id="rId2331" xr:uid="{00000000-0004-0000-0000-000094090000}"/>
    <hyperlink ref="A811" r:id="rId2332" xr:uid="{00000000-0004-0000-0000-000095090000}"/>
    <hyperlink ref="C811" r:id="rId2333" xr:uid="{00000000-0004-0000-0000-000096090000}"/>
    <hyperlink ref="D811" r:id="rId2334" xr:uid="{00000000-0004-0000-0000-000097090000}"/>
    <hyperlink ref="A812" r:id="rId2335" xr:uid="{00000000-0004-0000-0000-000098090000}"/>
    <hyperlink ref="C812" r:id="rId2336" xr:uid="{00000000-0004-0000-0000-000099090000}"/>
    <hyperlink ref="D812" r:id="rId2337" xr:uid="{00000000-0004-0000-0000-00009A090000}"/>
    <hyperlink ref="E812" r:id="rId2338" xr:uid="{00000000-0004-0000-0000-00009B090000}"/>
    <hyperlink ref="C813" r:id="rId2339" xr:uid="{00000000-0004-0000-0000-00009C090000}"/>
    <hyperlink ref="D813" r:id="rId2340" xr:uid="{00000000-0004-0000-0000-00009D090000}"/>
    <hyperlink ref="A814" r:id="rId2341" xr:uid="{00000000-0004-0000-0000-00009E090000}"/>
    <hyperlink ref="C814" r:id="rId2342" xr:uid="{00000000-0004-0000-0000-00009F090000}"/>
    <hyperlink ref="D814" r:id="rId2343" xr:uid="{00000000-0004-0000-0000-0000A0090000}"/>
    <hyperlink ref="A815" r:id="rId2344" xr:uid="{00000000-0004-0000-0000-0000A1090000}"/>
    <hyperlink ref="C815" r:id="rId2345" xr:uid="{00000000-0004-0000-0000-0000A2090000}"/>
    <hyperlink ref="D815" r:id="rId2346" xr:uid="{00000000-0004-0000-0000-0000A3090000}"/>
    <hyperlink ref="A816" r:id="rId2347" xr:uid="{00000000-0004-0000-0000-0000A4090000}"/>
    <hyperlink ref="C816" r:id="rId2348" xr:uid="{00000000-0004-0000-0000-0000A5090000}"/>
    <hyperlink ref="D816" r:id="rId2349" xr:uid="{00000000-0004-0000-0000-0000A6090000}"/>
    <hyperlink ref="A817" r:id="rId2350" xr:uid="{00000000-0004-0000-0000-0000A7090000}"/>
    <hyperlink ref="C817" r:id="rId2351" location="google_vignette" xr:uid="{00000000-0004-0000-0000-0000A8090000}"/>
    <hyperlink ref="D817" r:id="rId2352" xr:uid="{00000000-0004-0000-0000-0000A9090000}"/>
    <hyperlink ref="A818" r:id="rId2353" xr:uid="{00000000-0004-0000-0000-0000AA090000}"/>
    <hyperlink ref="C818" r:id="rId2354" xr:uid="{00000000-0004-0000-0000-0000AB090000}"/>
    <hyperlink ref="D818" r:id="rId2355" xr:uid="{00000000-0004-0000-0000-0000AC090000}"/>
    <hyperlink ref="A819" r:id="rId2356" xr:uid="{00000000-0004-0000-0000-0000AD090000}"/>
    <hyperlink ref="C819" r:id="rId2357" xr:uid="{00000000-0004-0000-0000-0000AE090000}"/>
    <hyperlink ref="D819" r:id="rId2358" xr:uid="{00000000-0004-0000-0000-0000AF090000}"/>
    <hyperlink ref="A820" r:id="rId2359" xr:uid="{00000000-0004-0000-0000-0000B0090000}"/>
    <hyperlink ref="C820" r:id="rId2360" xr:uid="{00000000-0004-0000-0000-0000B1090000}"/>
    <hyperlink ref="D820" r:id="rId2361" xr:uid="{00000000-0004-0000-0000-0000B2090000}"/>
    <hyperlink ref="A821" r:id="rId2362" xr:uid="{00000000-0004-0000-0000-0000B3090000}"/>
    <hyperlink ref="C821" r:id="rId2363" xr:uid="{00000000-0004-0000-0000-0000B4090000}"/>
    <hyperlink ref="D821" r:id="rId2364" xr:uid="{00000000-0004-0000-0000-0000B5090000}"/>
    <hyperlink ref="A822" r:id="rId2365" xr:uid="{00000000-0004-0000-0000-0000B6090000}"/>
    <hyperlink ref="C822" r:id="rId2366" xr:uid="{00000000-0004-0000-0000-0000B7090000}"/>
    <hyperlink ref="D822" r:id="rId2367" xr:uid="{00000000-0004-0000-0000-0000B8090000}"/>
    <hyperlink ref="A823" r:id="rId2368" xr:uid="{00000000-0004-0000-0000-0000B9090000}"/>
    <hyperlink ref="C823" r:id="rId2369" xr:uid="{00000000-0004-0000-0000-0000BA090000}"/>
    <hyperlink ref="C824" r:id="rId2370" xr:uid="{00000000-0004-0000-0000-0000BB090000}"/>
    <hyperlink ref="D824" r:id="rId2371" xr:uid="{00000000-0004-0000-0000-0000BC090000}"/>
    <hyperlink ref="A825" r:id="rId2372" xr:uid="{00000000-0004-0000-0000-0000BD090000}"/>
    <hyperlink ref="A826" r:id="rId2373" xr:uid="{00000000-0004-0000-0000-0000BE090000}"/>
    <hyperlink ref="A831" r:id="rId2374" xr:uid="{00000000-0004-0000-0000-0000BF090000}"/>
    <hyperlink ref="C831" r:id="rId2375" xr:uid="{00000000-0004-0000-0000-0000C0090000}"/>
    <hyperlink ref="D831" r:id="rId2376" xr:uid="{00000000-0004-0000-0000-0000C1090000}"/>
    <hyperlink ref="A832" r:id="rId2377" xr:uid="{00000000-0004-0000-0000-0000C2090000}"/>
    <hyperlink ref="C832" r:id="rId2378" xr:uid="{00000000-0004-0000-0000-0000C3090000}"/>
    <hyperlink ref="D832" r:id="rId2379" xr:uid="{00000000-0004-0000-0000-0000C4090000}"/>
    <hyperlink ref="C833" r:id="rId2380" xr:uid="{00000000-0004-0000-0000-0000C5090000}"/>
    <hyperlink ref="D833" r:id="rId2381" xr:uid="{00000000-0004-0000-0000-0000C6090000}"/>
    <hyperlink ref="C834" r:id="rId2382" xr:uid="{00000000-0004-0000-0000-0000C7090000}"/>
    <hyperlink ref="D834" r:id="rId2383" xr:uid="{00000000-0004-0000-0000-0000C8090000}"/>
    <hyperlink ref="A835" r:id="rId2384" xr:uid="{00000000-0004-0000-0000-0000C9090000}"/>
    <hyperlink ref="C835" r:id="rId2385" xr:uid="{00000000-0004-0000-0000-0000CA090000}"/>
    <hyperlink ref="D835" r:id="rId2386" xr:uid="{00000000-0004-0000-0000-0000CB090000}"/>
    <hyperlink ref="A836" r:id="rId2387" xr:uid="{00000000-0004-0000-0000-0000CC090000}"/>
    <hyperlink ref="C836" r:id="rId2388" xr:uid="{00000000-0004-0000-0000-0000CD090000}"/>
    <hyperlink ref="D836" r:id="rId2389" xr:uid="{00000000-0004-0000-0000-0000CE090000}"/>
    <hyperlink ref="A837" r:id="rId2390" xr:uid="{00000000-0004-0000-0000-0000CF090000}"/>
    <hyperlink ref="C837" r:id="rId2391" xr:uid="{00000000-0004-0000-0000-0000D0090000}"/>
    <hyperlink ref="D837" r:id="rId2392" xr:uid="{00000000-0004-0000-0000-0000D1090000}"/>
    <hyperlink ref="A838" r:id="rId2393" xr:uid="{00000000-0004-0000-0000-0000D2090000}"/>
    <hyperlink ref="C838" r:id="rId2394" xr:uid="{00000000-0004-0000-0000-0000D3090000}"/>
    <hyperlink ref="D838" r:id="rId2395" xr:uid="{00000000-0004-0000-0000-0000D4090000}"/>
    <hyperlink ref="A839" r:id="rId2396" xr:uid="{00000000-0004-0000-0000-0000D5090000}"/>
    <hyperlink ref="C839" r:id="rId2397" xr:uid="{00000000-0004-0000-0000-0000D6090000}"/>
    <hyperlink ref="D839" r:id="rId2398" xr:uid="{00000000-0004-0000-0000-0000D7090000}"/>
    <hyperlink ref="A840" r:id="rId2399" xr:uid="{00000000-0004-0000-0000-0000D8090000}"/>
    <hyperlink ref="C840" r:id="rId2400" xr:uid="{00000000-0004-0000-0000-0000D9090000}"/>
    <hyperlink ref="D840" r:id="rId2401" xr:uid="{00000000-0004-0000-0000-0000DA090000}"/>
    <hyperlink ref="A841" r:id="rId2402" xr:uid="{00000000-0004-0000-0000-0000DB090000}"/>
    <hyperlink ref="C841" r:id="rId2403" xr:uid="{00000000-0004-0000-0000-0000DC090000}"/>
    <hyperlink ref="D841" r:id="rId2404" xr:uid="{00000000-0004-0000-0000-0000DD090000}"/>
    <hyperlink ref="A842" r:id="rId2405" xr:uid="{00000000-0004-0000-0000-0000DE090000}"/>
    <hyperlink ref="C842" r:id="rId2406" xr:uid="{00000000-0004-0000-0000-0000DF090000}"/>
    <hyperlink ref="D842" r:id="rId2407" xr:uid="{00000000-0004-0000-0000-0000E0090000}"/>
    <hyperlink ref="E842" r:id="rId2408" xr:uid="{00000000-0004-0000-0000-0000E1090000}"/>
    <hyperlink ref="A843" r:id="rId2409" xr:uid="{00000000-0004-0000-0000-0000E2090000}"/>
    <hyperlink ref="C843" r:id="rId2410" xr:uid="{00000000-0004-0000-0000-0000E3090000}"/>
    <hyperlink ref="D843" r:id="rId2411" xr:uid="{00000000-0004-0000-0000-0000E4090000}"/>
    <hyperlink ref="A844" r:id="rId2412" xr:uid="{00000000-0004-0000-0000-0000E5090000}"/>
    <hyperlink ref="C844" r:id="rId2413" xr:uid="{00000000-0004-0000-0000-0000E6090000}"/>
    <hyperlink ref="D844" r:id="rId2414" xr:uid="{00000000-0004-0000-0000-0000E7090000}"/>
    <hyperlink ref="A845" r:id="rId2415" xr:uid="{00000000-0004-0000-0000-0000E8090000}"/>
    <hyperlink ref="C845" r:id="rId2416" xr:uid="{00000000-0004-0000-0000-0000E9090000}"/>
    <hyperlink ref="D845" r:id="rId2417" xr:uid="{00000000-0004-0000-0000-0000EA090000}"/>
    <hyperlink ref="A846" r:id="rId2418" xr:uid="{00000000-0004-0000-0000-0000EB090000}"/>
    <hyperlink ref="C846" r:id="rId2419" xr:uid="{00000000-0004-0000-0000-0000EC090000}"/>
    <hyperlink ref="D846" r:id="rId2420" xr:uid="{00000000-0004-0000-0000-0000ED090000}"/>
    <hyperlink ref="C847" r:id="rId2421" xr:uid="{00000000-0004-0000-0000-0000EE090000}"/>
    <hyperlink ref="D847" r:id="rId2422" xr:uid="{00000000-0004-0000-0000-0000EF090000}"/>
    <hyperlink ref="A848" r:id="rId2423" xr:uid="{00000000-0004-0000-0000-0000F0090000}"/>
    <hyperlink ref="C848" r:id="rId2424" xr:uid="{00000000-0004-0000-0000-0000F1090000}"/>
    <hyperlink ref="D848" r:id="rId2425" xr:uid="{00000000-0004-0000-0000-0000F2090000}"/>
    <hyperlink ref="A849" r:id="rId2426" xr:uid="{00000000-0004-0000-0000-0000F3090000}"/>
    <hyperlink ref="C849" r:id="rId2427" xr:uid="{00000000-0004-0000-0000-0000F4090000}"/>
    <hyperlink ref="D849" r:id="rId2428" xr:uid="{00000000-0004-0000-0000-0000F5090000}"/>
    <hyperlink ref="A850" r:id="rId2429" xr:uid="{00000000-0004-0000-0000-0000F6090000}"/>
    <hyperlink ref="C850" r:id="rId2430" xr:uid="{00000000-0004-0000-0000-0000F7090000}"/>
    <hyperlink ref="D850" r:id="rId2431" xr:uid="{00000000-0004-0000-0000-0000F8090000}"/>
    <hyperlink ref="A851" r:id="rId2432" xr:uid="{00000000-0004-0000-0000-0000F9090000}"/>
    <hyperlink ref="C851" r:id="rId2433" xr:uid="{00000000-0004-0000-0000-0000FA090000}"/>
    <hyperlink ref="D851" r:id="rId2434" xr:uid="{00000000-0004-0000-0000-0000FB090000}"/>
    <hyperlink ref="A852" r:id="rId2435" xr:uid="{00000000-0004-0000-0000-0000FC090000}"/>
    <hyperlink ref="C852" r:id="rId2436" xr:uid="{00000000-0004-0000-0000-0000FD090000}"/>
    <hyperlink ref="D852" r:id="rId2437" xr:uid="{00000000-0004-0000-0000-0000FE090000}"/>
    <hyperlink ref="A853" r:id="rId2438" xr:uid="{00000000-0004-0000-0000-0000FF090000}"/>
    <hyperlink ref="C853" r:id="rId2439" xr:uid="{00000000-0004-0000-0000-0000000A0000}"/>
    <hyperlink ref="D853" r:id="rId2440" xr:uid="{00000000-0004-0000-0000-0000010A0000}"/>
    <hyperlink ref="A854" r:id="rId2441" xr:uid="{00000000-0004-0000-0000-0000020A0000}"/>
    <hyperlink ref="C854" r:id="rId2442" xr:uid="{00000000-0004-0000-0000-0000030A0000}"/>
    <hyperlink ref="D854" r:id="rId2443" xr:uid="{00000000-0004-0000-0000-0000040A0000}"/>
    <hyperlink ref="A855" r:id="rId2444" xr:uid="{00000000-0004-0000-0000-0000050A0000}"/>
    <hyperlink ref="C855" r:id="rId2445" xr:uid="{00000000-0004-0000-0000-0000060A0000}"/>
    <hyperlink ref="D855" r:id="rId2446" xr:uid="{00000000-0004-0000-0000-0000070A0000}"/>
    <hyperlink ref="A856" r:id="rId2447" xr:uid="{00000000-0004-0000-0000-0000080A0000}"/>
    <hyperlink ref="C856" r:id="rId2448" xr:uid="{00000000-0004-0000-0000-0000090A0000}"/>
    <hyperlink ref="D856" r:id="rId2449" xr:uid="{00000000-0004-0000-0000-00000A0A0000}"/>
    <hyperlink ref="A857" r:id="rId2450" xr:uid="{00000000-0004-0000-0000-00000B0A0000}"/>
    <hyperlink ref="C857" r:id="rId2451" xr:uid="{00000000-0004-0000-0000-00000C0A0000}"/>
    <hyperlink ref="D857" r:id="rId2452" xr:uid="{00000000-0004-0000-0000-00000D0A0000}"/>
    <hyperlink ref="A858" r:id="rId2453" xr:uid="{00000000-0004-0000-0000-00000E0A0000}"/>
    <hyperlink ref="C858" r:id="rId2454" xr:uid="{00000000-0004-0000-0000-00000F0A0000}"/>
    <hyperlink ref="D858" r:id="rId2455" xr:uid="{00000000-0004-0000-0000-0000100A0000}"/>
    <hyperlink ref="A859" r:id="rId2456" xr:uid="{00000000-0004-0000-0000-0000110A0000}"/>
    <hyperlink ref="C859" r:id="rId2457" xr:uid="{00000000-0004-0000-0000-0000120A0000}"/>
    <hyperlink ref="D859" r:id="rId2458" xr:uid="{00000000-0004-0000-0000-0000130A0000}"/>
    <hyperlink ref="A860" r:id="rId2459" xr:uid="{00000000-0004-0000-0000-0000140A0000}"/>
    <hyperlink ref="C860" r:id="rId2460" xr:uid="{00000000-0004-0000-0000-0000150A0000}"/>
    <hyperlink ref="C861" r:id="rId2461" xr:uid="{00000000-0004-0000-0000-0000160A0000}"/>
    <hyperlink ref="D861" r:id="rId2462" xr:uid="{00000000-0004-0000-0000-0000170A0000}"/>
    <hyperlink ref="A862" r:id="rId2463" xr:uid="{00000000-0004-0000-0000-0000180A0000}"/>
    <hyperlink ref="C862" r:id="rId2464" xr:uid="{00000000-0004-0000-0000-0000190A0000}"/>
    <hyperlink ref="D862" r:id="rId2465" xr:uid="{00000000-0004-0000-0000-00001A0A0000}"/>
    <hyperlink ref="A863" r:id="rId2466" xr:uid="{00000000-0004-0000-0000-00001B0A0000}"/>
    <hyperlink ref="C863" r:id="rId2467" xr:uid="{00000000-0004-0000-0000-00001C0A0000}"/>
    <hyperlink ref="D863" r:id="rId2468" xr:uid="{00000000-0004-0000-0000-00001D0A0000}"/>
    <hyperlink ref="A864" r:id="rId2469" xr:uid="{00000000-0004-0000-0000-00001E0A0000}"/>
    <hyperlink ref="C864" r:id="rId2470" xr:uid="{00000000-0004-0000-0000-00001F0A0000}"/>
    <hyperlink ref="D864" r:id="rId2471" xr:uid="{00000000-0004-0000-0000-0000200A0000}"/>
    <hyperlink ref="A865" r:id="rId2472" xr:uid="{00000000-0004-0000-0000-0000210A0000}"/>
    <hyperlink ref="C865" r:id="rId2473" xr:uid="{00000000-0004-0000-0000-0000220A0000}"/>
    <hyperlink ref="D865" r:id="rId2474" xr:uid="{00000000-0004-0000-0000-0000230A0000}"/>
    <hyperlink ref="A866" r:id="rId2475" xr:uid="{00000000-0004-0000-0000-0000240A0000}"/>
    <hyperlink ref="C866" r:id="rId2476" xr:uid="{00000000-0004-0000-0000-0000250A0000}"/>
    <hyperlink ref="D866" r:id="rId2477" xr:uid="{00000000-0004-0000-0000-0000260A0000}"/>
    <hyperlink ref="A867" r:id="rId2478" xr:uid="{00000000-0004-0000-0000-0000270A0000}"/>
    <hyperlink ref="C867" r:id="rId2479" xr:uid="{00000000-0004-0000-0000-0000280A0000}"/>
    <hyperlink ref="D867" r:id="rId2480" xr:uid="{00000000-0004-0000-0000-0000290A0000}"/>
    <hyperlink ref="A868" r:id="rId2481" xr:uid="{00000000-0004-0000-0000-00002A0A0000}"/>
    <hyperlink ref="C868" r:id="rId2482" xr:uid="{00000000-0004-0000-0000-00002B0A0000}"/>
    <hyperlink ref="D868" r:id="rId2483" xr:uid="{00000000-0004-0000-0000-00002C0A0000}"/>
    <hyperlink ref="A869" r:id="rId2484" xr:uid="{00000000-0004-0000-0000-00002D0A0000}"/>
    <hyperlink ref="C869" r:id="rId2485" xr:uid="{00000000-0004-0000-0000-00002E0A0000}"/>
    <hyperlink ref="D869" r:id="rId2486" xr:uid="{00000000-0004-0000-0000-00002F0A0000}"/>
    <hyperlink ref="A870" r:id="rId2487" xr:uid="{00000000-0004-0000-0000-0000300A0000}"/>
    <hyperlink ref="C870" r:id="rId2488" xr:uid="{00000000-0004-0000-0000-0000310A0000}"/>
    <hyperlink ref="D870" r:id="rId2489" xr:uid="{00000000-0004-0000-0000-0000320A0000}"/>
    <hyperlink ref="E870" r:id="rId2490" xr:uid="{00000000-0004-0000-0000-0000330A0000}"/>
    <hyperlink ref="A871" r:id="rId2491" xr:uid="{00000000-0004-0000-0000-0000340A0000}"/>
    <hyperlink ref="C871" r:id="rId2492" xr:uid="{00000000-0004-0000-0000-0000350A0000}"/>
    <hyperlink ref="D871" r:id="rId2493" xr:uid="{00000000-0004-0000-0000-0000360A0000}"/>
    <hyperlink ref="A872" r:id="rId2494" xr:uid="{00000000-0004-0000-0000-0000370A0000}"/>
    <hyperlink ref="C872" r:id="rId2495" xr:uid="{00000000-0004-0000-0000-0000380A0000}"/>
    <hyperlink ref="D872" r:id="rId2496" xr:uid="{00000000-0004-0000-0000-0000390A0000}"/>
    <hyperlink ref="A873" r:id="rId2497" xr:uid="{00000000-0004-0000-0000-00003A0A0000}"/>
    <hyperlink ref="C873" r:id="rId2498" xr:uid="{00000000-0004-0000-0000-00003B0A0000}"/>
    <hyperlink ref="D873" r:id="rId2499" xr:uid="{00000000-0004-0000-0000-00003C0A0000}"/>
    <hyperlink ref="A874" r:id="rId2500" xr:uid="{00000000-0004-0000-0000-00003D0A0000}"/>
    <hyperlink ref="C874" r:id="rId2501" xr:uid="{00000000-0004-0000-0000-00003E0A0000}"/>
    <hyperlink ref="D874" r:id="rId2502" xr:uid="{00000000-0004-0000-0000-00003F0A0000}"/>
    <hyperlink ref="A875" r:id="rId2503" xr:uid="{00000000-0004-0000-0000-0000400A0000}"/>
    <hyperlink ref="C875" r:id="rId2504" xr:uid="{00000000-0004-0000-0000-0000410A0000}"/>
    <hyperlink ref="D875" r:id="rId2505" xr:uid="{00000000-0004-0000-0000-0000420A0000}"/>
    <hyperlink ref="A876" r:id="rId2506" xr:uid="{00000000-0004-0000-0000-0000430A0000}"/>
    <hyperlink ref="C876" r:id="rId2507" xr:uid="{00000000-0004-0000-0000-0000440A0000}"/>
    <hyperlink ref="D876" r:id="rId2508" xr:uid="{00000000-0004-0000-0000-0000450A0000}"/>
    <hyperlink ref="A877" r:id="rId2509" xr:uid="{00000000-0004-0000-0000-0000460A0000}"/>
    <hyperlink ref="C877" r:id="rId2510" xr:uid="{00000000-0004-0000-0000-0000470A0000}"/>
    <hyperlink ref="D877" r:id="rId2511" xr:uid="{00000000-0004-0000-0000-0000480A0000}"/>
    <hyperlink ref="A878" r:id="rId2512" xr:uid="{00000000-0004-0000-0000-0000490A0000}"/>
    <hyperlink ref="C878" r:id="rId2513" xr:uid="{00000000-0004-0000-0000-00004A0A0000}"/>
    <hyperlink ref="D878" r:id="rId2514" xr:uid="{00000000-0004-0000-0000-00004B0A0000}"/>
    <hyperlink ref="C879" r:id="rId2515" xr:uid="{00000000-0004-0000-0000-00004C0A0000}"/>
    <hyperlink ref="D879" r:id="rId2516" xr:uid="{00000000-0004-0000-0000-00004D0A0000}"/>
    <hyperlink ref="A880" r:id="rId2517" xr:uid="{00000000-0004-0000-0000-00004E0A0000}"/>
    <hyperlink ref="C880" r:id="rId2518" xr:uid="{00000000-0004-0000-0000-00004F0A0000}"/>
    <hyperlink ref="D880" r:id="rId2519" xr:uid="{00000000-0004-0000-0000-0000500A0000}"/>
    <hyperlink ref="A881" r:id="rId2520" xr:uid="{00000000-0004-0000-0000-0000510A0000}"/>
    <hyperlink ref="C881" r:id="rId2521" xr:uid="{00000000-0004-0000-0000-0000520A0000}"/>
    <hyperlink ref="D881" r:id="rId2522" xr:uid="{00000000-0004-0000-0000-0000530A0000}"/>
    <hyperlink ref="A882" r:id="rId2523" xr:uid="{00000000-0004-0000-0000-0000540A0000}"/>
    <hyperlink ref="C882" r:id="rId2524" xr:uid="{00000000-0004-0000-0000-0000550A0000}"/>
    <hyperlink ref="D882" r:id="rId2525" xr:uid="{00000000-0004-0000-0000-0000560A0000}"/>
    <hyperlink ref="C883" r:id="rId2526" xr:uid="{00000000-0004-0000-0000-0000570A0000}"/>
    <hyperlink ref="D883" r:id="rId2527" xr:uid="{00000000-0004-0000-0000-0000580A0000}"/>
    <hyperlink ref="A884" r:id="rId2528" xr:uid="{00000000-0004-0000-0000-0000590A0000}"/>
    <hyperlink ref="C884" r:id="rId2529" xr:uid="{00000000-0004-0000-0000-00005A0A0000}"/>
    <hyperlink ref="D884" r:id="rId2530" xr:uid="{00000000-0004-0000-0000-00005B0A0000}"/>
    <hyperlink ref="C885" r:id="rId2531" xr:uid="{00000000-0004-0000-0000-00005C0A0000}"/>
    <hyperlink ref="D885" r:id="rId2532" xr:uid="{00000000-0004-0000-0000-00005D0A0000}"/>
    <hyperlink ref="E885" r:id="rId2533" xr:uid="{00000000-0004-0000-0000-00005E0A0000}"/>
    <hyperlink ref="A886" r:id="rId2534" xr:uid="{00000000-0004-0000-0000-00005F0A0000}"/>
    <hyperlink ref="C886" r:id="rId2535" xr:uid="{00000000-0004-0000-0000-0000600A0000}"/>
    <hyperlink ref="D886" r:id="rId2536" xr:uid="{00000000-0004-0000-0000-0000610A0000}"/>
    <hyperlink ref="E886" r:id="rId2537" xr:uid="{00000000-0004-0000-0000-0000620A0000}"/>
    <hyperlink ref="C887" r:id="rId2538" xr:uid="{00000000-0004-0000-0000-0000630A0000}"/>
    <hyperlink ref="D887" r:id="rId2539" xr:uid="{00000000-0004-0000-0000-0000640A0000}"/>
    <hyperlink ref="A888" r:id="rId2540" xr:uid="{00000000-0004-0000-0000-0000650A0000}"/>
    <hyperlink ref="C888" r:id="rId2541" xr:uid="{00000000-0004-0000-0000-0000660A0000}"/>
    <hyperlink ref="D888" r:id="rId2542" xr:uid="{00000000-0004-0000-0000-0000670A0000}"/>
    <hyperlink ref="A889" r:id="rId2543" xr:uid="{00000000-0004-0000-0000-0000680A0000}"/>
    <hyperlink ref="C889" r:id="rId2544" xr:uid="{00000000-0004-0000-0000-0000690A0000}"/>
    <hyperlink ref="D889" r:id="rId2545" xr:uid="{00000000-0004-0000-0000-00006A0A0000}"/>
    <hyperlink ref="A890" r:id="rId2546" xr:uid="{00000000-0004-0000-0000-00006B0A0000}"/>
    <hyperlink ref="C890" r:id="rId2547" xr:uid="{00000000-0004-0000-0000-00006C0A0000}"/>
    <hyperlink ref="D890" r:id="rId2548" xr:uid="{00000000-0004-0000-0000-00006D0A0000}"/>
    <hyperlink ref="A891" r:id="rId2549" xr:uid="{00000000-0004-0000-0000-00006E0A0000}"/>
    <hyperlink ref="C891" r:id="rId2550" xr:uid="{00000000-0004-0000-0000-00006F0A0000}"/>
    <hyperlink ref="D891" r:id="rId2551" xr:uid="{00000000-0004-0000-0000-0000700A0000}"/>
    <hyperlink ref="A892" r:id="rId2552" xr:uid="{00000000-0004-0000-0000-0000710A0000}"/>
    <hyperlink ref="C892" r:id="rId2553" xr:uid="{00000000-0004-0000-0000-0000720A0000}"/>
    <hyperlink ref="D892" r:id="rId2554" xr:uid="{00000000-0004-0000-0000-0000730A0000}"/>
    <hyperlink ref="A893" r:id="rId2555" xr:uid="{00000000-0004-0000-0000-0000740A0000}"/>
    <hyperlink ref="C893" r:id="rId2556" xr:uid="{00000000-0004-0000-0000-0000750A0000}"/>
    <hyperlink ref="D893" r:id="rId2557" xr:uid="{00000000-0004-0000-0000-0000760A0000}"/>
    <hyperlink ref="C894" r:id="rId2558" xr:uid="{00000000-0004-0000-0000-0000770A0000}"/>
    <hyperlink ref="D894" r:id="rId2559" xr:uid="{00000000-0004-0000-0000-0000780A0000}"/>
    <hyperlink ref="A895" r:id="rId2560" xr:uid="{00000000-0004-0000-0000-0000790A0000}"/>
    <hyperlink ref="C895" r:id="rId2561" xr:uid="{00000000-0004-0000-0000-00007A0A0000}"/>
    <hyperlink ref="D895" r:id="rId2562" xr:uid="{00000000-0004-0000-0000-00007B0A0000}"/>
    <hyperlink ref="A896" r:id="rId2563" xr:uid="{00000000-0004-0000-0000-00007C0A0000}"/>
    <hyperlink ref="C896" r:id="rId2564" xr:uid="{00000000-0004-0000-0000-00007D0A0000}"/>
    <hyperlink ref="D896" r:id="rId2565" xr:uid="{00000000-0004-0000-0000-00007E0A0000}"/>
    <hyperlink ref="A897" r:id="rId2566" xr:uid="{00000000-0004-0000-0000-00007F0A0000}"/>
    <hyperlink ref="C897" r:id="rId2567" xr:uid="{00000000-0004-0000-0000-0000800A0000}"/>
    <hyperlink ref="D897" r:id="rId2568" xr:uid="{00000000-0004-0000-0000-0000810A0000}"/>
    <hyperlink ref="A898" r:id="rId2569" xr:uid="{00000000-0004-0000-0000-0000820A0000}"/>
    <hyperlink ref="C898" r:id="rId2570" xr:uid="{00000000-0004-0000-0000-0000830A0000}"/>
    <hyperlink ref="D898" r:id="rId2571" xr:uid="{00000000-0004-0000-0000-0000840A0000}"/>
    <hyperlink ref="C899" r:id="rId2572" xr:uid="{00000000-0004-0000-0000-0000850A0000}"/>
    <hyperlink ref="D899" r:id="rId2573" xr:uid="{00000000-0004-0000-0000-0000860A0000}"/>
    <hyperlink ref="A900" r:id="rId2574" xr:uid="{00000000-0004-0000-0000-0000870A0000}"/>
    <hyperlink ref="C900" r:id="rId2575" xr:uid="{00000000-0004-0000-0000-0000880A0000}"/>
    <hyperlink ref="D900" r:id="rId2576" xr:uid="{00000000-0004-0000-0000-0000890A0000}"/>
    <hyperlink ref="A901" r:id="rId2577" xr:uid="{00000000-0004-0000-0000-00008A0A0000}"/>
    <hyperlink ref="C901" r:id="rId2578" xr:uid="{00000000-0004-0000-0000-00008B0A0000}"/>
    <hyperlink ref="D901" r:id="rId2579" xr:uid="{00000000-0004-0000-0000-00008C0A0000}"/>
    <hyperlink ref="A902" r:id="rId2580" xr:uid="{00000000-0004-0000-0000-00008D0A0000}"/>
    <hyperlink ref="C902" r:id="rId2581" xr:uid="{00000000-0004-0000-0000-00008E0A0000}"/>
    <hyperlink ref="D902" r:id="rId2582" xr:uid="{00000000-0004-0000-0000-00008F0A0000}"/>
    <hyperlink ref="A903" r:id="rId2583" xr:uid="{00000000-0004-0000-0000-0000900A0000}"/>
    <hyperlink ref="C903" r:id="rId2584" xr:uid="{00000000-0004-0000-0000-0000910A0000}"/>
    <hyperlink ref="D903" r:id="rId2585" xr:uid="{00000000-0004-0000-0000-0000920A0000}"/>
    <hyperlink ref="A904" r:id="rId2586" xr:uid="{00000000-0004-0000-0000-0000930A0000}"/>
    <hyperlink ref="C904" r:id="rId2587" xr:uid="{00000000-0004-0000-0000-0000940A0000}"/>
    <hyperlink ref="D904" r:id="rId2588" xr:uid="{00000000-0004-0000-0000-0000950A0000}"/>
    <hyperlink ref="C905" r:id="rId2589" xr:uid="{00000000-0004-0000-0000-0000960A0000}"/>
    <hyperlink ref="D905" r:id="rId2590" xr:uid="{00000000-0004-0000-0000-0000970A0000}"/>
    <hyperlink ref="A906" r:id="rId2591" xr:uid="{00000000-0004-0000-0000-0000980A0000}"/>
    <hyperlink ref="C906" r:id="rId2592" xr:uid="{00000000-0004-0000-0000-0000990A0000}"/>
    <hyperlink ref="D906" r:id="rId2593" xr:uid="{00000000-0004-0000-0000-00009A0A0000}"/>
    <hyperlink ref="A907" r:id="rId2594" xr:uid="{00000000-0004-0000-0000-00009B0A0000}"/>
    <hyperlink ref="C907" r:id="rId2595" xr:uid="{00000000-0004-0000-0000-00009C0A0000}"/>
    <hyperlink ref="D907" r:id="rId2596" xr:uid="{00000000-0004-0000-0000-00009D0A0000}"/>
    <hyperlink ref="A908" r:id="rId2597" xr:uid="{00000000-0004-0000-0000-00009E0A0000}"/>
    <hyperlink ref="C908" r:id="rId2598" xr:uid="{00000000-0004-0000-0000-00009F0A0000}"/>
    <hyperlink ref="D908" r:id="rId2599" xr:uid="{00000000-0004-0000-0000-0000A00A0000}"/>
    <hyperlink ref="A909" r:id="rId2600" xr:uid="{00000000-0004-0000-0000-0000A10A0000}"/>
    <hyperlink ref="C909" r:id="rId2601" xr:uid="{00000000-0004-0000-0000-0000A20A0000}"/>
    <hyperlink ref="D909" r:id="rId2602" xr:uid="{00000000-0004-0000-0000-0000A30A0000}"/>
    <hyperlink ref="A910" r:id="rId2603" xr:uid="{00000000-0004-0000-0000-0000A40A0000}"/>
    <hyperlink ref="C910" r:id="rId2604" xr:uid="{00000000-0004-0000-0000-0000A50A0000}"/>
    <hyperlink ref="D910" r:id="rId2605" xr:uid="{00000000-0004-0000-0000-0000A60A0000}"/>
    <hyperlink ref="A911" r:id="rId2606" xr:uid="{00000000-0004-0000-0000-0000A70A0000}"/>
    <hyperlink ref="C911" r:id="rId2607" xr:uid="{00000000-0004-0000-0000-0000A80A0000}"/>
    <hyperlink ref="D911" r:id="rId2608" xr:uid="{00000000-0004-0000-0000-0000A90A0000}"/>
    <hyperlink ref="A912" r:id="rId2609" xr:uid="{00000000-0004-0000-0000-0000AA0A0000}"/>
    <hyperlink ref="C912" r:id="rId2610" xr:uid="{00000000-0004-0000-0000-0000AB0A0000}"/>
    <hyperlink ref="D912" r:id="rId2611" xr:uid="{00000000-0004-0000-0000-0000AC0A0000}"/>
    <hyperlink ref="A913" r:id="rId2612" xr:uid="{00000000-0004-0000-0000-0000AD0A0000}"/>
    <hyperlink ref="C913" r:id="rId2613" xr:uid="{00000000-0004-0000-0000-0000AE0A0000}"/>
    <hyperlink ref="D913" r:id="rId2614" xr:uid="{00000000-0004-0000-0000-0000AF0A0000}"/>
    <hyperlink ref="C914" r:id="rId2615" xr:uid="{00000000-0004-0000-0000-0000B00A0000}"/>
    <hyperlink ref="D914" r:id="rId2616" xr:uid="{00000000-0004-0000-0000-0000B10A0000}"/>
    <hyperlink ref="A915" r:id="rId2617" xr:uid="{00000000-0004-0000-0000-0000B20A0000}"/>
    <hyperlink ref="C915" r:id="rId2618" xr:uid="{00000000-0004-0000-0000-0000B30A0000}"/>
    <hyperlink ref="D915" r:id="rId2619" xr:uid="{00000000-0004-0000-0000-0000B40A0000}"/>
    <hyperlink ref="A916" r:id="rId2620" xr:uid="{00000000-0004-0000-0000-0000B50A0000}"/>
    <hyperlink ref="C916" r:id="rId2621" xr:uid="{00000000-0004-0000-0000-0000B60A0000}"/>
    <hyperlink ref="D916" r:id="rId2622" xr:uid="{00000000-0004-0000-0000-0000B70A0000}"/>
    <hyperlink ref="A917" r:id="rId2623" xr:uid="{00000000-0004-0000-0000-0000B80A0000}"/>
    <hyperlink ref="C917" r:id="rId2624" xr:uid="{00000000-0004-0000-0000-0000B90A0000}"/>
    <hyperlink ref="D917" r:id="rId2625" xr:uid="{00000000-0004-0000-0000-0000BA0A0000}"/>
    <hyperlink ref="A918" r:id="rId2626" xr:uid="{00000000-0004-0000-0000-0000BB0A0000}"/>
    <hyperlink ref="C918" r:id="rId2627" xr:uid="{00000000-0004-0000-0000-0000BC0A0000}"/>
    <hyperlink ref="D918" r:id="rId2628" xr:uid="{00000000-0004-0000-0000-0000BD0A0000}"/>
    <hyperlink ref="C919" r:id="rId2629" xr:uid="{00000000-0004-0000-0000-0000BE0A0000}"/>
    <hyperlink ref="D919" r:id="rId2630" xr:uid="{00000000-0004-0000-0000-0000BF0A0000}"/>
    <hyperlink ref="A920" r:id="rId2631" xr:uid="{00000000-0004-0000-0000-0000C00A0000}"/>
    <hyperlink ref="C920" r:id="rId2632" xr:uid="{00000000-0004-0000-0000-0000C10A0000}"/>
    <hyperlink ref="D920" r:id="rId2633" xr:uid="{00000000-0004-0000-0000-0000C20A0000}"/>
    <hyperlink ref="A921" r:id="rId2634" xr:uid="{00000000-0004-0000-0000-0000C30A0000}"/>
    <hyperlink ref="C921" r:id="rId2635" xr:uid="{00000000-0004-0000-0000-0000C40A0000}"/>
    <hyperlink ref="D921" r:id="rId2636" xr:uid="{00000000-0004-0000-0000-0000C50A0000}"/>
    <hyperlink ref="A922" r:id="rId2637" xr:uid="{00000000-0004-0000-0000-0000C60A0000}"/>
    <hyperlink ref="C922" r:id="rId2638" xr:uid="{00000000-0004-0000-0000-0000C70A0000}"/>
    <hyperlink ref="D922" r:id="rId2639" xr:uid="{00000000-0004-0000-0000-0000C80A0000}"/>
    <hyperlink ref="A923" r:id="rId2640" xr:uid="{00000000-0004-0000-0000-0000C90A0000}"/>
    <hyperlink ref="C923" r:id="rId2641" xr:uid="{00000000-0004-0000-0000-0000CA0A0000}"/>
    <hyperlink ref="D923" r:id="rId2642" xr:uid="{00000000-0004-0000-0000-0000CB0A0000}"/>
    <hyperlink ref="A924" r:id="rId2643" xr:uid="{00000000-0004-0000-0000-0000CC0A0000}"/>
    <hyperlink ref="C924" r:id="rId2644" xr:uid="{00000000-0004-0000-0000-0000CD0A0000}"/>
    <hyperlink ref="D924" r:id="rId2645" xr:uid="{00000000-0004-0000-0000-0000CE0A0000}"/>
    <hyperlink ref="C925" r:id="rId2646" xr:uid="{00000000-0004-0000-0000-0000CF0A0000}"/>
    <hyperlink ref="D925" r:id="rId2647" xr:uid="{00000000-0004-0000-0000-0000D00A0000}"/>
    <hyperlink ref="A926" r:id="rId2648" xr:uid="{00000000-0004-0000-0000-0000D10A0000}"/>
    <hyperlink ref="C926" r:id="rId2649" xr:uid="{00000000-0004-0000-0000-0000D20A0000}"/>
    <hyperlink ref="D926" r:id="rId2650" xr:uid="{00000000-0004-0000-0000-0000D30A0000}"/>
    <hyperlink ref="A927" r:id="rId2651" xr:uid="{00000000-0004-0000-0000-0000D40A0000}"/>
    <hyperlink ref="C927" r:id="rId2652" xr:uid="{00000000-0004-0000-0000-0000D50A0000}"/>
    <hyperlink ref="D927" r:id="rId2653" xr:uid="{00000000-0004-0000-0000-0000D60A0000}"/>
    <hyperlink ref="E927" r:id="rId2654" xr:uid="{00000000-0004-0000-0000-0000D70A0000}"/>
    <hyperlink ref="A928" r:id="rId2655" xr:uid="{00000000-0004-0000-0000-0000D80A0000}"/>
    <hyperlink ref="C928" r:id="rId2656" xr:uid="{00000000-0004-0000-0000-0000D90A0000}"/>
    <hyperlink ref="D928" r:id="rId2657" xr:uid="{00000000-0004-0000-0000-0000DA0A0000}"/>
    <hyperlink ref="E928" r:id="rId2658" xr:uid="{00000000-0004-0000-0000-0000DB0A0000}"/>
    <hyperlink ref="A929" r:id="rId2659" xr:uid="{00000000-0004-0000-0000-0000DC0A0000}"/>
    <hyperlink ref="C929" r:id="rId2660" xr:uid="{00000000-0004-0000-0000-0000DD0A0000}"/>
    <hyperlink ref="D929" r:id="rId2661" xr:uid="{00000000-0004-0000-0000-0000DE0A0000}"/>
    <hyperlink ref="A930" r:id="rId2662" xr:uid="{00000000-0004-0000-0000-0000DF0A0000}"/>
    <hyperlink ref="C930" r:id="rId2663" xr:uid="{00000000-0004-0000-0000-0000E00A0000}"/>
    <hyperlink ref="D930" r:id="rId2664" xr:uid="{00000000-0004-0000-0000-0000E10A0000}"/>
    <hyperlink ref="C931" r:id="rId2665" xr:uid="{00000000-0004-0000-0000-0000E20A0000}"/>
    <hyperlink ref="D931" r:id="rId2666" xr:uid="{00000000-0004-0000-0000-0000E30A0000}"/>
    <hyperlink ref="A932" r:id="rId2667" xr:uid="{00000000-0004-0000-0000-0000E40A0000}"/>
    <hyperlink ref="C932" r:id="rId2668" xr:uid="{00000000-0004-0000-0000-0000E50A0000}"/>
    <hyperlink ref="D932" r:id="rId2669" xr:uid="{00000000-0004-0000-0000-0000E60A0000}"/>
    <hyperlink ref="A933" r:id="rId2670" xr:uid="{00000000-0004-0000-0000-0000E70A0000}"/>
    <hyperlink ref="C933" r:id="rId2671" xr:uid="{00000000-0004-0000-0000-0000E80A0000}"/>
    <hyperlink ref="D933" r:id="rId2672" xr:uid="{00000000-0004-0000-0000-0000E90A0000}"/>
    <hyperlink ref="A934" r:id="rId2673" xr:uid="{00000000-0004-0000-0000-0000EA0A0000}"/>
    <hyperlink ref="C934" r:id="rId2674" xr:uid="{00000000-0004-0000-0000-0000EB0A0000}"/>
    <hyperlink ref="D934" r:id="rId2675" xr:uid="{00000000-0004-0000-0000-0000EC0A0000}"/>
    <hyperlink ref="A935" r:id="rId2676" xr:uid="{00000000-0004-0000-0000-0000ED0A0000}"/>
    <hyperlink ref="C935" r:id="rId2677" xr:uid="{00000000-0004-0000-0000-0000EE0A0000}"/>
    <hyperlink ref="D935" r:id="rId2678" xr:uid="{00000000-0004-0000-0000-0000EF0A0000}"/>
    <hyperlink ref="A936" r:id="rId2679" xr:uid="{00000000-0004-0000-0000-0000F00A0000}"/>
    <hyperlink ref="C936" r:id="rId2680" xr:uid="{00000000-0004-0000-0000-0000F10A0000}"/>
    <hyperlink ref="D936" r:id="rId2681" xr:uid="{00000000-0004-0000-0000-0000F20A0000}"/>
    <hyperlink ref="A937" r:id="rId2682" xr:uid="{00000000-0004-0000-0000-0000F30A0000}"/>
    <hyperlink ref="C937" r:id="rId2683" xr:uid="{00000000-0004-0000-0000-0000F40A0000}"/>
    <hyperlink ref="D937" r:id="rId2684" xr:uid="{00000000-0004-0000-0000-0000F50A0000}"/>
    <hyperlink ref="A938" r:id="rId2685" xr:uid="{00000000-0004-0000-0000-0000F60A0000}"/>
    <hyperlink ref="C938" r:id="rId2686" xr:uid="{00000000-0004-0000-0000-0000F70A0000}"/>
    <hyperlink ref="D938" r:id="rId2687" xr:uid="{00000000-0004-0000-0000-0000F80A0000}"/>
    <hyperlink ref="A939" r:id="rId2688" xr:uid="{00000000-0004-0000-0000-0000F90A0000}"/>
    <hyperlink ref="C939" r:id="rId2689" xr:uid="{00000000-0004-0000-0000-0000FA0A0000}"/>
    <hyperlink ref="D939" r:id="rId2690" xr:uid="{00000000-0004-0000-0000-0000FB0A0000}"/>
    <hyperlink ref="A940" r:id="rId2691" xr:uid="{00000000-0004-0000-0000-0000FC0A0000}"/>
    <hyperlink ref="C940" r:id="rId2692" xr:uid="{00000000-0004-0000-0000-0000FD0A0000}"/>
    <hyperlink ref="D940" r:id="rId2693" xr:uid="{00000000-0004-0000-0000-0000FE0A0000}"/>
    <hyperlink ref="A941" r:id="rId2694" xr:uid="{00000000-0004-0000-0000-0000FF0A0000}"/>
    <hyperlink ref="C941" r:id="rId2695" xr:uid="{00000000-0004-0000-0000-0000000B0000}"/>
    <hyperlink ref="D941" r:id="rId2696" xr:uid="{00000000-0004-0000-0000-0000010B0000}"/>
    <hyperlink ref="A942" r:id="rId2697" xr:uid="{00000000-0004-0000-0000-0000020B0000}"/>
    <hyperlink ref="C942" r:id="rId2698" xr:uid="{00000000-0004-0000-0000-0000030B0000}"/>
    <hyperlink ref="D942" r:id="rId2699" xr:uid="{00000000-0004-0000-0000-0000040B0000}"/>
    <hyperlink ref="A943" r:id="rId2700" xr:uid="{00000000-0004-0000-0000-0000050B0000}"/>
    <hyperlink ref="C943" r:id="rId2701" xr:uid="{00000000-0004-0000-0000-0000060B0000}"/>
    <hyperlink ref="D943" r:id="rId2702" xr:uid="{00000000-0004-0000-0000-0000070B0000}"/>
    <hyperlink ref="E943" r:id="rId2703" xr:uid="{00000000-0004-0000-0000-0000080B0000}"/>
    <hyperlink ref="A944" r:id="rId2704" xr:uid="{00000000-0004-0000-0000-0000090B0000}"/>
    <hyperlink ref="C944" r:id="rId2705" xr:uid="{00000000-0004-0000-0000-00000A0B0000}"/>
    <hyperlink ref="D944" r:id="rId2706" xr:uid="{00000000-0004-0000-0000-00000B0B0000}"/>
    <hyperlink ref="A945" r:id="rId2707" xr:uid="{00000000-0004-0000-0000-00000C0B0000}"/>
    <hyperlink ref="C945" r:id="rId2708" xr:uid="{00000000-0004-0000-0000-00000D0B0000}"/>
    <hyperlink ref="D945" r:id="rId2709" xr:uid="{00000000-0004-0000-0000-00000E0B0000}"/>
    <hyperlink ref="A946" r:id="rId2710" xr:uid="{00000000-0004-0000-0000-00000F0B0000}"/>
    <hyperlink ref="C946" r:id="rId2711" xr:uid="{00000000-0004-0000-0000-0000100B0000}"/>
    <hyperlink ref="D946" r:id="rId2712" xr:uid="{00000000-0004-0000-0000-0000110B0000}"/>
    <hyperlink ref="E946" r:id="rId2713" xr:uid="{00000000-0004-0000-0000-0000120B0000}"/>
    <hyperlink ref="A947" r:id="rId2714" xr:uid="{00000000-0004-0000-0000-0000130B0000}"/>
    <hyperlink ref="C947" r:id="rId2715" xr:uid="{00000000-0004-0000-0000-0000140B0000}"/>
    <hyperlink ref="D947" r:id="rId2716" xr:uid="{00000000-0004-0000-0000-0000150B0000}"/>
    <hyperlink ref="E947" r:id="rId2717" xr:uid="{00000000-0004-0000-0000-0000160B0000}"/>
    <hyperlink ref="A948" r:id="rId2718" xr:uid="{00000000-0004-0000-0000-0000170B0000}"/>
    <hyperlink ref="C948" r:id="rId2719" xr:uid="{00000000-0004-0000-0000-0000180B0000}"/>
    <hyperlink ref="D948" r:id="rId2720" xr:uid="{00000000-0004-0000-0000-0000190B0000}"/>
    <hyperlink ref="C949" r:id="rId2721" xr:uid="{00000000-0004-0000-0000-00001A0B0000}"/>
    <hyperlink ref="D949" r:id="rId2722" xr:uid="{00000000-0004-0000-0000-00001B0B0000}"/>
    <hyperlink ref="C950" r:id="rId2723" xr:uid="{00000000-0004-0000-0000-00001C0B0000}"/>
    <hyperlink ref="D950" r:id="rId2724" xr:uid="{00000000-0004-0000-0000-00001D0B0000}"/>
    <hyperlink ref="A951" r:id="rId2725" xr:uid="{00000000-0004-0000-0000-00001E0B0000}"/>
    <hyperlink ref="C951" r:id="rId2726" xr:uid="{00000000-0004-0000-0000-00001F0B0000}"/>
    <hyperlink ref="D951" r:id="rId2727" xr:uid="{00000000-0004-0000-0000-0000200B0000}"/>
    <hyperlink ref="A952" r:id="rId2728" xr:uid="{00000000-0004-0000-0000-0000210B0000}"/>
    <hyperlink ref="C952" r:id="rId2729" xr:uid="{00000000-0004-0000-0000-0000220B0000}"/>
    <hyperlink ref="D952" r:id="rId2730" xr:uid="{00000000-0004-0000-0000-0000230B0000}"/>
    <hyperlink ref="A953" r:id="rId2731" xr:uid="{00000000-0004-0000-0000-0000240B0000}"/>
    <hyperlink ref="C953" r:id="rId2732" xr:uid="{00000000-0004-0000-0000-0000250B0000}"/>
    <hyperlink ref="D953" r:id="rId2733" xr:uid="{00000000-0004-0000-0000-0000260B0000}"/>
    <hyperlink ref="C954" r:id="rId2734" xr:uid="{00000000-0004-0000-0000-0000270B0000}"/>
    <hyperlink ref="D954" r:id="rId2735" xr:uid="{00000000-0004-0000-0000-0000280B0000}"/>
    <hyperlink ref="A955" r:id="rId2736" xr:uid="{00000000-0004-0000-0000-0000290B0000}"/>
    <hyperlink ref="C955" r:id="rId2737" xr:uid="{00000000-0004-0000-0000-00002A0B0000}"/>
    <hyperlink ref="D955" r:id="rId2738" xr:uid="{00000000-0004-0000-0000-00002B0B0000}"/>
    <hyperlink ref="A956" r:id="rId2739" xr:uid="{00000000-0004-0000-0000-00002C0B0000}"/>
    <hyperlink ref="C956" r:id="rId2740" xr:uid="{00000000-0004-0000-0000-00002D0B0000}"/>
    <hyperlink ref="D956" r:id="rId2741" xr:uid="{00000000-0004-0000-0000-00002E0B0000}"/>
    <hyperlink ref="A957" r:id="rId2742" xr:uid="{00000000-0004-0000-0000-00002F0B0000}"/>
    <hyperlink ref="C957" r:id="rId2743" xr:uid="{00000000-0004-0000-0000-0000300B0000}"/>
    <hyperlink ref="D957" r:id="rId2744" xr:uid="{00000000-0004-0000-0000-0000310B0000}"/>
    <hyperlink ref="A958" r:id="rId2745" xr:uid="{00000000-0004-0000-0000-0000320B0000}"/>
    <hyperlink ref="C958" r:id="rId2746" xr:uid="{00000000-0004-0000-0000-0000330B0000}"/>
    <hyperlink ref="D958" r:id="rId2747" xr:uid="{00000000-0004-0000-0000-0000340B0000}"/>
    <hyperlink ref="C959" r:id="rId2748" xr:uid="{00000000-0004-0000-0000-0000350B0000}"/>
    <hyperlink ref="D959" r:id="rId2749" xr:uid="{00000000-0004-0000-0000-0000360B0000}"/>
    <hyperlink ref="A960" r:id="rId2750" xr:uid="{00000000-0004-0000-0000-0000370B0000}"/>
    <hyperlink ref="C960" r:id="rId2751" xr:uid="{00000000-0004-0000-0000-0000380B0000}"/>
    <hyperlink ref="D960" r:id="rId2752" xr:uid="{00000000-0004-0000-0000-0000390B0000}"/>
    <hyperlink ref="A961" r:id="rId2753" xr:uid="{00000000-0004-0000-0000-00003A0B0000}"/>
    <hyperlink ref="C961" r:id="rId2754" xr:uid="{00000000-0004-0000-0000-00003B0B0000}"/>
    <hyperlink ref="D961" r:id="rId2755" xr:uid="{00000000-0004-0000-0000-00003C0B0000}"/>
    <hyperlink ref="A962" r:id="rId2756" xr:uid="{00000000-0004-0000-0000-00003D0B0000}"/>
    <hyperlink ref="C962" r:id="rId2757" xr:uid="{00000000-0004-0000-0000-00003E0B0000}"/>
    <hyperlink ref="D962" r:id="rId2758" xr:uid="{00000000-0004-0000-0000-00003F0B0000}"/>
    <hyperlink ref="A963" r:id="rId2759" xr:uid="{00000000-0004-0000-0000-0000400B0000}"/>
    <hyperlink ref="C963" r:id="rId2760" xr:uid="{00000000-0004-0000-0000-0000410B0000}"/>
    <hyperlink ref="D963" r:id="rId2761" xr:uid="{00000000-0004-0000-0000-0000420B0000}"/>
    <hyperlink ref="A964" r:id="rId2762" xr:uid="{00000000-0004-0000-0000-0000430B0000}"/>
    <hyperlink ref="C964" r:id="rId2763" xr:uid="{00000000-0004-0000-0000-0000440B0000}"/>
    <hyperlink ref="D964" r:id="rId2764" xr:uid="{00000000-0004-0000-0000-0000450B0000}"/>
    <hyperlink ref="E964" r:id="rId2765" xr:uid="{00000000-0004-0000-0000-0000460B0000}"/>
    <hyperlink ref="A965" r:id="rId2766" xr:uid="{00000000-0004-0000-0000-0000470B0000}"/>
    <hyperlink ref="C965" r:id="rId2767" xr:uid="{00000000-0004-0000-0000-0000480B0000}"/>
    <hyperlink ref="D965" r:id="rId2768" xr:uid="{00000000-0004-0000-0000-0000490B0000}"/>
    <hyperlink ref="A966" r:id="rId2769" xr:uid="{00000000-0004-0000-0000-00004A0B0000}"/>
    <hyperlink ref="C966" r:id="rId2770" xr:uid="{00000000-0004-0000-0000-00004B0B0000}"/>
    <hyperlink ref="D966" r:id="rId2771" xr:uid="{00000000-0004-0000-0000-00004C0B0000}"/>
    <hyperlink ref="A967" r:id="rId2772" xr:uid="{00000000-0004-0000-0000-00004D0B0000}"/>
    <hyperlink ref="C967" r:id="rId2773" xr:uid="{00000000-0004-0000-0000-00004E0B0000}"/>
    <hyperlink ref="D967" r:id="rId2774" xr:uid="{00000000-0004-0000-0000-00004F0B0000}"/>
    <hyperlink ref="A968" r:id="rId2775" xr:uid="{00000000-0004-0000-0000-0000500B0000}"/>
    <hyperlink ref="C968" r:id="rId2776" xr:uid="{00000000-0004-0000-0000-0000510B0000}"/>
    <hyperlink ref="D968" r:id="rId2777" xr:uid="{00000000-0004-0000-0000-0000520B0000}"/>
    <hyperlink ref="A969" r:id="rId2778" xr:uid="{00000000-0004-0000-0000-0000530B0000}"/>
    <hyperlink ref="C969" r:id="rId2779" xr:uid="{00000000-0004-0000-0000-0000540B0000}"/>
    <hyperlink ref="D969" r:id="rId2780" xr:uid="{00000000-0004-0000-0000-0000550B0000}"/>
    <hyperlink ref="A970" r:id="rId2781" xr:uid="{00000000-0004-0000-0000-0000560B0000}"/>
    <hyperlink ref="C970" r:id="rId2782" xr:uid="{00000000-0004-0000-0000-0000570B0000}"/>
    <hyperlink ref="D970" r:id="rId2783" xr:uid="{00000000-0004-0000-0000-0000580B0000}"/>
    <hyperlink ref="E970" r:id="rId2784" xr:uid="{00000000-0004-0000-0000-0000590B0000}"/>
    <hyperlink ref="A971" r:id="rId2785" xr:uid="{00000000-0004-0000-0000-00005A0B0000}"/>
    <hyperlink ref="C971" r:id="rId2786" xr:uid="{00000000-0004-0000-0000-00005B0B0000}"/>
    <hyperlink ref="D971" r:id="rId2787" xr:uid="{00000000-0004-0000-0000-00005C0B0000}"/>
    <hyperlink ref="E971" r:id="rId2788" xr:uid="{00000000-0004-0000-0000-00005D0B0000}"/>
    <hyperlink ref="A972" r:id="rId2789" xr:uid="{00000000-0004-0000-0000-00005E0B0000}"/>
    <hyperlink ref="C972" r:id="rId2790" xr:uid="{00000000-0004-0000-0000-00005F0B0000}"/>
    <hyperlink ref="D972" r:id="rId2791" xr:uid="{00000000-0004-0000-0000-0000600B0000}"/>
    <hyperlink ref="E972" r:id="rId2792" xr:uid="{00000000-0004-0000-0000-0000610B0000}"/>
    <hyperlink ref="A973" r:id="rId2793" xr:uid="{00000000-0004-0000-0000-0000620B0000}"/>
    <hyperlink ref="C973" r:id="rId2794" xr:uid="{00000000-0004-0000-0000-0000630B0000}"/>
    <hyperlink ref="D973" r:id="rId2795" xr:uid="{00000000-0004-0000-0000-0000640B0000}"/>
    <hyperlink ref="A974" r:id="rId2796" xr:uid="{00000000-0004-0000-0000-0000650B0000}"/>
    <hyperlink ref="C974" r:id="rId2797" xr:uid="{00000000-0004-0000-0000-0000660B0000}"/>
    <hyperlink ref="D974" r:id="rId2798" xr:uid="{00000000-0004-0000-0000-0000670B0000}"/>
    <hyperlink ref="A975" r:id="rId2799" xr:uid="{00000000-0004-0000-0000-0000680B0000}"/>
    <hyperlink ref="C975" r:id="rId2800" xr:uid="{00000000-0004-0000-0000-0000690B0000}"/>
    <hyperlink ref="D975" r:id="rId2801" xr:uid="{00000000-0004-0000-0000-00006A0B0000}"/>
    <hyperlink ref="E975" r:id="rId2802" xr:uid="{00000000-0004-0000-0000-00006B0B0000}"/>
    <hyperlink ref="A976" r:id="rId2803" xr:uid="{00000000-0004-0000-0000-00006C0B0000}"/>
    <hyperlink ref="C976" r:id="rId2804" xr:uid="{00000000-0004-0000-0000-00006D0B0000}"/>
    <hyperlink ref="D976" r:id="rId2805" xr:uid="{00000000-0004-0000-0000-00006E0B0000}"/>
    <hyperlink ref="A977" r:id="rId2806" xr:uid="{00000000-0004-0000-0000-00006F0B0000}"/>
    <hyperlink ref="C977" r:id="rId2807" xr:uid="{00000000-0004-0000-0000-0000700B0000}"/>
    <hyperlink ref="D977" r:id="rId2808" xr:uid="{00000000-0004-0000-0000-0000710B0000}"/>
    <hyperlink ref="E977" r:id="rId2809" xr:uid="{00000000-0004-0000-0000-0000720B0000}"/>
    <hyperlink ref="A978" r:id="rId2810" xr:uid="{00000000-0004-0000-0000-0000730B0000}"/>
    <hyperlink ref="C978" r:id="rId2811" xr:uid="{00000000-0004-0000-0000-0000740B0000}"/>
    <hyperlink ref="D978" r:id="rId2812" xr:uid="{00000000-0004-0000-0000-0000750B0000}"/>
    <hyperlink ref="A979" r:id="rId2813" xr:uid="{00000000-0004-0000-0000-0000760B0000}"/>
    <hyperlink ref="C979" r:id="rId2814" xr:uid="{00000000-0004-0000-0000-0000770B0000}"/>
    <hyperlink ref="D979" r:id="rId2815" xr:uid="{00000000-0004-0000-0000-0000780B0000}"/>
    <hyperlink ref="A980" r:id="rId2816" xr:uid="{00000000-0004-0000-0000-0000790B0000}"/>
    <hyperlink ref="C980" r:id="rId2817" xr:uid="{00000000-0004-0000-0000-00007A0B0000}"/>
    <hyperlink ref="D980" r:id="rId2818" xr:uid="{00000000-0004-0000-0000-00007B0B0000}"/>
    <hyperlink ref="A981" r:id="rId2819" xr:uid="{00000000-0004-0000-0000-00007C0B0000}"/>
    <hyperlink ref="C981" r:id="rId2820" xr:uid="{00000000-0004-0000-0000-00007D0B0000}"/>
    <hyperlink ref="D981" r:id="rId2821" xr:uid="{00000000-0004-0000-0000-00007E0B0000}"/>
    <hyperlink ref="A982" r:id="rId2822" xr:uid="{00000000-0004-0000-0000-00007F0B0000}"/>
    <hyperlink ref="C982" r:id="rId2823" xr:uid="{00000000-0004-0000-0000-0000800B0000}"/>
    <hyperlink ref="D982" r:id="rId2824" xr:uid="{00000000-0004-0000-0000-0000810B0000}"/>
    <hyperlink ref="A983" r:id="rId2825" xr:uid="{00000000-0004-0000-0000-0000820B0000}"/>
    <hyperlink ref="C983" r:id="rId2826" xr:uid="{00000000-0004-0000-0000-0000830B0000}"/>
    <hyperlink ref="D983" r:id="rId2827" xr:uid="{00000000-0004-0000-0000-0000840B0000}"/>
    <hyperlink ref="C984" r:id="rId2828" xr:uid="{00000000-0004-0000-0000-0000850B0000}"/>
    <hyperlink ref="D984" r:id="rId2829" xr:uid="{00000000-0004-0000-0000-0000860B0000}"/>
    <hyperlink ref="E984" r:id="rId2830" xr:uid="{00000000-0004-0000-0000-0000870B0000}"/>
    <hyperlink ref="C985" r:id="rId2831" xr:uid="{00000000-0004-0000-0000-0000880B0000}"/>
    <hyperlink ref="D985" r:id="rId2832" xr:uid="{00000000-0004-0000-0000-0000890B0000}"/>
    <hyperlink ref="A986" r:id="rId2833" xr:uid="{00000000-0004-0000-0000-00008A0B0000}"/>
    <hyperlink ref="C986" r:id="rId2834" xr:uid="{00000000-0004-0000-0000-00008B0B0000}"/>
    <hyperlink ref="D986" r:id="rId2835" xr:uid="{00000000-0004-0000-0000-00008C0B0000}"/>
    <hyperlink ref="A987" r:id="rId2836" xr:uid="{00000000-0004-0000-0000-00008D0B0000}"/>
    <hyperlink ref="C987" r:id="rId2837" xr:uid="{00000000-0004-0000-0000-00008E0B0000}"/>
    <hyperlink ref="D987" r:id="rId2838" xr:uid="{00000000-0004-0000-0000-00008F0B0000}"/>
    <hyperlink ref="E987" r:id="rId2839" xr:uid="{00000000-0004-0000-0000-0000900B0000}"/>
    <hyperlink ref="A988" r:id="rId2840" xr:uid="{00000000-0004-0000-0000-0000910B0000}"/>
    <hyperlink ref="C988" r:id="rId2841" xr:uid="{00000000-0004-0000-0000-0000920B0000}"/>
    <hyperlink ref="D988" r:id="rId2842" xr:uid="{00000000-0004-0000-0000-0000930B0000}"/>
    <hyperlink ref="A989" r:id="rId2843" xr:uid="{00000000-0004-0000-0000-0000940B0000}"/>
    <hyperlink ref="C989" r:id="rId2844" xr:uid="{00000000-0004-0000-0000-0000950B0000}"/>
    <hyperlink ref="D989" r:id="rId2845" xr:uid="{00000000-0004-0000-0000-0000960B0000}"/>
    <hyperlink ref="A990" r:id="rId2846" xr:uid="{00000000-0004-0000-0000-0000970B0000}"/>
    <hyperlink ref="C990" r:id="rId2847" xr:uid="{00000000-0004-0000-0000-0000980B0000}"/>
    <hyperlink ref="D990" r:id="rId2848" xr:uid="{00000000-0004-0000-0000-0000990B0000}"/>
    <hyperlink ref="A991" r:id="rId2849" xr:uid="{00000000-0004-0000-0000-00009A0B0000}"/>
    <hyperlink ref="C991" r:id="rId2850" xr:uid="{00000000-0004-0000-0000-00009B0B0000}"/>
    <hyperlink ref="D991" r:id="rId2851" xr:uid="{00000000-0004-0000-0000-00009C0B0000}"/>
    <hyperlink ref="A992" r:id="rId2852" xr:uid="{00000000-0004-0000-0000-00009D0B0000}"/>
    <hyperlink ref="C992" r:id="rId2853" xr:uid="{00000000-0004-0000-0000-00009E0B0000}"/>
    <hyperlink ref="D992" r:id="rId2854" location="page=prelive" xr:uid="{00000000-0004-0000-0000-00009F0B0000}"/>
    <hyperlink ref="A993" r:id="rId2855" xr:uid="{00000000-0004-0000-0000-0000A00B0000}"/>
    <hyperlink ref="C993" r:id="rId2856" xr:uid="{00000000-0004-0000-0000-0000A10B0000}"/>
    <hyperlink ref="D993" r:id="rId2857" xr:uid="{00000000-0004-0000-0000-0000A20B0000}"/>
    <hyperlink ref="A994" r:id="rId2858" xr:uid="{00000000-0004-0000-0000-0000A30B0000}"/>
    <hyperlink ref="C994" r:id="rId2859" xr:uid="{00000000-0004-0000-0000-0000A40B0000}"/>
    <hyperlink ref="D994" r:id="rId2860" xr:uid="{00000000-0004-0000-0000-0000A50B0000}"/>
    <hyperlink ref="C995" r:id="rId2861" xr:uid="{00000000-0004-0000-0000-0000A60B0000}"/>
    <hyperlink ref="D995" r:id="rId2862" xr:uid="{00000000-0004-0000-0000-0000A70B0000}"/>
    <hyperlink ref="C996" r:id="rId2863" xr:uid="{00000000-0004-0000-0000-0000A80B0000}"/>
    <hyperlink ref="D996" r:id="rId2864" xr:uid="{00000000-0004-0000-0000-0000A90B0000}"/>
    <hyperlink ref="C997" r:id="rId2865" xr:uid="{00000000-0004-0000-0000-0000AA0B0000}"/>
    <hyperlink ref="D997" r:id="rId2866" xr:uid="{00000000-0004-0000-0000-0000AB0B0000}"/>
    <hyperlink ref="A998" r:id="rId2867" xr:uid="{00000000-0004-0000-0000-0000AC0B0000}"/>
    <hyperlink ref="C998" r:id="rId2868" xr:uid="{00000000-0004-0000-0000-0000AD0B0000}"/>
    <hyperlink ref="D998" r:id="rId2869" xr:uid="{00000000-0004-0000-0000-0000AE0B0000}"/>
    <hyperlink ref="A999" r:id="rId2870" xr:uid="{00000000-0004-0000-0000-0000AF0B0000}"/>
    <hyperlink ref="C999" r:id="rId2871" xr:uid="{00000000-0004-0000-0000-0000B00B0000}"/>
    <hyperlink ref="D999" r:id="rId2872" xr:uid="{00000000-0004-0000-0000-0000B10B0000}"/>
    <hyperlink ref="A1000" r:id="rId2873" xr:uid="{00000000-0004-0000-0000-0000B20B0000}"/>
    <hyperlink ref="C1000" r:id="rId2874" xr:uid="{00000000-0004-0000-0000-0000B30B0000}"/>
    <hyperlink ref="D1000" r:id="rId2875" xr:uid="{00000000-0004-0000-0000-0000B40B0000}"/>
    <hyperlink ref="A1001" r:id="rId2876" xr:uid="{00000000-0004-0000-0000-0000B50B0000}"/>
    <hyperlink ref="C1001" r:id="rId2877" xr:uid="{00000000-0004-0000-0000-0000B60B0000}"/>
    <hyperlink ref="D1001" r:id="rId2878" xr:uid="{00000000-0004-0000-0000-0000B70B0000}"/>
    <hyperlink ref="A1002" r:id="rId2879" xr:uid="{00000000-0004-0000-0000-0000B80B0000}"/>
    <hyperlink ref="C1002" r:id="rId2880" xr:uid="{00000000-0004-0000-0000-0000B90B0000}"/>
    <hyperlink ref="D1002" r:id="rId2881" xr:uid="{00000000-0004-0000-0000-0000BA0B0000}"/>
    <hyperlink ref="A1003" r:id="rId2882" xr:uid="{00000000-0004-0000-0000-0000BB0B0000}"/>
    <hyperlink ref="C1003" r:id="rId2883" xr:uid="{00000000-0004-0000-0000-0000BC0B0000}"/>
    <hyperlink ref="D1003" r:id="rId2884" xr:uid="{00000000-0004-0000-0000-0000BD0B0000}"/>
    <hyperlink ref="A1004" r:id="rId2885" xr:uid="{00000000-0004-0000-0000-0000BE0B0000}"/>
    <hyperlink ref="C1004" r:id="rId2886" xr:uid="{00000000-0004-0000-0000-0000BF0B0000}"/>
    <hyperlink ref="D1004" r:id="rId2887" xr:uid="{00000000-0004-0000-0000-0000C00B0000}"/>
    <hyperlink ref="A1005" r:id="rId2888" xr:uid="{00000000-0004-0000-0000-0000C10B0000}"/>
    <hyperlink ref="C1005" r:id="rId2889" xr:uid="{00000000-0004-0000-0000-0000C20B0000}"/>
    <hyperlink ref="D1005" r:id="rId2890" xr:uid="{00000000-0004-0000-0000-0000C30B0000}"/>
    <hyperlink ref="A1006" r:id="rId2891" xr:uid="{00000000-0004-0000-0000-0000C40B0000}"/>
    <hyperlink ref="C1006" r:id="rId2892" xr:uid="{00000000-0004-0000-0000-0000C50B0000}"/>
    <hyperlink ref="D1006" r:id="rId2893" xr:uid="{00000000-0004-0000-0000-0000C60B0000}"/>
    <hyperlink ref="A1007" r:id="rId2894" xr:uid="{00000000-0004-0000-0000-0000C70B0000}"/>
    <hyperlink ref="C1007" r:id="rId2895" xr:uid="{00000000-0004-0000-0000-0000C80B0000}"/>
    <hyperlink ref="D1007" r:id="rId2896" xr:uid="{00000000-0004-0000-0000-0000C90B0000}"/>
    <hyperlink ref="C1008" r:id="rId2897" xr:uid="{00000000-0004-0000-0000-0000CA0B0000}"/>
    <hyperlink ref="D1008" r:id="rId2898" xr:uid="{00000000-0004-0000-0000-0000CB0B0000}"/>
    <hyperlink ref="A1009" r:id="rId2899" xr:uid="{00000000-0004-0000-0000-0000CC0B0000}"/>
    <hyperlink ref="C1009" r:id="rId2900" xr:uid="{00000000-0004-0000-0000-0000CD0B0000}"/>
    <hyperlink ref="D1009" r:id="rId2901" xr:uid="{00000000-0004-0000-0000-0000CE0B0000}"/>
    <hyperlink ref="A1010" r:id="rId2902" xr:uid="{00000000-0004-0000-0000-0000CF0B0000}"/>
    <hyperlink ref="C1010" r:id="rId2903" xr:uid="{00000000-0004-0000-0000-0000D00B0000}"/>
    <hyperlink ref="D1010" r:id="rId2904" xr:uid="{00000000-0004-0000-0000-0000D10B0000}"/>
    <hyperlink ref="A1011" r:id="rId2905" xr:uid="{00000000-0004-0000-0000-0000D20B0000}"/>
    <hyperlink ref="C1011" r:id="rId2906" xr:uid="{00000000-0004-0000-0000-0000D30B0000}"/>
    <hyperlink ref="D1011" r:id="rId2907" xr:uid="{00000000-0004-0000-0000-0000D40B0000}"/>
    <hyperlink ref="A1012" r:id="rId2908" xr:uid="{00000000-0004-0000-0000-0000D50B0000}"/>
    <hyperlink ref="C1012" r:id="rId2909" xr:uid="{00000000-0004-0000-0000-0000D60B0000}"/>
    <hyperlink ref="D1012" r:id="rId2910" xr:uid="{00000000-0004-0000-0000-0000D70B0000}"/>
    <hyperlink ref="E1012" r:id="rId2911" xr:uid="{00000000-0004-0000-0000-0000D80B0000}"/>
    <hyperlink ref="C1013" r:id="rId2912" xr:uid="{00000000-0004-0000-0000-0000D90B0000}"/>
    <hyperlink ref="D1013" r:id="rId2913" xr:uid="{00000000-0004-0000-0000-0000DA0B0000}"/>
    <hyperlink ref="A1014" r:id="rId2914" xr:uid="{00000000-0004-0000-0000-0000DB0B0000}"/>
    <hyperlink ref="C1014" r:id="rId2915" xr:uid="{00000000-0004-0000-0000-0000DC0B0000}"/>
    <hyperlink ref="D1014" r:id="rId2916" xr:uid="{00000000-0004-0000-0000-0000DD0B0000}"/>
    <hyperlink ref="A1015" r:id="rId2917" xr:uid="{00000000-0004-0000-0000-0000DE0B0000}"/>
    <hyperlink ref="C1015" r:id="rId2918" xr:uid="{00000000-0004-0000-0000-0000DF0B0000}"/>
    <hyperlink ref="D1015" r:id="rId2919" xr:uid="{00000000-0004-0000-0000-0000E00B0000}"/>
    <hyperlink ref="A1016" r:id="rId2920" xr:uid="{00000000-0004-0000-0000-0000E10B0000}"/>
    <hyperlink ref="C1016" r:id="rId2921" xr:uid="{00000000-0004-0000-0000-0000E20B0000}"/>
    <hyperlink ref="D1016" r:id="rId2922" xr:uid="{00000000-0004-0000-0000-0000E30B0000}"/>
    <hyperlink ref="A1018" r:id="rId2923" xr:uid="{00000000-0004-0000-0000-0000E40B0000}"/>
    <hyperlink ref="C1018" r:id="rId2924" xr:uid="{00000000-0004-0000-0000-0000E50B0000}"/>
    <hyperlink ref="D1018" r:id="rId2925" xr:uid="{00000000-0004-0000-0000-0000E60B0000}"/>
    <hyperlink ref="E1018" r:id="rId2926" xr:uid="{00000000-0004-0000-0000-0000E70B0000}"/>
    <hyperlink ref="A1019" r:id="rId2927" xr:uid="{00000000-0004-0000-0000-0000E80B0000}"/>
    <hyperlink ref="C1019" r:id="rId2928" xr:uid="{00000000-0004-0000-0000-0000E90B0000}"/>
    <hyperlink ref="D1019" r:id="rId2929" xr:uid="{00000000-0004-0000-0000-0000EA0B0000}"/>
    <hyperlink ref="A1020" r:id="rId2930" xr:uid="{00000000-0004-0000-0000-0000EB0B0000}"/>
    <hyperlink ref="C1020" r:id="rId2931" xr:uid="{00000000-0004-0000-0000-0000EC0B0000}"/>
    <hyperlink ref="D1020" r:id="rId2932" xr:uid="{00000000-0004-0000-0000-0000ED0B0000}"/>
    <hyperlink ref="C1021" r:id="rId2933" xr:uid="{00000000-0004-0000-0000-0000EE0B0000}"/>
    <hyperlink ref="D1021" r:id="rId2934" xr:uid="{00000000-0004-0000-0000-0000EF0B0000}"/>
    <hyperlink ref="A1022" r:id="rId2935" xr:uid="{00000000-0004-0000-0000-0000F00B0000}"/>
    <hyperlink ref="C1022" r:id="rId2936" xr:uid="{00000000-0004-0000-0000-0000F10B0000}"/>
    <hyperlink ref="D1022" r:id="rId2937" xr:uid="{00000000-0004-0000-0000-0000F20B0000}"/>
    <hyperlink ref="A1023" r:id="rId2938" xr:uid="{00000000-0004-0000-0000-0000F30B0000}"/>
    <hyperlink ref="C1023" r:id="rId2939" xr:uid="{00000000-0004-0000-0000-0000F40B0000}"/>
    <hyperlink ref="D1023" r:id="rId2940" xr:uid="{00000000-0004-0000-0000-0000F50B0000}"/>
    <hyperlink ref="A1024" r:id="rId2941" xr:uid="{00000000-0004-0000-0000-0000F60B0000}"/>
    <hyperlink ref="C1024" r:id="rId2942" xr:uid="{00000000-0004-0000-0000-0000F70B0000}"/>
    <hyperlink ref="D1024" r:id="rId2943" xr:uid="{00000000-0004-0000-0000-0000F80B0000}"/>
    <hyperlink ref="A1026" r:id="rId2944" xr:uid="{00000000-0004-0000-0000-0000F90B0000}"/>
    <hyperlink ref="C1026" r:id="rId2945" xr:uid="{00000000-0004-0000-0000-0000FA0B0000}"/>
    <hyperlink ref="D1026" r:id="rId2946" xr:uid="{00000000-0004-0000-0000-0000FB0B0000}"/>
    <hyperlink ref="A1027" r:id="rId2947" xr:uid="{00000000-0004-0000-0000-0000FC0B0000}"/>
    <hyperlink ref="C1027" r:id="rId2948" xr:uid="{00000000-0004-0000-0000-0000FD0B0000}"/>
    <hyperlink ref="D1027" r:id="rId2949" xr:uid="{00000000-0004-0000-0000-0000FE0B0000}"/>
    <hyperlink ref="A1028" r:id="rId2950" xr:uid="{00000000-0004-0000-0000-0000FF0B0000}"/>
    <hyperlink ref="C1028" r:id="rId2951" xr:uid="{00000000-0004-0000-0000-0000000C0000}"/>
    <hyperlink ref="D1028" r:id="rId2952" xr:uid="{00000000-0004-0000-0000-0000010C0000}"/>
    <hyperlink ref="A1029" r:id="rId2953" xr:uid="{00000000-0004-0000-0000-0000020C0000}"/>
    <hyperlink ref="C1029" r:id="rId2954" xr:uid="{00000000-0004-0000-0000-0000030C0000}"/>
    <hyperlink ref="D1029" r:id="rId2955" xr:uid="{00000000-0004-0000-0000-0000040C0000}"/>
    <hyperlink ref="A1030" r:id="rId2956" xr:uid="{00000000-0004-0000-0000-0000050C0000}"/>
    <hyperlink ref="C1030" r:id="rId2957" xr:uid="{00000000-0004-0000-0000-0000060C0000}"/>
    <hyperlink ref="D1030" r:id="rId2958" xr:uid="{00000000-0004-0000-0000-0000070C0000}"/>
    <hyperlink ref="A1031" r:id="rId2959" xr:uid="{00000000-0004-0000-0000-0000080C0000}"/>
    <hyperlink ref="C1031" r:id="rId2960" xr:uid="{00000000-0004-0000-0000-0000090C0000}"/>
    <hyperlink ref="D1031" r:id="rId2961" xr:uid="{00000000-0004-0000-0000-00000A0C0000}"/>
    <hyperlink ref="A1032" r:id="rId2962" xr:uid="{00000000-0004-0000-0000-00000B0C0000}"/>
    <hyperlink ref="C1032" r:id="rId2963" xr:uid="{00000000-0004-0000-0000-00000C0C0000}"/>
    <hyperlink ref="D1032" r:id="rId2964" xr:uid="{00000000-0004-0000-0000-00000D0C0000}"/>
    <hyperlink ref="A1033" r:id="rId2965" xr:uid="{00000000-0004-0000-0000-00000E0C0000}"/>
    <hyperlink ref="C1033" r:id="rId2966" xr:uid="{00000000-0004-0000-0000-00000F0C0000}"/>
    <hyperlink ref="D1033" r:id="rId2967" xr:uid="{00000000-0004-0000-0000-0000100C0000}"/>
    <hyperlink ref="C1034" r:id="rId2968" xr:uid="{00000000-0004-0000-0000-0000110C0000}"/>
    <hyperlink ref="D1034" r:id="rId2969" xr:uid="{00000000-0004-0000-0000-0000120C0000}"/>
    <hyperlink ref="A1035" r:id="rId2970" xr:uid="{00000000-0004-0000-0000-0000130C0000}"/>
    <hyperlink ref="C1035" r:id="rId2971" xr:uid="{00000000-0004-0000-0000-0000140C0000}"/>
    <hyperlink ref="D1035" r:id="rId2972" xr:uid="{00000000-0004-0000-0000-0000150C0000}"/>
    <hyperlink ref="A1036" r:id="rId2973" xr:uid="{00000000-0004-0000-0000-0000160C0000}"/>
    <hyperlink ref="C1036" r:id="rId2974" xr:uid="{00000000-0004-0000-0000-0000170C0000}"/>
    <hyperlink ref="D1036" r:id="rId2975" xr:uid="{00000000-0004-0000-0000-0000180C0000}"/>
    <hyperlink ref="A1037" r:id="rId2976" xr:uid="{00000000-0004-0000-0000-0000190C0000}"/>
    <hyperlink ref="C1037" r:id="rId2977" xr:uid="{00000000-0004-0000-0000-00001A0C0000}"/>
    <hyperlink ref="D1037" r:id="rId2978" xr:uid="{00000000-0004-0000-0000-00001B0C0000}"/>
    <hyperlink ref="A1038" r:id="rId2979" xr:uid="{00000000-0004-0000-0000-00001C0C0000}"/>
    <hyperlink ref="C1038" r:id="rId2980" xr:uid="{00000000-0004-0000-0000-00001D0C0000}"/>
    <hyperlink ref="D1038" r:id="rId2981" xr:uid="{00000000-0004-0000-0000-00001E0C0000}"/>
    <hyperlink ref="A1039" r:id="rId2982" xr:uid="{00000000-0004-0000-0000-00001F0C0000}"/>
    <hyperlink ref="C1039" r:id="rId2983" xr:uid="{00000000-0004-0000-0000-0000200C0000}"/>
    <hyperlink ref="D1039" r:id="rId2984" xr:uid="{00000000-0004-0000-0000-0000210C0000}"/>
    <hyperlink ref="A1040" r:id="rId2985" xr:uid="{00000000-0004-0000-0000-0000220C0000}"/>
    <hyperlink ref="C1040" r:id="rId2986" xr:uid="{00000000-0004-0000-0000-0000230C0000}"/>
    <hyperlink ref="D1040" r:id="rId2987" xr:uid="{00000000-0004-0000-0000-0000240C0000}"/>
    <hyperlink ref="A1041" r:id="rId2988" xr:uid="{00000000-0004-0000-0000-0000250C0000}"/>
    <hyperlink ref="C1041" r:id="rId2989" xr:uid="{00000000-0004-0000-0000-0000260C0000}"/>
    <hyperlink ref="D1041" r:id="rId2990" xr:uid="{00000000-0004-0000-0000-0000270C0000}"/>
    <hyperlink ref="A1042" r:id="rId2991" xr:uid="{00000000-0004-0000-0000-0000280C0000}"/>
    <hyperlink ref="C1042" r:id="rId2992" xr:uid="{00000000-0004-0000-0000-0000290C0000}"/>
    <hyperlink ref="D1042" r:id="rId2993" xr:uid="{00000000-0004-0000-0000-00002A0C0000}"/>
    <hyperlink ref="A1043" r:id="rId2994" xr:uid="{00000000-0004-0000-0000-00002B0C0000}"/>
    <hyperlink ref="C1043" r:id="rId2995" xr:uid="{00000000-0004-0000-0000-00002C0C0000}"/>
    <hyperlink ref="D1043" r:id="rId2996" xr:uid="{00000000-0004-0000-0000-00002D0C0000}"/>
    <hyperlink ref="A1044" r:id="rId2997" xr:uid="{00000000-0004-0000-0000-00002E0C0000}"/>
    <hyperlink ref="C1044" r:id="rId2998" xr:uid="{00000000-0004-0000-0000-00002F0C0000}"/>
    <hyperlink ref="D1044" r:id="rId2999" xr:uid="{00000000-0004-0000-0000-0000300C0000}"/>
    <hyperlink ref="A1045" r:id="rId3000" xr:uid="{00000000-0004-0000-0000-0000310C0000}"/>
    <hyperlink ref="C1045" r:id="rId3001" xr:uid="{00000000-0004-0000-0000-0000320C0000}"/>
    <hyperlink ref="D1045" r:id="rId3002" xr:uid="{00000000-0004-0000-0000-0000330C0000}"/>
    <hyperlink ref="A1046" r:id="rId3003" xr:uid="{00000000-0004-0000-0000-0000340C0000}"/>
    <hyperlink ref="C1046" r:id="rId3004" xr:uid="{00000000-0004-0000-0000-0000350C0000}"/>
    <hyperlink ref="D1046" r:id="rId3005" xr:uid="{00000000-0004-0000-0000-0000360C0000}"/>
    <hyperlink ref="A1047" r:id="rId3006" xr:uid="{00000000-0004-0000-0000-0000370C0000}"/>
    <hyperlink ref="C1047" r:id="rId3007" xr:uid="{00000000-0004-0000-0000-0000380C0000}"/>
    <hyperlink ref="D1047" r:id="rId3008" xr:uid="{00000000-0004-0000-0000-0000390C0000}"/>
    <hyperlink ref="A1048" r:id="rId3009" xr:uid="{00000000-0004-0000-0000-00003A0C0000}"/>
    <hyperlink ref="C1048" r:id="rId3010" xr:uid="{00000000-0004-0000-0000-00003B0C0000}"/>
    <hyperlink ref="D1048" r:id="rId3011" xr:uid="{00000000-0004-0000-0000-00003C0C0000}"/>
    <hyperlink ref="E1048" r:id="rId3012" xr:uid="{00000000-0004-0000-0000-00003D0C0000}"/>
    <hyperlink ref="A1049" r:id="rId3013" xr:uid="{00000000-0004-0000-0000-00003E0C0000}"/>
    <hyperlink ref="C1049" r:id="rId3014" xr:uid="{00000000-0004-0000-0000-00003F0C0000}"/>
    <hyperlink ref="D1049" r:id="rId3015" xr:uid="{00000000-0004-0000-0000-0000400C0000}"/>
    <hyperlink ref="A1050" r:id="rId3016" xr:uid="{00000000-0004-0000-0000-0000410C0000}"/>
    <hyperlink ref="C1050" r:id="rId3017" xr:uid="{00000000-0004-0000-0000-0000420C0000}"/>
    <hyperlink ref="D1050" r:id="rId3018" xr:uid="{00000000-0004-0000-0000-0000430C0000}"/>
    <hyperlink ref="A1051" r:id="rId3019" xr:uid="{00000000-0004-0000-0000-0000440C0000}"/>
    <hyperlink ref="C1051" r:id="rId3020" xr:uid="{00000000-0004-0000-0000-0000450C0000}"/>
    <hyperlink ref="D1051" r:id="rId3021" xr:uid="{00000000-0004-0000-0000-0000460C0000}"/>
    <hyperlink ref="A1052" r:id="rId3022" xr:uid="{00000000-0004-0000-0000-0000470C0000}"/>
    <hyperlink ref="C1052" r:id="rId3023" xr:uid="{00000000-0004-0000-0000-0000480C0000}"/>
    <hyperlink ref="D1052" r:id="rId3024" xr:uid="{00000000-0004-0000-0000-0000490C0000}"/>
    <hyperlink ref="A1053" r:id="rId3025" xr:uid="{00000000-0004-0000-0000-00004A0C0000}"/>
    <hyperlink ref="C1053" r:id="rId3026" xr:uid="{00000000-0004-0000-0000-00004B0C0000}"/>
    <hyperlink ref="D1053" r:id="rId3027" xr:uid="{00000000-0004-0000-0000-00004C0C0000}"/>
    <hyperlink ref="A1054" r:id="rId3028" xr:uid="{00000000-0004-0000-0000-00004D0C0000}"/>
    <hyperlink ref="C1054" r:id="rId3029" xr:uid="{00000000-0004-0000-0000-00004E0C0000}"/>
    <hyperlink ref="D1054" r:id="rId3030" xr:uid="{00000000-0004-0000-0000-00004F0C0000}"/>
    <hyperlink ref="E1054" r:id="rId3031" xr:uid="{00000000-0004-0000-0000-0000500C0000}"/>
    <hyperlink ref="A1055" r:id="rId3032" xr:uid="{00000000-0004-0000-0000-0000510C0000}"/>
    <hyperlink ref="C1055" r:id="rId3033" xr:uid="{00000000-0004-0000-0000-0000520C0000}"/>
    <hyperlink ref="D1055" r:id="rId3034" xr:uid="{00000000-0004-0000-0000-0000530C0000}"/>
    <hyperlink ref="A1056" r:id="rId3035" xr:uid="{00000000-0004-0000-0000-0000540C0000}"/>
    <hyperlink ref="C1056" r:id="rId3036" xr:uid="{00000000-0004-0000-0000-0000550C0000}"/>
    <hyperlink ref="D1056" r:id="rId3037" xr:uid="{00000000-0004-0000-0000-0000560C0000}"/>
    <hyperlink ref="A1057" r:id="rId3038" xr:uid="{00000000-0004-0000-0000-0000570C0000}"/>
    <hyperlink ref="C1057" r:id="rId3039" xr:uid="{00000000-0004-0000-0000-0000580C0000}"/>
    <hyperlink ref="D1057" r:id="rId3040" xr:uid="{00000000-0004-0000-0000-0000590C0000}"/>
    <hyperlink ref="E1057" r:id="rId3041" xr:uid="{00000000-0004-0000-0000-00005A0C0000}"/>
    <hyperlink ref="A1058" r:id="rId3042" xr:uid="{00000000-0004-0000-0000-00005B0C0000}"/>
    <hyperlink ref="C1058" r:id="rId3043" xr:uid="{00000000-0004-0000-0000-00005C0C0000}"/>
    <hyperlink ref="D1058" r:id="rId3044" xr:uid="{00000000-0004-0000-0000-00005D0C0000}"/>
    <hyperlink ref="A1059" r:id="rId3045" xr:uid="{00000000-0004-0000-0000-00005E0C0000}"/>
    <hyperlink ref="C1059" r:id="rId3046" xr:uid="{00000000-0004-0000-0000-00005F0C0000}"/>
    <hyperlink ref="D1059" r:id="rId3047" xr:uid="{00000000-0004-0000-0000-0000600C0000}"/>
    <hyperlink ref="E1059" r:id="rId3048" xr:uid="{00000000-0004-0000-0000-0000610C0000}"/>
    <hyperlink ref="A1060" r:id="rId3049" xr:uid="{00000000-0004-0000-0000-0000620C0000}"/>
    <hyperlink ref="C1060" r:id="rId3050" xr:uid="{00000000-0004-0000-0000-0000630C0000}"/>
    <hyperlink ref="D1060" r:id="rId3051" xr:uid="{00000000-0004-0000-0000-0000640C0000}"/>
    <hyperlink ref="A1061" r:id="rId3052" xr:uid="{00000000-0004-0000-0000-0000650C0000}"/>
    <hyperlink ref="C1061" r:id="rId3053" xr:uid="{00000000-0004-0000-0000-0000660C0000}"/>
    <hyperlink ref="D1061" r:id="rId3054" xr:uid="{00000000-0004-0000-0000-0000670C0000}"/>
    <hyperlink ref="A1062" r:id="rId3055" xr:uid="{00000000-0004-0000-0000-0000680C0000}"/>
    <hyperlink ref="C1062" r:id="rId3056" xr:uid="{00000000-0004-0000-0000-0000690C0000}"/>
    <hyperlink ref="D1062" r:id="rId3057" xr:uid="{00000000-0004-0000-0000-00006A0C0000}"/>
    <hyperlink ref="E1062" r:id="rId3058" xr:uid="{00000000-0004-0000-0000-00006B0C0000}"/>
    <hyperlink ref="A1063" r:id="rId3059" xr:uid="{00000000-0004-0000-0000-00006C0C0000}"/>
    <hyperlink ref="C1063" r:id="rId3060" xr:uid="{00000000-0004-0000-0000-00006D0C0000}"/>
    <hyperlink ref="D1063" r:id="rId3061" xr:uid="{00000000-0004-0000-0000-00006E0C0000}"/>
    <hyperlink ref="A1064" r:id="rId3062" xr:uid="{00000000-0004-0000-0000-00006F0C0000}"/>
    <hyperlink ref="C1064" r:id="rId3063" xr:uid="{00000000-0004-0000-0000-0000700C0000}"/>
    <hyperlink ref="D1064" r:id="rId3064" xr:uid="{00000000-0004-0000-0000-0000710C0000}"/>
    <hyperlink ref="E1064" r:id="rId3065" xr:uid="{00000000-0004-0000-0000-0000720C0000}"/>
    <hyperlink ref="A1065" r:id="rId3066" xr:uid="{00000000-0004-0000-0000-0000730C0000}"/>
    <hyperlink ref="C1065" r:id="rId3067" xr:uid="{00000000-0004-0000-0000-0000740C0000}"/>
    <hyperlink ref="D1065" r:id="rId3068" xr:uid="{00000000-0004-0000-0000-0000750C0000}"/>
    <hyperlink ref="A1066" r:id="rId3069" xr:uid="{00000000-0004-0000-0000-0000760C0000}"/>
    <hyperlink ref="C1066" r:id="rId3070" xr:uid="{00000000-0004-0000-0000-0000770C0000}"/>
    <hyperlink ref="D1066" r:id="rId3071" xr:uid="{00000000-0004-0000-0000-0000780C0000}"/>
    <hyperlink ref="A1067" r:id="rId3072" xr:uid="{00000000-0004-0000-0000-0000790C0000}"/>
    <hyperlink ref="C1067" r:id="rId3073" xr:uid="{00000000-0004-0000-0000-00007A0C0000}"/>
    <hyperlink ref="D1067" r:id="rId3074" xr:uid="{00000000-0004-0000-0000-00007B0C0000}"/>
    <hyperlink ref="A1068" r:id="rId3075" xr:uid="{00000000-0004-0000-0000-00007C0C0000}"/>
    <hyperlink ref="C1068" r:id="rId3076" xr:uid="{00000000-0004-0000-0000-00007D0C0000}"/>
    <hyperlink ref="D1068" r:id="rId3077" xr:uid="{00000000-0004-0000-0000-00007E0C0000}"/>
    <hyperlink ref="A1069" r:id="rId3078" xr:uid="{00000000-0004-0000-0000-00007F0C0000}"/>
    <hyperlink ref="C1069" r:id="rId3079" xr:uid="{00000000-0004-0000-0000-0000800C0000}"/>
    <hyperlink ref="D1069" r:id="rId3080" xr:uid="{00000000-0004-0000-0000-0000810C0000}"/>
    <hyperlink ref="A1070" r:id="rId3081" xr:uid="{00000000-0004-0000-0000-0000820C0000}"/>
    <hyperlink ref="C1070" r:id="rId3082" xr:uid="{00000000-0004-0000-0000-0000830C0000}"/>
    <hyperlink ref="D1070" r:id="rId3083" xr:uid="{00000000-0004-0000-0000-0000840C0000}"/>
    <hyperlink ref="E1070" r:id="rId3084" xr:uid="{00000000-0004-0000-0000-0000850C0000}"/>
    <hyperlink ref="A1071" r:id="rId3085" xr:uid="{00000000-0004-0000-0000-0000860C0000}"/>
    <hyperlink ref="C1071" r:id="rId3086" xr:uid="{00000000-0004-0000-0000-0000870C0000}"/>
    <hyperlink ref="D1071" r:id="rId3087" xr:uid="{00000000-0004-0000-0000-0000880C0000}"/>
    <hyperlink ref="A1072" r:id="rId3088" xr:uid="{00000000-0004-0000-0000-0000890C0000}"/>
    <hyperlink ref="C1072" r:id="rId3089" xr:uid="{00000000-0004-0000-0000-00008A0C0000}"/>
    <hyperlink ref="D1072" r:id="rId3090" xr:uid="{00000000-0004-0000-0000-00008B0C0000}"/>
    <hyperlink ref="A1073" r:id="rId3091" xr:uid="{00000000-0004-0000-0000-00008C0C0000}"/>
    <hyperlink ref="C1073" r:id="rId3092" xr:uid="{00000000-0004-0000-0000-00008D0C0000}"/>
    <hyperlink ref="D1073" r:id="rId3093" xr:uid="{00000000-0004-0000-0000-00008E0C0000}"/>
    <hyperlink ref="A1074" r:id="rId3094" xr:uid="{00000000-0004-0000-0000-00008F0C0000}"/>
    <hyperlink ref="C1074" r:id="rId3095" xr:uid="{00000000-0004-0000-0000-0000900C0000}"/>
    <hyperlink ref="D1074" r:id="rId3096" xr:uid="{00000000-0004-0000-0000-0000910C0000}"/>
    <hyperlink ref="A1075" r:id="rId3097" xr:uid="{00000000-0004-0000-0000-0000920C0000}"/>
    <hyperlink ref="C1075" r:id="rId3098" xr:uid="{00000000-0004-0000-0000-0000930C0000}"/>
    <hyperlink ref="D1075" r:id="rId3099" xr:uid="{00000000-0004-0000-0000-0000940C0000}"/>
    <hyperlink ref="A1076" r:id="rId3100" xr:uid="{00000000-0004-0000-0000-0000950C0000}"/>
    <hyperlink ref="C1076" r:id="rId3101" xr:uid="{00000000-0004-0000-0000-0000960C0000}"/>
    <hyperlink ref="D1076" r:id="rId3102" xr:uid="{00000000-0004-0000-0000-0000970C0000}"/>
    <hyperlink ref="A1077" r:id="rId3103" xr:uid="{00000000-0004-0000-0000-0000980C0000}"/>
    <hyperlink ref="C1077" r:id="rId3104" xr:uid="{00000000-0004-0000-0000-0000990C0000}"/>
    <hyperlink ref="D1077" r:id="rId3105" xr:uid="{00000000-0004-0000-0000-00009A0C0000}"/>
    <hyperlink ref="A1078" r:id="rId3106" xr:uid="{00000000-0004-0000-0000-00009B0C0000}"/>
    <hyperlink ref="C1078" r:id="rId3107" xr:uid="{00000000-0004-0000-0000-00009C0C0000}"/>
    <hyperlink ref="D1078" r:id="rId3108" xr:uid="{00000000-0004-0000-0000-00009D0C0000}"/>
    <hyperlink ref="A1079" r:id="rId3109" xr:uid="{00000000-0004-0000-0000-00009E0C0000}"/>
    <hyperlink ref="C1079" r:id="rId3110" xr:uid="{00000000-0004-0000-0000-00009F0C0000}"/>
    <hyperlink ref="D1079" r:id="rId3111" xr:uid="{00000000-0004-0000-0000-0000A00C0000}"/>
    <hyperlink ref="A1080" r:id="rId3112" xr:uid="{00000000-0004-0000-0000-0000A10C0000}"/>
    <hyperlink ref="C1080" r:id="rId3113" xr:uid="{00000000-0004-0000-0000-0000A20C0000}"/>
    <hyperlink ref="D1080" r:id="rId3114" xr:uid="{00000000-0004-0000-0000-0000A30C0000}"/>
    <hyperlink ref="C1081" r:id="rId3115" xr:uid="{00000000-0004-0000-0000-0000A40C0000}"/>
    <hyperlink ref="D1081" r:id="rId3116" xr:uid="{00000000-0004-0000-0000-0000A50C0000}"/>
    <hyperlink ref="A1082" r:id="rId3117" xr:uid="{00000000-0004-0000-0000-0000A60C0000}"/>
    <hyperlink ref="C1082" r:id="rId3118" xr:uid="{00000000-0004-0000-0000-0000A70C0000}"/>
    <hyperlink ref="D1082" r:id="rId3119" xr:uid="{00000000-0004-0000-0000-0000A80C0000}"/>
    <hyperlink ref="A1083" r:id="rId3120" xr:uid="{00000000-0004-0000-0000-0000A90C0000}"/>
    <hyperlink ref="C1083" r:id="rId3121" xr:uid="{00000000-0004-0000-0000-0000AA0C0000}"/>
    <hyperlink ref="D1083" r:id="rId3122" xr:uid="{00000000-0004-0000-0000-0000AB0C0000}"/>
    <hyperlink ref="A1084" r:id="rId3123" xr:uid="{00000000-0004-0000-0000-0000AC0C0000}"/>
    <hyperlink ref="C1084" r:id="rId3124" xr:uid="{00000000-0004-0000-0000-0000AD0C0000}"/>
    <hyperlink ref="D1084" r:id="rId3125" xr:uid="{00000000-0004-0000-0000-0000AE0C0000}"/>
    <hyperlink ref="A1085" r:id="rId3126" xr:uid="{00000000-0004-0000-0000-0000AF0C0000}"/>
    <hyperlink ref="C1085" r:id="rId3127" xr:uid="{00000000-0004-0000-0000-0000B00C0000}"/>
    <hyperlink ref="D1085" r:id="rId3128" xr:uid="{00000000-0004-0000-0000-0000B10C0000}"/>
    <hyperlink ref="A1086" r:id="rId3129" xr:uid="{00000000-0004-0000-0000-0000B20C0000}"/>
    <hyperlink ref="C1086" r:id="rId3130" xr:uid="{00000000-0004-0000-0000-0000B30C0000}"/>
    <hyperlink ref="D1086" r:id="rId3131" xr:uid="{00000000-0004-0000-0000-0000B40C0000}"/>
    <hyperlink ref="A1087" r:id="rId3132" xr:uid="{00000000-0004-0000-0000-0000B50C0000}"/>
    <hyperlink ref="C1087" r:id="rId3133" xr:uid="{00000000-0004-0000-0000-0000B60C0000}"/>
    <hyperlink ref="D1087" r:id="rId3134" xr:uid="{00000000-0004-0000-0000-0000B70C0000}"/>
    <hyperlink ref="A1088" r:id="rId3135" xr:uid="{00000000-0004-0000-0000-0000B80C0000}"/>
    <hyperlink ref="C1088" r:id="rId3136" xr:uid="{00000000-0004-0000-0000-0000B90C0000}"/>
    <hyperlink ref="D1088" r:id="rId3137" xr:uid="{00000000-0004-0000-0000-0000BA0C0000}"/>
    <hyperlink ref="A1089" r:id="rId3138" xr:uid="{00000000-0004-0000-0000-0000BB0C0000}"/>
    <hyperlink ref="C1089" r:id="rId3139" xr:uid="{00000000-0004-0000-0000-0000BC0C0000}"/>
    <hyperlink ref="D1089" r:id="rId3140" xr:uid="{00000000-0004-0000-0000-0000BD0C0000}"/>
    <hyperlink ref="A1090" r:id="rId3141" xr:uid="{00000000-0004-0000-0000-0000BE0C0000}"/>
    <hyperlink ref="C1090" r:id="rId3142" xr:uid="{00000000-0004-0000-0000-0000BF0C0000}"/>
    <hyperlink ref="D1090" r:id="rId3143" xr:uid="{00000000-0004-0000-0000-0000C00C0000}"/>
    <hyperlink ref="A1091" r:id="rId3144" xr:uid="{00000000-0004-0000-0000-0000C10C0000}"/>
    <hyperlink ref="C1091" r:id="rId3145" xr:uid="{00000000-0004-0000-0000-0000C20C0000}"/>
    <hyperlink ref="D1091" r:id="rId3146" xr:uid="{00000000-0004-0000-0000-0000C30C0000}"/>
    <hyperlink ref="A1092" r:id="rId3147" xr:uid="{00000000-0004-0000-0000-0000C40C0000}"/>
    <hyperlink ref="C1092" r:id="rId3148" xr:uid="{00000000-0004-0000-0000-0000C50C0000}"/>
    <hyperlink ref="D1092" r:id="rId3149" xr:uid="{00000000-0004-0000-0000-0000C60C0000}"/>
    <hyperlink ref="A1093" r:id="rId3150" xr:uid="{00000000-0004-0000-0000-0000C70C0000}"/>
    <hyperlink ref="C1093" r:id="rId3151" xr:uid="{00000000-0004-0000-0000-0000C80C0000}"/>
    <hyperlink ref="D1093" r:id="rId3152" xr:uid="{00000000-0004-0000-0000-0000C90C0000}"/>
    <hyperlink ref="A1094" r:id="rId3153" xr:uid="{00000000-0004-0000-0000-0000CA0C0000}"/>
    <hyperlink ref="C1094" r:id="rId3154" xr:uid="{00000000-0004-0000-0000-0000CB0C0000}"/>
    <hyperlink ref="D1094" r:id="rId3155" xr:uid="{00000000-0004-0000-0000-0000CC0C0000}"/>
    <hyperlink ref="A1095" r:id="rId3156" xr:uid="{00000000-0004-0000-0000-0000CD0C0000}"/>
    <hyperlink ref="C1095" r:id="rId3157" xr:uid="{00000000-0004-0000-0000-0000CE0C0000}"/>
    <hyperlink ref="D1095" r:id="rId3158" xr:uid="{00000000-0004-0000-0000-0000CF0C0000}"/>
    <hyperlink ref="A1096" r:id="rId3159" xr:uid="{00000000-0004-0000-0000-0000D00C0000}"/>
    <hyperlink ref="C1096" r:id="rId3160" xr:uid="{00000000-0004-0000-0000-0000D10C0000}"/>
    <hyperlink ref="D1096" r:id="rId3161" xr:uid="{00000000-0004-0000-0000-0000D20C0000}"/>
    <hyperlink ref="A1097" r:id="rId3162" xr:uid="{00000000-0004-0000-0000-0000D30C0000}"/>
    <hyperlink ref="C1097" r:id="rId3163" xr:uid="{00000000-0004-0000-0000-0000D40C0000}"/>
    <hyperlink ref="D1097" r:id="rId3164" xr:uid="{00000000-0004-0000-0000-0000D50C0000}"/>
    <hyperlink ref="A1098" r:id="rId3165" xr:uid="{00000000-0004-0000-0000-0000D60C0000}"/>
    <hyperlink ref="C1098" r:id="rId3166" xr:uid="{00000000-0004-0000-0000-0000D70C0000}"/>
    <hyperlink ref="D1098" r:id="rId3167" xr:uid="{00000000-0004-0000-0000-0000D80C0000}"/>
    <hyperlink ref="A1099" r:id="rId3168" xr:uid="{00000000-0004-0000-0000-0000D90C0000}"/>
    <hyperlink ref="C1099" r:id="rId3169" xr:uid="{00000000-0004-0000-0000-0000DA0C0000}"/>
    <hyperlink ref="D1099" r:id="rId3170" xr:uid="{00000000-0004-0000-0000-0000DB0C0000}"/>
    <hyperlink ref="A1100" r:id="rId3171" xr:uid="{00000000-0004-0000-0000-0000DC0C0000}"/>
    <hyperlink ref="C1100" r:id="rId3172" xr:uid="{00000000-0004-0000-0000-0000DD0C0000}"/>
    <hyperlink ref="D1100" r:id="rId3173" xr:uid="{00000000-0004-0000-0000-0000DE0C0000}"/>
    <hyperlink ref="A1101" r:id="rId3174" xr:uid="{00000000-0004-0000-0000-0000DF0C0000}"/>
    <hyperlink ref="C1101" r:id="rId3175" xr:uid="{00000000-0004-0000-0000-0000E00C0000}"/>
    <hyperlink ref="D1101" r:id="rId3176" xr:uid="{00000000-0004-0000-0000-0000E10C0000}"/>
    <hyperlink ref="A1102" r:id="rId3177" xr:uid="{00000000-0004-0000-0000-0000E20C0000}"/>
    <hyperlink ref="C1102" r:id="rId3178" xr:uid="{00000000-0004-0000-0000-0000E30C0000}"/>
    <hyperlink ref="D1102" r:id="rId3179" xr:uid="{00000000-0004-0000-0000-0000E40C0000}"/>
    <hyperlink ref="A1103" r:id="rId3180" xr:uid="{00000000-0004-0000-0000-0000E50C0000}"/>
    <hyperlink ref="C1103" r:id="rId3181" xr:uid="{00000000-0004-0000-0000-0000E60C0000}"/>
    <hyperlink ref="D1103" r:id="rId3182" xr:uid="{00000000-0004-0000-0000-0000E70C0000}"/>
    <hyperlink ref="A1104" r:id="rId3183" xr:uid="{00000000-0004-0000-0000-0000E80C0000}"/>
    <hyperlink ref="C1104" r:id="rId3184" xr:uid="{00000000-0004-0000-0000-0000E90C0000}"/>
    <hyperlink ref="D1104" r:id="rId3185" xr:uid="{00000000-0004-0000-0000-0000EA0C0000}"/>
    <hyperlink ref="C1105" r:id="rId3186" xr:uid="{00000000-0004-0000-0000-0000EB0C0000}"/>
    <hyperlink ref="D1105" r:id="rId3187" xr:uid="{00000000-0004-0000-0000-0000EC0C0000}"/>
    <hyperlink ref="A1106" r:id="rId3188" xr:uid="{00000000-0004-0000-0000-0000ED0C0000}"/>
    <hyperlink ref="A1107" r:id="rId3189" xr:uid="{00000000-0004-0000-0000-0000EE0C0000}"/>
    <hyperlink ref="C1107" r:id="rId3190" xr:uid="{00000000-0004-0000-0000-0000EF0C0000}"/>
    <hyperlink ref="D1107" r:id="rId3191" xr:uid="{00000000-0004-0000-0000-0000F00C0000}"/>
    <hyperlink ref="A1108" r:id="rId3192" xr:uid="{00000000-0004-0000-0000-0000F10C0000}"/>
    <hyperlink ref="A1109" r:id="rId3193" xr:uid="{00000000-0004-0000-0000-0000F20C0000}"/>
    <hyperlink ref="C1109" r:id="rId3194" xr:uid="{00000000-0004-0000-0000-0000F30C0000}"/>
    <hyperlink ref="D1109" r:id="rId3195" xr:uid="{00000000-0004-0000-0000-0000F40C0000}"/>
    <hyperlink ref="A1110" r:id="rId3196" xr:uid="{00000000-0004-0000-0000-0000F50C0000}"/>
    <hyperlink ref="C1110" r:id="rId3197" xr:uid="{00000000-0004-0000-0000-0000F60C0000}"/>
    <hyperlink ref="D1110" r:id="rId3198" xr:uid="{00000000-0004-0000-0000-0000F70C0000}"/>
    <hyperlink ref="A1111" r:id="rId3199" xr:uid="{00000000-0004-0000-0000-0000F80C0000}"/>
    <hyperlink ref="C1111" r:id="rId3200" xr:uid="{00000000-0004-0000-0000-0000F90C0000}"/>
    <hyperlink ref="D1111" r:id="rId3201" xr:uid="{00000000-0004-0000-0000-0000FA0C0000}"/>
    <hyperlink ref="A1112" r:id="rId3202" xr:uid="{00000000-0004-0000-0000-0000FB0C0000}"/>
    <hyperlink ref="C1112" r:id="rId3203" xr:uid="{00000000-0004-0000-0000-0000FC0C0000}"/>
    <hyperlink ref="D1112" r:id="rId3204" xr:uid="{00000000-0004-0000-0000-0000FD0C0000}"/>
    <hyperlink ref="A1113" r:id="rId3205" xr:uid="{00000000-0004-0000-0000-0000FE0C0000}"/>
    <hyperlink ref="C1113" r:id="rId3206" xr:uid="{00000000-0004-0000-0000-0000FF0C0000}"/>
    <hyperlink ref="D1113" r:id="rId3207" xr:uid="{00000000-0004-0000-0000-0000000D0000}"/>
    <hyperlink ref="A1114" r:id="rId3208" xr:uid="{00000000-0004-0000-0000-0000010D0000}"/>
    <hyperlink ref="C1114" r:id="rId3209" xr:uid="{00000000-0004-0000-0000-0000020D0000}"/>
    <hyperlink ref="D1114" r:id="rId3210" xr:uid="{00000000-0004-0000-0000-0000030D0000}"/>
    <hyperlink ref="A1115" r:id="rId3211" xr:uid="{00000000-0004-0000-0000-0000040D0000}"/>
    <hyperlink ref="C1115" r:id="rId3212" xr:uid="{00000000-0004-0000-0000-0000050D0000}"/>
    <hyperlink ref="D1115" r:id="rId3213" xr:uid="{00000000-0004-0000-0000-0000060D0000}"/>
    <hyperlink ref="A1116" r:id="rId3214" xr:uid="{00000000-0004-0000-0000-0000070D0000}"/>
    <hyperlink ref="C1116" r:id="rId3215" xr:uid="{00000000-0004-0000-0000-0000080D0000}"/>
    <hyperlink ref="D1116" r:id="rId3216" xr:uid="{00000000-0004-0000-0000-0000090D0000}"/>
    <hyperlink ref="A1117" r:id="rId3217" xr:uid="{00000000-0004-0000-0000-00000A0D0000}"/>
    <hyperlink ref="C1117" r:id="rId3218" xr:uid="{00000000-0004-0000-0000-00000B0D0000}"/>
    <hyperlink ref="D1117" r:id="rId3219" xr:uid="{00000000-0004-0000-0000-00000C0D0000}"/>
    <hyperlink ref="A1118" r:id="rId3220" xr:uid="{00000000-0004-0000-0000-00000D0D0000}"/>
    <hyperlink ref="C1118" r:id="rId3221" xr:uid="{00000000-0004-0000-0000-00000E0D0000}"/>
    <hyperlink ref="D1118" r:id="rId3222" xr:uid="{00000000-0004-0000-0000-00000F0D0000}"/>
    <hyperlink ref="A1119" r:id="rId3223" xr:uid="{00000000-0004-0000-0000-0000100D0000}"/>
    <hyperlink ref="C1119" r:id="rId3224" xr:uid="{00000000-0004-0000-0000-0000110D0000}"/>
    <hyperlink ref="D1119" r:id="rId3225" xr:uid="{00000000-0004-0000-0000-0000120D0000}"/>
    <hyperlink ref="E1119" r:id="rId3226" xr:uid="{00000000-0004-0000-0000-0000130D0000}"/>
    <hyperlink ref="A1120" r:id="rId3227" xr:uid="{00000000-0004-0000-0000-0000140D0000}"/>
    <hyperlink ref="C1120" r:id="rId3228" xr:uid="{00000000-0004-0000-0000-0000150D0000}"/>
    <hyperlink ref="D1120" r:id="rId3229" xr:uid="{00000000-0004-0000-0000-0000160D0000}"/>
    <hyperlink ref="A1121" r:id="rId3230" xr:uid="{00000000-0004-0000-0000-0000170D0000}"/>
    <hyperlink ref="C1121" r:id="rId3231" xr:uid="{00000000-0004-0000-0000-0000180D0000}"/>
    <hyperlink ref="D1121" r:id="rId3232" xr:uid="{00000000-0004-0000-0000-0000190D0000}"/>
    <hyperlink ref="A1122" r:id="rId3233" xr:uid="{00000000-0004-0000-0000-00001A0D0000}"/>
    <hyperlink ref="C1122" r:id="rId3234" xr:uid="{00000000-0004-0000-0000-00001B0D0000}"/>
    <hyperlink ref="D1122" r:id="rId3235" xr:uid="{00000000-0004-0000-0000-00001C0D0000}"/>
    <hyperlink ref="C1123" r:id="rId3236" xr:uid="{00000000-0004-0000-0000-00001D0D0000}"/>
    <hyperlink ref="D1123" r:id="rId3237" xr:uid="{00000000-0004-0000-0000-00001E0D0000}"/>
    <hyperlink ref="A1124" r:id="rId3238" xr:uid="{00000000-0004-0000-0000-00001F0D0000}"/>
    <hyperlink ref="C1124" r:id="rId3239" xr:uid="{00000000-0004-0000-0000-0000200D0000}"/>
    <hyperlink ref="D1124" r:id="rId3240" xr:uid="{00000000-0004-0000-0000-0000210D0000}"/>
    <hyperlink ref="A1125" r:id="rId3241" xr:uid="{00000000-0004-0000-0000-0000220D0000}"/>
    <hyperlink ref="C1125" r:id="rId3242" xr:uid="{00000000-0004-0000-0000-0000230D0000}"/>
    <hyperlink ref="D1125" r:id="rId3243" xr:uid="{00000000-0004-0000-0000-0000240D0000}"/>
    <hyperlink ref="A1126" r:id="rId3244" xr:uid="{00000000-0004-0000-0000-0000250D0000}"/>
    <hyperlink ref="C1126" r:id="rId3245" xr:uid="{00000000-0004-0000-0000-0000260D0000}"/>
    <hyperlink ref="D1126" r:id="rId3246" xr:uid="{00000000-0004-0000-0000-0000270D0000}"/>
    <hyperlink ref="C1127" r:id="rId3247" xr:uid="{00000000-0004-0000-0000-0000280D0000}"/>
    <hyperlink ref="D1127" r:id="rId3248" xr:uid="{00000000-0004-0000-0000-0000290D0000}"/>
    <hyperlink ref="A1128" r:id="rId3249" xr:uid="{00000000-0004-0000-0000-00002A0D0000}"/>
    <hyperlink ref="C1128" r:id="rId3250" xr:uid="{00000000-0004-0000-0000-00002B0D0000}"/>
    <hyperlink ref="D1128" r:id="rId3251" xr:uid="{00000000-0004-0000-0000-00002C0D0000}"/>
    <hyperlink ref="E1128" r:id="rId3252" xr:uid="{00000000-0004-0000-0000-00002D0D0000}"/>
    <hyperlink ref="A1129" r:id="rId3253" xr:uid="{00000000-0004-0000-0000-00002E0D0000}"/>
    <hyperlink ref="C1129" r:id="rId3254" xr:uid="{00000000-0004-0000-0000-00002F0D0000}"/>
    <hyperlink ref="D1129" r:id="rId3255" xr:uid="{00000000-0004-0000-0000-0000300D0000}"/>
    <hyperlink ref="C1130" r:id="rId3256" xr:uid="{00000000-0004-0000-0000-0000310D0000}"/>
    <hyperlink ref="D1130" r:id="rId3257" xr:uid="{00000000-0004-0000-0000-0000320D0000}"/>
    <hyperlink ref="A1131" r:id="rId3258" xr:uid="{00000000-0004-0000-0000-0000330D0000}"/>
    <hyperlink ref="C1131" r:id="rId3259" xr:uid="{00000000-0004-0000-0000-0000340D0000}"/>
    <hyperlink ref="D1131" r:id="rId3260" xr:uid="{00000000-0004-0000-0000-0000350D0000}"/>
    <hyperlink ref="A1132" r:id="rId3261" xr:uid="{00000000-0004-0000-0000-0000360D0000}"/>
    <hyperlink ref="C1132" r:id="rId3262" xr:uid="{00000000-0004-0000-0000-0000370D0000}"/>
    <hyperlink ref="D1132" r:id="rId3263" xr:uid="{00000000-0004-0000-0000-0000380D0000}"/>
    <hyperlink ref="A1133" r:id="rId3264" xr:uid="{00000000-0004-0000-0000-0000390D0000}"/>
    <hyperlink ref="C1133" r:id="rId3265" xr:uid="{00000000-0004-0000-0000-00003A0D0000}"/>
    <hyperlink ref="D1133" r:id="rId3266" xr:uid="{00000000-0004-0000-0000-00003B0D0000}"/>
    <hyperlink ref="A1134" r:id="rId3267" xr:uid="{00000000-0004-0000-0000-00003C0D0000}"/>
    <hyperlink ref="C1134" r:id="rId3268" xr:uid="{00000000-0004-0000-0000-00003D0D0000}"/>
    <hyperlink ref="D1134" r:id="rId3269" xr:uid="{00000000-0004-0000-0000-00003E0D0000}"/>
    <hyperlink ref="C1135" r:id="rId3270" xr:uid="{00000000-0004-0000-0000-00003F0D0000}"/>
    <hyperlink ref="D1135" r:id="rId3271" xr:uid="{00000000-0004-0000-0000-0000400D0000}"/>
    <hyperlink ref="A1136" r:id="rId3272" xr:uid="{00000000-0004-0000-0000-0000410D0000}"/>
    <hyperlink ref="C1136" r:id="rId3273" xr:uid="{00000000-0004-0000-0000-0000420D0000}"/>
    <hyperlink ref="D1136" r:id="rId3274" xr:uid="{00000000-0004-0000-0000-0000430D0000}"/>
    <hyperlink ref="A1137" r:id="rId3275" xr:uid="{00000000-0004-0000-0000-0000440D0000}"/>
    <hyperlink ref="C1137" r:id="rId3276" xr:uid="{00000000-0004-0000-0000-0000450D0000}"/>
    <hyperlink ref="D1137" r:id="rId3277" xr:uid="{00000000-0004-0000-0000-0000460D0000}"/>
    <hyperlink ref="A1138" r:id="rId3278" xr:uid="{00000000-0004-0000-0000-0000470D0000}"/>
    <hyperlink ref="C1138" r:id="rId3279" xr:uid="{00000000-0004-0000-0000-0000480D0000}"/>
    <hyperlink ref="D1138" r:id="rId3280" xr:uid="{00000000-0004-0000-0000-0000490D0000}"/>
    <hyperlink ref="A1139" r:id="rId3281" xr:uid="{00000000-0004-0000-0000-00004A0D0000}"/>
    <hyperlink ref="C1139" r:id="rId3282" xr:uid="{00000000-0004-0000-0000-00004B0D0000}"/>
    <hyperlink ref="D1139" r:id="rId3283" xr:uid="{00000000-0004-0000-0000-00004C0D0000}"/>
    <hyperlink ref="A1140" r:id="rId3284" xr:uid="{00000000-0004-0000-0000-00004D0D0000}"/>
    <hyperlink ref="C1140" r:id="rId3285" xr:uid="{00000000-0004-0000-0000-00004E0D0000}"/>
    <hyperlink ref="D1140" r:id="rId3286" xr:uid="{00000000-0004-0000-0000-00004F0D0000}"/>
    <hyperlink ref="A1141" r:id="rId3287" xr:uid="{00000000-0004-0000-0000-0000500D0000}"/>
    <hyperlink ref="C1141" r:id="rId3288" xr:uid="{00000000-0004-0000-0000-0000510D0000}"/>
    <hyperlink ref="D1141" r:id="rId3289" xr:uid="{00000000-0004-0000-0000-0000520D0000}"/>
    <hyperlink ref="A1142" r:id="rId3290" xr:uid="{00000000-0004-0000-0000-0000530D0000}"/>
    <hyperlink ref="C1142" r:id="rId3291" xr:uid="{00000000-0004-0000-0000-0000540D0000}"/>
    <hyperlink ref="D1142" r:id="rId3292" xr:uid="{00000000-0004-0000-0000-0000550D0000}"/>
    <hyperlink ref="A1143" r:id="rId3293" xr:uid="{00000000-0004-0000-0000-0000560D0000}"/>
    <hyperlink ref="C1143" r:id="rId3294" xr:uid="{00000000-0004-0000-0000-0000570D0000}"/>
    <hyperlink ref="D1143" r:id="rId3295" xr:uid="{00000000-0004-0000-0000-0000580D0000}"/>
    <hyperlink ref="A1144" r:id="rId3296" xr:uid="{00000000-0004-0000-0000-0000590D0000}"/>
    <hyperlink ref="C1144" r:id="rId3297" xr:uid="{00000000-0004-0000-0000-00005A0D0000}"/>
    <hyperlink ref="D1144" r:id="rId3298" xr:uid="{00000000-0004-0000-0000-00005B0D0000}"/>
    <hyperlink ref="A1145" r:id="rId3299" xr:uid="{00000000-0004-0000-0000-00005C0D0000}"/>
    <hyperlink ref="C1145" r:id="rId3300" xr:uid="{00000000-0004-0000-0000-00005D0D0000}"/>
    <hyperlink ref="D1145" r:id="rId3301" xr:uid="{00000000-0004-0000-0000-00005E0D0000}"/>
    <hyperlink ref="A1146" r:id="rId3302" xr:uid="{00000000-0004-0000-0000-00005F0D0000}"/>
    <hyperlink ref="C1146" r:id="rId3303" xr:uid="{00000000-0004-0000-0000-0000600D0000}"/>
    <hyperlink ref="D1146" r:id="rId3304" xr:uid="{00000000-0004-0000-0000-0000610D0000}"/>
    <hyperlink ref="A1147" r:id="rId3305" xr:uid="{00000000-0004-0000-0000-0000620D0000}"/>
    <hyperlink ref="C1147" r:id="rId3306" xr:uid="{00000000-0004-0000-0000-0000630D0000}"/>
    <hyperlink ref="D1147" r:id="rId3307" xr:uid="{00000000-0004-0000-0000-0000640D0000}"/>
    <hyperlink ref="A1148" r:id="rId3308" xr:uid="{00000000-0004-0000-0000-0000650D0000}"/>
    <hyperlink ref="C1148" r:id="rId3309" xr:uid="{00000000-0004-0000-0000-0000660D0000}"/>
    <hyperlink ref="D1148" r:id="rId3310" xr:uid="{00000000-0004-0000-0000-0000670D0000}"/>
    <hyperlink ref="C1149" r:id="rId3311" xr:uid="{00000000-0004-0000-0000-0000680D0000}"/>
    <hyperlink ref="D1149" r:id="rId3312" xr:uid="{00000000-0004-0000-0000-0000690D0000}"/>
    <hyperlink ref="A1150" r:id="rId3313" xr:uid="{00000000-0004-0000-0000-00006A0D0000}"/>
    <hyperlink ref="C1150" r:id="rId3314" xr:uid="{00000000-0004-0000-0000-00006B0D0000}"/>
    <hyperlink ref="D1150" r:id="rId3315" xr:uid="{00000000-0004-0000-0000-00006C0D0000}"/>
    <hyperlink ref="A1151" r:id="rId3316" xr:uid="{00000000-0004-0000-0000-00006D0D0000}"/>
    <hyperlink ref="C1151" r:id="rId3317" xr:uid="{00000000-0004-0000-0000-00006E0D0000}"/>
    <hyperlink ref="D1151" r:id="rId3318" xr:uid="{00000000-0004-0000-0000-00006F0D0000}"/>
    <hyperlink ref="A1152" r:id="rId3319" xr:uid="{00000000-0004-0000-0000-0000700D0000}"/>
    <hyperlink ref="C1152" r:id="rId3320" xr:uid="{00000000-0004-0000-0000-0000710D0000}"/>
    <hyperlink ref="D1152" r:id="rId3321" xr:uid="{00000000-0004-0000-0000-0000720D0000}"/>
    <hyperlink ref="A1153" r:id="rId3322" xr:uid="{00000000-0004-0000-0000-0000730D0000}"/>
    <hyperlink ref="C1153" r:id="rId3323" xr:uid="{00000000-0004-0000-0000-0000740D0000}"/>
    <hyperlink ref="D1153" r:id="rId3324" xr:uid="{00000000-0004-0000-0000-0000750D0000}"/>
    <hyperlink ref="A1154" r:id="rId3325" xr:uid="{00000000-0004-0000-0000-0000760D0000}"/>
    <hyperlink ref="C1154" r:id="rId3326" xr:uid="{00000000-0004-0000-0000-0000770D0000}"/>
    <hyperlink ref="D1154" r:id="rId3327" xr:uid="{00000000-0004-0000-0000-0000780D0000}"/>
    <hyperlink ref="A1155" r:id="rId3328" xr:uid="{00000000-0004-0000-0000-0000790D0000}"/>
    <hyperlink ref="C1155" r:id="rId3329" xr:uid="{00000000-0004-0000-0000-00007A0D0000}"/>
    <hyperlink ref="D1155" r:id="rId3330" xr:uid="{00000000-0004-0000-0000-00007B0D0000}"/>
    <hyperlink ref="A1156" r:id="rId3331" xr:uid="{00000000-0004-0000-0000-00007C0D0000}"/>
    <hyperlink ref="C1156" r:id="rId3332" xr:uid="{00000000-0004-0000-0000-00007D0D0000}"/>
    <hyperlink ref="D1156" r:id="rId3333" xr:uid="{00000000-0004-0000-0000-00007E0D0000}"/>
    <hyperlink ref="A1157" r:id="rId3334" xr:uid="{00000000-0004-0000-0000-00007F0D0000}"/>
    <hyperlink ref="C1157" r:id="rId3335" xr:uid="{00000000-0004-0000-0000-0000800D0000}"/>
    <hyperlink ref="D1157" r:id="rId3336" xr:uid="{00000000-0004-0000-0000-0000810D0000}"/>
    <hyperlink ref="A1158" r:id="rId3337" xr:uid="{00000000-0004-0000-0000-0000820D0000}"/>
    <hyperlink ref="C1158" r:id="rId3338" xr:uid="{00000000-0004-0000-0000-0000830D0000}"/>
    <hyperlink ref="D1158" r:id="rId3339" xr:uid="{00000000-0004-0000-0000-0000840D0000}"/>
    <hyperlink ref="A1159" r:id="rId3340" xr:uid="{00000000-0004-0000-0000-0000850D0000}"/>
    <hyperlink ref="C1159" r:id="rId3341" xr:uid="{00000000-0004-0000-0000-0000860D0000}"/>
    <hyperlink ref="D1159" r:id="rId3342" xr:uid="{00000000-0004-0000-0000-0000870D0000}"/>
    <hyperlink ref="A1160" r:id="rId3343" xr:uid="{00000000-0004-0000-0000-0000880D0000}"/>
    <hyperlink ref="C1160" r:id="rId3344" xr:uid="{00000000-0004-0000-0000-0000890D0000}"/>
    <hyperlink ref="D1160" r:id="rId3345" xr:uid="{00000000-0004-0000-0000-00008A0D0000}"/>
    <hyperlink ref="A1161" r:id="rId3346" xr:uid="{00000000-0004-0000-0000-00008B0D0000}"/>
    <hyperlink ref="C1161" r:id="rId3347" xr:uid="{00000000-0004-0000-0000-00008C0D0000}"/>
    <hyperlink ref="D1161" r:id="rId3348" xr:uid="{00000000-0004-0000-0000-00008D0D0000}"/>
    <hyperlink ref="A1162" r:id="rId3349" xr:uid="{00000000-0004-0000-0000-00008E0D0000}"/>
    <hyperlink ref="C1162" r:id="rId3350" xr:uid="{00000000-0004-0000-0000-00008F0D0000}"/>
    <hyperlink ref="D1162" r:id="rId3351" xr:uid="{00000000-0004-0000-0000-0000900D0000}"/>
    <hyperlink ref="A1163" r:id="rId3352" xr:uid="{00000000-0004-0000-0000-0000910D0000}"/>
    <hyperlink ref="C1163" r:id="rId3353" xr:uid="{00000000-0004-0000-0000-0000920D0000}"/>
    <hyperlink ref="D1163" r:id="rId3354" xr:uid="{00000000-0004-0000-0000-0000930D0000}"/>
    <hyperlink ref="A1164" r:id="rId3355" xr:uid="{00000000-0004-0000-0000-0000940D0000}"/>
    <hyperlink ref="C1164" r:id="rId3356" xr:uid="{00000000-0004-0000-0000-0000950D0000}"/>
    <hyperlink ref="D1164" r:id="rId3357" xr:uid="{00000000-0004-0000-0000-0000960D0000}"/>
    <hyperlink ref="C1165" r:id="rId3358" xr:uid="{00000000-0004-0000-0000-0000970D0000}"/>
    <hyperlink ref="D1165" r:id="rId3359" xr:uid="{00000000-0004-0000-0000-0000980D0000}"/>
    <hyperlink ref="A1166" r:id="rId3360" xr:uid="{00000000-0004-0000-0000-0000990D0000}"/>
    <hyperlink ref="C1166" r:id="rId3361" xr:uid="{00000000-0004-0000-0000-00009A0D0000}"/>
    <hyperlink ref="D1166" r:id="rId3362" xr:uid="{00000000-0004-0000-0000-00009B0D0000}"/>
    <hyperlink ref="A1167" r:id="rId3363" xr:uid="{00000000-0004-0000-0000-00009C0D0000}"/>
    <hyperlink ref="C1167" r:id="rId3364" xr:uid="{00000000-0004-0000-0000-00009D0D0000}"/>
    <hyperlink ref="D1167" r:id="rId3365" xr:uid="{00000000-0004-0000-0000-00009E0D0000}"/>
    <hyperlink ref="E1167" r:id="rId3366" xr:uid="{00000000-0004-0000-0000-00009F0D0000}"/>
    <hyperlink ref="A1168" r:id="rId3367" xr:uid="{00000000-0004-0000-0000-0000A00D0000}"/>
    <hyperlink ref="C1168" r:id="rId3368" xr:uid="{00000000-0004-0000-0000-0000A10D0000}"/>
    <hyperlink ref="D1168" r:id="rId3369" xr:uid="{00000000-0004-0000-0000-0000A20D0000}"/>
    <hyperlink ref="A1169" r:id="rId3370" xr:uid="{00000000-0004-0000-0000-0000A30D0000}"/>
    <hyperlink ref="C1169" r:id="rId3371" xr:uid="{00000000-0004-0000-0000-0000A40D0000}"/>
    <hyperlink ref="D1169" r:id="rId3372" xr:uid="{00000000-0004-0000-0000-0000A50D0000}"/>
    <hyperlink ref="A1170" r:id="rId3373" xr:uid="{00000000-0004-0000-0000-0000A60D0000}"/>
    <hyperlink ref="C1170" r:id="rId3374" xr:uid="{00000000-0004-0000-0000-0000A70D0000}"/>
    <hyperlink ref="D1170" r:id="rId3375" xr:uid="{00000000-0004-0000-0000-0000A80D0000}"/>
    <hyperlink ref="A1171" r:id="rId3376" xr:uid="{00000000-0004-0000-0000-0000A90D0000}"/>
    <hyperlink ref="C1171" r:id="rId3377" xr:uid="{00000000-0004-0000-0000-0000AA0D0000}"/>
    <hyperlink ref="D1171" r:id="rId3378" xr:uid="{00000000-0004-0000-0000-0000AB0D0000}"/>
    <hyperlink ref="A1172" r:id="rId3379" xr:uid="{00000000-0004-0000-0000-0000AC0D0000}"/>
    <hyperlink ref="C1172" r:id="rId3380" xr:uid="{00000000-0004-0000-0000-0000AD0D0000}"/>
    <hyperlink ref="D1172" r:id="rId3381" xr:uid="{00000000-0004-0000-0000-0000AE0D0000}"/>
    <hyperlink ref="E1172" r:id="rId3382" xr:uid="{00000000-0004-0000-0000-0000AF0D0000}"/>
    <hyperlink ref="A1173" r:id="rId3383" xr:uid="{00000000-0004-0000-0000-0000B00D0000}"/>
    <hyperlink ref="C1173" r:id="rId3384" xr:uid="{00000000-0004-0000-0000-0000B10D0000}"/>
    <hyperlink ref="D1173" r:id="rId3385" xr:uid="{00000000-0004-0000-0000-0000B20D0000}"/>
    <hyperlink ref="A1174" r:id="rId3386" xr:uid="{00000000-0004-0000-0000-0000B30D0000}"/>
    <hyperlink ref="C1174" r:id="rId3387" xr:uid="{00000000-0004-0000-0000-0000B40D0000}"/>
    <hyperlink ref="D1174" r:id="rId3388" xr:uid="{00000000-0004-0000-0000-0000B50D0000}"/>
    <hyperlink ref="A1175" r:id="rId3389" xr:uid="{00000000-0004-0000-0000-0000B60D0000}"/>
    <hyperlink ref="C1175" r:id="rId3390" xr:uid="{00000000-0004-0000-0000-0000B70D0000}"/>
    <hyperlink ref="D1175" r:id="rId3391" xr:uid="{00000000-0004-0000-0000-0000B80D0000}"/>
    <hyperlink ref="A1176" r:id="rId3392" xr:uid="{00000000-0004-0000-0000-0000B90D0000}"/>
    <hyperlink ref="C1176" r:id="rId3393" xr:uid="{00000000-0004-0000-0000-0000BA0D0000}"/>
    <hyperlink ref="D1176" r:id="rId3394" xr:uid="{00000000-0004-0000-0000-0000BB0D0000}"/>
    <hyperlink ref="C1177" r:id="rId3395" xr:uid="{00000000-0004-0000-0000-0000BC0D0000}"/>
    <hyperlink ref="D1177" r:id="rId3396" xr:uid="{00000000-0004-0000-0000-0000BD0D0000}"/>
    <hyperlink ref="A1178" r:id="rId3397" xr:uid="{00000000-0004-0000-0000-0000BE0D0000}"/>
    <hyperlink ref="C1178" r:id="rId3398" xr:uid="{00000000-0004-0000-0000-0000BF0D0000}"/>
    <hyperlink ref="D1178" r:id="rId3399" xr:uid="{00000000-0004-0000-0000-0000C00D0000}"/>
    <hyperlink ref="E1178" r:id="rId3400" xr:uid="{00000000-0004-0000-0000-0000C10D0000}"/>
    <hyperlink ref="A1179" r:id="rId3401" xr:uid="{00000000-0004-0000-0000-0000C20D0000}"/>
    <hyperlink ref="C1179" r:id="rId3402" xr:uid="{00000000-0004-0000-0000-0000C30D0000}"/>
    <hyperlink ref="D1179" r:id="rId3403" xr:uid="{00000000-0004-0000-0000-0000C40D0000}"/>
    <hyperlink ref="E1179" r:id="rId3404" xr:uid="{00000000-0004-0000-0000-0000C50D0000}"/>
    <hyperlink ref="A1180" r:id="rId3405" xr:uid="{00000000-0004-0000-0000-0000C60D0000}"/>
    <hyperlink ref="C1180" r:id="rId3406" xr:uid="{00000000-0004-0000-0000-0000C70D0000}"/>
    <hyperlink ref="D1180" r:id="rId3407" xr:uid="{00000000-0004-0000-0000-0000C80D0000}"/>
    <hyperlink ref="E1180" r:id="rId3408" xr:uid="{00000000-0004-0000-0000-0000C90D0000}"/>
    <hyperlink ref="A1181" r:id="rId3409" xr:uid="{00000000-0004-0000-0000-0000CA0D0000}"/>
    <hyperlink ref="C1181" r:id="rId3410" xr:uid="{00000000-0004-0000-0000-0000CB0D0000}"/>
    <hyperlink ref="D1181" r:id="rId3411" xr:uid="{00000000-0004-0000-0000-0000CC0D0000}"/>
    <hyperlink ref="E1181" r:id="rId3412" xr:uid="{00000000-0004-0000-0000-0000CD0D0000}"/>
    <hyperlink ref="A1182" r:id="rId3413" xr:uid="{00000000-0004-0000-0000-0000CE0D0000}"/>
    <hyperlink ref="C1182" r:id="rId3414" xr:uid="{00000000-0004-0000-0000-0000CF0D0000}"/>
    <hyperlink ref="D1182" r:id="rId3415" xr:uid="{00000000-0004-0000-0000-0000D00D0000}"/>
    <hyperlink ref="A1183" r:id="rId3416" xr:uid="{00000000-0004-0000-0000-0000D10D0000}"/>
    <hyperlink ref="C1183" r:id="rId3417" xr:uid="{00000000-0004-0000-0000-0000D20D0000}"/>
    <hyperlink ref="D1183" r:id="rId3418" xr:uid="{00000000-0004-0000-0000-0000D30D0000}"/>
    <hyperlink ref="A1184" r:id="rId3419" xr:uid="{00000000-0004-0000-0000-0000D40D0000}"/>
    <hyperlink ref="C1184" r:id="rId3420" xr:uid="{00000000-0004-0000-0000-0000D50D0000}"/>
    <hyperlink ref="D1184" r:id="rId3421" xr:uid="{00000000-0004-0000-0000-0000D60D0000}"/>
    <hyperlink ref="A1185" r:id="rId3422" xr:uid="{00000000-0004-0000-0000-0000D70D0000}"/>
    <hyperlink ref="C1185" r:id="rId3423" xr:uid="{00000000-0004-0000-0000-0000D80D0000}"/>
    <hyperlink ref="D1185" r:id="rId3424" xr:uid="{00000000-0004-0000-0000-0000D90D0000}"/>
    <hyperlink ref="A1186" r:id="rId3425" xr:uid="{00000000-0004-0000-0000-0000DA0D0000}"/>
    <hyperlink ref="C1186" r:id="rId3426" xr:uid="{00000000-0004-0000-0000-0000DB0D0000}"/>
    <hyperlink ref="D1186" r:id="rId3427" xr:uid="{00000000-0004-0000-0000-0000DC0D0000}"/>
    <hyperlink ref="A1187" r:id="rId3428" xr:uid="{00000000-0004-0000-0000-0000DD0D0000}"/>
    <hyperlink ref="C1187" r:id="rId3429" xr:uid="{00000000-0004-0000-0000-0000DE0D0000}"/>
    <hyperlink ref="D1187" r:id="rId3430" xr:uid="{00000000-0004-0000-0000-0000DF0D0000}"/>
    <hyperlink ref="A1188" r:id="rId3431" xr:uid="{00000000-0004-0000-0000-0000E00D0000}"/>
    <hyperlink ref="C1188" r:id="rId3432" xr:uid="{00000000-0004-0000-0000-0000E10D0000}"/>
    <hyperlink ref="D1188" r:id="rId3433" xr:uid="{00000000-0004-0000-0000-0000E20D0000}"/>
    <hyperlink ref="A1189" r:id="rId3434" xr:uid="{00000000-0004-0000-0000-0000E30D0000}"/>
    <hyperlink ref="C1189" r:id="rId3435" xr:uid="{00000000-0004-0000-0000-0000E40D0000}"/>
    <hyperlink ref="D1189" r:id="rId3436" xr:uid="{00000000-0004-0000-0000-0000E50D0000}"/>
    <hyperlink ref="A1190" r:id="rId3437" xr:uid="{00000000-0004-0000-0000-0000E60D0000}"/>
    <hyperlink ref="C1190" r:id="rId3438" xr:uid="{00000000-0004-0000-0000-0000E70D0000}"/>
    <hyperlink ref="D1190" r:id="rId3439" xr:uid="{00000000-0004-0000-0000-0000E80D0000}"/>
    <hyperlink ref="A1191" r:id="rId3440" xr:uid="{00000000-0004-0000-0000-0000E90D0000}"/>
    <hyperlink ref="C1191" r:id="rId3441" xr:uid="{00000000-0004-0000-0000-0000EA0D0000}"/>
    <hyperlink ref="D1191" r:id="rId3442" xr:uid="{00000000-0004-0000-0000-0000EB0D0000}"/>
    <hyperlink ref="A1192" r:id="rId3443" xr:uid="{00000000-0004-0000-0000-0000EC0D0000}"/>
    <hyperlink ref="C1192" r:id="rId3444" xr:uid="{00000000-0004-0000-0000-0000ED0D0000}"/>
    <hyperlink ref="D1192" r:id="rId3445" xr:uid="{00000000-0004-0000-0000-0000EE0D0000}"/>
    <hyperlink ref="A1193" r:id="rId3446" xr:uid="{00000000-0004-0000-0000-0000EF0D0000}"/>
    <hyperlink ref="C1193" r:id="rId3447" xr:uid="{00000000-0004-0000-0000-0000F00D0000}"/>
    <hyperlink ref="D1193" r:id="rId3448" xr:uid="{00000000-0004-0000-0000-0000F10D0000}"/>
    <hyperlink ref="A1194" r:id="rId3449" xr:uid="{00000000-0004-0000-0000-0000F20D0000}"/>
    <hyperlink ref="C1194" r:id="rId3450" xr:uid="{00000000-0004-0000-0000-0000F30D0000}"/>
    <hyperlink ref="D1194" r:id="rId3451" xr:uid="{00000000-0004-0000-0000-0000F40D0000}"/>
    <hyperlink ref="A1195" r:id="rId3452" xr:uid="{00000000-0004-0000-0000-0000F50D0000}"/>
    <hyperlink ref="C1195" r:id="rId3453" xr:uid="{00000000-0004-0000-0000-0000F60D0000}"/>
    <hyperlink ref="D1195" r:id="rId3454" xr:uid="{00000000-0004-0000-0000-0000F70D0000}"/>
    <hyperlink ref="A1196" r:id="rId3455" xr:uid="{00000000-0004-0000-0000-0000F80D0000}"/>
    <hyperlink ref="C1196" r:id="rId3456" xr:uid="{00000000-0004-0000-0000-0000F90D0000}"/>
    <hyperlink ref="D1196" r:id="rId3457" xr:uid="{00000000-0004-0000-0000-0000FA0D0000}"/>
    <hyperlink ref="A1197" r:id="rId3458" xr:uid="{00000000-0004-0000-0000-0000FB0D0000}"/>
    <hyperlink ref="C1197" r:id="rId3459" xr:uid="{00000000-0004-0000-0000-0000FC0D0000}"/>
    <hyperlink ref="D1197" r:id="rId3460" xr:uid="{00000000-0004-0000-0000-0000FD0D0000}"/>
    <hyperlink ref="E1197" r:id="rId3461" xr:uid="{00000000-0004-0000-0000-0000FE0D0000}"/>
    <hyperlink ref="A1198" r:id="rId3462" xr:uid="{00000000-0004-0000-0000-0000FF0D0000}"/>
    <hyperlink ref="C1198" r:id="rId3463" xr:uid="{00000000-0004-0000-0000-0000000E0000}"/>
    <hyperlink ref="D1198" r:id="rId3464" xr:uid="{00000000-0004-0000-0000-0000010E0000}"/>
    <hyperlink ref="A1199" r:id="rId3465" xr:uid="{00000000-0004-0000-0000-0000020E0000}"/>
    <hyperlink ref="C1199" r:id="rId3466" xr:uid="{00000000-0004-0000-0000-0000030E0000}"/>
    <hyperlink ref="D1199" r:id="rId3467" xr:uid="{00000000-0004-0000-0000-0000040E0000}"/>
    <hyperlink ref="C1200" r:id="rId3468" xr:uid="{00000000-0004-0000-0000-0000050E0000}"/>
    <hyperlink ref="D1200" r:id="rId3469" xr:uid="{00000000-0004-0000-0000-0000060E0000}"/>
    <hyperlink ref="A1201" r:id="rId3470" xr:uid="{00000000-0004-0000-0000-0000070E0000}"/>
    <hyperlink ref="C1201" r:id="rId3471" xr:uid="{00000000-0004-0000-0000-0000080E0000}"/>
    <hyperlink ref="D1201" r:id="rId3472" xr:uid="{00000000-0004-0000-0000-0000090E0000}"/>
    <hyperlink ref="C1202" r:id="rId3473" xr:uid="{00000000-0004-0000-0000-00000A0E0000}"/>
    <hyperlink ref="D1202" r:id="rId3474" xr:uid="{00000000-0004-0000-0000-00000B0E0000}"/>
    <hyperlink ref="A1203" r:id="rId3475" xr:uid="{00000000-0004-0000-0000-00000C0E0000}"/>
    <hyperlink ref="C1203" r:id="rId3476" xr:uid="{00000000-0004-0000-0000-00000D0E0000}"/>
    <hyperlink ref="D1203" r:id="rId3477" xr:uid="{00000000-0004-0000-0000-00000E0E0000}"/>
    <hyperlink ref="A1204" r:id="rId3478" xr:uid="{00000000-0004-0000-0000-00000F0E0000}"/>
    <hyperlink ref="C1204" r:id="rId3479" xr:uid="{00000000-0004-0000-0000-0000100E0000}"/>
    <hyperlink ref="D1204" r:id="rId3480" xr:uid="{00000000-0004-0000-0000-0000110E0000}"/>
    <hyperlink ref="A1205" r:id="rId3481" xr:uid="{00000000-0004-0000-0000-0000120E0000}"/>
    <hyperlink ref="C1205" r:id="rId3482" xr:uid="{00000000-0004-0000-0000-0000130E0000}"/>
    <hyperlink ref="D1205" r:id="rId3483" xr:uid="{00000000-0004-0000-0000-0000140E0000}"/>
    <hyperlink ref="C1206" r:id="rId3484" xr:uid="{00000000-0004-0000-0000-0000150E0000}"/>
    <hyperlink ref="D1206" r:id="rId3485" xr:uid="{00000000-0004-0000-0000-0000160E0000}"/>
    <hyperlink ref="A1207" r:id="rId3486" xr:uid="{00000000-0004-0000-0000-0000170E0000}"/>
    <hyperlink ref="D1207" r:id="rId3487" xr:uid="{00000000-0004-0000-0000-0000180E0000}"/>
    <hyperlink ref="E1207" r:id="rId3488" xr:uid="{00000000-0004-0000-0000-0000190E0000}"/>
    <hyperlink ref="A1208" r:id="rId3489" xr:uid="{00000000-0004-0000-0000-00001A0E0000}"/>
    <hyperlink ref="C1208" r:id="rId3490" xr:uid="{00000000-0004-0000-0000-00001B0E0000}"/>
    <hyperlink ref="D1208" r:id="rId3491" xr:uid="{00000000-0004-0000-0000-00001C0E0000}"/>
    <hyperlink ref="A1209" r:id="rId3492" xr:uid="{00000000-0004-0000-0000-00001D0E0000}"/>
    <hyperlink ref="C1209" r:id="rId3493" xr:uid="{00000000-0004-0000-0000-00001E0E0000}"/>
    <hyperlink ref="D1209" r:id="rId3494" xr:uid="{00000000-0004-0000-0000-00001F0E0000}"/>
    <hyperlink ref="A1210" r:id="rId3495" xr:uid="{00000000-0004-0000-0000-0000200E0000}"/>
    <hyperlink ref="C1210" r:id="rId3496" xr:uid="{00000000-0004-0000-0000-0000210E0000}"/>
    <hyperlink ref="D1210" r:id="rId3497" xr:uid="{00000000-0004-0000-0000-0000220E0000}"/>
    <hyperlink ref="E1210" r:id="rId3498" xr:uid="{00000000-0004-0000-0000-0000230E0000}"/>
    <hyperlink ref="A1211" r:id="rId3499" xr:uid="{00000000-0004-0000-0000-0000240E0000}"/>
    <hyperlink ref="C1211" r:id="rId3500" xr:uid="{00000000-0004-0000-0000-0000250E0000}"/>
    <hyperlink ref="D1211" r:id="rId3501" xr:uid="{00000000-0004-0000-0000-0000260E0000}"/>
    <hyperlink ref="C1212" r:id="rId3502" xr:uid="{00000000-0004-0000-0000-0000270E0000}"/>
    <hyperlink ref="D1212" r:id="rId3503" xr:uid="{00000000-0004-0000-0000-0000280E0000}"/>
    <hyperlink ref="A1213" r:id="rId3504" xr:uid="{00000000-0004-0000-0000-0000290E0000}"/>
    <hyperlink ref="C1213" r:id="rId3505" xr:uid="{00000000-0004-0000-0000-00002A0E0000}"/>
    <hyperlink ref="D1213" r:id="rId3506" xr:uid="{00000000-0004-0000-0000-00002B0E0000}"/>
    <hyperlink ref="A1214" r:id="rId3507" xr:uid="{00000000-0004-0000-0000-00002C0E0000}"/>
    <hyperlink ref="C1214" r:id="rId3508" xr:uid="{00000000-0004-0000-0000-00002D0E0000}"/>
    <hyperlink ref="D1214" r:id="rId3509" xr:uid="{00000000-0004-0000-0000-00002E0E0000}"/>
    <hyperlink ref="A1215" r:id="rId3510" xr:uid="{00000000-0004-0000-0000-00002F0E0000}"/>
    <hyperlink ref="C1215" r:id="rId3511" xr:uid="{00000000-0004-0000-0000-0000300E0000}"/>
    <hyperlink ref="D1215" r:id="rId3512" xr:uid="{00000000-0004-0000-0000-0000310E0000}"/>
    <hyperlink ref="A1216" r:id="rId3513" xr:uid="{00000000-0004-0000-0000-0000320E0000}"/>
    <hyperlink ref="C1216" r:id="rId3514" xr:uid="{00000000-0004-0000-0000-0000330E0000}"/>
    <hyperlink ref="D1216" r:id="rId3515" xr:uid="{00000000-0004-0000-0000-0000340E0000}"/>
    <hyperlink ref="A1217" r:id="rId3516" xr:uid="{00000000-0004-0000-0000-0000350E0000}"/>
    <hyperlink ref="C1217" r:id="rId3517" xr:uid="{00000000-0004-0000-0000-0000360E0000}"/>
    <hyperlink ref="D1217" r:id="rId3518" xr:uid="{00000000-0004-0000-0000-0000370E0000}"/>
    <hyperlink ref="A1218" r:id="rId3519" xr:uid="{00000000-0004-0000-0000-0000380E0000}"/>
    <hyperlink ref="C1218" r:id="rId3520" xr:uid="{00000000-0004-0000-0000-0000390E0000}"/>
    <hyperlink ref="D1218" r:id="rId3521" xr:uid="{00000000-0004-0000-0000-00003A0E0000}"/>
    <hyperlink ref="A1219" r:id="rId3522" xr:uid="{00000000-0004-0000-0000-00003B0E0000}"/>
    <hyperlink ref="C1219" r:id="rId3523" xr:uid="{00000000-0004-0000-0000-00003C0E0000}"/>
    <hyperlink ref="D1219" r:id="rId3524" xr:uid="{00000000-0004-0000-0000-00003D0E0000}"/>
    <hyperlink ref="A1220" r:id="rId3525" xr:uid="{00000000-0004-0000-0000-00003E0E0000}"/>
    <hyperlink ref="C1220" r:id="rId3526" xr:uid="{00000000-0004-0000-0000-00003F0E0000}"/>
    <hyperlink ref="D1220" r:id="rId3527" xr:uid="{00000000-0004-0000-0000-0000400E0000}"/>
    <hyperlink ref="A1221" r:id="rId3528" xr:uid="{00000000-0004-0000-0000-0000410E0000}"/>
    <hyperlink ref="C1221" r:id="rId3529" xr:uid="{00000000-0004-0000-0000-0000420E0000}"/>
    <hyperlink ref="D1221" r:id="rId3530" xr:uid="{00000000-0004-0000-0000-0000430E0000}"/>
    <hyperlink ref="A1222" r:id="rId3531" xr:uid="{00000000-0004-0000-0000-0000440E0000}"/>
    <hyperlink ref="C1222" r:id="rId3532" xr:uid="{00000000-0004-0000-0000-0000450E0000}"/>
    <hyperlink ref="D1222" r:id="rId3533" xr:uid="{00000000-0004-0000-0000-0000460E0000}"/>
    <hyperlink ref="A1223" r:id="rId3534" xr:uid="{00000000-0004-0000-0000-0000470E0000}"/>
    <hyperlink ref="C1223" r:id="rId3535" xr:uid="{00000000-0004-0000-0000-0000480E0000}"/>
    <hyperlink ref="D1223" r:id="rId3536" xr:uid="{00000000-0004-0000-0000-0000490E0000}"/>
    <hyperlink ref="A1224" r:id="rId3537" xr:uid="{00000000-0004-0000-0000-00004A0E0000}"/>
    <hyperlink ref="C1224" r:id="rId3538" xr:uid="{00000000-0004-0000-0000-00004B0E0000}"/>
    <hyperlink ref="D1224" r:id="rId3539" xr:uid="{00000000-0004-0000-0000-00004C0E0000}"/>
    <hyperlink ref="A1225" r:id="rId3540" xr:uid="{00000000-0004-0000-0000-00004D0E0000}"/>
    <hyperlink ref="C1225" r:id="rId3541" xr:uid="{00000000-0004-0000-0000-00004E0E0000}"/>
    <hyperlink ref="D1225" r:id="rId3542" xr:uid="{00000000-0004-0000-0000-00004F0E0000}"/>
    <hyperlink ref="A1226" r:id="rId3543" xr:uid="{00000000-0004-0000-0000-0000500E0000}"/>
    <hyperlink ref="C1226" r:id="rId3544" xr:uid="{00000000-0004-0000-0000-0000510E0000}"/>
    <hyperlink ref="D1226" r:id="rId3545" xr:uid="{00000000-0004-0000-0000-0000520E0000}"/>
    <hyperlink ref="A1227" r:id="rId3546" xr:uid="{00000000-0004-0000-0000-0000530E0000}"/>
    <hyperlink ref="C1227" r:id="rId3547" xr:uid="{00000000-0004-0000-0000-0000540E0000}"/>
    <hyperlink ref="D1227" r:id="rId3548" xr:uid="{00000000-0004-0000-0000-0000550E0000}"/>
    <hyperlink ref="A1228" r:id="rId3549" xr:uid="{00000000-0004-0000-0000-0000560E0000}"/>
    <hyperlink ref="C1228" r:id="rId3550" xr:uid="{00000000-0004-0000-0000-0000570E0000}"/>
    <hyperlink ref="D1228" r:id="rId3551" xr:uid="{00000000-0004-0000-0000-0000580E0000}"/>
    <hyperlink ref="E1228" r:id="rId3552" xr:uid="{00000000-0004-0000-0000-0000590E0000}"/>
    <hyperlink ref="A1229" r:id="rId3553" xr:uid="{00000000-0004-0000-0000-00005A0E0000}"/>
    <hyperlink ref="C1229" r:id="rId3554" xr:uid="{00000000-0004-0000-0000-00005B0E0000}"/>
    <hyperlink ref="D1229" r:id="rId3555" xr:uid="{00000000-0004-0000-0000-00005C0E0000}"/>
    <hyperlink ref="A1230" r:id="rId3556" xr:uid="{00000000-0004-0000-0000-00005D0E0000}"/>
    <hyperlink ref="C1230" r:id="rId3557" xr:uid="{00000000-0004-0000-0000-00005E0E0000}"/>
    <hyperlink ref="D1230" r:id="rId3558" xr:uid="{00000000-0004-0000-0000-00005F0E0000}"/>
    <hyperlink ref="A1231" r:id="rId3559" xr:uid="{00000000-0004-0000-0000-0000600E0000}"/>
    <hyperlink ref="C1231" r:id="rId3560" xr:uid="{00000000-0004-0000-0000-0000610E0000}"/>
    <hyperlink ref="D1231" r:id="rId3561" xr:uid="{00000000-0004-0000-0000-0000620E0000}"/>
    <hyperlink ref="A1232" r:id="rId3562" xr:uid="{00000000-0004-0000-0000-0000630E0000}"/>
    <hyperlink ref="C1232" r:id="rId3563" xr:uid="{00000000-0004-0000-0000-0000640E0000}"/>
    <hyperlink ref="D1232" r:id="rId3564" xr:uid="{00000000-0004-0000-0000-0000650E0000}"/>
    <hyperlink ref="C1233" r:id="rId3565" xr:uid="{00000000-0004-0000-0000-0000660E0000}"/>
    <hyperlink ref="D1233" r:id="rId3566" xr:uid="{00000000-0004-0000-0000-0000670E0000}"/>
    <hyperlink ref="A1234" r:id="rId3567" xr:uid="{00000000-0004-0000-0000-0000680E0000}"/>
    <hyperlink ref="C1234" r:id="rId3568" xr:uid="{00000000-0004-0000-0000-0000690E0000}"/>
    <hyperlink ref="D1234" r:id="rId3569" xr:uid="{00000000-0004-0000-0000-00006A0E0000}"/>
    <hyperlink ref="A1235" r:id="rId3570" xr:uid="{00000000-0004-0000-0000-00006B0E0000}"/>
    <hyperlink ref="C1235" r:id="rId3571" xr:uid="{00000000-0004-0000-0000-00006C0E0000}"/>
    <hyperlink ref="D1235" r:id="rId3572" xr:uid="{00000000-0004-0000-0000-00006D0E0000}"/>
    <hyperlink ref="A1236" r:id="rId3573" xr:uid="{00000000-0004-0000-0000-00006E0E0000}"/>
    <hyperlink ref="C1236" r:id="rId3574" xr:uid="{00000000-0004-0000-0000-00006F0E0000}"/>
    <hyperlink ref="D1236" r:id="rId3575" xr:uid="{00000000-0004-0000-0000-0000700E0000}"/>
    <hyperlink ref="A1237" r:id="rId3576" xr:uid="{00000000-0004-0000-0000-0000710E0000}"/>
    <hyperlink ref="C1237" r:id="rId3577" xr:uid="{00000000-0004-0000-0000-0000720E0000}"/>
    <hyperlink ref="D1237" r:id="rId3578" xr:uid="{00000000-0004-0000-0000-0000730E0000}"/>
    <hyperlink ref="A1238" r:id="rId3579" xr:uid="{00000000-0004-0000-0000-0000740E0000}"/>
    <hyperlink ref="C1238" r:id="rId3580" xr:uid="{00000000-0004-0000-0000-0000750E0000}"/>
    <hyperlink ref="D1238" r:id="rId3581" xr:uid="{00000000-0004-0000-0000-0000760E0000}"/>
    <hyperlink ref="A1239" r:id="rId3582" xr:uid="{00000000-0004-0000-0000-0000770E0000}"/>
    <hyperlink ref="C1239" r:id="rId3583" xr:uid="{00000000-0004-0000-0000-0000780E0000}"/>
    <hyperlink ref="D1239" r:id="rId3584" xr:uid="{00000000-0004-0000-0000-0000790E0000}"/>
    <hyperlink ref="A1240" r:id="rId3585" xr:uid="{00000000-0004-0000-0000-00007A0E0000}"/>
    <hyperlink ref="C1240" r:id="rId3586" xr:uid="{00000000-0004-0000-0000-00007B0E0000}"/>
    <hyperlink ref="D1240" r:id="rId3587" xr:uid="{00000000-0004-0000-0000-00007C0E0000}"/>
    <hyperlink ref="A1245" r:id="rId3588" xr:uid="{00000000-0004-0000-0000-00007D0E0000}"/>
    <hyperlink ref="C1245" r:id="rId3589" xr:uid="{00000000-0004-0000-0000-00007E0E0000}"/>
    <hyperlink ref="D1245" r:id="rId3590" xr:uid="{00000000-0004-0000-0000-00007F0E0000}"/>
    <hyperlink ref="A1246" r:id="rId3591" xr:uid="{00000000-0004-0000-0000-0000800E0000}"/>
    <hyperlink ref="C1246" r:id="rId3592" xr:uid="{00000000-0004-0000-0000-0000810E0000}"/>
    <hyperlink ref="D1246" r:id="rId3593" xr:uid="{00000000-0004-0000-0000-0000820E0000}"/>
    <hyperlink ref="A1247" r:id="rId3594" xr:uid="{00000000-0004-0000-0000-0000830E0000}"/>
    <hyperlink ref="C1247" r:id="rId3595" xr:uid="{00000000-0004-0000-0000-0000840E0000}"/>
    <hyperlink ref="D1247" r:id="rId3596" xr:uid="{00000000-0004-0000-0000-0000850E0000}"/>
    <hyperlink ref="A1248" r:id="rId3597" xr:uid="{00000000-0004-0000-0000-0000860E0000}"/>
    <hyperlink ref="C1248" r:id="rId3598" xr:uid="{00000000-0004-0000-0000-0000870E0000}"/>
    <hyperlink ref="D1248" r:id="rId3599" xr:uid="{00000000-0004-0000-0000-0000880E0000}"/>
    <hyperlink ref="A1249" r:id="rId3600" xr:uid="{00000000-0004-0000-0000-0000890E0000}"/>
    <hyperlink ref="C1249" r:id="rId3601" xr:uid="{00000000-0004-0000-0000-00008A0E0000}"/>
    <hyperlink ref="D1249" r:id="rId3602" xr:uid="{00000000-0004-0000-0000-00008B0E0000}"/>
    <hyperlink ref="E1249" r:id="rId3603" xr:uid="{00000000-0004-0000-0000-00008C0E0000}"/>
    <hyperlink ref="C1250" r:id="rId3604" xr:uid="{00000000-0004-0000-0000-00008D0E0000}"/>
    <hyperlink ref="D1250" r:id="rId3605" xr:uid="{00000000-0004-0000-0000-00008E0E0000}"/>
    <hyperlink ref="E1250" r:id="rId3606" xr:uid="{00000000-0004-0000-0000-00008F0E0000}"/>
    <hyperlink ref="A1251" r:id="rId3607" xr:uid="{00000000-0004-0000-0000-0000900E0000}"/>
    <hyperlink ref="C1251" r:id="rId3608" xr:uid="{00000000-0004-0000-0000-0000910E0000}"/>
    <hyperlink ref="D1251" r:id="rId3609" xr:uid="{00000000-0004-0000-0000-0000920E0000}"/>
    <hyperlink ref="A1252" r:id="rId3610" xr:uid="{00000000-0004-0000-0000-0000930E0000}"/>
    <hyperlink ref="C1252" r:id="rId3611" xr:uid="{00000000-0004-0000-0000-0000940E0000}"/>
    <hyperlink ref="D1252" r:id="rId3612" xr:uid="{00000000-0004-0000-0000-0000950E0000}"/>
    <hyperlink ref="A1253" r:id="rId3613" xr:uid="{00000000-0004-0000-0000-0000960E0000}"/>
    <hyperlink ref="C1253" r:id="rId3614" xr:uid="{00000000-0004-0000-0000-0000970E0000}"/>
    <hyperlink ref="D1253" r:id="rId3615" xr:uid="{00000000-0004-0000-0000-0000980E0000}"/>
    <hyperlink ref="A1254" r:id="rId3616" xr:uid="{00000000-0004-0000-0000-0000990E0000}"/>
    <hyperlink ref="C1254" r:id="rId3617" xr:uid="{00000000-0004-0000-0000-00009A0E0000}"/>
    <hyperlink ref="D1254" r:id="rId3618" xr:uid="{00000000-0004-0000-0000-00009B0E0000}"/>
    <hyperlink ref="A1255" r:id="rId3619" xr:uid="{00000000-0004-0000-0000-00009C0E0000}"/>
    <hyperlink ref="C1255" r:id="rId3620" xr:uid="{00000000-0004-0000-0000-00009D0E0000}"/>
    <hyperlink ref="D1255" r:id="rId3621" xr:uid="{00000000-0004-0000-0000-00009E0E0000}"/>
    <hyperlink ref="A1256" r:id="rId3622" xr:uid="{00000000-0004-0000-0000-00009F0E0000}"/>
    <hyperlink ref="C1256" r:id="rId3623" xr:uid="{00000000-0004-0000-0000-0000A00E0000}"/>
    <hyperlink ref="D1256" r:id="rId3624" xr:uid="{00000000-0004-0000-0000-0000A10E0000}"/>
    <hyperlink ref="A1257" r:id="rId3625" xr:uid="{00000000-0004-0000-0000-0000A20E0000}"/>
    <hyperlink ref="C1257" r:id="rId3626" xr:uid="{00000000-0004-0000-0000-0000A30E0000}"/>
    <hyperlink ref="D1257" r:id="rId3627" xr:uid="{00000000-0004-0000-0000-0000A40E0000}"/>
    <hyperlink ref="A1258" r:id="rId3628" xr:uid="{00000000-0004-0000-0000-0000A50E0000}"/>
    <hyperlink ref="C1258" r:id="rId3629" xr:uid="{00000000-0004-0000-0000-0000A60E0000}"/>
    <hyperlink ref="D1258" r:id="rId3630" xr:uid="{00000000-0004-0000-0000-0000A70E0000}"/>
    <hyperlink ref="A1259" r:id="rId3631" xr:uid="{00000000-0004-0000-0000-0000A80E0000}"/>
    <hyperlink ref="C1259" r:id="rId3632" xr:uid="{00000000-0004-0000-0000-0000A90E0000}"/>
    <hyperlink ref="D1259" r:id="rId3633" xr:uid="{00000000-0004-0000-0000-0000AA0E0000}"/>
    <hyperlink ref="A1260" r:id="rId3634" xr:uid="{00000000-0004-0000-0000-0000AB0E0000}"/>
    <hyperlink ref="C1260" r:id="rId3635" xr:uid="{00000000-0004-0000-0000-0000AC0E0000}"/>
    <hyperlink ref="D1260" r:id="rId3636" xr:uid="{00000000-0004-0000-0000-0000AD0E0000}"/>
    <hyperlink ref="C1261" r:id="rId3637" xr:uid="{00000000-0004-0000-0000-0000AE0E0000}"/>
    <hyperlink ref="D1261" r:id="rId3638" xr:uid="{00000000-0004-0000-0000-0000AF0E0000}"/>
    <hyperlink ref="A1262" r:id="rId3639" xr:uid="{00000000-0004-0000-0000-0000B00E0000}"/>
    <hyperlink ref="C1262" r:id="rId3640" xr:uid="{00000000-0004-0000-0000-0000B10E0000}"/>
    <hyperlink ref="D1262" r:id="rId3641" xr:uid="{00000000-0004-0000-0000-0000B20E0000}"/>
    <hyperlink ref="E1262" r:id="rId3642" xr:uid="{00000000-0004-0000-0000-0000B30E0000}"/>
    <hyperlink ref="C1263" r:id="rId3643" xr:uid="{00000000-0004-0000-0000-0000B40E0000}"/>
    <hyperlink ref="D1263" r:id="rId3644" xr:uid="{00000000-0004-0000-0000-0000B50E0000}"/>
    <hyperlink ref="E1263" r:id="rId3645" xr:uid="{00000000-0004-0000-0000-0000B60E0000}"/>
    <hyperlink ref="A1264" r:id="rId3646" xr:uid="{00000000-0004-0000-0000-0000B70E0000}"/>
    <hyperlink ref="C1264" r:id="rId3647" xr:uid="{00000000-0004-0000-0000-0000B80E0000}"/>
    <hyperlink ref="D1264" r:id="rId3648" xr:uid="{00000000-0004-0000-0000-0000B90E0000}"/>
    <hyperlink ref="A1265" r:id="rId3649" xr:uid="{00000000-0004-0000-0000-0000BA0E0000}"/>
    <hyperlink ref="C1265" r:id="rId3650" xr:uid="{00000000-0004-0000-0000-0000BB0E0000}"/>
    <hyperlink ref="D1265" r:id="rId3651" xr:uid="{00000000-0004-0000-0000-0000BC0E0000}"/>
    <hyperlink ref="A1266" r:id="rId3652" xr:uid="{00000000-0004-0000-0000-0000BD0E0000}"/>
    <hyperlink ref="C1266" r:id="rId3653" xr:uid="{00000000-0004-0000-0000-0000BE0E0000}"/>
    <hyperlink ref="D1266" r:id="rId3654" xr:uid="{00000000-0004-0000-0000-0000BF0E0000}"/>
    <hyperlink ref="A1267" r:id="rId3655" xr:uid="{00000000-0004-0000-0000-0000C00E0000}"/>
    <hyperlink ref="C1267" r:id="rId3656" xr:uid="{00000000-0004-0000-0000-0000C10E0000}"/>
    <hyperlink ref="D1267" r:id="rId3657" xr:uid="{00000000-0004-0000-0000-0000C20E0000}"/>
    <hyperlink ref="A1268" r:id="rId3658" xr:uid="{00000000-0004-0000-0000-0000C30E0000}"/>
    <hyperlink ref="C1268" r:id="rId3659" xr:uid="{00000000-0004-0000-0000-0000C40E0000}"/>
    <hyperlink ref="D1268" r:id="rId3660" xr:uid="{00000000-0004-0000-0000-0000C50E0000}"/>
    <hyperlink ref="E1268" r:id="rId3661" xr:uid="{00000000-0004-0000-0000-0000C60E0000}"/>
    <hyperlink ref="A1269" r:id="rId3662" xr:uid="{00000000-0004-0000-0000-0000C70E0000}"/>
    <hyperlink ref="C1269" r:id="rId3663" xr:uid="{00000000-0004-0000-0000-0000C80E0000}"/>
    <hyperlink ref="D1269" r:id="rId3664" xr:uid="{00000000-0004-0000-0000-0000C90E0000}"/>
    <hyperlink ref="E1269" r:id="rId3665" xr:uid="{00000000-0004-0000-0000-0000CA0E0000}"/>
    <hyperlink ref="A1270" r:id="rId3666" xr:uid="{00000000-0004-0000-0000-0000CB0E0000}"/>
    <hyperlink ref="C1270" r:id="rId3667" xr:uid="{00000000-0004-0000-0000-0000CC0E0000}"/>
    <hyperlink ref="D1270" r:id="rId3668" xr:uid="{00000000-0004-0000-0000-0000CD0E0000}"/>
    <hyperlink ref="A1271" r:id="rId3669" xr:uid="{00000000-0004-0000-0000-0000CE0E0000}"/>
    <hyperlink ref="C1271" r:id="rId3670" xr:uid="{00000000-0004-0000-0000-0000CF0E0000}"/>
    <hyperlink ref="D1271" r:id="rId3671" xr:uid="{00000000-0004-0000-0000-0000D00E0000}"/>
    <hyperlink ref="A1272" r:id="rId3672" xr:uid="{00000000-0004-0000-0000-0000D10E0000}"/>
    <hyperlink ref="C1272" r:id="rId3673" xr:uid="{00000000-0004-0000-0000-0000D20E0000}"/>
    <hyperlink ref="D1272" r:id="rId3674" xr:uid="{00000000-0004-0000-0000-0000D30E0000}"/>
    <hyperlink ref="E1272" r:id="rId3675" xr:uid="{00000000-0004-0000-0000-0000D40E0000}"/>
    <hyperlink ref="A1273" r:id="rId3676" xr:uid="{00000000-0004-0000-0000-0000D50E0000}"/>
    <hyperlink ref="C1273" r:id="rId3677" xr:uid="{00000000-0004-0000-0000-0000D60E0000}"/>
    <hyperlink ref="D1273" r:id="rId3678" xr:uid="{00000000-0004-0000-0000-0000D70E0000}"/>
    <hyperlink ref="E1273" r:id="rId3679" xr:uid="{00000000-0004-0000-0000-0000D80E0000}"/>
    <hyperlink ref="A1274" r:id="rId3680" xr:uid="{00000000-0004-0000-0000-0000D90E0000}"/>
    <hyperlink ref="C1274" r:id="rId3681" xr:uid="{00000000-0004-0000-0000-0000DA0E0000}"/>
    <hyperlink ref="D1274" r:id="rId3682" xr:uid="{00000000-0004-0000-0000-0000DB0E0000}"/>
    <hyperlink ref="E1274" r:id="rId3683" xr:uid="{00000000-0004-0000-0000-0000DC0E0000}"/>
    <hyperlink ref="C1275" r:id="rId3684" xr:uid="{00000000-0004-0000-0000-0000DD0E0000}"/>
    <hyperlink ref="D1275" r:id="rId3685" xr:uid="{00000000-0004-0000-0000-0000DE0E0000}"/>
    <hyperlink ref="A1276" r:id="rId3686" xr:uid="{00000000-0004-0000-0000-0000DF0E0000}"/>
    <hyperlink ref="C1276" r:id="rId3687" xr:uid="{00000000-0004-0000-0000-0000E00E0000}"/>
    <hyperlink ref="D1276" r:id="rId3688" xr:uid="{00000000-0004-0000-0000-0000E10E0000}"/>
    <hyperlink ref="A1277" r:id="rId3689" xr:uid="{00000000-0004-0000-0000-0000E20E0000}"/>
    <hyperlink ref="C1277" r:id="rId3690" xr:uid="{00000000-0004-0000-0000-0000E30E0000}"/>
    <hyperlink ref="D1277" r:id="rId3691" xr:uid="{00000000-0004-0000-0000-0000E40E0000}"/>
    <hyperlink ref="C1278" r:id="rId3692" xr:uid="{00000000-0004-0000-0000-0000E50E0000}"/>
    <hyperlink ref="D1278" r:id="rId3693" xr:uid="{00000000-0004-0000-0000-0000E60E0000}"/>
    <hyperlink ref="C1279" r:id="rId3694" xr:uid="{00000000-0004-0000-0000-0000E70E0000}"/>
    <hyperlink ref="D1279" r:id="rId3695" xr:uid="{00000000-0004-0000-0000-0000E80E0000}"/>
    <hyperlink ref="C1280" r:id="rId3696" xr:uid="{00000000-0004-0000-0000-0000E90E0000}"/>
    <hyperlink ref="D1280" r:id="rId3697" xr:uid="{00000000-0004-0000-0000-0000EA0E0000}"/>
    <hyperlink ref="C1281" r:id="rId3698" xr:uid="{00000000-0004-0000-0000-0000EB0E0000}"/>
    <hyperlink ref="D1281" r:id="rId3699" xr:uid="{00000000-0004-0000-0000-0000EC0E0000}"/>
    <hyperlink ref="A1282" r:id="rId3700" xr:uid="{00000000-0004-0000-0000-0000ED0E0000}"/>
    <hyperlink ref="C1282" r:id="rId3701" xr:uid="{00000000-0004-0000-0000-0000EE0E0000}"/>
    <hyperlink ref="D1282" r:id="rId3702" xr:uid="{00000000-0004-0000-0000-0000EF0E0000}"/>
    <hyperlink ref="A1283" r:id="rId3703" xr:uid="{00000000-0004-0000-0000-0000F00E0000}"/>
    <hyperlink ref="C1283" r:id="rId3704" xr:uid="{00000000-0004-0000-0000-0000F10E0000}"/>
    <hyperlink ref="D1283" r:id="rId3705" xr:uid="{00000000-0004-0000-0000-0000F20E0000}"/>
    <hyperlink ref="A1284" r:id="rId3706" xr:uid="{00000000-0004-0000-0000-0000F30E0000}"/>
    <hyperlink ref="C1284" r:id="rId3707" xr:uid="{00000000-0004-0000-0000-0000F40E0000}"/>
    <hyperlink ref="D1284" r:id="rId3708" xr:uid="{00000000-0004-0000-0000-0000F50E0000}"/>
    <hyperlink ref="A1285" r:id="rId3709" xr:uid="{00000000-0004-0000-0000-0000F60E0000}"/>
    <hyperlink ref="C1285" r:id="rId3710" xr:uid="{00000000-0004-0000-0000-0000F70E0000}"/>
    <hyperlink ref="D1285" r:id="rId3711" xr:uid="{00000000-0004-0000-0000-0000F80E0000}"/>
    <hyperlink ref="A1286" r:id="rId3712" xr:uid="{00000000-0004-0000-0000-0000F90E0000}"/>
    <hyperlink ref="C1286" r:id="rId3713" xr:uid="{00000000-0004-0000-0000-0000FA0E0000}"/>
    <hyperlink ref="D1286" r:id="rId3714" xr:uid="{00000000-0004-0000-0000-0000FB0E0000}"/>
    <hyperlink ref="A1287" r:id="rId3715" xr:uid="{00000000-0004-0000-0000-0000FC0E0000}"/>
    <hyperlink ref="C1287" r:id="rId3716" xr:uid="{00000000-0004-0000-0000-0000FD0E0000}"/>
    <hyperlink ref="D1287" r:id="rId3717" xr:uid="{00000000-0004-0000-0000-0000FE0E0000}"/>
    <hyperlink ref="E1287" r:id="rId3718" xr:uid="{00000000-0004-0000-0000-0000FF0E0000}"/>
    <hyperlink ref="A1288" r:id="rId3719" xr:uid="{00000000-0004-0000-0000-0000000F0000}"/>
    <hyperlink ref="C1288" r:id="rId3720" xr:uid="{00000000-0004-0000-0000-0000010F0000}"/>
    <hyperlink ref="D1288" r:id="rId3721" xr:uid="{00000000-0004-0000-0000-0000020F0000}"/>
    <hyperlink ref="A1289" r:id="rId3722" xr:uid="{00000000-0004-0000-0000-0000030F0000}"/>
    <hyperlink ref="C1289" r:id="rId3723" xr:uid="{00000000-0004-0000-0000-0000040F0000}"/>
    <hyperlink ref="D1289" r:id="rId3724" xr:uid="{00000000-0004-0000-0000-0000050F0000}"/>
    <hyperlink ref="A1290" r:id="rId3725" xr:uid="{00000000-0004-0000-0000-0000060F0000}"/>
    <hyperlink ref="C1290" r:id="rId3726" xr:uid="{00000000-0004-0000-0000-0000070F0000}"/>
    <hyperlink ref="D1290" r:id="rId3727" xr:uid="{00000000-0004-0000-0000-0000080F0000}"/>
    <hyperlink ref="A1291" r:id="rId3728" xr:uid="{00000000-0004-0000-0000-0000090F0000}"/>
    <hyperlink ref="C1291" r:id="rId3729" xr:uid="{00000000-0004-0000-0000-00000A0F0000}"/>
    <hyperlink ref="D1291" r:id="rId3730" xr:uid="{00000000-0004-0000-0000-00000B0F0000}"/>
    <hyperlink ref="C1292" r:id="rId3731" xr:uid="{00000000-0004-0000-0000-00000C0F0000}"/>
    <hyperlink ref="D1292" r:id="rId3732" xr:uid="{00000000-0004-0000-0000-00000D0F0000}"/>
    <hyperlink ref="A1293" r:id="rId3733" xr:uid="{00000000-0004-0000-0000-00000E0F0000}"/>
    <hyperlink ref="C1293" r:id="rId3734" xr:uid="{00000000-0004-0000-0000-00000F0F0000}"/>
    <hyperlink ref="D1293" r:id="rId3735" xr:uid="{00000000-0004-0000-0000-0000100F0000}"/>
    <hyperlink ref="E1293" r:id="rId3736" xr:uid="{00000000-0004-0000-0000-0000110F0000}"/>
    <hyperlink ref="A1294" r:id="rId3737" xr:uid="{00000000-0004-0000-0000-0000120F0000}"/>
    <hyperlink ref="C1294" r:id="rId3738" xr:uid="{00000000-0004-0000-0000-0000130F0000}"/>
    <hyperlink ref="D1294" r:id="rId3739" xr:uid="{00000000-0004-0000-0000-0000140F0000}"/>
    <hyperlink ref="A1295" r:id="rId3740" xr:uid="{00000000-0004-0000-0000-0000150F0000}"/>
    <hyperlink ref="C1295" r:id="rId3741" xr:uid="{00000000-0004-0000-0000-0000160F0000}"/>
    <hyperlink ref="D1295" r:id="rId3742" xr:uid="{00000000-0004-0000-0000-0000170F0000}"/>
    <hyperlink ref="A1296" r:id="rId3743" xr:uid="{00000000-0004-0000-0000-0000180F0000}"/>
    <hyperlink ref="C1296" r:id="rId3744" xr:uid="{00000000-0004-0000-0000-0000190F0000}"/>
    <hyperlink ref="D1296" r:id="rId3745" xr:uid="{00000000-0004-0000-0000-00001A0F0000}"/>
    <hyperlink ref="A1297" r:id="rId3746" xr:uid="{00000000-0004-0000-0000-00001B0F0000}"/>
    <hyperlink ref="C1297" r:id="rId3747" xr:uid="{00000000-0004-0000-0000-00001C0F0000}"/>
    <hyperlink ref="D1297" r:id="rId3748" xr:uid="{00000000-0004-0000-0000-00001D0F0000}"/>
    <hyperlink ref="E1297" r:id="rId3749" xr:uid="{00000000-0004-0000-0000-00001E0F0000}"/>
    <hyperlink ref="A1298" r:id="rId3750" xr:uid="{00000000-0004-0000-0000-00001F0F0000}"/>
    <hyperlink ref="C1298" r:id="rId3751" xr:uid="{00000000-0004-0000-0000-0000200F0000}"/>
    <hyperlink ref="D1298" r:id="rId3752" xr:uid="{00000000-0004-0000-0000-0000210F0000}"/>
    <hyperlink ref="E1298" r:id="rId3753" xr:uid="{00000000-0004-0000-0000-0000220F0000}"/>
    <hyperlink ref="C1299" r:id="rId3754" xr:uid="{00000000-0004-0000-0000-0000230F0000}"/>
    <hyperlink ref="D1299" r:id="rId3755" xr:uid="{00000000-0004-0000-0000-0000240F0000}"/>
    <hyperlink ref="A1300" r:id="rId3756" xr:uid="{00000000-0004-0000-0000-0000250F0000}"/>
    <hyperlink ref="C1300" r:id="rId3757" xr:uid="{00000000-0004-0000-0000-0000260F0000}"/>
    <hyperlink ref="D1300" r:id="rId3758" xr:uid="{00000000-0004-0000-0000-0000270F0000}"/>
    <hyperlink ref="A1301" r:id="rId3759" xr:uid="{00000000-0004-0000-0000-0000280F0000}"/>
    <hyperlink ref="C1301" r:id="rId3760" xr:uid="{00000000-0004-0000-0000-0000290F0000}"/>
    <hyperlink ref="D1301" r:id="rId3761" xr:uid="{00000000-0004-0000-0000-00002A0F0000}"/>
    <hyperlink ref="A1302" r:id="rId3762" xr:uid="{00000000-0004-0000-0000-00002B0F0000}"/>
    <hyperlink ref="C1302" r:id="rId3763" xr:uid="{00000000-0004-0000-0000-00002C0F0000}"/>
    <hyperlink ref="D1302" r:id="rId3764" xr:uid="{00000000-0004-0000-0000-00002D0F0000}"/>
    <hyperlink ref="A1303" r:id="rId3765" xr:uid="{00000000-0004-0000-0000-00002E0F0000}"/>
    <hyperlink ref="C1303" r:id="rId3766" xr:uid="{00000000-0004-0000-0000-00002F0F0000}"/>
    <hyperlink ref="D1303" r:id="rId3767" xr:uid="{00000000-0004-0000-0000-0000300F0000}"/>
    <hyperlink ref="A1304" r:id="rId3768" xr:uid="{00000000-0004-0000-0000-0000310F0000}"/>
    <hyperlink ref="C1304" r:id="rId3769" xr:uid="{00000000-0004-0000-0000-0000320F0000}"/>
    <hyperlink ref="D1304" r:id="rId3770" xr:uid="{00000000-0004-0000-0000-0000330F0000}"/>
    <hyperlink ref="A1305" r:id="rId3771" xr:uid="{00000000-0004-0000-0000-0000340F0000}"/>
    <hyperlink ref="C1305" r:id="rId3772" xr:uid="{00000000-0004-0000-0000-0000350F0000}"/>
    <hyperlink ref="D1305" r:id="rId3773" xr:uid="{00000000-0004-0000-0000-0000360F0000}"/>
    <hyperlink ref="A1306" r:id="rId3774" xr:uid="{00000000-0004-0000-0000-0000370F0000}"/>
    <hyperlink ref="C1306" r:id="rId3775" xr:uid="{00000000-0004-0000-0000-0000380F0000}"/>
    <hyperlink ref="D1306" r:id="rId3776" xr:uid="{00000000-0004-0000-0000-0000390F0000}"/>
    <hyperlink ref="A1307" r:id="rId3777" xr:uid="{00000000-0004-0000-0000-00003A0F0000}"/>
    <hyperlink ref="C1307" r:id="rId3778" xr:uid="{00000000-0004-0000-0000-00003B0F0000}"/>
    <hyperlink ref="D1307" r:id="rId3779" xr:uid="{00000000-0004-0000-0000-00003C0F0000}"/>
    <hyperlink ref="A1308" r:id="rId3780" xr:uid="{00000000-0004-0000-0000-00003D0F0000}"/>
    <hyperlink ref="C1308" r:id="rId3781" xr:uid="{00000000-0004-0000-0000-00003E0F0000}"/>
    <hyperlink ref="D1308" r:id="rId3782" xr:uid="{00000000-0004-0000-0000-00003F0F0000}"/>
    <hyperlink ref="A1309" r:id="rId3783" xr:uid="{00000000-0004-0000-0000-0000400F0000}"/>
    <hyperlink ref="C1309" r:id="rId3784" xr:uid="{00000000-0004-0000-0000-0000410F0000}"/>
    <hyperlink ref="D1309" r:id="rId3785" xr:uid="{00000000-0004-0000-0000-0000420F0000}"/>
    <hyperlink ref="A1310" r:id="rId3786" xr:uid="{00000000-0004-0000-0000-0000430F0000}"/>
    <hyperlink ref="C1310" r:id="rId3787" xr:uid="{00000000-0004-0000-0000-0000440F0000}"/>
    <hyperlink ref="D1310" r:id="rId3788" xr:uid="{00000000-0004-0000-0000-0000450F0000}"/>
    <hyperlink ref="A1311" r:id="rId3789" xr:uid="{00000000-0004-0000-0000-0000460F0000}"/>
    <hyperlink ref="C1311" r:id="rId3790" xr:uid="{00000000-0004-0000-0000-0000470F0000}"/>
    <hyperlink ref="D1311" r:id="rId3791" xr:uid="{00000000-0004-0000-0000-0000480F0000}"/>
    <hyperlink ref="C1312" r:id="rId3792" xr:uid="{00000000-0004-0000-0000-0000490F0000}"/>
    <hyperlink ref="D1312" r:id="rId3793" xr:uid="{00000000-0004-0000-0000-00004A0F0000}"/>
    <hyperlink ref="A1313" r:id="rId3794" xr:uid="{00000000-0004-0000-0000-00004B0F0000}"/>
    <hyperlink ref="C1313" r:id="rId3795" xr:uid="{00000000-0004-0000-0000-00004C0F0000}"/>
    <hyperlink ref="D1313" r:id="rId3796" xr:uid="{00000000-0004-0000-0000-00004D0F0000}"/>
    <hyperlink ref="A1314" r:id="rId3797" xr:uid="{00000000-0004-0000-0000-00004E0F0000}"/>
    <hyperlink ref="C1314" r:id="rId3798" xr:uid="{00000000-0004-0000-0000-00004F0F0000}"/>
    <hyperlink ref="D1314" r:id="rId3799" xr:uid="{00000000-0004-0000-0000-0000500F0000}"/>
    <hyperlink ref="A1315" r:id="rId3800" xr:uid="{00000000-0004-0000-0000-0000510F0000}"/>
    <hyperlink ref="C1315" r:id="rId3801" xr:uid="{00000000-0004-0000-0000-0000520F0000}"/>
    <hyperlink ref="D1315" r:id="rId3802" xr:uid="{00000000-0004-0000-0000-0000530F0000}"/>
    <hyperlink ref="A1316" r:id="rId3803" xr:uid="{00000000-0004-0000-0000-0000540F0000}"/>
    <hyperlink ref="C1316" r:id="rId3804" xr:uid="{00000000-0004-0000-0000-0000550F0000}"/>
    <hyperlink ref="D1316" r:id="rId3805" xr:uid="{00000000-0004-0000-0000-0000560F0000}"/>
    <hyperlink ref="A1317" r:id="rId3806" xr:uid="{00000000-0004-0000-0000-0000570F0000}"/>
    <hyperlink ref="C1317" r:id="rId3807" xr:uid="{00000000-0004-0000-0000-0000580F0000}"/>
    <hyperlink ref="D1317" r:id="rId3808" xr:uid="{00000000-0004-0000-0000-0000590F0000}"/>
    <hyperlink ref="A1318" r:id="rId3809" xr:uid="{00000000-0004-0000-0000-00005A0F0000}"/>
    <hyperlink ref="C1318" r:id="rId3810" xr:uid="{00000000-0004-0000-0000-00005B0F0000}"/>
    <hyperlink ref="D1318" r:id="rId3811" xr:uid="{00000000-0004-0000-0000-00005C0F0000}"/>
    <hyperlink ref="A1319" r:id="rId3812" xr:uid="{00000000-0004-0000-0000-00005D0F0000}"/>
    <hyperlink ref="C1319" r:id="rId3813" xr:uid="{00000000-0004-0000-0000-00005E0F0000}"/>
    <hyperlink ref="D1319" r:id="rId3814" xr:uid="{00000000-0004-0000-0000-00005F0F0000}"/>
    <hyperlink ref="A1320" r:id="rId3815" xr:uid="{00000000-0004-0000-0000-0000600F0000}"/>
    <hyperlink ref="C1320" r:id="rId3816" xr:uid="{00000000-0004-0000-0000-0000610F0000}"/>
    <hyperlink ref="D1320" r:id="rId3817" xr:uid="{00000000-0004-0000-0000-0000620F0000}"/>
    <hyperlink ref="A1321" r:id="rId3818" xr:uid="{00000000-0004-0000-0000-0000630F0000}"/>
    <hyperlink ref="C1321" r:id="rId3819" xr:uid="{00000000-0004-0000-0000-0000640F0000}"/>
    <hyperlink ref="D1321" r:id="rId3820" xr:uid="{00000000-0004-0000-0000-0000650F0000}"/>
    <hyperlink ref="A1322" r:id="rId3821" xr:uid="{00000000-0004-0000-0000-0000660F0000}"/>
    <hyperlink ref="C1322" r:id="rId3822" xr:uid="{00000000-0004-0000-0000-0000670F0000}"/>
    <hyperlink ref="D1322" r:id="rId3823" xr:uid="{00000000-0004-0000-0000-0000680F0000}"/>
    <hyperlink ref="E1322" r:id="rId3824" xr:uid="{00000000-0004-0000-0000-0000690F0000}"/>
    <hyperlink ref="A1323" r:id="rId3825" xr:uid="{00000000-0004-0000-0000-00006A0F0000}"/>
    <hyperlink ref="C1323" r:id="rId3826" xr:uid="{00000000-0004-0000-0000-00006B0F0000}"/>
    <hyperlink ref="D1323" r:id="rId3827" xr:uid="{00000000-0004-0000-0000-00006C0F0000}"/>
    <hyperlink ref="A1324" r:id="rId3828" xr:uid="{00000000-0004-0000-0000-00006D0F0000}"/>
    <hyperlink ref="C1324" r:id="rId3829" xr:uid="{00000000-0004-0000-0000-00006E0F0000}"/>
    <hyperlink ref="D1324" r:id="rId3830" xr:uid="{00000000-0004-0000-0000-00006F0F0000}"/>
    <hyperlink ref="A1325" r:id="rId3831" xr:uid="{00000000-0004-0000-0000-0000700F0000}"/>
    <hyperlink ref="C1325" r:id="rId3832" xr:uid="{00000000-0004-0000-0000-0000710F0000}"/>
    <hyperlink ref="D1325" r:id="rId3833" xr:uid="{00000000-0004-0000-0000-0000720F0000}"/>
    <hyperlink ref="A1326" r:id="rId3834" xr:uid="{00000000-0004-0000-0000-0000730F0000}"/>
    <hyperlink ref="C1326" r:id="rId3835" xr:uid="{00000000-0004-0000-0000-0000740F0000}"/>
    <hyperlink ref="D1326" r:id="rId3836" xr:uid="{00000000-0004-0000-0000-0000750F0000}"/>
    <hyperlink ref="A1327" r:id="rId3837" xr:uid="{00000000-0004-0000-0000-0000760F0000}"/>
    <hyperlink ref="C1327" r:id="rId3838" xr:uid="{00000000-0004-0000-0000-0000770F0000}"/>
    <hyperlink ref="D1327" r:id="rId3839" xr:uid="{00000000-0004-0000-0000-0000780F0000}"/>
    <hyperlink ref="A1328" r:id="rId3840" xr:uid="{00000000-0004-0000-0000-0000790F0000}"/>
    <hyperlink ref="C1328" r:id="rId3841" xr:uid="{00000000-0004-0000-0000-00007A0F0000}"/>
    <hyperlink ref="D1328" r:id="rId3842" xr:uid="{00000000-0004-0000-0000-00007B0F0000}"/>
    <hyperlink ref="A1329" r:id="rId3843" xr:uid="{00000000-0004-0000-0000-00007C0F0000}"/>
    <hyperlink ref="C1329" r:id="rId3844" xr:uid="{00000000-0004-0000-0000-00007D0F0000}"/>
    <hyperlink ref="D1329" r:id="rId3845" xr:uid="{00000000-0004-0000-0000-00007E0F0000}"/>
    <hyperlink ref="A1330" r:id="rId3846" xr:uid="{00000000-0004-0000-0000-00007F0F0000}"/>
    <hyperlink ref="C1330" r:id="rId3847" xr:uid="{00000000-0004-0000-0000-0000800F0000}"/>
    <hyperlink ref="D1330" r:id="rId3848" xr:uid="{00000000-0004-0000-0000-0000810F0000}"/>
    <hyperlink ref="A1331" r:id="rId3849" xr:uid="{00000000-0004-0000-0000-0000820F0000}"/>
    <hyperlink ref="C1331" r:id="rId3850" xr:uid="{00000000-0004-0000-0000-0000830F0000}"/>
    <hyperlink ref="D1331" r:id="rId3851" xr:uid="{00000000-0004-0000-0000-0000840F0000}"/>
    <hyperlink ref="E1331" r:id="rId3852" xr:uid="{00000000-0004-0000-0000-0000850F0000}"/>
    <hyperlink ref="A1332" r:id="rId3853" xr:uid="{00000000-0004-0000-0000-0000860F0000}"/>
    <hyperlink ref="C1332" r:id="rId3854" xr:uid="{00000000-0004-0000-0000-0000870F0000}"/>
    <hyperlink ref="D1332" r:id="rId3855" xr:uid="{00000000-0004-0000-0000-0000880F0000}"/>
    <hyperlink ref="A1333" r:id="rId3856" xr:uid="{00000000-0004-0000-0000-0000890F0000}"/>
    <hyperlink ref="C1333" r:id="rId3857" xr:uid="{00000000-0004-0000-0000-00008A0F0000}"/>
    <hyperlink ref="D1333" r:id="rId3858" xr:uid="{00000000-0004-0000-0000-00008B0F0000}"/>
    <hyperlink ref="A1334" r:id="rId3859" xr:uid="{00000000-0004-0000-0000-00008C0F0000}"/>
    <hyperlink ref="C1334" r:id="rId3860" xr:uid="{00000000-0004-0000-0000-00008D0F0000}"/>
    <hyperlink ref="D1334" r:id="rId3861" xr:uid="{00000000-0004-0000-0000-00008E0F0000}"/>
    <hyperlink ref="A1335" r:id="rId3862" xr:uid="{00000000-0004-0000-0000-00008F0F0000}"/>
    <hyperlink ref="C1335" r:id="rId3863" xr:uid="{00000000-0004-0000-0000-0000900F0000}"/>
    <hyperlink ref="D1335" r:id="rId3864" xr:uid="{00000000-0004-0000-0000-0000910F0000}"/>
    <hyperlink ref="A1336" r:id="rId3865" xr:uid="{00000000-0004-0000-0000-0000920F0000}"/>
    <hyperlink ref="C1336" r:id="rId3866" xr:uid="{00000000-0004-0000-0000-0000930F0000}"/>
    <hyperlink ref="D1336" r:id="rId3867" xr:uid="{00000000-0004-0000-0000-0000940F0000}"/>
    <hyperlink ref="A1337" r:id="rId3868" xr:uid="{00000000-0004-0000-0000-0000950F0000}"/>
    <hyperlink ref="C1337" r:id="rId3869" xr:uid="{00000000-0004-0000-0000-0000960F0000}"/>
    <hyperlink ref="D1337" r:id="rId3870" xr:uid="{00000000-0004-0000-0000-0000970F0000}"/>
    <hyperlink ref="A1338" r:id="rId3871" xr:uid="{00000000-0004-0000-0000-0000980F0000}"/>
    <hyperlink ref="C1338" r:id="rId3872" xr:uid="{00000000-0004-0000-0000-0000990F0000}"/>
    <hyperlink ref="D1338" r:id="rId3873" xr:uid="{00000000-0004-0000-0000-00009A0F0000}"/>
    <hyperlink ref="A1339" r:id="rId3874" xr:uid="{00000000-0004-0000-0000-00009B0F0000}"/>
    <hyperlink ref="C1339" r:id="rId3875" xr:uid="{00000000-0004-0000-0000-00009C0F0000}"/>
    <hyperlink ref="D1339" r:id="rId3876" xr:uid="{00000000-0004-0000-0000-00009D0F0000}"/>
    <hyperlink ref="A1340" r:id="rId3877" xr:uid="{00000000-0004-0000-0000-00009E0F0000}"/>
    <hyperlink ref="C1340" r:id="rId3878" xr:uid="{00000000-0004-0000-0000-00009F0F0000}"/>
    <hyperlink ref="D1340" r:id="rId3879" xr:uid="{00000000-0004-0000-0000-0000A00F0000}"/>
    <hyperlink ref="A1341" r:id="rId3880" xr:uid="{00000000-0004-0000-0000-0000A10F0000}"/>
    <hyperlink ref="C1341" r:id="rId3881" xr:uid="{00000000-0004-0000-0000-0000A20F0000}"/>
    <hyperlink ref="D1341" r:id="rId3882" xr:uid="{00000000-0004-0000-0000-0000A30F0000}"/>
    <hyperlink ref="A1342" r:id="rId3883" xr:uid="{00000000-0004-0000-0000-0000A40F0000}"/>
    <hyperlink ref="C1342" r:id="rId3884" xr:uid="{00000000-0004-0000-0000-0000A50F0000}"/>
    <hyperlink ref="D1342" r:id="rId3885" xr:uid="{00000000-0004-0000-0000-0000A60F0000}"/>
    <hyperlink ref="A1343" r:id="rId3886" xr:uid="{00000000-0004-0000-0000-0000A70F0000}"/>
    <hyperlink ref="C1343" r:id="rId3887" xr:uid="{00000000-0004-0000-0000-0000A80F0000}"/>
    <hyperlink ref="D1343" r:id="rId3888" xr:uid="{00000000-0004-0000-0000-0000A90F0000}"/>
    <hyperlink ref="C1344" r:id="rId3889" xr:uid="{00000000-0004-0000-0000-0000AA0F0000}"/>
    <hyperlink ref="D1344" r:id="rId3890" xr:uid="{00000000-0004-0000-0000-0000AB0F0000}"/>
    <hyperlink ref="A1345" r:id="rId3891" xr:uid="{00000000-0004-0000-0000-0000AC0F0000}"/>
    <hyperlink ref="C1345" r:id="rId3892" xr:uid="{00000000-0004-0000-0000-0000AD0F0000}"/>
    <hyperlink ref="D1345" r:id="rId3893" xr:uid="{00000000-0004-0000-0000-0000AE0F0000}"/>
    <hyperlink ref="A1346" r:id="rId3894" xr:uid="{00000000-0004-0000-0000-0000AF0F0000}"/>
    <hyperlink ref="C1346" r:id="rId3895" xr:uid="{00000000-0004-0000-0000-0000B00F0000}"/>
    <hyperlink ref="D1346" r:id="rId3896" xr:uid="{00000000-0004-0000-0000-0000B10F0000}"/>
    <hyperlink ref="A1347" r:id="rId3897" xr:uid="{00000000-0004-0000-0000-0000B20F0000}"/>
    <hyperlink ref="C1347" r:id="rId3898" xr:uid="{00000000-0004-0000-0000-0000B30F0000}"/>
    <hyperlink ref="D1347" r:id="rId3899" xr:uid="{00000000-0004-0000-0000-0000B40F0000}"/>
    <hyperlink ref="E1347" r:id="rId3900" xr:uid="{00000000-0004-0000-0000-0000B50F0000}"/>
    <hyperlink ref="A1348" r:id="rId3901" xr:uid="{00000000-0004-0000-0000-0000B60F0000}"/>
    <hyperlink ref="C1348" r:id="rId3902" xr:uid="{00000000-0004-0000-0000-0000B70F0000}"/>
    <hyperlink ref="D1348" r:id="rId3903" xr:uid="{00000000-0004-0000-0000-0000B80F0000}"/>
    <hyperlink ref="E1348" r:id="rId3904" xr:uid="{00000000-0004-0000-0000-0000B90F0000}"/>
    <hyperlink ref="A1349" r:id="rId3905" xr:uid="{00000000-0004-0000-0000-0000BA0F0000}"/>
    <hyperlink ref="C1349" r:id="rId3906" xr:uid="{00000000-0004-0000-0000-0000BB0F0000}"/>
    <hyperlink ref="D1349" r:id="rId3907" xr:uid="{00000000-0004-0000-0000-0000BC0F0000}"/>
    <hyperlink ref="A1350" r:id="rId3908" xr:uid="{00000000-0004-0000-0000-0000BD0F0000}"/>
    <hyperlink ref="C1350" r:id="rId3909" xr:uid="{00000000-0004-0000-0000-0000BE0F0000}"/>
    <hyperlink ref="D1350" r:id="rId3910" xr:uid="{00000000-0004-0000-0000-0000BF0F0000}"/>
    <hyperlink ref="E1350" r:id="rId3911" xr:uid="{00000000-0004-0000-0000-0000C00F0000}"/>
    <hyperlink ref="A1351" r:id="rId3912" xr:uid="{00000000-0004-0000-0000-0000C10F0000}"/>
    <hyperlink ref="C1351" r:id="rId3913" xr:uid="{00000000-0004-0000-0000-0000C20F0000}"/>
    <hyperlink ref="D1351" r:id="rId3914" xr:uid="{00000000-0004-0000-0000-0000C30F0000}"/>
    <hyperlink ref="A1352" r:id="rId3915" xr:uid="{00000000-0004-0000-0000-0000C40F0000}"/>
    <hyperlink ref="C1352" r:id="rId3916" xr:uid="{00000000-0004-0000-0000-0000C50F0000}"/>
    <hyperlink ref="D1352" r:id="rId3917" xr:uid="{00000000-0004-0000-0000-0000C60F0000}"/>
    <hyperlink ref="A1353" r:id="rId3918" xr:uid="{00000000-0004-0000-0000-0000C70F0000}"/>
    <hyperlink ref="C1353" r:id="rId3919" xr:uid="{00000000-0004-0000-0000-0000C80F0000}"/>
    <hyperlink ref="D1353" r:id="rId3920" xr:uid="{00000000-0004-0000-0000-0000C90F0000}"/>
    <hyperlink ref="A1354" r:id="rId3921" xr:uid="{00000000-0004-0000-0000-0000CA0F0000}"/>
    <hyperlink ref="C1354" r:id="rId3922" xr:uid="{00000000-0004-0000-0000-0000CB0F0000}"/>
    <hyperlink ref="D1354" r:id="rId3923" xr:uid="{00000000-0004-0000-0000-0000CC0F0000}"/>
    <hyperlink ref="A1355" r:id="rId3924" xr:uid="{00000000-0004-0000-0000-0000CD0F0000}"/>
    <hyperlink ref="C1355" r:id="rId3925" xr:uid="{00000000-0004-0000-0000-0000CE0F0000}"/>
    <hyperlink ref="D1355" r:id="rId3926" xr:uid="{00000000-0004-0000-0000-0000CF0F0000}"/>
    <hyperlink ref="A1356" r:id="rId3927" xr:uid="{00000000-0004-0000-0000-0000D00F0000}"/>
    <hyperlink ref="C1356" r:id="rId3928" xr:uid="{00000000-0004-0000-0000-0000D10F0000}"/>
    <hyperlink ref="D1356" r:id="rId3929" xr:uid="{00000000-0004-0000-0000-0000D20F0000}"/>
    <hyperlink ref="E1356" r:id="rId3930" xr:uid="{00000000-0004-0000-0000-0000D30F0000}"/>
    <hyperlink ref="C1357" r:id="rId3931" xr:uid="{00000000-0004-0000-0000-0000D40F0000}"/>
    <hyperlink ref="D1357" r:id="rId3932" xr:uid="{00000000-0004-0000-0000-0000D50F0000}"/>
    <hyperlink ref="A1358" r:id="rId3933" xr:uid="{00000000-0004-0000-0000-0000D60F0000}"/>
    <hyperlink ref="A1359" r:id="rId3934" xr:uid="{00000000-0004-0000-0000-0000D70F0000}"/>
    <hyperlink ref="A1363" r:id="rId3935" xr:uid="{00000000-0004-0000-0000-0000D80F0000}"/>
    <hyperlink ref="C1363" r:id="rId3936" xr:uid="{00000000-0004-0000-0000-0000D90F0000}"/>
    <hyperlink ref="D1363" r:id="rId3937" xr:uid="{00000000-0004-0000-0000-0000DA0F0000}"/>
    <hyperlink ref="A1364" r:id="rId3938" xr:uid="{00000000-0004-0000-0000-0000DB0F0000}"/>
    <hyperlink ref="C1364" r:id="rId3939" xr:uid="{00000000-0004-0000-0000-0000DC0F0000}"/>
    <hyperlink ref="D1364" r:id="rId3940" xr:uid="{00000000-0004-0000-0000-0000DD0F0000}"/>
    <hyperlink ref="A1365" r:id="rId3941" xr:uid="{00000000-0004-0000-0000-0000DE0F0000}"/>
    <hyperlink ref="C1365" r:id="rId3942" xr:uid="{00000000-0004-0000-0000-0000DF0F0000}"/>
    <hyperlink ref="D1365" r:id="rId3943" xr:uid="{00000000-0004-0000-0000-0000E00F0000}"/>
    <hyperlink ref="A1366" r:id="rId3944" xr:uid="{00000000-0004-0000-0000-0000E10F0000}"/>
    <hyperlink ref="C1366" r:id="rId3945" xr:uid="{00000000-0004-0000-0000-0000E20F0000}"/>
    <hyperlink ref="D1366" r:id="rId3946" xr:uid="{00000000-0004-0000-0000-0000E30F0000}"/>
    <hyperlink ref="A1367" r:id="rId3947" xr:uid="{00000000-0004-0000-0000-0000E40F0000}"/>
    <hyperlink ref="C1367" r:id="rId3948" xr:uid="{00000000-0004-0000-0000-0000E50F0000}"/>
    <hyperlink ref="D1367" r:id="rId3949" xr:uid="{00000000-0004-0000-0000-0000E60F0000}"/>
    <hyperlink ref="A1368" r:id="rId3950" xr:uid="{00000000-0004-0000-0000-0000E70F0000}"/>
    <hyperlink ref="C1368" r:id="rId3951" xr:uid="{00000000-0004-0000-0000-0000E80F0000}"/>
    <hyperlink ref="D1368" r:id="rId3952" xr:uid="{00000000-0004-0000-0000-0000E90F0000}"/>
    <hyperlink ref="A1369" r:id="rId3953" xr:uid="{00000000-0004-0000-0000-0000EA0F0000}"/>
    <hyperlink ref="C1369" r:id="rId3954" xr:uid="{00000000-0004-0000-0000-0000EB0F0000}"/>
    <hyperlink ref="D1369" r:id="rId3955" xr:uid="{00000000-0004-0000-0000-0000EC0F0000}"/>
    <hyperlink ref="A1370" r:id="rId3956" xr:uid="{00000000-0004-0000-0000-0000ED0F0000}"/>
    <hyperlink ref="C1370" r:id="rId3957" xr:uid="{00000000-0004-0000-0000-0000EE0F0000}"/>
    <hyperlink ref="D1370" r:id="rId3958" xr:uid="{00000000-0004-0000-0000-0000EF0F0000}"/>
    <hyperlink ref="A1371" r:id="rId3959" xr:uid="{00000000-0004-0000-0000-0000F00F0000}"/>
    <hyperlink ref="C1371" r:id="rId3960" xr:uid="{00000000-0004-0000-0000-0000F10F0000}"/>
    <hyperlink ref="D1371" r:id="rId3961" xr:uid="{00000000-0004-0000-0000-0000F20F0000}"/>
    <hyperlink ref="A1372" r:id="rId3962" xr:uid="{00000000-0004-0000-0000-0000F30F0000}"/>
    <hyperlink ref="C1372" r:id="rId3963" xr:uid="{00000000-0004-0000-0000-0000F40F0000}"/>
    <hyperlink ref="D1372" r:id="rId3964" xr:uid="{00000000-0004-0000-0000-0000F50F0000}"/>
    <hyperlink ref="A1373" r:id="rId3965" xr:uid="{00000000-0004-0000-0000-0000F60F0000}"/>
    <hyperlink ref="C1373" r:id="rId3966" xr:uid="{00000000-0004-0000-0000-0000F70F0000}"/>
    <hyperlink ref="D1373" r:id="rId3967" xr:uid="{00000000-0004-0000-0000-0000F80F0000}"/>
    <hyperlink ref="A1374" r:id="rId3968" xr:uid="{00000000-0004-0000-0000-0000F90F0000}"/>
    <hyperlink ref="C1374" r:id="rId3969" xr:uid="{00000000-0004-0000-0000-0000FA0F0000}"/>
    <hyperlink ref="D1374" r:id="rId3970" xr:uid="{00000000-0004-0000-0000-0000FB0F0000}"/>
    <hyperlink ref="A1375" r:id="rId3971" xr:uid="{00000000-0004-0000-0000-0000FC0F0000}"/>
    <hyperlink ref="C1375" r:id="rId3972" xr:uid="{00000000-0004-0000-0000-0000FD0F0000}"/>
    <hyperlink ref="D1375" r:id="rId3973" xr:uid="{00000000-0004-0000-0000-0000FE0F0000}"/>
    <hyperlink ref="A1376" r:id="rId3974" xr:uid="{00000000-0004-0000-0000-0000FF0F0000}"/>
    <hyperlink ref="C1376" r:id="rId3975" xr:uid="{00000000-0004-0000-0000-000000100000}"/>
    <hyperlink ref="D1376" r:id="rId3976" xr:uid="{00000000-0004-0000-0000-000001100000}"/>
    <hyperlink ref="A1377" r:id="rId3977" xr:uid="{00000000-0004-0000-0000-000002100000}"/>
    <hyperlink ref="C1377" r:id="rId3978" xr:uid="{00000000-0004-0000-0000-000003100000}"/>
    <hyperlink ref="D1377" r:id="rId3979" xr:uid="{00000000-0004-0000-0000-000004100000}"/>
    <hyperlink ref="A1378" r:id="rId3980" xr:uid="{00000000-0004-0000-0000-000005100000}"/>
    <hyperlink ref="C1378" r:id="rId3981" xr:uid="{00000000-0004-0000-0000-000006100000}"/>
    <hyperlink ref="D1378" r:id="rId3982" xr:uid="{00000000-0004-0000-0000-000007100000}"/>
    <hyperlink ref="C1379" r:id="rId3983" xr:uid="{00000000-0004-0000-0000-000008100000}"/>
    <hyperlink ref="D1379" r:id="rId3984" xr:uid="{00000000-0004-0000-0000-000009100000}"/>
    <hyperlink ref="A1380" r:id="rId3985" xr:uid="{00000000-0004-0000-0000-00000A100000}"/>
    <hyperlink ref="C1380" r:id="rId3986" xr:uid="{00000000-0004-0000-0000-00000B100000}"/>
    <hyperlink ref="D1380" r:id="rId3987" xr:uid="{00000000-0004-0000-0000-00000C100000}"/>
    <hyperlink ref="C1381" r:id="rId3988" xr:uid="{00000000-0004-0000-0000-00000D100000}"/>
    <hyperlink ref="D1381" r:id="rId3989" xr:uid="{00000000-0004-0000-0000-00000E100000}"/>
    <hyperlink ref="A1382" r:id="rId3990" xr:uid="{00000000-0004-0000-0000-00000F100000}"/>
    <hyperlink ref="C1382" r:id="rId3991" xr:uid="{00000000-0004-0000-0000-000010100000}"/>
    <hyperlink ref="D1382" r:id="rId3992" xr:uid="{00000000-0004-0000-0000-000011100000}"/>
    <hyperlink ref="A1383" r:id="rId3993" xr:uid="{00000000-0004-0000-0000-000012100000}"/>
    <hyperlink ref="C1383" r:id="rId3994" xr:uid="{00000000-0004-0000-0000-000013100000}"/>
    <hyperlink ref="D1383" r:id="rId3995" xr:uid="{00000000-0004-0000-0000-000014100000}"/>
    <hyperlink ref="D1384" r:id="rId3996" xr:uid="{00000000-0004-0000-0000-000015100000}"/>
    <hyperlink ref="A1385" r:id="rId3997" xr:uid="{00000000-0004-0000-0000-000016100000}"/>
    <hyperlink ref="C1385" r:id="rId3998" xr:uid="{00000000-0004-0000-0000-000017100000}"/>
    <hyperlink ref="D1385" r:id="rId3999" xr:uid="{00000000-0004-0000-0000-000018100000}"/>
    <hyperlink ref="A1386" r:id="rId4000" xr:uid="{00000000-0004-0000-0000-000019100000}"/>
    <hyperlink ref="C1386" r:id="rId4001" xr:uid="{00000000-0004-0000-0000-00001A100000}"/>
    <hyperlink ref="D1386" r:id="rId4002" xr:uid="{00000000-0004-0000-0000-00001B100000}"/>
    <hyperlink ref="A1387" r:id="rId4003" xr:uid="{00000000-0004-0000-0000-00001C100000}"/>
    <hyperlink ref="C1387" r:id="rId4004" xr:uid="{00000000-0004-0000-0000-00001D100000}"/>
    <hyperlink ref="D1387" r:id="rId4005" xr:uid="{00000000-0004-0000-0000-00001E100000}"/>
    <hyperlink ref="A1388" r:id="rId4006" xr:uid="{00000000-0004-0000-0000-00001F100000}"/>
    <hyperlink ref="C1388" r:id="rId4007" xr:uid="{00000000-0004-0000-0000-000020100000}"/>
    <hyperlink ref="D1388" r:id="rId4008" xr:uid="{00000000-0004-0000-0000-000021100000}"/>
    <hyperlink ref="A1389" r:id="rId4009" xr:uid="{00000000-0004-0000-0000-000022100000}"/>
    <hyperlink ref="C1389" r:id="rId4010" xr:uid="{00000000-0004-0000-0000-000023100000}"/>
    <hyperlink ref="D1389" r:id="rId4011" xr:uid="{00000000-0004-0000-0000-000024100000}"/>
    <hyperlink ref="A1390" r:id="rId4012" xr:uid="{00000000-0004-0000-0000-000025100000}"/>
    <hyperlink ref="C1390" r:id="rId4013" xr:uid="{00000000-0004-0000-0000-000026100000}"/>
    <hyperlink ref="D1390" r:id="rId4014" xr:uid="{00000000-0004-0000-0000-000027100000}"/>
    <hyperlink ref="A1391" r:id="rId4015" xr:uid="{00000000-0004-0000-0000-000028100000}"/>
    <hyperlink ref="C1391" r:id="rId4016" xr:uid="{00000000-0004-0000-0000-000029100000}"/>
    <hyperlink ref="D1391" r:id="rId4017" xr:uid="{00000000-0004-0000-0000-00002A100000}"/>
    <hyperlink ref="A1392" r:id="rId4018" xr:uid="{00000000-0004-0000-0000-00002B100000}"/>
    <hyperlink ref="C1392" r:id="rId4019" xr:uid="{00000000-0004-0000-0000-00002C100000}"/>
    <hyperlink ref="D1392" r:id="rId4020" xr:uid="{00000000-0004-0000-0000-00002D100000}"/>
    <hyperlink ref="A1393" r:id="rId4021" xr:uid="{00000000-0004-0000-0000-00002E100000}"/>
    <hyperlink ref="C1393" r:id="rId4022" xr:uid="{00000000-0004-0000-0000-00002F100000}"/>
    <hyperlink ref="D1393" r:id="rId4023" xr:uid="{00000000-0004-0000-0000-000030100000}"/>
    <hyperlink ref="A1394" r:id="rId4024" xr:uid="{00000000-0004-0000-0000-000031100000}"/>
    <hyperlink ref="A1395" r:id="rId4025" xr:uid="{00000000-0004-0000-0000-000032100000}"/>
    <hyperlink ref="C1395" r:id="rId4026" xr:uid="{00000000-0004-0000-0000-000033100000}"/>
    <hyperlink ref="D1395" r:id="rId4027" xr:uid="{00000000-0004-0000-0000-000034100000}"/>
    <hyperlink ref="A1396" r:id="rId4028" xr:uid="{00000000-0004-0000-0000-000035100000}"/>
    <hyperlink ref="C1396" r:id="rId4029" xr:uid="{00000000-0004-0000-0000-000036100000}"/>
    <hyperlink ref="D1396" r:id="rId4030" xr:uid="{00000000-0004-0000-0000-000037100000}"/>
    <hyperlink ref="D1397" r:id="rId4031" xr:uid="{00000000-0004-0000-0000-000038100000}"/>
    <hyperlink ref="A1398" r:id="rId4032" xr:uid="{00000000-0004-0000-0000-000039100000}"/>
    <hyperlink ref="C1398" r:id="rId4033" xr:uid="{00000000-0004-0000-0000-00003A100000}"/>
    <hyperlink ref="D1398" r:id="rId4034" xr:uid="{00000000-0004-0000-0000-00003B100000}"/>
    <hyperlink ref="A1399" r:id="rId4035" xr:uid="{00000000-0004-0000-0000-00003C100000}"/>
    <hyperlink ref="C1399" r:id="rId4036" xr:uid="{00000000-0004-0000-0000-00003D100000}"/>
    <hyperlink ref="D1399" r:id="rId4037" xr:uid="{00000000-0004-0000-0000-00003E100000}"/>
    <hyperlink ref="A1400" r:id="rId4038" xr:uid="{00000000-0004-0000-0000-00003F100000}"/>
    <hyperlink ref="C1400" r:id="rId4039" xr:uid="{00000000-0004-0000-0000-000040100000}"/>
    <hyperlink ref="D1400" r:id="rId4040" xr:uid="{00000000-0004-0000-0000-000041100000}"/>
    <hyperlink ref="A1401" r:id="rId4041" xr:uid="{00000000-0004-0000-0000-000042100000}"/>
    <hyperlink ref="C1401" r:id="rId4042" xr:uid="{00000000-0004-0000-0000-000043100000}"/>
    <hyperlink ref="D1401" r:id="rId4043" xr:uid="{00000000-0004-0000-0000-000044100000}"/>
    <hyperlink ref="A1402" r:id="rId4044" xr:uid="{00000000-0004-0000-0000-000045100000}"/>
    <hyperlink ref="C1402" r:id="rId4045" xr:uid="{00000000-0004-0000-0000-000046100000}"/>
    <hyperlink ref="D1402" r:id="rId4046" xr:uid="{00000000-0004-0000-0000-000047100000}"/>
    <hyperlink ref="D1403" r:id="rId4047" xr:uid="{00000000-0004-0000-0000-000048100000}"/>
    <hyperlink ref="A1404" r:id="rId4048" xr:uid="{00000000-0004-0000-0000-000049100000}"/>
    <hyperlink ref="C1404" r:id="rId4049" xr:uid="{00000000-0004-0000-0000-00004A100000}"/>
    <hyperlink ref="D1404" r:id="rId4050" xr:uid="{00000000-0004-0000-0000-00004B100000}"/>
    <hyperlink ref="E1404" r:id="rId4051" xr:uid="{00000000-0004-0000-0000-00004C100000}"/>
    <hyperlink ref="A1405" r:id="rId4052" xr:uid="{00000000-0004-0000-0000-00004D100000}"/>
    <hyperlink ref="C1405" r:id="rId4053" xr:uid="{00000000-0004-0000-0000-00004E100000}"/>
    <hyperlink ref="D1405" r:id="rId4054" xr:uid="{00000000-0004-0000-0000-00004F100000}"/>
    <hyperlink ref="A1406" r:id="rId4055" xr:uid="{00000000-0004-0000-0000-000050100000}"/>
    <hyperlink ref="C1406" r:id="rId4056" xr:uid="{00000000-0004-0000-0000-000051100000}"/>
    <hyperlink ref="D1406" r:id="rId4057" xr:uid="{00000000-0004-0000-0000-000052100000}"/>
    <hyperlink ref="A1407" r:id="rId4058" xr:uid="{00000000-0004-0000-0000-000053100000}"/>
    <hyperlink ref="C1407" r:id="rId4059" xr:uid="{00000000-0004-0000-0000-000054100000}"/>
    <hyperlink ref="D1407" r:id="rId4060" xr:uid="{00000000-0004-0000-0000-000055100000}"/>
    <hyperlink ref="A1408" r:id="rId4061" xr:uid="{00000000-0004-0000-0000-000056100000}"/>
    <hyperlink ref="C1408" r:id="rId4062" xr:uid="{00000000-0004-0000-0000-000057100000}"/>
    <hyperlink ref="D1408" r:id="rId4063" xr:uid="{00000000-0004-0000-0000-000058100000}"/>
    <hyperlink ref="C1409" r:id="rId4064" xr:uid="{00000000-0004-0000-0000-000059100000}"/>
    <hyperlink ref="D1409" r:id="rId4065" xr:uid="{00000000-0004-0000-0000-00005A100000}"/>
    <hyperlink ref="A1410" r:id="rId4066" xr:uid="{00000000-0004-0000-0000-00005B100000}"/>
    <hyperlink ref="C1410" r:id="rId4067" xr:uid="{00000000-0004-0000-0000-00005C100000}"/>
    <hyperlink ref="D1410" r:id="rId4068" xr:uid="{00000000-0004-0000-0000-00005D100000}"/>
    <hyperlink ref="A1411" r:id="rId4069" xr:uid="{00000000-0004-0000-0000-00005E100000}"/>
    <hyperlink ref="A1412" r:id="rId4070" xr:uid="{00000000-0004-0000-0000-00005F100000}"/>
    <hyperlink ref="C1412" r:id="rId4071" xr:uid="{00000000-0004-0000-0000-000060100000}"/>
    <hyperlink ref="D1412" r:id="rId4072" xr:uid="{00000000-0004-0000-0000-000061100000}"/>
    <hyperlink ref="A1413" r:id="rId4073" xr:uid="{00000000-0004-0000-0000-000062100000}"/>
    <hyperlink ref="C1413" r:id="rId4074" xr:uid="{00000000-0004-0000-0000-000063100000}"/>
    <hyperlink ref="D1413" r:id="rId4075" xr:uid="{00000000-0004-0000-0000-000064100000}"/>
    <hyperlink ref="A1415" r:id="rId4076" xr:uid="{00000000-0004-0000-0000-000065100000}"/>
    <hyperlink ref="C1415" r:id="rId4077" xr:uid="{00000000-0004-0000-0000-000066100000}"/>
    <hyperlink ref="D1415" r:id="rId4078" xr:uid="{00000000-0004-0000-0000-000067100000}"/>
    <hyperlink ref="A1416" r:id="rId4079" xr:uid="{00000000-0004-0000-0000-000068100000}"/>
    <hyperlink ref="C1416" r:id="rId4080" xr:uid="{00000000-0004-0000-0000-000069100000}"/>
    <hyperlink ref="D1416" r:id="rId4081" xr:uid="{00000000-0004-0000-0000-00006A100000}"/>
    <hyperlink ref="A1417" r:id="rId4082" xr:uid="{00000000-0004-0000-0000-00006B100000}"/>
    <hyperlink ref="C1417" r:id="rId4083" xr:uid="{00000000-0004-0000-0000-00006C100000}"/>
    <hyperlink ref="D1417" r:id="rId4084" xr:uid="{00000000-0004-0000-0000-00006D100000}"/>
    <hyperlink ref="A1418" r:id="rId4085" xr:uid="{00000000-0004-0000-0000-00006E100000}"/>
    <hyperlink ref="C1418" r:id="rId4086" xr:uid="{00000000-0004-0000-0000-00006F100000}"/>
    <hyperlink ref="D1418" r:id="rId4087" xr:uid="{00000000-0004-0000-0000-000070100000}"/>
    <hyperlink ref="A1419" r:id="rId4088" xr:uid="{00000000-0004-0000-0000-000071100000}"/>
    <hyperlink ref="C1419" r:id="rId4089" xr:uid="{00000000-0004-0000-0000-000072100000}"/>
    <hyperlink ref="D1419" r:id="rId4090" xr:uid="{00000000-0004-0000-0000-000073100000}"/>
    <hyperlink ref="A1420" r:id="rId4091" xr:uid="{00000000-0004-0000-0000-000074100000}"/>
    <hyperlink ref="C1420" r:id="rId4092" xr:uid="{00000000-0004-0000-0000-000075100000}"/>
    <hyperlink ref="D1420" r:id="rId4093" xr:uid="{00000000-0004-0000-0000-000076100000}"/>
    <hyperlink ref="A1421" r:id="rId4094" xr:uid="{00000000-0004-0000-0000-000077100000}"/>
    <hyperlink ref="C1421" r:id="rId4095" xr:uid="{00000000-0004-0000-0000-000078100000}"/>
    <hyperlink ref="D1421" r:id="rId4096" xr:uid="{00000000-0004-0000-0000-000079100000}"/>
    <hyperlink ref="A1422" r:id="rId4097" xr:uid="{00000000-0004-0000-0000-00007A100000}"/>
    <hyperlink ref="C1422" r:id="rId4098" xr:uid="{00000000-0004-0000-0000-00007B100000}"/>
    <hyperlink ref="D1422" r:id="rId4099" xr:uid="{00000000-0004-0000-0000-00007C100000}"/>
    <hyperlink ref="A1423" r:id="rId4100" xr:uid="{00000000-0004-0000-0000-00007D100000}"/>
    <hyperlink ref="D1423" r:id="rId4101" xr:uid="{00000000-0004-0000-0000-00007E100000}"/>
    <hyperlink ref="A1424" r:id="rId4102" xr:uid="{00000000-0004-0000-0000-00007F100000}"/>
    <hyperlink ref="D1424" r:id="rId4103" xr:uid="{00000000-0004-0000-0000-000080100000}"/>
    <hyperlink ref="A1425" r:id="rId4104" xr:uid="{00000000-0004-0000-0000-000081100000}"/>
    <hyperlink ref="D1425" r:id="rId4105" xr:uid="{00000000-0004-0000-0000-000082100000}"/>
    <hyperlink ref="A1426" r:id="rId4106" xr:uid="{00000000-0004-0000-0000-000083100000}"/>
    <hyperlink ref="D1426" r:id="rId4107" xr:uid="{00000000-0004-0000-0000-000084100000}"/>
    <hyperlink ref="A1427" r:id="rId4108" xr:uid="{00000000-0004-0000-0000-000085100000}"/>
    <hyperlink ref="D1427" r:id="rId4109" xr:uid="{00000000-0004-0000-0000-000086100000}"/>
    <hyperlink ref="A1428" r:id="rId4110" xr:uid="{00000000-0004-0000-0000-000087100000}"/>
    <hyperlink ref="D1428" r:id="rId4111" xr:uid="{00000000-0004-0000-0000-000088100000}"/>
    <hyperlink ref="A1429" r:id="rId4112" xr:uid="{00000000-0004-0000-0000-000089100000}"/>
    <hyperlink ref="D1429" r:id="rId4113" xr:uid="{00000000-0004-0000-0000-00008A100000}"/>
    <hyperlink ref="D1430" r:id="rId4114" xr:uid="{00000000-0004-0000-0000-00008B100000}"/>
    <hyperlink ref="A1431" r:id="rId4115" xr:uid="{00000000-0004-0000-0000-00008C100000}"/>
    <hyperlink ref="D1431" r:id="rId4116" xr:uid="{00000000-0004-0000-0000-00008D100000}"/>
    <hyperlink ref="A1432" r:id="rId4117" xr:uid="{00000000-0004-0000-0000-00008E100000}"/>
    <hyperlink ref="C1432" r:id="rId4118" xr:uid="{00000000-0004-0000-0000-00008F100000}"/>
    <hyperlink ref="D1432" r:id="rId4119" xr:uid="{00000000-0004-0000-0000-000090100000}"/>
    <hyperlink ref="A1433" r:id="rId4120" xr:uid="{00000000-0004-0000-0000-000091100000}"/>
    <hyperlink ref="C1433" r:id="rId4121" xr:uid="{00000000-0004-0000-0000-000092100000}"/>
    <hyperlink ref="D1433" r:id="rId4122" xr:uid="{00000000-0004-0000-0000-000093100000}"/>
    <hyperlink ref="A1434" r:id="rId4123" xr:uid="{00000000-0004-0000-0000-000094100000}"/>
    <hyperlink ref="C1434" r:id="rId4124" xr:uid="{00000000-0004-0000-0000-000095100000}"/>
    <hyperlink ref="D1434" r:id="rId4125" xr:uid="{00000000-0004-0000-0000-000096100000}"/>
    <hyperlink ref="A1435" r:id="rId4126" xr:uid="{00000000-0004-0000-0000-000097100000}"/>
    <hyperlink ref="C1435" r:id="rId4127" xr:uid="{00000000-0004-0000-0000-000098100000}"/>
    <hyperlink ref="D1435" r:id="rId4128" xr:uid="{00000000-0004-0000-0000-000099100000}"/>
    <hyperlink ref="A1436" r:id="rId4129" xr:uid="{00000000-0004-0000-0000-00009A100000}"/>
    <hyperlink ref="C1436" r:id="rId4130" xr:uid="{00000000-0004-0000-0000-00009B100000}"/>
    <hyperlink ref="D1436" r:id="rId4131" xr:uid="{00000000-0004-0000-0000-00009C100000}"/>
    <hyperlink ref="A1437" r:id="rId4132" xr:uid="{00000000-0004-0000-0000-00009D100000}"/>
    <hyperlink ref="C1437" r:id="rId4133" xr:uid="{00000000-0004-0000-0000-00009E100000}"/>
    <hyperlink ref="D1437" r:id="rId4134" xr:uid="{00000000-0004-0000-0000-00009F100000}"/>
    <hyperlink ref="A1438" r:id="rId4135" xr:uid="{00000000-0004-0000-0000-0000A0100000}"/>
    <hyperlink ref="C1438" r:id="rId4136" xr:uid="{00000000-0004-0000-0000-0000A1100000}"/>
    <hyperlink ref="D1438" r:id="rId4137" xr:uid="{00000000-0004-0000-0000-0000A2100000}"/>
    <hyperlink ref="A1439" r:id="rId4138" xr:uid="{00000000-0004-0000-0000-0000A3100000}"/>
    <hyperlink ref="C1439" r:id="rId4139" xr:uid="{00000000-0004-0000-0000-0000A4100000}"/>
    <hyperlink ref="D1439" r:id="rId4140" xr:uid="{00000000-0004-0000-0000-0000A5100000}"/>
    <hyperlink ref="A1440" r:id="rId4141" xr:uid="{00000000-0004-0000-0000-0000A6100000}"/>
    <hyperlink ref="A1441" r:id="rId4142" xr:uid="{00000000-0004-0000-0000-0000A7100000}"/>
    <hyperlink ref="A1444" r:id="rId4143" xr:uid="{00000000-0004-0000-0000-0000A8100000}"/>
    <hyperlink ref="C1444" r:id="rId4144" xr:uid="{00000000-0004-0000-0000-0000A9100000}"/>
    <hyperlink ref="D1444" r:id="rId4145" xr:uid="{00000000-0004-0000-0000-0000AA100000}"/>
    <hyperlink ref="A1445" r:id="rId4146" xr:uid="{00000000-0004-0000-0000-0000AB100000}"/>
    <hyperlink ref="C1445" r:id="rId4147" xr:uid="{00000000-0004-0000-0000-0000AC100000}"/>
    <hyperlink ref="D1445" r:id="rId4148" xr:uid="{00000000-0004-0000-0000-0000AD100000}"/>
    <hyperlink ref="A1446" r:id="rId4149" xr:uid="{00000000-0004-0000-0000-0000AE100000}"/>
    <hyperlink ref="C1446" r:id="rId4150" xr:uid="{00000000-0004-0000-0000-0000AF100000}"/>
    <hyperlink ref="D1446" r:id="rId4151" xr:uid="{00000000-0004-0000-0000-0000B0100000}"/>
    <hyperlink ref="A1447" r:id="rId4152" xr:uid="{00000000-0004-0000-0000-0000B1100000}"/>
    <hyperlink ref="C1447" r:id="rId4153" xr:uid="{00000000-0004-0000-0000-0000B2100000}"/>
    <hyperlink ref="D1447" r:id="rId4154" xr:uid="{00000000-0004-0000-0000-0000B3100000}"/>
    <hyperlink ref="A1448" r:id="rId4155" xr:uid="{00000000-0004-0000-0000-0000B4100000}"/>
    <hyperlink ref="C1448" r:id="rId4156" xr:uid="{00000000-0004-0000-0000-0000B5100000}"/>
    <hyperlink ref="D1448" r:id="rId4157" xr:uid="{00000000-0004-0000-0000-0000B6100000}"/>
    <hyperlink ref="A1449" r:id="rId4158" xr:uid="{00000000-0004-0000-0000-0000B7100000}"/>
    <hyperlink ref="C1449" r:id="rId4159" xr:uid="{00000000-0004-0000-0000-0000B8100000}"/>
    <hyperlink ref="D1449" r:id="rId4160" xr:uid="{00000000-0004-0000-0000-0000B9100000}"/>
    <hyperlink ref="A1450" r:id="rId4161" xr:uid="{00000000-0004-0000-0000-0000BA100000}"/>
    <hyperlink ref="C1450" r:id="rId4162" xr:uid="{00000000-0004-0000-0000-0000BB100000}"/>
    <hyperlink ref="D1450" r:id="rId4163" xr:uid="{00000000-0004-0000-0000-0000BC100000}"/>
    <hyperlink ref="A1451" r:id="rId4164" xr:uid="{00000000-0004-0000-0000-0000BD100000}"/>
    <hyperlink ref="C1451" r:id="rId4165" xr:uid="{00000000-0004-0000-0000-0000BE100000}"/>
    <hyperlink ref="D1451" r:id="rId4166" xr:uid="{00000000-0004-0000-0000-0000BF100000}"/>
    <hyperlink ref="A1452" r:id="rId4167" xr:uid="{00000000-0004-0000-0000-0000C0100000}"/>
    <hyperlink ref="C1452" r:id="rId4168" xr:uid="{00000000-0004-0000-0000-0000C1100000}"/>
    <hyperlink ref="D1452" r:id="rId4169" xr:uid="{00000000-0004-0000-0000-0000C2100000}"/>
    <hyperlink ref="E1452" r:id="rId4170" xr:uid="{00000000-0004-0000-0000-0000C3100000}"/>
    <hyperlink ref="A1453" r:id="rId4171" xr:uid="{00000000-0004-0000-0000-0000C4100000}"/>
    <hyperlink ref="C1453" r:id="rId4172" xr:uid="{00000000-0004-0000-0000-0000C5100000}"/>
    <hyperlink ref="D1453" r:id="rId4173" xr:uid="{00000000-0004-0000-0000-0000C6100000}"/>
    <hyperlink ref="A1454" r:id="rId4174" xr:uid="{00000000-0004-0000-0000-0000C7100000}"/>
    <hyperlink ref="A1455" r:id="rId4175" xr:uid="{00000000-0004-0000-0000-0000C8100000}"/>
    <hyperlink ref="A1456" r:id="rId4176" xr:uid="{00000000-0004-0000-0000-0000C9100000}"/>
    <hyperlink ref="A1457" r:id="rId4177" xr:uid="{00000000-0004-0000-0000-0000CA100000}"/>
    <hyperlink ref="A1458" r:id="rId4178" xr:uid="{00000000-0004-0000-0000-0000CB100000}"/>
    <hyperlink ref="A1459" r:id="rId4179" xr:uid="{00000000-0004-0000-0000-0000CC100000}"/>
    <hyperlink ref="C1459" r:id="rId4180" xr:uid="{00000000-0004-0000-0000-0000CD100000}"/>
    <hyperlink ref="D1459" r:id="rId4181" xr:uid="{00000000-0004-0000-0000-0000CE100000}"/>
    <hyperlink ref="E1459" r:id="rId4182" xr:uid="{00000000-0004-0000-0000-0000CF100000}"/>
    <hyperlink ref="A1460" r:id="rId4183" xr:uid="{00000000-0004-0000-0000-0000D0100000}"/>
    <hyperlink ref="C1460" r:id="rId4184" xr:uid="{00000000-0004-0000-0000-0000D1100000}"/>
    <hyperlink ref="D1460" r:id="rId4185" xr:uid="{00000000-0004-0000-0000-0000D2100000}"/>
    <hyperlink ref="A1461" r:id="rId4186" xr:uid="{00000000-0004-0000-0000-0000D3100000}"/>
    <hyperlink ref="C1461" r:id="rId4187" xr:uid="{00000000-0004-0000-0000-0000D4100000}"/>
    <hyperlink ref="D1461" r:id="rId4188" xr:uid="{00000000-0004-0000-0000-0000D5100000}"/>
    <hyperlink ref="A1462" r:id="rId4189" xr:uid="{00000000-0004-0000-0000-0000D6100000}"/>
    <hyperlink ref="C1462" r:id="rId4190" xr:uid="{00000000-0004-0000-0000-0000D7100000}"/>
    <hyperlink ref="D1462" r:id="rId4191" xr:uid="{00000000-0004-0000-0000-0000D8100000}"/>
    <hyperlink ref="E1462" r:id="rId4192" xr:uid="{00000000-0004-0000-0000-0000D9100000}"/>
    <hyperlink ref="A1463" r:id="rId4193" xr:uid="{00000000-0004-0000-0000-0000DA100000}"/>
    <hyperlink ref="C1463" r:id="rId4194" xr:uid="{00000000-0004-0000-0000-0000DB100000}"/>
    <hyperlink ref="D1463" r:id="rId4195" xr:uid="{00000000-0004-0000-0000-0000DC100000}"/>
    <hyperlink ref="A1464" r:id="rId4196" xr:uid="{00000000-0004-0000-0000-0000DD100000}"/>
    <hyperlink ref="C1464" r:id="rId4197" xr:uid="{00000000-0004-0000-0000-0000DE100000}"/>
    <hyperlink ref="D1464" r:id="rId4198" xr:uid="{00000000-0004-0000-0000-0000DF100000}"/>
    <hyperlink ref="C1465" r:id="rId4199" xr:uid="{00000000-0004-0000-0000-0000E0100000}"/>
    <hyperlink ref="D1465" r:id="rId4200" xr:uid="{00000000-0004-0000-0000-0000E1100000}"/>
    <hyperlink ref="A1466" r:id="rId4201" xr:uid="{00000000-0004-0000-0000-0000E2100000}"/>
    <hyperlink ref="C1466" r:id="rId4202" xr:uid="{00000000-0004-0000-0000-0000E3100000}"/>
    <hyperlink ref="D1466" r:id="rId4203" xr:uid="{00000000-0004-0000-0000-0000E4100000}"/>
    <hyperlink ref="A1467" r:id="rId4204" xr:uid="{00000000-0004-0000-0000-0000E5100000}"/>
    <hyperlink ref="C1467" r:id="rId4205" xr:uid="{00000000-0004-0000-0000-0000E6100000}"/>
    <hyperlink ref="D1467" r:id="rId4206" xr:uid="{00000000-0004-0000-0000-0000E7100000}"/>
    <hyperlink ref="A1468" r:id="rId4207" xr:uid="{00000000-0004-0000-0000-0000E8100000}"/>
    <hyperlink ref="C1468" r:id="rId4208" xr:uid="{00000000-0004-0000-0000-0000E9100000}"/>
    <hyperlink ref="D1468" r:id="rId4209" xr:uid="{00000000-0004-0000-0000-0000EA100000}"/>
    <hyperlink ref="A1469" r:id="rId4210" xr:uid="{00000000-0004-0000-0000-0000EB100000}"/>
    <hyperlink ref="C1469" r:id="rId4211" xr:uid="{00000000-0004-0000-0000-0000EC100000}"/>
    <hyperlink ref="D1469" r:id="rId4212" xr:uid="{00000000-0004-0000-0000-0000ED100000}"/>
    <hyperlink ref="A1470" r:id="rId4213" xr:uid="{00000000-0004-0000-0000-0000EE100000}"/>
    <hyperlink ref="C1470" r:id="rId4214" xr:uid="{00000000-0004-0000-0000-0000EF100000}"/>
    <hyperlink ref="D1470" r:id="rId4215" xr:uid="{00000000-0004-0000-0000-0000F0100000}"/>
    <hyperlink ref="A1471" r:id="rId4216" xr:uid="{00000000-0004-0000-0000-0000F1100000}"/>
    <hyperlink ref="C1471" r:id="rId4217" xr:uid="{00000000-0004-0000-0000-0000F2100000}"/>
    <hyperlink ref="D1471" r:id="rId4218" xr:uid="{00000000-0004-0000-0000-0000F3100000}"/>
    <hyperlink ref="A1472" r:id="rId4219" xr:uid="{00000000-0004-0000-0000-0000F4100000}"/>
    <hyperlink ref="C1472" r:id="rId4220" xr:uid="{00000000-0004-0000-0000-0000F5100000}"/>
    <hyperlink ref="D1472" r:id="rId4221" xr:uid="{00000000-0004-0000-0000-0000F6100000}"/>
    <hyperlink ref="A1473" r:id="rId4222" xr:uid="{00000000-0004-0000-0000-0000F7100000}"/>
    <hyperlink ref="C1473" r:id="rId4223" xr:uid="{00000000-0004-0000-0000-0000F8100000}"/>
    <hyperlink ref="D1473" r:id="rId4224" xr:uid="{00000000-0004-0000-0000-0000F9100000}"/>
    <hyperlink ref="A1474" r:id="rId4225" xr:uid="{00000000-0004-0000-0000-0000FA100000}"/>
    <hyperlink ref="C1474" r:id="rId4226" xr:uid="{00000000-0004-0000-0000-0000FB100000}"/>
    <hyperlink ref="D1474" r:id="rId4227" xr:uid="{00000000-0004-0000-0000-0000FC100000}"/>
    <hyperlink ref="A1475" r:id="rId4228" xr:uid="{00000000-0004-0000-0000-0000FD100000}"/>
    <hyperlink ref="C1475" r:id="rId4229" xr:uid="{00000000-0004-0000-0000-0000FE100000}"/>
    <hyperlink ref="D1475" r:id="rId4230" xr:uid="{00000000-0004-0000-0000-0000FF100000}"/>
    <hyperlink ref="A1476" r:id="rId4231" xr:uid="{00000000-0004-0000-0000-000000110000}"/>
    <hyperlink ref="C1476" r:id="rId4232" xr:uid="{00000000-0004-0000-0000-000001110000}"/>
    <hyperlink ref="D1476" r:id="rId4233" xr:uid="{00000000-0004-0000-0000-000002110000}"/>
    <hyperlink ref="A1477" r:id="rId4234" xr:uid="{00000000-0004-0000-0000-000003110000}"/>
    <hyperlink ref="C1477" r:id="rId4235" xr:uid="{00000000-0004-0000-0000-000004110000}"/>
    <hyperlink ref="D1477" r:id="rId4236" xr:uid="{00000000-0004-0000-0000-000005110000}"/>
    <hyperlink ref="A1478" r:id="rId4237" xr:uid="{00000000-0004-0000-0000-000006110000}"/>
    <hyperlink ref="C1478" r:id="rId4238" xr:uid="{00000000-0004-0000-0000-000007110000}"/>
    <hyperlink ref="D1478" r:id="rId4239" xr:uid="{00000000-0004-0000-0000-000008110000}"/>
    <hyperlink ref="A1479" r:id="rId4240" xr:uid="{00000000-0004-0000-0000-000009110000}"/>
    <hyperlink ref="C1479" r:id="rId4241" xr:uid="{00000000-0004-0000-0000-00000A110000}"/>
    <hyperlink ref="D1479" r:id="rId4242" xr:uid="{00000000-0004-0000-0000-00000B110000}"/>
    <hyperlink ref="A1480" r:id="rId4243" xr:uid="{00000000-0004-0000-0000-00000C110000}"/>
    <hyperlink ref="C1480" r:id="rId4244" xr:uid="{00000000-0004-0000-0000-00000D110000}"/>
    <hyperlink ref="D1480" r:id="rId4245" xr:uid="{00000000-0004-0000-0000-00000E110000}"/>
    <hyperlink ref="A1481" r:id="rId4246" xr:uid="{00000000-0004-0000-0000-00000F110000}"/>
    <hyperlink ref="C1481" r:id="rId4247" xr:uid="{00000000-0004-0000-0000-000010110000}"/>
    <hyperlink ref="D1481" r:id="rId4248" xr:uid="{00000000-0004-0000-0000-000011110000}"/>
    <hyperlink ref="A1482" r:id="rId4249" xr:uid="{00000000-0004-0000-0000-000012110000}"/>
    <hyperlink ref="C1482" r:id="rId4250" xr:uid="{00000000-0004-0000-0000-000013110000}"/>
    <hyperlink ref="D1482" r:id="rId4251" xr:uid="{00000000-0004-0000-0000-000014110000}"/>
    <hyperlink ref="A1483" r:id="rId4252" xr:uid="{00000000-0004-0000-0000-000015110000}"/>
    <hyperlink ref="C1483" r:id="rId4253" xr:uid="{00000000-0004-0000-0000-000016110000}"/>
    <hyperlink ref="D1483" r:id="rId4254" xr:uid="{00000000-0004-0000-0000-000017110000}"/>
    <hyperlink ref="A1484" r:id="rId4255" xr:uid="{00000000-0004-0000-0000-000018110000}"/>
    <hyperlink ref="C1484" r:id="rId4256" xr:uid="{00000000-0004-0000-0000-000019110000}"/>
    <hyperlink ref="D1484" r:id="rId4257" xr:uid="{00000000-0004-0000-0000-00001A110000}"/>
    <hyperlink ref="A1485" r:id="rId4258" xr:uid="{00000000-0004-0000-0000-00001B110000}"/>
    <hyperlink ref="C1485" r:id="rId4259" xr:uid="{00000000-0004-0000-0000-00001C110000}"/>
    <hyperlink ref="D1485" r:id="rId4260" xr:uid="{00000000-0004-0000-0000-00001D110000}"/>
    <hyperlink ref="A1486" r:id="rId4261" xr:uid="{00000000-0004-0000-0000-00001E110000}"/>
    <hyperlink ref="C1486" r:id="rId4262" xr:uid="{00000000-0004-0000-0000-00001F110000}"/>
    <hyperlink ref="D1486" r:id="rId4263" xr:uid="{00000000-0004-0000-0000-000020110000}"/>
    <hyperlink ref="A1487" r:id="rId4264" xr:uid="{00000000-0004-0000-0000-000021110000}"/>
    <hyperlink ref="C1487" r:id="rId4265" xr:uid="{00000000-0004-0000-0000-000022110000}"/>
    <hyperlink ref="D1487" r:id="rId4266" xr:uid="{00000000-0004-0000-0000-000023110000}"/>
    <hyperlink ref="A1488" r:id="rId4267" xr:uid="{00000000-0004-0000-0000-000024110000}"/>
    <hyperlink ref="C1488" r:id="rId4268" xr:uid="{00000000-0004-0000-0000-000025110000}"/>
    <hyperlink ref="D1488" r:id="rId4269" xr:uid="{00000000-0004-0000-0000-000026110000}"/>
    <hyperlink ref="A1489" r:id="rId4270" xr:uid="{00000000-0004-0000-0000-000027110000}"/>
    <hyperlink ref="C1489" r:id="rId4271" xr:uid="{00000000-0004-0000-0000-000028110000}"/>
    <hyperlink ref="D1489" r:id="rId4272" xr:uid="{00000000-0004-0000-0000-000029110000}"/>
    <hyperlink ref="A1490" r:id="rId4273" xr:uid="{00000000-0004-0000-0000-00002A110000}"/>
    <hyperlink ref="C1490" r:id="rId4274" xr:uid="{00000000-0004-0000-0000-00002B110000}"/>
    <hyperlink ref="D1490" r:id="rId4275" xr:uid="{00000000-0004-0000-0000-00002C110000}"/>
    <hyperlink ref="A1491" r:id="rId4276" xr:uid="{00000000-0004-0000-0000-00002D110000}"/>
    <hyperlink ref="C1491" r:id="rId4277" xr:uid="{00000000-0004-0000-0000-00002E110000}"/>
    <hyperlink ref="D1491" r:id="rId4278" xr:uid="{00000000-0004-0000-0000-00002F110000}"/>
    <hyperlink ref="A1492" r:id="rId4279" xr:uid="{00000000-0004-0000-0000-000030110000}"/>
    <hyperlink ref="C1492" r:id="rId4280" xr:uid="{00000000-0004-0000-0000-000031110000}"/>
    <hyperlink ref="D1492" r:id="rId4281" xr:uid="{00000000-0004-0000-0000-000032110000}"/>
    <hyperlink ref="A1493" r:id="rId4282" xr:uid="{00000000-0004-0000-0000-000033110000}"/>
    <hyperlink ref="C1493" r:id="rId4283" xr:uid="{00000000-0004-0000-0000-000034110000}"/>
    <hyperlink ref="D1493" r:id="rId4284" xr:uid="{00000000-0004-0000-0000-000035110000}"/>
    <hyperlink ref="C1494" r:id="rId4285" xr:uid="{00000000-0004-0000-0000-000036110000}"/>
    <hyperlink ref="D1494" r:id="rId4286" xr:uid="{00000000-0004-0000-0000-000037110000}"/>
    <hyperlink ref="C1495" r:id="rId4287" xr:uid="{00000000-0004-0000-0000-000038110000}"/>
    <hyperlink ref="D1495" r:id="rId4288" xr:uid="{00000000-0004-0000-0000-000039110000}"/>
    <hyperlink ref="A1496" r:id="rId4289" xr:uid="{00000000-0004-0000-0000-00003A110000}"/>
    <hyperlink ref="C1496" r:id="rId4290" xr:uid="{00000000-0004-0000-0000-00003B110000}"/>
    <hyperlink ref="D1496" r:id="rId4291" xr:uid="{00000000-0004-0000-0000-00003C110000}"/>
    <hyperlink ref="A1497" r:id="rId4292" xr:uid="{00000000-0004-0000-0000-00003D110000}"/>
    <hyperlink ref="C1497" r:id="rId4293" xr:uid="{00000000-0004-0000-0000-00003E110000}"/>
    <hyperlink ref="D1497" r:id="rId4294" xr:uid="{00000000-0004-0000-0000-00003F110000}"/>
    <hyperlink ref="A1498" r:id="rId4295" xr:uid="{00000000-0004-0000-0000-000040110000}"/>
    <hyperlink ref="C1498" r:id="rId4296" xr:uid="{00000000-0004-0000-0000-000041110000}"/>
    <hyperlink ref="D1498" r:id="rId4297" xr:uid="{00000000-0004-0000-0000-000042110000}"/>
    <hyperlink ref="A1499" r:id="rId4298" xr:uid="{00000000-0004-0000-0000-000043110000}"/>
    <hyperlink ref="A1500" r:id="rId4299" xr:uid="{00000000-0004-0000-0000-000044110000}"/>
    <hyperlink ref="C1500" r:id="rId4300" xr:uid="{00000000-0004-0000-0000-000045110000}"/>
    <hyperlink ref="D1500" r:id="rId4301" xr:uid="{00000000-0004-0000-0000-000046110000}"/>
    <hyperlink ref="A1501" r:id="rId4302" xr:uid="{00000000-0004-0000-0000-000047110000}"/>
    <hyperlink ref="C1501" r:id="rId4303" xr:uid="{00000000-0004-0000-0000-000048110000}"/>
    <hyperlink ref="D1501" r:id="rId4304" xr:uid="{00000000-0004-0000-0000-000049110000}"/>
    <hyperlink ref="A1502" r:id="rId4305" xr:uid="{00000000-0004-0000-0000-00004A110000}"/>
    <hyperlink ref="C1502" r:id="rId4306" xr:uid="{00000000-0004-0000-0000-00004B110000}"/>
    <hyperlink ref="D1502" r:id="rId4307" xr:uid="{00000000-0004-0000-0000-00004C110000}"/>
    <hyperlink ref="A1503" r:id="rId4308" xr:uid="{00000000-0004-0000-0000-00004D110000}"/>
    <hyperlink ref="C1503" r:id="rId4309" xr:uid="{00000000-0004-0000-0000-00004E110000}"/>
    <hyperlink ref="D1503" r:id="rId4310" xr:uid="{00000000-0004-0000-0000-00004F110000}"/>
    <hyperlink ref="A1504" r:id="rId4311" xr:uid="{00000000-0004-0000-0000-000050110000}"/>
    <hyperlink ref="C1504" r:id="rId4312" xr:uid="{00000000-0004-0000-0000-000051110000}"/>
    <hyperlink ref="D1504" r:id="rId4313" xr:uid="{00000000-0004-0000-0000-000052110000}"/>
    <hyperlink ref="A1505" r:id="rId4314" xr:uid="{00000000-0004-0000-0000-000053110000}"/>
    <hyperlink ref="C1505" r:id="rId4315" xr:uid="{00000000-0004-0000-0000-000054110000}"/>
    <hyperlink ref="D1505" r:id="rId4316" xr:uid="{00000000-0004-0000-0000-000055110000}"/>
    <hyperlink ref="A1506" r:id="rId4317" xr:uid="{00000000-0004-0000-0000-000056110000}"/>
    <hyperlink ref="C1506" r:id="rId4318" xr:uid="{00000000-0004-0000-0000-000057110000}"/>
    <hyperlink ref="D1506" r:id="rId4319" xr:uid="{00000000-0004-0000-0000-000058110000}"/>
    <hyperlink ref="A1507" r:id="rId4320" xr:uid="{00000000-0004-0000-0000-000059110000}"/>
    <hyperlink ref="C1507" r:id="rId4321" xr:uid="{00000000-0004-0000-0000-00005A110000}"/>
    <hyperlink ref="D1507" r:id="rId4322" xr:uid="{00000000-0004-0000-0000-00005B110000}"/>
    <hyperlink ref="A1508" r:id="rId4323" xr:uid="{00000000-0004-0000-0000-00005C110000}"/>
    <hyperlink ref="C1508" r:id="rId4324" xr:uid="{00000000-0004-0000-0000-00005D110000}"/>
    <hyperlink ref="D1508" r:id="rId4325" xr:uid="{00000000-0004-0000-0000-00005E110000}"/>
    <hyperlink ref="A1509" r:id="rId4326" xr:uid="{00000000-0004-0000-0000-00005F110000}"/>
    <hyperlink ref="C1509" r:id="rId4327" xr:uid="{00000000-0004-0000-0000-000060110000}"/>
    <hyperlink ref="D1509" r:id="rId4328" xr:uid="{00000000-0004-0000-0000-000061110000}"/>
    <hyperlink ref="A1510" r:id="rId4329" xr:uid="{00000000-0004-0000-0000-000062110000}"/>
    <hyperlink ref="C1510" r:id="rId4330" xr:uid="{00000000-0004-0000-0000-000063110000}"/>
    <hyperlink ref="D1510" r:id="rId4331" xr:uid="{00000000-0004-0000-0000-000064110000}"/>
    <hyperlink ref="A1511" r:id="rId4332" xr:uid="{00000000-0004-0000-0000-000065110000}"/>
    <hyperlink ref="C1511" r:id="rId4333" xr:uid="{00000000-0004-0000-0000-000066110000}"/>
    <hyperlink ref="D1511" r:id="rId4334" xr:uid="{00000000-0004-0000-0000-000067110000}"/>
    <hyperlink ref="A1512" r:id="rId4335" xr:uid="{00000000-0004-0000-0000-000068110000}"/>
    <hyperlink ref="C1512" r:id="rId4336" xr:uid="{00000000-0004-0000-0000-000069110000}"/>
    <hyperlink ref="D1512" r:id="rId4337" xr:uid="{00000000-0004-0000-0000-00006A110000}"/>
    <hyperlink ref="A1513" r:id="rId4338" xr:uid="{00000000-0004-0000-0000-00006B110000}"/>
    <hyperlink ref="C1513" r:id="rId4339" xr:uid="{00000000-0004-0000-0000-00006C110000}"/>
    <hyperlink ref="D1513" r:id="rId4340" xr:uid="{00000000-0004-0000-0000-00006D110000}"/>
    <hyperlink ref="A1514" r:id="rId4341" xr:uid="{00000000-0004-0000-0000-00006E110000}"/>
    <hyperlink ref="C1514" r:id="rId4342" xr:uid="{00000000-0004-0000-0000-00006F110000}"/>
    <hyperlink ref="D1514" r:id="rId4343" xr:uid="{00000000-0004-0000-0000-000070110000}"/>
    <hyperlink ref="A1515" r:id="rId4344" xr:uid="{00000000-0004-0000-0000-000071110000}"/>
    <hyperlink ref="C1515" r:id="rId4345" xr:uid="{00000000-0004-0000-0000-000072110000}"/>
    <hyperlink ref="D1515" r:id="rId4346" xr:uid="{00000000-0004-0000-0000-000073110000}"/>
    <hyperlink ref="A1516" r:id="rId4347" xr:uid="{00000000-0004-0000-0000-000074110000}"/>
    <hyperlink ref="C1516" r:id="rId4348" xr:uid="{00000000-0004-0000-0000-000075110000}"/>
    <hyperlink ref="D1516" r:id="rId4349" xr:uid="{00000000-0004-0000-0000-000076110000}"/>
    <hyperlink ref="A1517" r:id="rId4350" xr:uid="{00000000-0004-0000-0000-000077110000}"/>
    <hyperlink ref="C1517" r:id="rId4351" xr:uid="{00000000-0004-0000-0000-000078110000}"/>
    <hyperlink ref="D1517" r:id="rId4352" xr:uid="{00000000-0004-0000-0000-000079110000}"/>
    <hyperlink ref="A1518" r:id="rId4353" xr:uid="{00000000-0004-0000-0000-00007A110000}"/>
    <hyperlink ref="C1518" r:id="rId4354" xr:uid="{00000000-0004-0000-0000-00007B110000}"/>
    <hyperlink ref="D1518" r:id="rId4355" xr:uid="{00000000-0004-0000-0000-00007C110000}"/>
    <hyperlink ref="A1519" r:id="rId4356" xr:uid="{00000000-0004-0000-0000-00007D110000}"/>
    <hyperlink ref="C1519" r:id="rId4357" xr:uid="{00000000-0004-0000-0000-00007E110000}"/>
    <hyperlink ref="D1519" r:id="rId4358" xr:uid="{00000000-0004-0000-0000-00007F110000}"/>
    <hyperlink ref="A1520" r:id="rId4359" xr:uid="{00000000-0004-0000-0000-000080110000}"/>
    <hyperlink ref="C1520" r:id="rId4360" xr:uid="{00000000-0004-0000-0000-000081110000}"/>
    <hyperlink ref="D1520" r:id="rId4361" xr:uid="{00000000-0004-0000-0000-000082110000}"/>
    <hyperlink ref="E1520" r:id="rId4362" xr:uid="{00000000-0004-0000-0000-000083110000}"/>
    <hyperlink ref="A1521" r:id="rId4363" xr:uid="{00000000-0004-0000-0000-000084110000}"/>
    <hyperlink ref="C1521" r:id="rId4364" xr:uid="{00000000-0004-0000-0000-000085110000}"/>
    <hyperlink ref="D1521" r:id="rId4365" xr:uid="{00000000-0004-0000-0000-000086110000}"/>
    <hyperlink ref="A1522" r:id="rId4366" xr:uid="{00000000-0004-0000-0000-000087110000}"/>
    <hyperlink ref="C1522" r:id="rId4367" xr:uid="{00000000-0004-0000-0000-000088110000}"/>
    <hyperlink ref="D1522" r:id="rId4368" xr:uid="{00000000-0004-0000-0000-000089110000}"/>
    <hyperlink ref="A1523" r:id="rId4369" xr:uid="{00000000-0004-0000-0000-00008A110000}"/>
    <hyperlink ref="C1523" r:id="rId4370" xr:uid="{00000000-0004-0000-0000-00008B110000}"/>
    <hyperlink ref="D1523" r:id="rId4371" xr:uid="{00000000-0004-0000-0000-00008C110000}"/>
    <hyperlink ref="A1524" r:id="rId4372" xr:uid="{00000000-0004-0000-0000-00008D110000}"/>
    <hyperlink ref="C1524" r:id="rId4373" xr:uid="{00000000-0004-0000-0000-00008E110000}"/>
    <hyperlink ref="D1524" r:id="rId4374" xr:uid="{00000000-0004-0000-0000-00008F110000}"/>
    <hyperlink ref="A1525" r:id="rId4375" xr:uid="{00000000-0004-0000-0000-000090110000}"/>
    <hyperlink ref="C1525" r:id="rId4376" xr:uid="{00000000-0004-0000-0000-000091110000}"/>
    <hyperlink ref="D1525" r:id="rId4377" xr:uid="{00000000-0004-0000-0000-000092110000}"/>
    <hyperlink ref="A1526" r:id="rId4378" xr:uid="{00000000-0004-0000-0000-000093110000}"/>
    <hyperlink ref="C1526" r:id="rId4379" xr:uid="{00000000-0004-0000-0000-000094110000}"/>
    <hyperlink ref="D1526" r:id="rId4380" xr:uid="{00000000-0004-0000-0000-000095110000}"/>
    <hyperlink ref="A1527" r:id="rId4381" xr:uid="{00000000-0004-0000-0000-000096110000}"/>
    <hyperlink ref="C1527" r:id="rId4382" xr:uid="{00000000-0004-0000-0000-000097110000}"/>
    <hyperlink ref="D1527" r:id="rId4383" xr:uid="{00000000-0004-0000-0000-000098110000}"/>
    <hyperlink ref="A1528" r:id="rId4384" xr:uid="{00000000-0004-0000-0000-000099110000}"/>
    <hyperlink ref="C1528" r:id="rId4385" xr:uid="{00000000-0004-0000-0000-00009A110000}"/>
    <hyperlink ref="D1528" r:id="rId4386" xr:uid="{00000000-0004-0000-0000-00009B110000}"/>
    <hyperlink ref="A1529" r:id="rId4387" xr:uid="{00000000-0004-0000-0000-00009C110000}"/>
    <hyperlink ref="C1529" r:id="rId4388" xr:uid="{00000000-0004-0000-0000-00009D110000}"/>
    <hyperlink ref="D1529" r:id="rId4389" xr:uid="{00000000-0004-0000-0000-00009E110000}"/>
    <hyperlink ref="A1530" r:id="rId4390" xr:uid="{00000000-0004-0000-0000-00009F110000}"/>
    <hyperlink ref="C1530" r:id="rId4391" xr:uid="{00000000-0004-0000-0000-0000A0110000}"/>
    <hyperlink ref="D1530" r:id="rId4392" xr:uid="{00000000-0004-0000-0000-0000A1110000}"/>
    <hyperlink ref="A1531" r:id="rId4393" xr:uid="{00000000-0004-0000-0000-0000A2110000}"/>
    <hyperlink ref="C1531" r:id="rId4394" xr:uid="{00000000-0004-0000-0000-0000A3110000}"/>
    <hyperlink ref="D1531" r:id="rId4395" xr:uid="{00000000-0004-0000-0000-0000A4110000}"/>
    <hyperlink ref="A1532" r:id="rId4396" xr:uid="{00000000-0004-0000-0000-0000A5110000}"/>
    <hyperlink ref="C1532" r:id="rId4397" xr:uid="{00000000-0004-0000-0000-0000A6110000}"/>
    <hyperlink ref="D1532" r:id="rId4398" xr:uid="{00000000-0004-0000-0000-0000A7110000}"/>
    <hyperlink ref="A1533" r:id="rId4399" xr:uid="{00000000-0004-0000-0000-0000A8110000}"/>
    <hyperlink ref="C1533" r:id="rId4400" xr:uid="{00000000-0004-0000-0000-0000A9110000}"/>
    <hyperlink ref="D1533" r:id="rId4401" xr:uid="{00000000-0004-0000-0000-0000AA110000}"/>
    <hyperlink ref="A1534" r:id="rId4402" xr:uid="{00000000-0004-0000-0000-0000AB110000}"/>
    <hyperlink ref="C1534" r:id="rId4403" xr:uid="{00000000-0004-0000-0000-0000AC110000}"/>
    <hyperlink ref="D1534" r:id="rId4404" xr:uid="{00000000-0004-0000-0000-0000AD110000}"/>
    <hyperlink ref="A1535" r:id="rId4405" xr:uid="{00000000-0004-0000-0000-0000AE110000}"/>
    <hyperlink ref="C1535" r:id="rId4406" xr:uid="{00000000-0004-0000-0000-0000AF110000}"/>
    <hyperlink ref="D1535" r:id="rId4407" xr:uid="{00000000-0004-0000-0000-0000B0110000}"/>
    <hyperlink ref="A1536" r:id="rId4408" xr:uid="{00000000-0004-0000-0000-0000B1110000}"/>
    <hyperlink ref="C1536" r:id="rId4409" xr:uid="{00000000-0004-0000-0000-0000B2110000}"/>
    <hyperlink ref="D1536" r:id="rId4410" xr:uid="{00000000-0004-0000-0000-0000B3110000}"/>
    <hyperlink ref="A1537" r:id="rId4411" xr:uid="{00000000-0004-0000-0000-0000B4110000}"/>
    <hyperlink ref="C1537" r:id="rId4412" xr:uid="{00000000-0004-0000-0000-0000B5110000}"/>
    <hyperlink ref="D1537" r:id="rId4413" xr:uid="{00000000-0004-0000-0000-0000B6110000}"/>
    <hyperlink ref="A1538" r:id="rId4414" xr:uid="{00000000-0004-0000-0000-0000B7110000}"/>
    <hyperlink ref="C1538" r:id="rId4415" xr:uid="{00000000-0004-0000-0000-0000B8110000}"/>
    <hyperlink ref="D1538" r:id="rId4416" xr:uid="{00000000-0004-0000-0000-0000B9110000}"/>
    <hyperlink ref="A1539" r:id="rId4417" xr:uid="{00000000-0004-0000-0000-0000BA110000}"/>
    <hyperlink ref="C1539" r:id="rId4418" xr:uid="{00000000-0004-0000-0000-0000BB110000}"/>
    <hyperlink ref="D1539" r:id="rId4419" xr:uid="{00000000-0004-0000-0000-0000BC110000}"/>
    <hyperlink ref="C1540" r:id="rId4420" xr:uid="{00000000-0004-0000-0000-0000BD110000}"/>
    <hyperlink ref="D1540" r:id="rId4421" xr:uid="{00000000-0004-0000-0000-0000BE110000}"/>
    <hyperlink ref="C1541" r:id="rId4422" xr:uid="{00000000-0004-0000-0000-0000BF110000}"/>
    <hyperlink ref="D1541" r:id="rId4423" xr:uid="{00000000-0004-0000-0000-0000C0110000}"/>
    <hyperlink ref="C1542" r:id="rId4424" xr:uid="{00000000-0004-0000-0000-0000C1110000}"/>
    <hyperlink ref="D1542" r:id="rId4425" xr:uid="{00000000-0004-0000-0000-0000C2110000}"/>
    <hyperlink ref="A1543" r:id="rId4426" xr:uid="{00000000-0004-0000-0000-0000C3110000}"/>
    <hyperlink ref="C1543" r:id="rId4427" xr:uid="{00000000-0004-0000-0000-0000C4110000}"/>
    <hyperlink ref="D1543" r:id="rId4428" xr:uid="{00000000-0004-0000-0000-0000C5110000}"/>
    <hyperlink ref="A1544" r:id="rId4429" xr:uid="{00000000-0004-0000-0000-0000C6110000}"/>
    <hyperlink ref="C1544" r:id="rId4430" xr:uid="{00000000-0004-0000-0000-0000C7110000}"/>
    <hyperlink ref="D1544" r:id="rId4431" xr:uid="{00000000-0004-0000-0000-0000C8110000}"/>
    <hyperlink ref="A1545" r:id="rId4432" xr:uid="{00000000-0004-0000-0000-0000C9110000}"/>
    <hyperlink ref="C1545" r:id="rId4433" xr:uid="{00000000-0004-0000-0000-0000CA110000}"/>
    <hyperlink ref="D1545" r:id="rId4434" xr:uid="{00000000-0004-0000-0000-0000CB110000}"/>
    <hyperlink ref="A1546" r:id="rId4435" xr:uid="{00000000-0004-0000-0000-0000CC110000}"/>
    <hyperlink ref="C1546" r:id="rId4436" xr:uid="{00000000-0004-0000-0000-0000CD110000}"/>
    <hyperlink ref="D1546" r:id="rId4437" xr:uid="{00000000-0004-0000-0000-0000CE110000}"/>
    <hyperlink ref="A1547" r:id="rId4438" xr:uid="{00000000-0004-0000-0000-0000CF110000}"/>
    <hyperlink ref="C1547" r:id="rId4439" xr:uid="{00000000-0004-0000-0000-0000D0110000}"/>
    <hyperlink ref="D1547" r:id="rId4440" xr:uid="{00000000-0004-0000-0000-0000D1110000}"/>
    <hyperlink ref="A1548" r:id="rId4441" xr:uid="{00000000-0004-0000-0000-0000D2110000}"/>
    <hyperlink ref="C1548" r:id="rId4442" xr:uid="{00000000-0004-0000-0000-0000D3110000}"/>
    <hyperlink ref="D1548" r:id="rId4443" xr:uid="{00000000-0004-0000-0000-0000D4110000}"/>
    <hyperlink ref="A1549" r:id="rId4444" xr:uid="{00000000-0004-0000-0000-0000D5110000}"/>
    <hyperlink ref="C1549" r:id="rId4445" xr:uid="{00000000-0004-0000-0000-0000D6110000}"/>
    <hyperlink ref="D1549" r:id="rId4446" xr:uid="{00000000-0004-0000-0000-0000D7110000}"/>
    <hyperlink ref="A1550" r:id="rId4447" xr:uid="{00000000-0004-0000-0000-0000D8110000}"/>
    <hyperlink ref="C1550" r:id="rId4448" xr:uid="{00000000-0004-0000-0000-0000D9110000}"/>
    <hyperlink ref="D1550" r:id="rId4449" xr:uid="{00000000-0004-0000-0000-0000DA110000}"/>
    <hyperlink ref="C1551" r:id="rId4450" xr:uid="{00000000-0004-0000-0000-0000DB110000}"/>
    <hyperlink ref="D1551" r:id="rId4451" xr:uid="{00000000-0004-0000-0000-0000DC110000}"/>
    <hyperlink ref="C1552" r:id="rId4452" xr:uid="{00000000-0004-0000-0000-0000DD110000}"/>
    <hyperlink ref="D1552" r:id="rId4453" xr:uid="{00000000-0004-0000-0000-0000DE110000}"/>
    <hyperlink ref="C1553" r:id="rId4454" xr:uid="{00000000-0004-0000-0000-0000DF110000}"/>
    <hyperlink ref="D1553" r:id="rId4455" xr:uid="{00000000-0004-0000-0000-0000E0110000}"/>
    <hyperlink ref="C1554" r:id="rId4456" xr:uid="{00000000-0004-0000-0000-0000E1110000}"/>
    <hyperlink ref="D1554" r:id="rId4457" xr:uid="{00000000-0004-0000-0000-0000E2110000}"/>
    <hyperlink ref="A1555" r:id="rId4458" xr:uid="{00000000-0004-0000-0000-0000E3110000}"/>
    <hyperlink ref="C1555" r:id="rId4459" xr:uid="{00000000-0004-0000-0000-0000E4110000}"/>
    <hyperlink ref="D1555" r:id="rId4460" xr:uid="{00000000-0004-0000-0000-0000E5110000}"/>
    <hyperlink ref="A1556" r:id="rId4461" xr:uid="{00000000-0004-0000-0000-0000E6110000}"/>
    <hyperlink ref="C1556" r:id="rId4462" xr:uid="{00000000-0004-0000-0000-0000E7110000}"/>
    <hyperlink ref="D1556" r:id="rId4463" xr:uid="{00000000-0004-0000-0000-0000E8110000}"/>
    <hyperlink ref="A1557" r:id="rId4464" xr:uid="{00000000-0004-0000-0000-0000E9110000}"/>
    <hyperlink ref="C1557" r:id="rId4465" xr:uid="{00000000-0004-0000-0000-0000EA110000}"/>
    <hyperlink ref="D1557" r:id="rId4466" xr:uid="{00000000-0004-0000-0000-0000EB110000}"/>
    <hyperlink ref="A1558" r:id="rId4467" xr:uid="{00000000-0004-0000-0000-0000EC110000}"/>
    <hyperlink ref="C1558" r:id="rId4468" xr:uid="{00000000-0004-0000-0000-0000ED110000}"/>
    <hyperlink ref="D1558" r:id="rId4469" xr:uid="{00000000-0004-0000-0000-0000EE110000}"/>
    <hyperlink ref="A1559" r:id="rId4470" xr:uid="{00000000-0004-0000-0000-0000EF110000}"/>
    <hyperlink ref="C1559" r:id="rId4471" xr:uid="{00000000-0004-0000-0000-0000F0110000}"/>
    <hyperlink ref="D1559" r:id="rId4472" xr:uid="{00000000-0004-0000-0000-0000F1110000}"/>
    <hyperlink ref="A1560" r:id="rId4473" xr:uid="{00000000-0004-0000-0000-0000F2110000}"/>
    <hyperlink ref="C1560" r:id="rId4474" xr:uid="{00000000-0004-0000-0000-0000F3110000}"/>
    <hyperlink ref="D1560" r:id="rId4475" xr:uid="{00000000-0004-0000-0000-0000F4110000}"/>
    <hyperlink ref="C1561" r:id="rId4476" xr:uid="{00000000-0004-0000-0000-0000F5110000}"/>
    <hyperlink ref="D1561" r:id="rId4477" xr:uid="{00000000-0004-0000-0000-0000F6110000}"/>
    <hyperlink ref="A1562" r:id="rId4478" xr:uid="{00000000-0004-0000-0000-0000F7110000}"/>
    <hyperlink ref="C1562" r:id="rId4479" xr:uid="{00000000-0004-0000-0000-0000F8110000}"/>
    <hyperlink ref="D1562" r:id="rId4480" xr:uid="{00000000-0004-0000-0000-0000F9110000}"/>
    <hyperlink ref="A1563" r:id="rId4481" xr:uid="{00000000-0004-0000-0000-0000FA110000}"/>
    <hyperlink ref="C1563" r:id="rId4482" xr:uid="{00000000-0004-0000-0000-0000FB110000}"/>
    <hyperlink ref="D1563" r:id="rId4483" xr:uid="{00000000-0004-0000-0000-0000FC110000}"/>
    <hyperlink ref="C1564" r:id="rId4484" xr:uid="{00000000-0004-0000-0000-0000FD110000}"/>
    <hyperlink ref="D1564" r:id="rId4485" xr:uid="{00000000-0004-0000-0000-0000FE110000}"/>
    <hyperlink ref="A1565" r:id="rId4486" xr:uid="{00000000-0004-0000-0000-0000FF110000}"/>
    <hyperlink ref="C1565" r:id="rId4487" xr:uid="{00000000-0004-0000-0000-000000120000}"/>
    <hyperlink ref="D1565" r:id="rId4488" xr:uid="{00000000-0004-0000-0000-000001120000}"/>
    <hyperlink ref="A1566" r:id="rId4489" xr:uid="{00000000-0004-0000-0000-000002120000}"/>
    <hyperlink ref="C1566" r:id="rId4490" xr:uid="{00000000-0004-0000-0000-000003120000}"/>
    <hyperlink ref="D1566" r:id="rId4491" xr:uid="{00000000-0004-0000-0000-000004120000}"/>
    <hyperlink ref="A1567" r:id="rId4492" xr:uid="{00000000-0004-0000-0000-000005120000}"/>
    <hyperlink ref="C1567" r:id="rId4493" xr:uid="{00000000-0004-0000-0000-000006120000}"/>
    <hyperlink ref="D1567" r:id="rId4494" xr:uid="{00000000-0004-0000-0000-000007120000}"/>
    <hyperlink ref="A1568" r:id="rId4495" xr:uid="{00000000-0004-0000-0000-000008120000}"/>
    <hyperlink ref="C1568" r:id="rId4496" xr:uid="{00000000-0004-0000-0000-000009120000}"/>
    <hyperlink ref="D1568" r:id="rId4497" xr:uid="{00000000-0004-0000-0000-00000A120000}"/>
    <hyperlink ref="A1569" r:id="rId4498" xr:uid="{00000000-0004-0000-0000-00000B120000}"/>
    <hyperlink ref="C1569" r:id="rId4499" xr:uid="{00000000-0004-0000-0000-00000C120000}"/>
    <hyperlink ref="D1569" r:id="rId4500" xr:uid="{00000000-0004-0000-0000-00000D120000}"/>
    <hyperlink ref="A1570" r:id="rId4501" xr:uid="{00000000-0004-0000-0000-00000E120000}"/>
    <hyperlink ref="C1570" r:id="rId4502" xr:uid="{00000000-0004-0000-0000-00000F120000}"/>
    <hyperlink ref="D1570" r:id="rId4503" xr:uid="{00000000-0004-0000-0000-000010120000}"/>
    <hyperlink ref="A1571" r:id="rId4504" xr:uid="{00000000-0004-0000-0000-000011120000}"/>
    <hyperlink ref="C1571" r:id="rId4505" xr:uid="{00000000-0004-0000-0000-000012120000}"/>
    <hyperlink ref="D1571" r:id="rId4506" xr:uid="{00000000-0004-0000-0000-000013120000}"/>
    <hyperlink ref="A1572" r:id="rId4507" xr:uid="{00000000-0004-0000-0000-000014120000}"/>
    <hyperlink ref="C1572" r:id="rId4508" xr:uid="{00000000-0004-0000-0000-000015120000}"/>
    <hyperlink ref="D1572" r:id="rId4509" xr:uid="{00000000-0004-0000-0000-000016120000}"/>
    <hyperlink ref="A1573" r:id="rId4510" xr:uid="{00000000-0004-0000-0000-000017120000}"/>
    <hyperlink ref="C1573" r:id="rId4511" xr:uid="{00000000-0004-0000-0000-000018120000}"/>
    <hyperlink ref="D1573" r:id="rId4512" xr:uid="{00000000-0004-0000-0000-000019120000}"/>
    <hyperlink ref="C1574" r:id="rId4513" xr:uid="{00000000-0004-0000-0000-00001A120000}"/>
    <hyperlink ref="D1574" r:id="rId4514" xr:uid="{00000000-0004-0000-0000-00001B120000}"/>
    <hyperlink ref="A1575" r:id="rId4515" xr:uid="{00000000-0004-0000-0000-00001C120000}"/>
    <hyperlink ref="C1575" r:id="rId4516" xr:uid="{00000000-0004-0000-0000-00001D120000}"/>
    <hyperlink ref="D1575" r:id="rId4517" xr:uid="{00000000-0004-0000-0000-00001E120000}"/>
    <hyperlink ref="A1576" r:id="rId4518" xr:uid="{00000000-0004-0000-0000-00001F120000}"/>
    <hyperlink ref="C1576" r:id="rId4519" xr:uid="{00000000-0004-0000-0000-000020120000}"/>
    <hyperlink ref="D1576" r:id="rId4520" xr:uid="{00000000-0004-0000-0000-000021120000}"/>
    <hyperlink ref="A1577" r:id="rId4521" xr:uid="{00000000-0004-0000-0000-000022120000}"/>
    <hyperlink ref="C1577" r:id="rId4522" xr:uid="{00000000-0004-0000-0000-000023120000}"/>
    <hyperlink ref="D1577" r:id="rId4523" xr:uid="{00000000-0004-0000-0000-000024120000}"/>
    <hyperlink ref="A1578" r:id="rId4524" xr:uid="{00000000-0004-0000-0000-000025120000}"/>
    <hyperlink ref="C1578" r:id="rId4525" xr:uid="{00000000-0004-0000-0000-000026120000}"/>
    <hyperlink ref="D1578" r:id="rId4526" xr:uid="{00000000-0004-0000-0000-000027120000}"/>
    <hyperlink ref="A1579" r:id="rId4527" xr:uid="{00000000-0004-0000-0000-000028120000}"/>
    <hyperlink ref="C1579" r:id="rId4528" xr:uid="{00000000-0004-0000-0000-000029120000}"/>
    <hyperlink ref="D1579" r:id="rId4529" xr:uid="{00000000-0004-0000-0000-00002A120000}"/>
    <hyperlink ref="A1580" r:id="rId4530" xr:uid="{00000000-0004-0000-0000-00002B120000}"/>
    <hyperlink ref="C1580" r:id="rId4531" xr:uid="{00000000-0004-0000-0000-00002C120000}"/>
    <hyperlink ref="D1580" r:id="rId4532" xr:uid="{00000000-0004-0000-0000-00002D120000}"/>
    <hyperlink ref="C1581" r:id="rId4533" xr:uid="{00000000-0004-0000-0000-00002E120000}"/>
    <hyperlink ref="D1581" r:id="rId4534" xr:uid="{00000000-0004-0000-0000-00002F120000}"/>
    <hyperlink ref="C1582" r:id="rId4535" xr:uid="{00000000-0004-0000-0000-000030120000}"/>
    <hyperlink ref="D1582" r:id="rId4536" xr:uid="{00000000-0004-0000-0000-000031120000}"/>
    <hyperlink ref="C1583" r:id="rId4537" xr:uid="{00000000-0004-0000-0000-000032120000}"/>
    <hyperlink ref="D1583" r:id="rId4538" xr:uid="{00000000-0004-0000-0000-000033120000}"/>
    <hyperlink ref="A1584" r:id="rId4539" xr:uid="{00000000-0004-0000-0000-000034120000}"/>
    <hyperlink ref="C1584" r:id="rId4540" xr:uid="{00000000-0004-0000-0000-000035120000}"/>
    <hyperlink ref="D1584" r:id="rId4541" xr:uid="{00000000-0004-0000-0000-000036120000}"/>
    <hyperlink ref="A1585" r:id="rId4542" xr:uid="{00000000-0004-0000-0000-000037120000}"/>
    <hyperlink ref="C1585" r:id="rId4543" xr:uid="{00000000-0004-0000-0000-000038120000}"/>
    <hyperlink ref="D1585" r:id="rId4544" xr:uid="{00000000-0004-0000-0000-000039120000}"/>
    <hyperlink ref="A1586" r:id="rId4545" xr:uid="{00000000-0004-0000-0000-00003A120000}"/>
    <hyperlink ref="C1586" r:id="rId4546" xr:uid="{00000000-0004-0000-0000-00003B120000}"/>
    <hyperlink ref="D1586" r:id="rId4547" xr:uid="{00000000-0004-0000-0000-00003C120000}"/>
    <hyperlink ref="A1587" r:id="rId4548" xr:uid="{00000000-0004-0000-0000-00003D120000}"/>
    <hyperlink ref="C1587" r:id="rId4549" xr:uid="{00000000-0004-0000-0000-00003E120000}"/>
    <hyperlink ref="D1587" r:id="rId4550" xr:uid="{00000000-0004-0000-0000-00003F120000}"/>
    <hyperlink ref="A1588" r:id="rId4551" xr:uid="{00000000-0004-0000-0000-000040120000}"/>
    <hyperlink ref="C1588" r:id="rId4552" xr:uid="{00000000-0004-0000-0000-000041120000}"/>
    <hyperlink ref="D1588" r:id="rId4553" xr:uid="{00000000-0004-0000-0000-000042120000}"/>
    <hyperlink ref="A1589" r:id="rId4554" xr:uid="{00000000-0004-0000-0000-000043120000}"/>
    <hyperlink ref="C1589" r:id="rId4555" xr:uid="{00000000-0004-0000-0000-000044120000}"/>
    <hyperlink ref="D1589" r:id="rId4556" xr:uid="{00000000-0004-0000-0000-000045120000}"/>
    <hyperlink ref="A1590" r:id="rId4557" xr:uid="{00000000-0004-0000-0000-000046120000}"/>
    <hyperlink ref="C1590" r:id="rId4558" xr:uid="{00000000-0004-0000-0000-000047120000}"/>
    <hyperlink ref="D1590" r:id="rId4559" xr:uid="{00000000-0004-0000-0000-000048120000}"/>
    <hyperlink ref="A1591" r:id="rId4560" xr:uid="{00000000-0004-0000-0000-000049120000}"/>
    <hyperlink ref="C1591" r:id="rId4561" xr:uid="{00000000-0004-0000-0000-00004A120000}"/>
    <hyperlink ref="D1591" r:id="rId4562" xr:uid="{00000000-0004-0000-0000-00004B120000}"/>
    <hyperlink ref="A1592" r:id="rId4563" xr:uid="{00000000-0004-0000-0000-00004C120000}"/>
    <hyperlink ref="C1592" r:id="rId4564" xr:uid="{00000000-0004-0000-0000-00004D120000}"/>
    <hyperlink ref="D1592" r:id="rId4565" xr:uid="{00000000-0004-0000-0000-00004E120000}"/>
    <hyperlink ref="A1593" r:id="rId4566" xr:uid="{00000000-0004-0000-0000-00004F120000}"/>
    <hyperlink ref="C1593" r:id="rId4567" xr:uid="{00000000-0004-0000-0000-000050120000}"/>
    <hyperlink ref="D1593" r:id="rId4568" xr:uid="{00000000-0004-0000-0000-000051120000}"/>
    <hyperlink ref="A1594" r:id="rId4569" xr:uid="{00000000-0004-0000-0000-000052120000}"/>
    <hyperlink ref="C1594" r:id="rId4570" xr:uid="{00000000-0004-0000-0000-000053120000}"/>
    <hyperlink ref="D1594" r:id="rId4571" xr:uid="{00000000-0004-0000-0000-000054120000}"/>
    <hyperlink ref="A1595" r:id="rId4572" xr:uid="{00000000-0004-0000-0000-000055120000}"/>
    <hyperlink ref="C1595" r:id="rId4573" xr:uid="{00000000-0004-0000-0000-000056120000}"/>
    <hyperlink ref="D1595" r:id="rId4574" xr:uid="{00000000-0004-0000-0000-000057120000}"/>
    <hyperlink ref="A1596" r:id="rId4575" xr:uid="{00000000-0004-0000-0000-000058120000}"/>
    <hyperlink ref="C1596" r:id="rId4576" xr:uid="{00000000-0004-0000-0000-000059120000}"/>
    <hyperlink ref="D1596" r:id="rId4577" xr:uid="{00000000-0004-0000-0000-00005A120000}"/>
    <hyperlink ref="A1597" r:id="rId4578" xr:uid="{00000000-0004-0000-0000-00005B120000}"/>
    <hyperlink ref="C1597" r:id="rId4579" xr:uid="{00000000-0004-0000-0000-00005C120000}"/>
    <hyperlink ref="D1597" r:id="rId4580" xr:uid="{00000000-0004-0000-0000-00005D120000}"/>
    <hyperlink ref="A1598" r:id="rId4581" xr:uid="{00000000-0004-0000-0000-00005E120000}"/>
    <hyperlink ref="C1598" r:id="rId4582" xr:uid="{00000000-0004-0000-0000-00005F120000}"/>
    <hyperlink ref="D1598" r:id="rId4583" xr:uid="{00000000-0004-0000-0000-000060120000}"/>
    <hyperlink ref="E1598" r:id="rId4584" xr:uid="{00000000-0004-0000-0000-000061120000}"/>
    <hyperlink ref="A1599" r:id="rId4585" xr:uid="{00000000-0004-0000-0000-000062120000}"/>
    <hyperlink ref="C1599" r:id="rId4586" xr:uid="{00000000-0004-0000-0000-000063120000}"/>
    <hyperlink ref="D1599" r:id="rId4587" xr:uid="{00000000-0004-0000-0000-000064120000}"/>
    <hyperlink ref="E1599" r:id="rId4588" xr:uid="{00000000-0004-0000-0000-000065120000}"/>
    <hyperlink ref="A1600" r:id="rId4589" xr:uid="{00000000-0004-0000-0000-000066120000}"/>
    <hyperlink ref="C1600" r:id="rId4590" xr:uid="{00000000-0004-0000-0000-000067120000}"/>
    <hyperlink ref="D1600" r:id="rId4591" xr:uid="{00000000-0004-0000-0000-000068120000}"/>
    <hyperlink ref="A1601" r:id="rId4592" xr:uid="{00000000-0004-0000-0000-000069120000}"/>
    <hyperlink ref="C1601" r:id="rId4593" xr:uid="{00000000-0004-0000-0000-00006A120000}"/>
    <hyperlink ref="D1601" r:id="rId4594" xr:uid="{00000000-0004-0000-0000-00006B120000}"/>
    <hyperlink ref="A1602" r:id="rId4595" xr:uid="{00000000-0004-0000-0000-00006C120000}"/>
    <hyperlink ref="C1602" r:id="rId4596" xr:uid="{00000000-0004-0000-0000-00006D120000}"/>
    <hyperlink ref="D1602" r:id="rId4597" xr:uid="{00000000-0004-0000-0000-00006E120000}"/>
    <hyperlink ref="A1603" r:id="rId4598" xr:uid="{00000000-0004-0000-0000-00006F120000}"/>
    <hyperlink ref="C1603" r:id="rId4599" xr:uid="{00000000-0004-0000-0000-000070120000}"/>
    <hyperlink ref="D1603" r:id="rId4600" xr:uid="{00000000-0004-0000-0000-000071120000}"/>
    <hyperlink ref="A1604" r:id="rId4601" xr:uid="{00000000-0004-0000-0000-000072120000}"/>
    <hyperlink ref="C1604" r:id="rId4602" xr:uid="{00000000-0004-0000-0000-000073120000}"/>
    <hyperlink ref="D1604" r:id="rId4603" xr:uid="{00000000-0004-0000-0000-000074120000}"/>
    <hyperlink ref="E1604" r:id="rId4604" xr:uid="{00000000-0004-0000-0000-000075120000}"/>
    <hyperlink ref="A1605" r:id="rId4605" xr:uid="{00000000-0004-0000-0000-000076120000}"/>
    <hyperlink ref="C1605" r:id="rId4606" xr:uid="{00000000-0004-0000-0000-000077120000}"/>
    <hyperlink ref="D1605" r:id="rId4607" xr:uid="{00000000-0004-0000-0000-000078120000}"/>
    <hyperlink ref="A1606" r:id="rId4608" xr:uid="{00000000-0004-0000-0000-000079120000}"/>
    <hyperlink ref="C1606" r:id="rId4609" xr:uid="{00000000-0004-0000-0000-00007A120000}"/>
    <hyperlink ref="D1606" r:id="rId4610" xr:uid="{00000000-0004-0000-0000-00007B120000}"/>
    <hyperlink ref="A1607" r:id="rId4611" xr:uid="{00000000-0004-0000-0000-00007C120000}"/>
    <hyperlink ref="C1607" r:id="rId4612" xr:uid="{00000000-0004-0000-0000-00007D120000}"/>
    <hyperlink ref="D1607" r:id="rId4613" xr:uid="{00000000-0004-0000-0000-00007E120000}"/>
    <hyperlink ref="A1608" r:id="rId4614" xr:uid="{00000000-0004-0000-0000-00007F120000}"/>
    <hyperlink ref="C1608" r:id="rId4615" xr:uid="{00000000-0004-0000-0000-000080120000}"/>
    <hyperlink ref="D1608" r:id="rId4616" xr:uid="{00000000-0004-0000-0000-000081120000}"/>
    <hyperlink ref="A1609" r:id="rId4617" xr:uid="{00000000-0004-0000-0000-000082120000}"/>
    <hyperlink ref="C1609" r:id="rId4618" xr:uid="{00000000-0004-0000-0000-000083120000}"/>
    <hyperlink ref="D1609" r:id="rId4619" xr:uid="{00000000-0004-0000-0000-000084120000}"/>
    <hyperlink ref="E1609" r:id="rId4620" xr:uid="{00000000-0004-0000-0000-000085120000}"/>
    <hyperlink ref="A1610" r:id="rId4621" xr:uid="{00000000-0004-0000-0000-000086120000}"/>
    <hyperlink ref="C1610" r:id="rId4622" xr:uid="{00000000-0004-0000-0000-000087120000}"/>
    <hyperlink ref="D1610" r:id="rId4623" xr:uid="{00000000-0004-0000-0000-000088120000}"/>
    <hyperlink ref="E1610" r:id="rId4624" xr:uid="{00000000-0004-0000-0000-000089120000}"/>
    <hyperlink ref="A1611" r:id="rId4625" xr:uid="{00000000-0004-0000-0000-00008A120000}"/>
    <hyperlink ref="C1611" r:id="rId4626" xr:uid="{00000000-0004-0000-0000-00008B120000}"/>
    <hyperlink ref="D1611" r:id="rId4627" xr:uid="{00000000-0004-0000-0000-00008C120000}"/>
    <hyperlink ref="A1612" r:id="rId4628" xr:uid="{00000000-0004-0000-0000-00008D120000}"/>
    <hyperlink ref="C1612" r:id="rId4629" xr:uid="{00000000-0004-0000-0000-00008E120000}"/>
    <hyperlink ref="D1612" r:id="rId4630" xr:uid="{00000000-0004-0000-0000-00008F120000}"/>
    <hyperlink ref="A1613" r:id="rId4631" xr:uid="{00000000-0004-0000-0000-000090120000}"/>
    <hyperlink ref="C1613" r:id="rId4632" xr:uid="{00000000-0004-0000-0000-000091120000}"/>
    <hyperlink ref="D1613" r:id="rId4633" xr:uid="{00000000-0004-0000-0000-000092120000}"/>
    <hyperlink ref="E1613" r:id="rId4634" xr:uid="{00000000-0004-0000-0000-000093120000}"/>
    <hyperlink ref="C1614" r:id="rId4635" xr:uid="{00000000-0004-0000-0000-000094120000}"/>
    <hyperlink ref="D1614" r:id="rId4636" xr:uid="{00000000-0004-0000-0000-000095120000}"/>
    <hyperlink ref="A1615" r:id="rId4637" xr:uid="{00000000-0004-0000-0000-000096120000}"/>
    <hyperlink ref="C1615" r:id="rId4638" xr:uid="{00000000-0004-0000-0000-000097120000}"/>
    <hyperlink ref="D1615" r:id="rId4639" xr:uid="{00000000-0004-0000-0000-000098120000}"/>
    <hyperlink ref="A1616" r:id="rId4640" xr:uid="{00000000-0004-0000-0000-000099120000}"/>
    <hyperlink ref="A1617" r:id="rId4641" xr:uid="{00000000-0004-0000-0000-00009A120000}"/>
    <hyperlink ref="A1618" r:id="rId4642" xr:uid="{00000000-0004-0000-0000-00009B120000}"/>
    <hyperlink ref="C1618" r:id="rId4643" xr:uid="{00000000-0004-0000-0000-00009C120000}"/>
    <hyperlink ref="D1618" r:id="rId4644" xr:uid="{00000000-0004-0000-0000-00009D120000}"/>
    <hyperlink ref="A1619" r:id="rId4645" xr:uid="{00000000-0004-0000-0000-00009E120000}"/>
    <hyperlink ref="C1619" r:id="rId4646" xr:uid="{00000000-0004-0000-0000-00009F120000}"/>
    <hyperlink ref="D1619" r:id="rId4647" xr:uid="{00000000-0004-0000-0000-0000A0120000}"/>
    <hyperlink ref="A1620" r:id="rId4648" xr:uid="{00000000-0004-0000-0000-0000A1120000}"/>
    <hyperlink ref="C1620" r:id="rId4649" xr:uid="{00000000-0004-0000-0000-0000A2120000}"/>
    <hyperlink ref="D1620" r:id="rId4650" xr:uid="{00000000-0004-0000-0000-0000A3120000}"/>
    <hyperlink ref="A1621" r:id="rId4651" xr:uid="{00000000-0004-0000-0000-0000A4120000}"/>
    <hyperlink ref="C1621" r:id="rId4652" xr:uid="{00000000-0004-0000-0000-0000A5120000}"/>
    <hyperlink ref="D1621" r:id="rId4653" xr:uid="{00000000-0004-0000-0000-0000A6120000}"/>
    <hyperlink ref="C1622" r:id="rId4654" xr:uid="{00000000-0004-0000-0000-0000A7120000}"/>
    <hyperlink ref="D1622" r:id="rId4655" xr:uid="{00000000-0004-0000-0000-0000A8120000}"/>
    <hyperlink ref="A1623" r:id="rId4656" xr:uid="{00000000-0004-0000-0000-0000A9120000}"/>
    <hyperlink ref="C1623" r:id="rId4657" xr:uid="{00000000-0004-0000-0000-0000AA120000}"/>
    <hyperlink ref="D1623" r:id="rId4658" xr:uid="{00000000-0004-0000-0000-0000AB120000}"/>
    <hyperlink ref="A1624" r:id="rId4659" xr:uid="{00000000-0004-0000-0000-0000AC120000}"/>
    <hyperlink ref="C1624" r:id="rId4660" xr:uid="{00000000-0004-0000-0000-0000AD120000}"/>
    <hyperlink ref="D1624" r:id="rId4661" xr:uid="{00000000-0004-0000-0000-0000AE120000}"/>
    <hyperlink ref="A1625" r:id="rId4662" xr:uid="{00000000-0004-0000-0000-0000AF120000}"/>
    <hyperlink ref="C1625" r:id="rId4663" xr:uid="{00000000-0004-0000-0000-0000B0120000}"/>
    <hyperlink ref="D1625" r:id="rId4664" xr:uid="{00000000-0004-0000-0000-0000B1120000}"/>
    <hyperlink ref="E1625" r:id="rId4665" xr:uid="{00000000-0004-0000-0000-0000B2120000}"/>
    <hyperlink ref="A1626" r:id="rId4666" xr:uid="{00000000-0004-0000-0000-0000B3120000}"/>
    <hyperlink ref="C1626" r:id="rId4667" xr:uid="{00000000-0004-0000-0000-0000B4120000}"/>
    <hyperlink ref="D1626" r:id="rId4668" xr:uid="{00000000-0004-0000-0000-0000B5120000}"/>
    <hyperlink ref="E1626" r:id="rId4669" xr:uid="{00000000-0004-0000-0000-0000B6120000}"/>
    <hyperlink ref="A1627" r:id="rId4670" xr:uid="{00000000-0004-0000-0000-0000B7120000}"/>
    <hyperlink ref="C1627" r:id="rId4671" xr:uid="{00000000-0004-0000-0000-0000B8120000}"/>
    <hyperlink ref="A1628" r:id="rId4672" xr:uid="{00000000-0004-0000-0000-0000B9120000}"/>
    <hyperlink ref="C1628" r:id="rId4673" xr:uid="{00000000-0004-0000-0000-0000BA120000}"/>
    <hyperlink ref="D1628" r:id="rId4674" xr:uid="{00000000-0004-0000-0000-0000BB120000}"/>
    <hyperlink ref="A1629" r:id="rId4675" xr:uid="{00000000-0004-0000-0000-0000BC120000}"/>
    <hyperlink ref="C1629" r:id="rId4676" xr:uid="{00000000-0004-0000-0000-0000BD120000}"/>
    <hyperlink ref="D1629" r:id="rId4677" xr:uid="{00000000-0004-0000-0000-0000BE120000}"/>
    <hyperlink ref="A1630" r:id="rId4678" xr:uid="{00000000-0004-0000-0000-0000BF120000}"/>
    <hyperlink ref="C1630" r:id="rId4679" xr:uid="{00000000-0004-0000-0000-0000C0120000}"/>
    <hyperlink ref="D1630" r:id="rId4680" xr:uid="{00000000-0004-0000-0000-0000C1120000}"/>
    <hyperlink ref="A1631" r:id="rId4681" xr:uid="{00000000-0004-0000-0000-0000C2120000}"/>
    <hyperlink ref="A1632" r:id="rId4682" xr:uid="{00000000-0004-0000-0000-0000C3120000}"/>
    <hyperlink ref="C1632" r:id="rId4683" xr:uid="{00000000-0004-0000-0000-0000C4120000}"/>
    <hyperlink ref="D1632" r:id="rId4684" xr:uid="{00000000-0004-0000-0000-0000C5120000}"/>
    <hyperlink ref="A1633" r:id="rId4685" xr:uid="{00000000-0004-0000-0000-0000C6120000}"/>
    <hyperlink ref="C1633" r:id="rId4686" xr:uid="{00000000-0004-0000-0000-0000C7120000}"/>
    <hyperlink ref="D1633" r:id="rId4687" xr:uid="{00000000-0004-0000-0000-0000C8120000}"/>
    <hyperlink ref="A1634" r:id="rId4688" xr:uid="{00000000-0004-0000-0000-0000C9120000}"/>
    <hyperlink ref="C1634" r:id="rId4689" xr:uid="{00000000-0004-0000-0000-0000CA120000}"/>
    <hyperlink ref="D1634" r:id="rId4690" xr:uid="{00000000-0004-0000-0000-0000CB120000}"/>
    <hyperlink ref="A1635" r:id="rId4691" xr:uid="{00000000-0004-0000-0000-0000CC120000}"/>
    <hyperlink ref="C1635" r:id="rId4692" xr:uid="{00000000-0004-0000-0000-0000CD120000}"/>
    <hyperlink ref="D1635" r:id="rId4693" xr:uid="{00000000-0004-0000-0000-0000CE120000}"/>
    <hyperlink ref="A1636" r:id="rId4694" xr:uid="{00000000-0004-0000-0000-0000CF120000}"/>
    <hyperlink ref="C1636" r:id="rId4695" xr:uid="{00000000-0004-0000-0000-0000D0120000}"/>
    <hyperlink ref="D1636" r:id="rId4696" xr:uid="{00000000-0004-0000-0000-0000D1120000}"/>
    <hyperlink ref="A1637" r:id="rId4697" xr:uid="{00000000-0004-0000-0000-0000D2120000}"/>
    <hyperlink ref="C1637" r:id="rId4698" xr:uid="{00000000-0004-0000-0000-0000D3120000}"/>
    <hyperlink ref="D1637" r:id="rId4699" xr:uid="{00000000-0004-0000-0000-0000D4120000}"/>
    <hyperlink ref="A1638" r:id="rId4700" xr:uid="{00000000-0004-0000-0000-0000D5120000}"/>
    <hyperlink ref="C1638" r:id="rId4701" xr:uid="{00000000-0004-0000-0000-0000D6120000}"/>
    <hyperlink ref="D1638" r:id="rId4702" xr:uid="{00000000-0004-0000-0000-0000D7120000}"/>
    <hyperlink ref="C1639" r:id="rId4703" xr:uid="{00000000-0004-0000-0000-0000D8120000}"/>
    <hyperlink ref="D1639" r:id="rId4704" xr:uid="{00000000-0004-0000-0000-0000D9120000}"/>
    <hyperlink ref="A1640" r:id="rId4705" xr:uid="{00000000-0004-0000-0000-0000DA120000}"/>
    <hyperlink ref="C1640" r:id="rId4706" xr:uid="{00000000-0004-0000-0000-0000DB120000}"/>
    <hyperlink ref="D1640" r:id="rId4707" xr:uid="{00000000-0004-0000-0000-0000DC120000}"/>
    <hyperlink ref="A1641" r:id="rId4708" xr:uid="{00000000-0004-0000-0000-0000DD120000}"/>
    <hyperlink ref="C1641" r:id="rId4709" xr:uid="{00000000-0004-0000-0000-0000DE120000}"/>
    <hyperlink ref="D1641" r:id="rId4710" xr:uid="{00000000-0004-0000-0000-0000DF120000}"/>
    <hyperlink ref="A1642" r:id="rId4711" xr:uid="{00000000-0004-0000-0000-0000E0120000}"/>
    <hyperlink ref="C1642" r:id="rId4712" xr:uid="{00000000-0004-0000-0000-0000E1120000}"/>
    <hyperlink ref="D1642" r:id="rId4713" xr:uid="{00000000-0004-0000-0000-0000E2120000}"/>
    <hyperlink ref="A1643" r:id="rId4714" xr:uid="{00000000-0004-0000-0000-0000E3120000}"/>
    <hyperlink ref="C1643" r:id="rId4715" xr:uid="{00000000-0004-0000-0000-0000E4120000}"/>
    <hyperlink ref="D1643" r:id="rId4716" xr:uid="{00000000-0004-0000-0000-0000E5120000}"/>
    <hyperlink ref="A1644" r:id="rId4717" xr:uid="{00000000-0004-0000-0000-0000E6120000}"/>
    <hyperlink ref="C1644" r:id="rId4718" xr:uid="{00000000-0004-0000-0000-0000E7120000}"/>
    <hyperlink ref="D1644" r:id="rId4719" xr:uid="{00000000-0004-0000-0000-0000E8120000}"/>
    <hyperlink ref="A1645" r:id="rId4720" xr:uid="{00000000-0004-0000-0000-0000E9120000}"/>
    <hyperlink ref="C1645" r:id="rId4721" xr:uid="{00000000-0004-0000-0000-0000EA120000}"/>
    <hyperlink ref="D1645" r:id="rId4722" xr:uid="{00000000-0004-0000-0000-0000EB120000}"/>
    <hyperlink ref="A1646" r:id="rId4723" xr:uid="{00000000-0004-0000-0000-0000EC120000}"/>
    <hyperlink ref="C1646" r:id="rId4724" xr:uid="{00000000-0004-0000-0000-0000ED120000}"/>
    <hyperlink ref="D1646" r:id="rId4725" xr:uid="{00000000-0004-0000-0000-0000EE120000}"/>
    <hyperlink ref="A1647" r:id="rId4726" xr:uid="{00000000-0004-0000-0000-0000EF120000}"/>
    <hyperlink ref="C1647" r:id="rId4727" xr:uid="{00000000-0004-0000-0000-0000F0120000}"/>
    <hyperlink ref="D1647" r:id="rId4728" xr:uid="{00000000-0004-0000-0000-0000F1120000}"/>
    <hyperlink ref="A1648" r:id="rId4729" xr:uid="{00000000-0004-0000-0000-0000F2120000}"/>
    <hyperlink ref="C1648" r:id="rId4730" xr:uid="{00000000-0004-0000-0000-0000F3120000}"/>
    <hyperlink ref="D1648" r:id="rId4731" xr:uid="{00000000-0004-0000-0000-0000F4120000}"/>
    <hyperlink ref="A1649" r:id="rId4732" xr:uid="{00000000-0004-0000-0000-0000F5120000}"/>
    <hyperlink ref="C1649" r:id="rId4733" xr:uid="{00000000-0004-0000-0000-0000F6120000}"/>
    <hyperlink ref="D1649" r:id="rId4734" xr:uid="{00000000-0004-0000-0000-0000F7120000}"/>
    <hyperlink ref="A1650" r:id="rId4735" xr:uid="{00000000-0004-0000-0000-0000F8120000}"/>
    <hyperlink ref="C1650" r:id="rId4736" xr:uid="{00000000-0004-0000-0000-0000F9120000}"/>
    <hyperlink ref="D1650" r:id="rId4737" xr:uid="{00000000-0004-0000-0000-0000FA120000}"/>
    <hyperlink ref="A1651" r:id="rId4738" xr:uid="{00000000-0004-0000-0000-0000FB120000}"/>
    <hyperlink ref="C1651" r:id="rId4739" xr:uid="{00000000-0004-0000-0000-0000FC120000}"/>
    <hyperlink ref="D1651" r:id="rId4740" xr:uid="{00000000-0004-0000-0000-0000FD120000}"/>
    <hyperlink ref="A1652" r:id="rId4741" xr:uid="{00000000-0004-0000-0000-0000FE120000}"/>
    <hyperlink ref="C1652" r:id="rId4742" xr:uid="{00000000-0004-0000-0000-0000FF120000}"/>
    <hyperlink ref="D1652" r:id="rId4743" xr:uid="{00000000-0004-0000-0000-000000130000}"/>
    <hyperlink ref="A1653" r:id="rId4744" xr:uid="{00000000-0004-0000-0000-000001130000}"/>
    <hyperlink ref="C1653" r:id="rId4745" xr:uid="{00000000-0004-0000-0000-000002130000}"/>
    <hyperlink ref="D1653" r:id="rId4746" xr:uid="{00000000-0004-0000-0000-000003130000}"/>
    <hyperlink ref="A1654" r:id="rId4747" xr:uid="{00000000-0004-0000-0000-000004130000}"/>
    <hyperlink ref="C1654" r:id="rId4748" xr:uid="{00000000-0004-0000-0000-000005130000}"/>
    <hyperlink ref="D1654" r:id="rId4749" xr:uid="{00000000-0004-0000-0000-000006130000}"/>
    <hyperlink ref="A1655" r:id="rId4750" xr:uid="{00000000-0004-0000-0000-000007130000}"/>
    <hyperlink ref="C1655" r:id="rId4751" xr:uid="{00000000-0004-0000-0000-000008130000}"/>
    <hyperlink ref="D1655" r:id="rId4752" xr:uid="{00000000-0004-0000-0000-000009130000}"/>
    <hyperlink ref="A1656" r:id="rId4753" xr:uid="{00000000-0004-0000-0000-00000A130000}"/>
    <hyperlink ref="C1656" r:id="rId4754" xr:uid="{00000000-0004-0000-0000-00000B130000}"/>
    <hyperlink ref="D1656" r:id="rId4755" xr:uid="{00000000-0004-0000-0000-00000C130000}"/>
    <hyperlink ref="A1657" r:id="rId4756" xr:uid="{00000000-0004-0000-0000-00000D130000}"/>
    <hyperlink ref="C1657" r:id="rId4757" xr:uid="{00000000-0004-0000-0000-00000E130000}"/>
    <hyperlink ref="D1657" r:id="rId4758" xr:uid="{00000000-0004-0000-0000-00000F130000}"/>
    <hyperlink ref="A1658" r:id="rId4759" xr:uid="{00000000-0004-0000-0000-000010130000}"/>
    <hyperlink ref="C1658" r:id="rId4760" xr:uid="{00000000-0004-0000-0000-000011130000}"/>
    <hyperlink ref="D1658" r:id="rId4761" xr:uid="{00000000-0004-0000-0000-000012130000}"/>
    <hyperlink ref="A1659" r:id="rId4762" xr:uid="{00000000-0004-0000-0000-000013130000}"/>
    <hyperlink ref="C1659" r:id="rId4763" xr:uid="{00000000-0004-0000-0000-000014130000}"/>
    <hyperlink ref="D1659" r:id="rId4764" xr:uid="{00000000-0004-0000-0000-000015130000}"/>
    <hyperlink ref="A1660" r:id="rId4765" xr:uid="{00000000-0004-0000-0000-000016130000}"/>
    <hyperlink ref="C1660" r:id="rId4766" xr:uid="{00000000-0004-0000-0000-000017130000}"/>
    <hyperlink ref="D1660" r:id="rId4767" xr:uid="{00000000-0004-0000-0000-000018130000}"/>
    <hyperlink ref="A1661" r:id="rId4768" xr:uid="{00000000-0004-0000-0000-000019130000}"/>
    <hyperlink ref="C1661" r:id="rId4769" xr:uid="{00000000-0004-0000-0000-00001A130000}"/>
    <hyperlink ref="D1661" r:id="rId4770" xr:uid="{00000000-0004-0000-0000-00001B130000}"/>
    <hyperlink ref="A1662" r:id="rId4771" xr:uid="{00000000-0004-0000-0000-00001C130000}"/>
    <hyperlink ref="C1662" r:id="rId4772" xr:uid="{00000000-0004-0000-0000-00001D130000}"/>
    <hyperlink ref="D1662" r:id="rId4773" xr:uid="{00000000-0004-0000-0000-00001E130000}"/>
    <hyperlink ref="A1663" r:id="rId4774" xr:uid="{00000000-0004-0000-0000-00001F130000}"/>
    <hyperlink ref="C1663" r:id="rId4775" xr:uid="{00000000-0004-0000-0000-000020130000}"/>
    <hyperlink ref="D1663" r:id="rId4776" xr:uid="{00000000-0004-0000-0000-000021130000}"/>
    <hyperlink ref="A1664" r:id="rId4777" xr:uid="{00000000-0004-0000-0000-000022130000}"/>
    <hyperlink ref="C1664" r:id="rId4778" xr:uid="{00000000-0004-0000-0000-000023130000}"/>
    <hyperlink ref="D1664" r:id="rId4779" xr:uid="{00000000-0004-0000-0000-000024130000}"/>
    <hyperlink ref="A1665" r:id="rId4780" xr:uid="{00000000-0004-0000-0000-000025130000}"/>
    <hyperlink ref="C1665" r:id="rId4781" xr:uid="{00000000-0004-0000-0000-000026130000}"/>
    <hyperlink ref="D1665" r:id="rId4782" xr:uid="{00000000-0004-0000-0000-000027130000}"/>
    <hyperlink ref="A1666" r:id="rId4783" xr:uid="{00000000-0004-0000-0000-000028130000}"/>
    <hyperlink ref="C1666" r:id="rId4784" xr:uid="{00000000-0004-0000-0000-000029130000}"/>
    <hyperlink ref="D1666" r:id="rId4785" xr:uid="{00000000-0004-0000-0000-00002A130000}"/>
    <hyperlink ref="E1666" r:id="rId4786" xr:uid="{00000000-0004-0000-0000-00002B130000}"/>
    <hyperlink ref="A1667" r:id="rId4787" xr:uid="{00000000-0004-0000-0000-00002C130000}"/>
    <hyperlink ref="C1667" r:id="rId4788" xr:uid="{00000000-0004-0000-0000-00002D130000}"/>
    <hyperlink ref="D1667" r:id="rId4789" xr:uid="{00000000-0004-0000-0000-00002E130000}"/>
    <hyperlink ref="E1667" r:id="rId4790" xr:uid="{00000000-0004-0000-0000-00002F130000}"/>
    <hyperlink ref="A1668" r:id="rId4791" xr:uid="{00000000-0004-0000-0000-000030130000}"/>
    <hyperlink ref="C1668" r:id="rId4792" xr:uid="{00000000-0004-0000-0000-000031130000}"/>
    <hyperlink ref="D1668" r:id="rId4793" xr:uid="{00000000-0004-0000-0000-000032130000}"/>
    <hyperlink ref="A1669" r:id="rId4794" xr:uid="{00000000-0004-0000-0000-000033130000}"/>
    <hyperlink ref="C1669" r:id="rId4795" xr:uid="{00000000-0004-0000-0000-000034130000}"/>
    <hyperlink ref="D1669" r:id="rId4796" xr:uid="{00000000-0004-0000-0000-000035130000}"/>
    <hyperlink ref="A1670" r:id="rId4797" xr:uid="{00000000-0004-0000-0000-000036130000}"/>
    <hyperlink ref="A1673" r:id="rId4798" xr:uid="{00000000-0004-0000-0000-000037130000}"/>
    <hyperlink ref="C1673" r:id="rId4799" xr:uid="{00000000-0004-0000-0000-000038130000}"/>
    <hyperlink ref="D1673" r:id="rId4800" xr:uid="{00000000-0004-0000-0000-000039130000}"/>
    <hyperlink ref="E1673" r:id="rId4801" xr:uid="{00000000-0004-0000-0000-00003A130000}"/>
    <hyperlink ref="A1674" r:id="rId4802" xr:uid="{00000000-0004-0000-0000-00003B130000}"/>
    <hyperlink ref="C1674" r:id="rId4803" xr:uid="{00000000-0004-0000-0000-00003C130000}"/>
    <hyperlink ref="D1674" r:id="rId4804" xr:uid="{00000000-0004-0000-0000-00003D130000}"/>
    <hyperlink ref="A1675" r:id="rId4805" xr:uid="{00000000-0004-0000-0000-00003E130000}"/>
    <hyperlink ref="C1675" r:id="rId4806" xr:uid="{00000000-0004-0000-0000-00003F130000}"/>
    <hyperlink ref="D1675" r:id="rId4807" xr:uid="{00000000-0004-0000-0000-000040130000}"/>
    <hyperlink ref="A1676" r:id="rId4808" xr:uid="{00000000-0004-0000-0000-000041130000}"/>
    <hyperlink ref="C1676" r:id="rId4809" xr:uid="{00000000-0004-0000-0000-000042130000}"/>
    <hyperlink ref="D1676" r:id="rId4810" xr:uid="{00000000-0004-0000-0000-000043130000}"/>
    <hyperlink ref="A1677" r:id="rId4811" xr:uid="{00000000-0004-0000-0000-000044130000}"/>
    <hyperlink ref="C1677" r:id="rId4812" xr:uid="{00000000-0004-0000-0000-000045130000}"/>
    <hyperlink ref="D1677" r:id="rId4813" xr:uid="{00000000-0004-0000-0000-000046130000}"/>
    <hyperlink ref="A1678" r:id="rId4814" xr:uid="{00000000-0004-0000-0000-000047130000}"/>
    <hyperlink ref="C1678" r:id="rId4815" xr:uid="{00000000-0004-0000-0000-000048130000}"/>
    <hyperlink ref="D1678" r:id="rId4816" xr:uid="{00000000-0004-0000-0000-000049130000}"/>
    <hyperlink ref="A1679" r:id="rId4817" xr:uid="{00000000-0004-0000-0000-00004A130000}"/>
    <hyperlink ref="C1679" r:id="rId4818" xr:uid="{00000000-0004-0000-0000-00004B130000}"/>
    <hyperlink ref="D1679" r:id="rId4819" xr:uid="{00000000-0004-0000-0000-00004C130000}"/>
    <hyperlink ref="A1680" r:id="rId4820" xr:uid="{00000000-0004-0000-0000-00004D130000}"/>
    <hyperlink ref="C1680" r:id="rId4821" xr:uid="{00000000-0004-0000-0000-00004E130000}"/>
    <hyperlink ref="D1680" r:id="rId4822" xr:uid="{00000000-0004-0000-0000-00004F130000}"/>
    <hyperlink ref="A1681" r:id="rId4823" xr:uid="{00000000-0004-0000-0000-000050130000}"/>
    <hyperlink ref="A1682" r:id="rId4824" xr:uid="{00000000-0004-0000-0000-000051130000}"/>
    <hyperlink ref="A1683" r:id="rId4825" xr:uid="{00000000-0004-0000-0000-000052130000}"/>
    <hyperlink ref="C1683" r:id="rId4826" xr:uid="{00000000-0004-0000-0000-000053130000}"/>
    <hyperlink ref="D1683" r:id="rId4827" xr:uid="{00000000-0004-0000-0000-000054130000}"/>
    <hyperlink ref="A1684" r:id="rId4828" xr:uid="{00000000-0004-0000-0000-000055130000}"/>
    <hyperlink ref="C1684" r:id="rId4829" xr:uid="{00000000-0004-0000-0000-000056130000}"/>
    <hyperlink ref="D1684" r:id="rId4830" xr:uid="{00000000-0004-0000-0000-000057130000}"/>
    <hyperlink ref="A1685" r:id="rId4831" xr:uid="{00000000-0004-0000-0000-000058130000}"/>
    <hyperlink ref="C1685" r:id="rId4832" xr:uid="{00000000-0004-0000-0000-000059130000}"/>
    <hyperlink ref="D1685" r:id="rId4833" xr:uid="{00000000-0004-0000-0000-00005A130000}"/>
    <hyperlink ref="A1686" r:id="rId4834" xr:uid="{00000000-0004-0000-0000-00005B130000}"/>
    <hyperlink ref="C1686" r:id="rId4835" xr:uid="{00000000-0004-0000-0000-00005C130000}"/>
    <hyperlink ref="D1686" r:id="rId4836" xr:uid="{00000000-0004-0000-0000-00005D130000}"/>
    <hyperlink ref="A1687" r:id="rId4837" xr:uid="{00000000-0004-0000-0000-00005E130000}"/>
    <hyperlink ref="C1687" r:id="rId4838" xr:uid="{00000000-0004-0000-0000-00005F130000}"/>
    <hyperlink ref="D1687" r:id="rId4839" xr:uid="{00000000-0004-0000-0000-000060130000}"/>
    <hyperlink ref="A1688" r:id="rId4840" xr:uid="{00000000-0004-0000-0000-000061130000}"/>
    <hyperlink ref="C1688" r:id="rId4841" xr:uid="{00000000-0004-0000-0000-000062130000}"/>
    <hyperlink ref="D1688" r:id="rId4842" xr:uid="{00000000-0004-0000-0000-000063130000}"/>
    <hyperlink ref="A1689" r:id="rId4843" xr:uid="{00000000-0004-0000-0000-000064130000}"/>
    <hyperlink ref="C1689" r:id="rId4844" xr:uid="{00000000-0004-0000-0000-000065130000}"/>
    <hyperlink ref="D1689" r:id="rId4845" xr:uid="{00000000-0004-0000-0000-000066130000}"/>
    <hyperlink ref="A1690" r:id="rId4846" xr:uid="{00000000-0004-0000-0000-000067130000}"/>
    <hyperlink ref="C1690" r:id="rId4847" xr:uid="{00000000-0004-0000-0000-000068130000}"/>
    <hyperlink ref="D1690" r:id="rId4848" xr:uid="{00000000-0004-0000-0000-000069130000}"/>
    <hyperlink ref="A1691" r:id="rId4849" xr:uid="{00000000-0004-0000-0000-00006A130000}"/>
    <hyperlink ref="C1691" r:id="rId4850" xr:uid="{00000000-0004-0000-0000-00006B130000}"/>
    <hyperlink ref="D1691" r:id="rId4851" xr:uid="{00000000-0004-0000-0000-00006C130000}"/>
    <hyperlink ref="A1692" r:id="rId4852" xr:uid="{00000000-0004-0000-0000-00006D130000}"/>
    <hyperlink ref="C1692" r:id="rId4853" xr:uid="{00000000-0004-0000-0000-00006E130000}"/>
    <hyperlink ref="D1692" r:id="rId4854" xr:uid="{00000000-0004-0000-0000-00006F130000}"/>
    <hyperlink ref="A1693" r:id="rId4855" xr:uid="{00000000-0004-0000-0000-000070130000}"/>
    <hyperlink ref="C1693" r:id="rId4856" xr:uid="{00000000-0004-0000-0000-000071130000}"/>
    <hyperlink ref="D1693" r:id="rId4857" xr:uid="{00000000-0004-0000-0000-000072130000}"/>
    <hyperlink ref="A1694" r:id="rId4858" xr:uid="{00000000-0004-0000-0000-000073130000}"/>
    <hyperlink ref="C1694" r:id="rId4859" xr:uid="{00000000-0004-0000-0000-000074130000}"/>
    <hyperlink ref="D1694" r:id="rId4860" xr:uid="{00000000-0004-0000-0000-000075130000}"/>
    <hyperlink ref="A1695" r:id="rId4861" xr:uid="{00000000-0004-0000-0000-000076130000}"/>
    <hyperlink ref="C1695" r:id="rId4862" xr:uid="{00000000-0004-0000-0000-000077130000}"/>
    <hyperlink ref="D1695" r:id="rId4863" xr:uid="{00000000-0004-0000-0000-000078130000}"/>
    <hyperlink ref="A1696" r:id="rId4864" xr:uid="{00000000-0004-0000-0000-000079130000}"/>
    <hyperlink ref="C1696" r:id="rId4865" xr:uid="{00000000-0004-0000-0000-00007A130000}"/>
    <hyperlink ref="D1696" r:id="rId4866" xr:uid="{00000000-0004-0000-0000-00007B130000}"/>
    <hyperlink ref="A1697" r:id="rId4867" xr:uid="{00000000-0004-0000-0000-00007C130000}"/>
    <hyperlink ref="C1697" r:id="rId4868" xr:uid="{00000000-0004-0000-0000-00007D130000}"/>
    <hyperlink ref="D1697" r:id="rId4869" xr:uid="{00000000-0004-0000-0000-00007E130000}"/>
    <hyperlink ref="A1698" r:id="rId4870" xr:uid="{00000000-0004-0000-0000-00007F130000}"/>
    <hyperlink ref="C1698" r:id="rId4871" xr:uid="{00000000-0004-0000-0000-000080130000}"/>
    <hyperlink ref="D1698" r:id="rId4872" xr:uid="{00000000-0004-0000-0000-000081130000}"/>
    <hyperlink ref="E1698" r:id="rId4873" xr:uid="{00000000-0004-0000-0000-000082130000}"/>
    <hyperlink ref="A1699" r:id="rId4874" xr:uid="{00000000-0004-0000-0000-000083130000}"/>
    <hyperlink ref="C1699" r:id="rId4875" xr:uid="{00000000-0004-0000-0000-000084130000}"/>
    <hyperlink ref="D1699" r:id="rId4876" xr:uid="{00000000-0004-0000-0000-000085130000}"/>
    <hyperlink ref="A1700" r:id="rId4877" xr:uid="{00000000-0004-0000-0000-000086130000}"/>
    <hyperlink ref="C1700" r:id="rId4878" xr:uid="{00000000-0004-0000-0000-000087130000}"/>
    <hyperlink ref="D1700" r:id="rId4879" xr:uid="{00000000-0004-0000-0000-000088130000}"/>
    <hyperlink ref="A1701" r:id="rId4880" xr:uid="{00000000-0004-0000-0000-000089130000}"/>
    <hyperlink ref="C1701" r:id="rId4881" xr:uid="{00000000-0004-0000-0000-00008A130000}"/>
    <hyperlink ref="D1701" r:id="rId4882" xr:uid="{00000000-0004-0000-0000-00008B130000}"/>
    <hyperlink ref="A1702" r:id="rId4883" xr:uid="{00000000-0004-0000-0000-00008C130000}"/>
    <hyperlink ref="D1702" r:id="rId4884" xr:uid="{00000000-0004-0000-0000-00008D130000}"/>
    <hyperlink ref="A1703" r:id="rId4885" xr:uid="{00000000-0004-0000-0000-00008E130000}"/>
    <hyperlink ref="C1703" r:id="rId4886" xr:uid="{00000000-0004-0000-0000-00008F130000}"/>
    <hyperlink ref="D1703" r:id="rId4887" xr:uid="{00000000-0004-0000-0000-000090130000}"/>
    <hyperlink ref="A1704" r:id="rId4888" xr:uid="{00000000-0004-0000-0000-000091130000}"/>
    <hyperlink ref="C1704" r:id="rId4889" xr:uid="{00000000-0004-0000-0000-000092130000}"/>
    <hyperlink ref="D1704" r:id="rId4890" xr:uid="{00000000-0004-0000-0000-000093130000}"/>
    <hyperlink ref="A1705" r:id="rId4891" xr:uid="{00000000-0004-0000-0000-000094130000}"/>
    <hyperlink ref="C1705" r:id="rId4892" xr:uid="{00000000-0004-0000-0000-000095130000}"/>
    <hyperlink ref="D1705" r:id="rId4893" xr:uid="{00000000-0004-0000-0000-000096130000}"/>
    <hyperlink ref="A1706" r:id="rId4894" xr:uid="{00000000-0004-0000-0000-000097130000}"/>
    <hyperlink ref="C1706" r:id="rId4895" xr:uid="{00000000-0004-0000-0000-000098130000}"/>
    <hyperlink ref="D1706" r:id="rId4896" xr:uid="{00000000-0004-0000-0000-000099130000}"/>
    <hyperlink ref="E1706" r:id="rId4897" xr:uid="{00000000-0004-0000-0000-00009A130000}"/>
    <hyperlink ref="A1707" r:id="rId4898" xr:uid="{00000000-0004-0000-0000-00009B130000}"/>
    <hyperlink ref="C1707" r:id="rId4899" xr:uid="{00000000-0004-0000-0000-00009C130000}"/>
    <hyperlink ref="D1707" r:id="rId4900" xr:uid="{00000000-0004-0000-0000-00009D130000}"/>
    <hyperlink ref="C1708" r:id="rId4901" xr:uid="{00000000-0004-0000-0000-00009E130000}"/>
    <hyperlink ref="D1708" r:id="rId4902" xr:uid="{00000000-0004-0000-0000-00009F130000}"/>
    <hyperlink ref="A1709" r:id="rId4903" xr:uid="{00000000-0004-0000-0000-0000A0130000}"/>
    <hyperlink ref="C1709" r:id="rId4904" xr:uid="{00000000-0004-0000-0000-0000A1130000}"/>
    <hyperlink ref="D1709" r:id="rId4905" xr:uid="{00000000-0004-0000-0000-0000A2130000}"/>
    <hyperlink ref="A1710" r:id="rId4906" xr:uid="{00000000-0004-0000-0000-0000A3130000}"/>
    <hyperlink ref="C1710" r:id="rId4907" xr:uid="{00000000-0004-0000-0000-0000A4130000}"/>
    <hyperlink ref="D1710" r:id="rId4908" xr:uid="{00000000-0004-0000-0000-0000A5130000}"/>
    <hyperlink ref="A1711" r:id="rId4909" xr:uid="{00000000-0004-0000-0000-0000A6130000}"/>
    <hyperlink ref="C1711" r:id="rId4910" xr:uid="{00000000-0004-0000-0000-0000A7130000}"/>
    <hyperlink ref="D1711" r:id="rId4911" xr:uid="{00000000-0004-0000-0000-0000A8130000}"/>
    <hyperlink ref="E1711" r:id="rId4912" xr:uid="{00000000-0004-0000-0000-0000A9130000}"/>
    <hyperlink ref="A1712" r:id="rId4913" xr:uid="{00000000-0004-0000-0000-0000AA130000}"/>
    <hyperlink ref="C1712" r:id="rId4914" xr:uid="{00000000-0004-0000-0000-0000AB130000}"/>
    <hyperlink ref="D1712" r:id="rId4915" xr:uid="{00000000-0004-0000-0000-0000AC130000}"/>
    <hyperlink ref="A1713" r:id="rId4916" xr:uid="{00000000-0004-0000-0000-0000AD130000}"/>
    <hyperlink ref="C1713" r:id="rId4917" xr:uid="{00000000-0004-0000-0000-0000AE130000}"/>
    <hyperlink ref="D1713" r:id="rId4918" xr:uid="{00000000-0004-0000-0000-0000AF130000}"/>
    <hyperlink ref="A1714" r:id="rId4919" xr:uid="{00000000-0004-0000-0000-0000B0130000}"/>
    <hyperlink ref="C1714" r:id="rId4920" xr:uid="{00000000-0004-0000-0000-0000B1130000}"/>
    <hyperlink ref="D1714" r:id="rId4921" xr:uid="{00000000-0004-0000-0000-0000B2130000}"/>
    <hyperlink ref="A1715" r:id="rId4922" xr:uid="{00000000-0004-0000-0000-0000B3130000}"/>
    <hyperlink ref="C1715" r:id="rId4923" xr:uid="{00000000-0004-0000-0000-0000B4130000}"/>
    <hyperlink ref="D1715" r:id="rId4924" xr:uid="{00000000-0004-0000-0000-0000B5130000}"/>
    <hyperlink ref="E1715" r:id="rId4925" xr:uid="{00000000-0004-0000-0000-0000B6130000}"/>
    <hyperlink ref="A1716" r:id="rId4926" xr:uid="{00000000-0004-0000-0000-0000B7130000}"/>
    <hyperlink ref="A1717" r:id="rId4927" xr:uid="{00000000-0004-0000-0000-0000B8130000}"/>
    <hyperlink ref="A1718" r:id="rId4928" xr:uid="{00000000-0004-0000-0000-0000B9130000}"/>
    <hyperlink ref="A1719" r:id="rId4929" xr:uid="{00000000-0004-0000-0000-0000BA130000}"/>
    <hyperlink ref="A1720" r:id="rId4930" xr:uid="{00000000-0004-0000-0000-0000BB130000}"/>
    <hyperlink ref="A1722" r:id="rId4931" xr:uid="{00000000-0004-0000-0000-0000BC130000}"/>
    <hyperlink ref="C1722" r:id="rId4932" xr:uid="{00000000-0004-0000-0000-0000BD130000}"/>
    <hyperlink ref="D1722" r:id="rId4933" xr:uid="{00000000-0004-0000-0000-0000BE130000}"/>
    <hyperlink ref="A1723" r:id="rId4934" xr:uid="{00000000-0004-0000-0000-0000BF130000}"/>
    <hyperlink ref="C1723" r:id="rId4935" xr:uid="{00000000-0004-0000-0000-0000C0130000}"/>
    <hyperlink ref="D1723" r:id="rId4936" xr:uid="{00000000-0004-0000-0000-0000C1130000}"/>
    <hyperlink ref="A1724" r:id="rId4937" xr:uid="{00000000-0004-0000-0000-0000C2130000}"/>
    <hyperlink ref="C1724" r:id="rId4938" xr:uid="{00000000-0004-0000-0000-0000C3130000}"/>
    <hyperlink ref="D1724" r:id="rId4939" xr:uid="{00000000-0004-0000-0000-0000C4130000}"/>
    <hyperlink ref="A1725" r:id="rId4940" xr:uid="{00000000-0004-0000-0000-0000C5130000}"/>
    <hyperlink ref="C1725" r:id="rId4941" xr:uid="{00000000-0004-0000-0000-0000C6130000}"/>
    <hyperlink ref="D1725" r:id="rId4942" xr:uid="{00000000-0004-0000-0000-0000C7130000}"/>
    <hyperlink ref="E1725" r:id="rId4943" xr:uid="{00000000-0004-0000-0000-0000C8130000}"/>
    <hyperlink ref="C1726" r:id="rId4944" xr:uid="{00000000-0004-0000-0000-0000C9130000}"/>
    <hyperlink ref="D1726" r:id="rId4945" xr:uid="{00000000-0004-0000-0000-0000CA130000}"/>
    <hyperlink ref="A1727" r:id="rId4946" xr:uid="{00000000-0004-0000-0000-0000CB130000}"/>
    <hyperlink ref="C1727" r:id="rId4947" xr:uid="{00000000-0004-0000-0000-0000CC130000}"/>
    <hyperlink ref="D1727" r:id="rId4948" xr:uid="{00000000-0004-0000-0000-0000CD130000}"/>
    <hyperlink ref="A1728" r:id="rId4949" xr:uid="{00000000-0004-0000-0000-0000CE130000}"/>
    <hyperlink ref="C1728" r:id="rId4950" xr:uid="{00000000-0004-0000-0000-0000CF130000}"/>
    <hyperlink ref="D1728" r:id="rId4951" xr:uid="{00000000-0004-0000-0000-0000D0130000}"/>
    <hyperlink ref="A1729" r:id="rId4952" xr:uid="{00000000-0004-0000-0000-0000D1130000}"/>
    <hyperlink ref="C1729" r:id="rId4953" xr:uid="{00000000-0004-0000-0000-0000D2130000}"/>
    <hyperlink ref="D1729" r:id="rId4954" xr:uid="{00000000-0004-0000-0000-0000D3130000}"/>
    <hyperlink ref="A1730" r:id="rId4955" xr:uid="{00000000-0004-0000-0000-0000D4130000}"/>
    <hyperlink ref="C1730" r:id="rId4956" xr:uid="{00000000-0004-0000-0000-0000D5130000}"/>
    <hyperlink ref="D1730" r:id="rId4957" xr:uid="{00000000-0004-0000-0000-0000D6130000}"/>
    <hyperlink ref="A1731" r:id="rId4958" xr:uid="{00000000-0004-0000-0000-0000D7130000}"/>
    <hyperlink ref="C1731" r:id="rId4959" xr:uid="{00000000-0004-0000-0000-0000D8130000}"/>
    <hyperlink ref="D1731" r:id="rId4960" xr:uid="{00000000-0004-0000-0000-0000D9130000}"/>
    <hyperlink ref="A1732" r:id="rId4961" xr:uid="{00000000-0004-0000-0000-0000DA130000}"/>
    <hyperlink ref="C1732" r:id="rId4962" xr:uid="{00000000-0004-0000-0000-0000DB130000}"/>
    <hyperlink ref="D1732" r:id="rId4963" xr:uid="{00000000-0004-0000-0000-0000DC130000}"/>
    <hyperlink ref="A1733" r:id="rId4964" xr:uid="{00000000-0004-0000-0000-0000DD130000}"/>
    <hyperlink ref="C1733" r:id="rId4965" xr:uid="{00000000-0004-0000-0000-0000DE130000}"/>
    <hyperlink ref="D1733" r:id="rId4966" xr:uid="{00000000-0004-0000-0000-0000DF130000}"/>
    <hyperlink ref="A1734" r:id="rId4967" xr:uid="{00000000-0004-0000-0000-0000E0130000}"/>
    <hyperlink ref="C1734" r:id="rId4968" xr:uid="{00000000-0004-0000-0000-0000E1130000}"/>
    <hyperlink ref="D1734" r:id="rId4969" xr:uid="{00000000-0004-0000-0000-0000E2130000}"/>
    <hyperlink ref="A1735" r:id="rId4970" xr:uid="{00000000-0004-0000-0000-0000E3130000}"/>
    <hyperlink ref="C1735" r:id="rId4971" xr:uid="{00000000-0004-0000-0000-0000E4130000}"/>
    <hyperlink ref="D1735" r:id="rId4972" xr:uid="{00000000-0004-0000-0000-0000E5130000}"/>
    <hyperlink ref="A1736" r:id="rId4973" xr:uid="{00000000-0004-0000-0000-0000E6130000}"/>
    <hyperlink ref="C1736" r:id="rId4974" xr:uid="{00000000-0004-0000-0000-0000E7130000}"/>
    <hyperlink ref="D1736" r:id="rId4975" xr:uid="{00000000-0004-0000-0000-0000E8130000}"/>
    <hyperlink ref="A1737" r:id="rId4976" xr:uid="{00000000-0004-0000-0000-0000E9130000}"/>
    <hyperlink ref="C1737" r:id="rId4977" xr:uid="{00000000-0004-0000-0000-0000EA130000}"/>
    <hyperlink ref="D1737" r:id="rId4978" xr:uid="{00000000-0004-0000-0000-0000EB130000}"/>
    <hyperlink ref="E1737" r:id="rId4979" xr:uid="{00000000-0004-0000-0000-0000EC130000}"/>
    <hyperlink ref="A1738" r:id="rId4980" xr:uid="{00000000-0004-0000-0000-0000ED130000}"/>
    <hyperlink ref="A1740" r:id="rId4981" xr:uid="{00000000-0004-0000-0000-0000EE130000}"/>
    <hyperlink ref="C1740" r:id="rId4982" xr:uid="{00000000-0004-0000-0000-0000EF130000}"/>
    <hyperlink ref="D1740" r:id="rId4983" xr:uid="{00000000-0004-0000-0000-0000F0130000}"/>
    <hyperlink ref="A1741" r:id="rId4984" xr:uid="{00000000-0004-0000-0000-0000F1130000}"/>
    <hyperlink ref="C1741" r:id="rId4985" xr:uid="{00000000-0004-0000-0000-0000F2130000}"/>
    <hyperlink ref="D1741" r:id="rId4986" xr:uid="{00000000-0004-0000-0000-0000F3130000}"/>
    <hyperlink ref="A1742" r:id="rId4987" xr:uid="{00000000-0004-0000-0000-0000F4130000}"/>
    <hyperlink ref="C1742" r:id="rId4988" xr:uid="{00000000-0004-0000-0000-0000F5130000}"/>
    <hyperlink ref="D1742" r:id="rId4989" xr:uid="{00000000-0004-0000-0000-0000F6130000}"/>
    <hyperlink ref="A1743" r:id="rId4990" xr:uid="{00000000-0004-0000-0000-0000F7130000}"/>
    <hyperlink ref="C1743" r:id="rId4991" xr:uid="{00000000-0004-0000-0000-0000F8130000}"/>
    <hyperlink ref="D1743" r:id="rId4992" xr:uid="{00000000-0004-0000-0000-0000F9130000}"/>
    <hyperlink ref="A1744" r:id="rId4993" xr:uid="{00000000-0004-0000-0000-0000FA130000}"/>
    <hyperlink ref="C1744" r:id="rId4994" xr:uid="{00000000-0004-0000-0000-0000FB130000}"/>
    <hyperlink ref="D1744" r:id="rId4995" xr:uid="{00000000-0004-0000-0000-0000FC130000}"/>
    <hyperlink ref="A1745" r:id="rId4996" xr:uid="{00000000-0004-0000-0000-0000FD130000}"/>
    <hyperlink ref="C1745" r:id="rId4997" xr:uid="{00000000-0004-0000-0000-0000FE130000}"/>
    <hyperlink ref="D1745" r:id="rId4998" xr:uid="{00000000-0004-0000-0000-0000FF130000}"/>
    <hyperlink ref="A1746" r:id="rId4999" xr:uid="{00000000-0004-0000-0000-000000140000}"/>
    <hyperlink ref="C1746" r:id="rId5000" xr:uid="{00000000-0004-0000-0000-000001140000}"/>
    <hyperlink ref="D1746" r:id="rId5001" xr:uid="{00000000-0004-0000-0000-000002140000}"/>
    <hyperlink ref="A1747" r:id="rId5002" xr:uid="{00000000-0004-0000-0000-000003140000}"/>
    <hyperlink ref="C1747" r:id="rId5003" xr:uid="{00000000-0004-0000-0000-000004140000}"/>
    <hyperlink ref="D1747" r:id="rId5004" xr:uid="{00000000-0004-0000-0000-000005140000}"/>
    <hyperlink ref="A1748" r:id="rId5005" xr:uid="{00000000-0004-0000-0000-000006140000}"/>
    <hyperlink ref="C1748" r:id="rId5006" xr:uid="{00000000-0004-0000-0000-000007140000}"/>
    <hyperlink ref="D1748" r:id="rId5007" xr:uid="{00000000-0004-0000-0000-000008140000}"/>
    <hyperlink ref="A1749" r:id="rId5008" xr:uid="{00000000-0004-0000-0000-000009140000}"/>
    <hyperlink ref="C1749" r:id="rId5009" xr:uid="{00000000-0004-0000-0000-00000A140000}"/>
    <hyperlink ref="D1749" r:id="rId5010" xr:uid="{00000000-0004-0000-0000-00000B140000}"/>
    <hyperlink ref="A1750" r:id="rId5011" xr:uid="{00000000-0004-0000-0000-00000C140000}"/>
    <hyperlink ref="C1750" r:id="rId5012" xr:uid="{00000000-0004-0000-0000-00000D140000}"/>
    <hyperlink ref="D1750" r:id="rId5013" xr:uid="{00000000-0004-0000-0000-00000E140000}"/>
    <hyperlink ref="A1751" r:id="rId5014" xr:uid="{00000000-0004-0000-0000-00000F140000}"/>
    <hyperlink ref="C1751" r:id="rId5015" xr:uid="{00000000-0004-0000-0000-000010140000}"/>
    <hyperlink ref="D1751" r:id="rId5016" xr:uid="{00000000-0004-0000-0000-000011140000}"/>
    <hyperlink ref="A1752" r:id="rId5017" xr:uid="{00000000-0004-0000-0000-000012140000}"/>
    <hyperlink ref="C1752" r:id="rId5018" xr:uid="{00000000-0004-0000-0000-000013140000}"/>
    <hyperlink ref="D1752" r:id="rId5019" xr:uid="{00000000-0004-0000-0000-000014140000}"/>
    <hyperlink ref="A1753" r:id="rId5020" xr:uid="{00000000-0004-0000-0000-000015140000}"/>
    <hyperlink ref="C1753" r:id="rId5021" xr:uid="{00000000-0004-0000-0000-000016140000}"/>
    <hyperlink ref="D1753" r:id="rId5022" xr:uid="{00000000-0004-0000-0000-000017140000}"/>
    <hyperlink ref="A1754" r:id="rId5023" xr:uid="{00000000-0004-0000-0000-000018140000}"/>
    <hyperlink ref="C1754" r:id="rId5024" xr:uid="{00000000-0004-0000-0000-000019140000}"/>
    <hyperlink ref="D1754" r:id="rId5025" xr:uid="{00000000-0004-0000-0000-00001A140000}"/>
    <hyperlink ref="A1755" r:id="rId5026" xr:uid="{00000000-0004-0000-0000-00001B140000}"/>
    <hyperlink ref="C1755" r:id="rId5027" xr:uid="{00000000-0004-0000-0000-00001C140000}"/>
    <hyperlink ref="D1755" r:id="rId5028" xr:uid="{00000000-0004-0000-0000-00001D140000}"/>
    <hyperlink ref="A1756" r:id="rId5029" xr:uid="{00000000-0004-0000-0000-00001E140000}"/>
    <hyperlink ref="C1756" r:id="rId5030" xr:uid="{00000000-0004-0000-0000-00001F140000}"/>
    <hyperlink ref="D1756" r:id="rId5031" xr:uid="{00000000-0004-0000-0000-000020140000}"/>
    <hyperlink ref="A1757" r:id="rId5032" xr:uid="{00000000-0004-0000-0000-000021140000}"/>
    <hyperlink ref="C1757" r:id="rId5033" xr:uid="{00000000-0004-0000-0000-000022140000}"/>
    <hyperlink ref="D1757" r:id="rId5034" xr:uid="{00000000-0004-0000-0000-000023140000}"/>
    <hyperlink ref="A1758" r:id="rId5035" xr:uid="{00000000-0004-0000-0000-000024140000}"/>
    <hyperlink ref="C1758" r:id="rId5036" xr:uid="{00000000-0004-0000-0000-000025140000}"/>
    <hyperlink ref="D1758" r:id="rId5037" xr:uid="{00000000-0004-0000-0000-000026140000}"/>
    <hyperlink ref="A1759" r:id="rId5038" xr:uid="{00000000-0004-0000-0000-000027140000}"/>
    <hyperlink ref="C1759" r:id="rId5039" xr:uid="{00000000-0004-0000-0000-000028140000}"/>
    <hyperlink ref="D1759" r:id="rId5040" xr:uid="{00000000-0004-0000-0000-000029140000}"/>
    <hyperlink ref="A1760" r:id="rId5041" xr:uid="{00000000-0004-0000-0000-00002A140000}"/>
    <hyperlink ref="C1760" r:id="rId5042" xr:uid="{00000000-0004-0000-0000-00002B140000}"/>
    <hyperlink ref="D1760" r:id="rId5043" xr:uid="{00000000-0004-0000-0000-00002C140000}"/>
    <hyperlink ref="A1761" r:id="rId5044" xr:uid="{00000000-0004-0000-0000-00002D140000}"/>
    <hyperlink ref="A1762" r:id="rId5045" xr:uid="{00000000-0004-0000-0000-00002E140000}"/>
    <hyperlink ref="A1763" r:id="rId5046" xr:uid="{00000000-0004-0000-0000-00002F140000}"/>
    <hyperlink ref="C1765" r:id="rId5047" xr:uid="{00000000-0004-0000-0000-000030140000}"/>
    <hyperlink ref="D1765" r:id="rId5048" xr:uid="{00000000-0004-0000-0000-000031140000}"/>
    <hyperlink ref="A1766" r:id="rId5049" xr:uid="{00000000-0004-0000-0000-000032140000}"/>
    <hyperlink ref="C1766" r:id="rId5050" xr:uid="{00000000-0004-0000-0000-000033140000}"/>
    <hyperlink ref="D1766" r:id="rId5051" xr:uid="{00000000-0004-0000-0000-000034140000}"/>
    <hyperlink ref="A1767" r:id="rId5052" xr:uid="{00000000-0004-0000-0000-000035140000}"/>
    <hyperlink ref="C1767" r:id="rId5053" xr:uid="{00000000-0004-0000-0000-000036140000}"/>
    <hyperlink ref="D1767" r:id="rId5054" xr:uid="{00000000-0004-0000-0000-000037140000}"/>
    <hyperlink ref="A1768" r:id="rId5055" xr:uid="{00000000-0004-0000-0000-000038140000}"/>
    <hyperlink ref="C1768" r:id="rId5056" xr:uid="{00000000-0004-0000-0000-000039140000}"/>
    <hyperlink ref="D1768" r:id="rId5057" xr:uid="{00000000-0004-0000-0000-00003A140000}"/>
    <hyperlink ref="A1769" r:id="rId5058" xr:uid="{00000000-0004-0000-0000-00003B140000}"/>
    <hyperlink ref="C1769" r:id="rId5059" xr:uid="{00000000-0004-0000-0000-00003C140000}"/>
    <hyperlink ref="D1769" r:id="rId5060" xr:uid="{00000000-0004-0000-0000-00003D140000}"/>
    <hyperlink ref="A1770" r:id="rId5061" xr:uid="{00000000-0004-0000-0000-00003E140000}"/>
    <hyperlink ref="D1770" r:id="rId5062" xr:uid="{00000000-0004-0000-0000-00003F140000}"/>
    <hyperlink ref="A1771" r:id="rId5063" xr:uid="{00000000-0004-0000-0000-000040140000}"/>
    <hyperlink ref="A1772" r:id="rId5064" xr:uid="{00000000-0004-0000-0000-000041140000}"/>
    <hyperlink ref="C1772" r:id="rId5065" xr:uid="{00000000-0004-0000-0000-000042140000}"/>
    <hyperlink ref="D1772" r:id="rId5066" xr:uid="{00000000-0004-0000-0000-000043140000}"/>
    <hyperlink ref="A1773" r:id="rId5067" xr:uid="{00000000-0004-0000-0000-000044140000}"/>
    <hyperlink ref="C1773" r:id="rId5068" xr:uid="{00000000-0004-0000-0000-000045140000}"/>
    <hyperlink ref="D1773" r:id="rId5069" xr:uid="{00000000-0004-0000-0000-000046140000}"/>
    <hyperlink ref="A1774" r:id="rId5070" xr:uid="{00000000-0004-0000-0000-000047140000}"/>
    <hyperlink ref="C1774" r:id="rId5071" xr:uid="{00000000-0004-0000-0000-000048140000}"/>
    <hyperlink ref="D1774" r:id="rId5072" xr:uid="{00000000-0004-0000-0000-000049140000}"/>
    <hyperlink ref="A1775" r:id="rId5073" xr:uid="{00000000-0004-0000-0000-00004A140000}"/>
    <hyperlink ref="C1775" r:id="rId5074" xr:uid="{00000000-0004-0000-0000-00004B140000}"/>
    <hyperlink ref="D1775" r:id="rId5075" xr:uid="{00000000-0004-0000-0000-00004C140000}"/>
    <hyperlink ref="A1776" r:id="rId5076" xr:uid="{00000000-0004-0000-0000-00004D140000}"/>
    <hyperlink ref="C1776" r:id="rId5077" xr:uid="{00000000-0004-0000-0000-00004E140000}"/>
    <hyperlink ref="D1776" r:id="rId5078" xr:uid="{00000000-0004-0000-0000-00004F140000}"/>
    <hyperlink ref="E1776" r:id="rId5079" xr:uid="{00000000-0004-0000-0000-000050140000}"/>
    <hyperlink ref="A1777" r:id="rId5080" xr:uid="{00000000-0004-0000-0000-000051140000}"/>
    <hyperlink ref="C1777" r:id="rId5081" xr:uid="{00000000-0004-0000-0000-000052140000}"/>
    <hyperlink ref="D1777" r:id="rId5082" xr:uid="{00000000-0004-0000-0000-000053140000}"/>
    <hyperlink ref="A1778" r:id="rId5083" xr:uid="{00000000-0004-0000-0000-000054140000}"/>
    <hyperlink ref="C1778" r:id="rId5084" xr:uid="{00000000-0004-0000-0000-000055140000}"/>
    <hyperlink ref="D1778" r:id="rId5085" xr:uid="{00000000-0004-0000-0000-000056140000}"/>
    <hyperlink ref="A1779" r:id="rId5086" xr:uid="{00000000-0004-0000-0000-000057140000}"/>
    <hyperlink ref="C1779" r:id="rId5087" xr:uid="{00000000-0004-0000-0000-000058140000}"/>
    <hyperlink ref="D1779" r:id="rId5088" xr:uid="{00000000-0004-0000-0000-000059140000}"/>
    <hyperlink ref="A1780" r:id="rId5089" xr:uid="{00000000-0004-0000-0000-00005A140000}"/>
    <hyperlink ref="C1780" r:id="rId5090" xr:uid="{00000000-0004-0000-0000-00005B140000}"/>
    <hyperlink ref="D1780" r:id="rId5091" xr:uid="{00000000-0004-0000-0000-00005C140000}"/>
    <hyperlink ref="A1781" r:id="rId5092" xr:uid="{00000000-0004-0000-0000-00005D140000}"/>
    <hyperlink ref="C1781" r:id="rId5093" xr:uid="{00000000-0004-0000-0000-00005E140000}"/>
    <hyperlink ref="D1781" r:id="rId5094" xr:uid="{00000000-0004-0000-0000-00005F140000}"/>
    <hyperlink ref="C1782" r:id="rId5095" xr:uid="{00000000-0004-0000-0000-000060140000}"/>
    <hyperlink ref="D1782" r:id="rId5096" xr:uid="{00000000-0004-0000-0000-000061140000}"/>
    <hyperlink ref="A1783" r:id="rId5097" xr:uid="{00000000-0004-0000-0000-000062140000}"/>
    <hyperlink ref="C1783" r:id="rId5098" xr:uid="{00000000-0004-0000-0000-000063140000}"/>
    <hyperlink ref="D1783" r:id="rId5099" xr:uid="{00000000-0004-0000-0000-000064140000}"/>
    <hyperlink ref="A1784" r:id="rId5100" xr:uid="{00000000-0004-0000-0000-000065140000}"/>
    <hyperlink ref="C1784" r:id="rId5101" xr:uid="{00000000-0004-0000-0000-000066140000}"/>
    <hyperlink ref="D1784" r:id="rId5102" xr:uid="{00000000-0004-0000-0000-000067140000}"/>
    <hyperlink ref="A1785" r:id="rId5103" xr:uid="{00000000-0004-0000-0000-000068140000}"/>
    <hyperlink ref="C1785" r:id="rId5104" xr:uid="{00000000-0004-0000-0000-000069140000}"/>
    <hyperlink ref="D1785" r:id="rId5105" xr:uid="{00000000-0004-0000-0000-00006A140000}"/>
    <hyperlink ref="A1786" r:id="rId5106" xr:uid="{00000000-0004-0000-0000-00006B140000}"/>
    <hyperlink ref="C1786" r:id="rId5107" xr:uid="{00000000-0004-0000-0000-00006C140000}"/>
    <hyperlink ref="D1786" r:id="rId5108" xr:uid="{00000000-0004-0000-0000-00006D140000}"/>
    <hyperlink ref="A1787" r:id="rId5109" xr:uid="{00000000-0004-0000-0000-00006E140000}"/>
    <hyperlink ref="C1787" r:id="rId5110" xr:uid="{00000000-0004-0000-0000-00006F140000}"/>
    <hyperlink ref="D1787" r:id="rId5111" xr:uid="{00000000-0004-0000-0000-000070140000}"/>
    <hyperlink ref="A1788" r:id="rId5112" xr:uid="{00000000-0004-0000-0000-000071140000}"/>
    <hyperlink ref="C1788" r:id="rId5113" xr:uid="{00000000-0004-0000-0000-000072140000}"/>
    <hyperlink ref="D1788" r:id="rId5114" xr:uid="{00000000-0004-0000-0000-000073140000}"/>
    <hyperlink ref="C1789" r:id="rId5115" xr:uid="{00000000-0004-0000-0000-000074140000}"/>
    <hyperlink ref="D1789" r:id="rId5116" xr:uid="{00000000-0004-0000-0000-000075140000}"/>
    <hyperlink ref="C1790" r:id="rId5117" xr:uid="{00000000-0004-0000-0000-000076140000}"/>
    <hyperlink ref="D1790" r:id="rId5118" xr:uid="{00000000-0004-0000-0000-000077140000}"/>
    <hyperlink ref="A1791" r:id="rId5119" xr:uid="{00000000-0004-0000-0000-000078140000}"/>
    <hyperlink ref="C1791" r:id="rId5120" xr:uid="{00000000-0004-0000-0000-000079140000}"/>
    <hyperlink ref="D1791" r:id="rId5121" xr:uid="{00000000-0004-0000-0000-00007A140000}"/>
    <hyperlink ref="A1792" r:id="rId5122" xr:uid="{00000000-0004-0000-0000-00007B140000}"/>
    <hyperlink ref="C1792" r:id="rId5123" xr:uid="{00000000-0004-0000-0000-00007C140000}"/>
    <hyperlink ref="D1792" r:id="rId5124" xr:uid="{00000000-0004-0000-0000-00007D140000}"/>
    <hyperlink ref="A1793" r:id="rId5125" xr:uid="{00000000-0004-0000-0000-00007E140000}"/>
    <hyperlink ref="C1793" r:id="rId5126" xr:uid="{00000000-0004-0000-0000-00007F140000}"/>
    <hyperlink ref="D1793" r:id="rId5127" xr:uid="{00000000-0004-0000-0000-000080140000}"/>
    <hyperlink ref="A1794" r:id="rId5128" xr:uid="{00000000-0004-0000-0000-000081140000}"/>
    <hyperlink ref="C1794" r:id="rId5129" xr:uid="{00000000-0004-0000-0000-000082140000}"/>
    <hyperlink ref="D1794" r:id="rId5130" xr:uid="{00000000-0004-0000-0000-000083140000}"/>
    <hyperlink ref="A1795" r:id="rId5131" xr:uid="{00000000-0004-0000-0000-000084140000}"/>
    <hyperlink ref="C1795" r:id="rId5132" xr:uid="{00000000-0004-0000-0000-000085140000}"/>
    <hyperlink ref="D1795" r:id="rId5133" xr:uid="{00000000-0004-0000-0000-000086140000}"/>
    <hyperlink ref="C1796" r:id="rId5134" xr:uid="{00000000-0004-0000-0000-000087140000}"/>
    <hyperlink ref="D1796" r:id="rId5135" xr:uid="{00000000-0004-0000-0000-000088140000}"/>
    <hyperlink ref="C1797" r:id="rId5136" xr:uid="{00000000-0004-0000-0000-000089140000}"/>
    <hyperlink ref="D1797" r:id="rId5137" xr:uid="{00000000-0004-0000-0000-00008A140000}"/>
    <hyperlink ref="A1798" r:id="rId5138" xr:uid="{00000000-0004-0000-0000-00008B140000}"/>
    <hyperlink ref="C1798" r:id="rId5139" xr:uid="{00000000-0004-0000-0000-00008C140000}"/>
    <hyperlink ref="D1798" r:id="rId5140" xr:uid="{00000000-0004-0000-0000-00008D140000}"/>
    <hyperlink ref="A1799" r:id="rId5141" xr:uid="{00000000-0004-0000-0000-00008E140000}"/>
    <hyperlink ref="C1799" r:id="rId5142" xr:uid="{00000000-0004-0000-0000-00008F140000}"/>
    <hyperlink ref="D1799" r:id="rId5143" xr:uid="{00000000-0004-0000-0000-000090140000}"/>
    <hyperlink ref="A1800" r:id="rId5144" xr:uid="{00000000-0004-0000-0000-000091140000}"/>
    <hyperlink ref="C1800" r:id="rId5145" xr:uid="{00000000-0004-0000-0000-000092140000}"/>
    <hyperlink ref="D1800" r:id="rId5146" xr:uid="{00000000-0004-0000-0000-000093140000}"/>
    <hyperlink ref="A1801" r:id="rId5147" xr:uid="{00000000-0004-0000-0000-000094140000}"/>
    <hyperlink ref="C1801" r:id="rId5148" xr:uid="{00000000-0004-0000-0000-000095140000}"/>
    <hyperlink ref="D1801" r:id="rId5149" xr:uid="{00000000-0004-0000-0000-000096140000}"/>
    <hyperlink ref="A1802" r:id="rId5150" xr:uid="{00000000-0004-0000-0000-000097140000}"/>
    <hyperlink ref="C1802" r:id="rId5151" xr:uid="{00000000-0004-0000-0000-000098140000}"/>
    <hyperlink ref="D1802" r:id="rId5152" xr:uid="{00000000-0004-0000-0000-000099140000}"/>
    <hyperlink ref="A1803" r:id="rId5153" xr:uid="{00000000-0004-0000-0000-00009A140000}"/>
    <hyperlink ref="C1803" r:id="rId5154" xr:uid="{00000000-0004-0000-0000-00009B140000}"/>
    <hyperlink ref="D1803" r:id="rId5155" xr:uid="{00000000-0004-0000-0000-00009C140000}"/>
    <hyperlink ref="A1804" r:id="rId5156" xr:uid="{00000000-0004-0000-0000-00009D140000}"/>
    <hyperlink ref="C1804" r:id="rId5157" xr:uid="{00000000-0004-0000-0000-00009E140000}"/>
    <hyperlink ref="D1804" r:id="rId5158" xr:uid="{00000000-0004-0000-0000-00009F140000}"/>
    <hyperlink ref="A1805" r:id="rId5159" xr:uid="{00000000-0004-0000-0000-0000A0140000}"/>
    <hyperlink ref="C1805" r:id="rId5160" xr:uid="{00000000-0004-0000-0000-0000A1140000}"/>
    <hyperlink ref="D1805" r:id="rId5161" xr:uid="{00000000-0004-0000-0000-0000A2140000}"/>
    <hyperlink ref="A1806" r:id="rId5162" xr:uid="{00000000-0004-0000-0000-0000A3140000}"/>
    <hyperlink ref="C1806" r:id="rId5163" xr:uid="{00000000-0004-0000-0000-0000A4140000}"/>
    <hyperlink ref="D1806" r:id="rId5164" xr:uid="{00000000-0004-0000-0000-0000A5140000}"/>
    <hyperlink ref="A1807" r:id="rId5165" xr:uid="{00000000-0004-0000-0000-0000A6140000}"/>
    <hyperlink ref="C1807" r:id="rId5166" xr:uid="{00000000-0004-0000-0000-0000A7140000}"/>
    <hyperlink ref="D1807" r:id="rId5167" xr:uid="{00000000-0004-0000-0000-0000A8140000}"/>
    <hyperlink ref="A1808" r:id="rId5168" xr:uid="{00000000-0004-0000-0000-0000A9140000}"/>
    <hyperlink ref="C1808" r:id="rId5169" xr:uid="{00000000-0004-0000-0000-0000AA140000}"/>
    <hyperlink ref="D1808" r:id="rId5170" xr:uid="{00000000-0004-0000-0000-0000AB140000}"/>
    <hyperlink ref="A1809" r:id="rId5171" xr:uid="{00000000-0004-0000-0000-0000AC140000}"/>
    <hyperlink ref="C1809" r:id="rId5172" xr:uid="{00000000-0004-0000-0000-0000AD140000}"/>
    <hyperlink ref="D1809" r:id="rId5173" xr:uid="{00000000-0004-0000-0000-0000AE140000}"/>
    <hyperlink ref="A1810" r:id="rId5174" xr:uid="{00000000-0004-0000-0000-0000AF140000}"/>
    <hyperlink ref="C1810" r:id="rId5175" xr:uid="{00000000-0004-0000-0000-0000B0140000}"/>
    <hyperlink ref="D1810" r:id="rId5176" xr:uid="{00000000-0004-0000-0000-0000B1140000}"/>
    <hyperlink ref="A1811" r:id="rId5177" xr:uid="{00000000-0004-0000-0000-0000B2140000}"/>
    <hyperlink ref="C1811" r:id="rId5178" xr:uid="{00000000-0004-0000-0000-0000B3140000}"/>
    <hyperlink ref="D1811" r:id="rId5179" xr:uid="{00000000-0004-0000-0000-0000B4140000}"/>
    <hyperlink ref="A1812" r:id="rId5180" xr:uid="{00000000-0004-0000-0000-0000B5140000}"/>
    <hyperlink ref="C1812" r:id="rId5181" xr:uid="{00000000-0004-0000-0000-0000B6140000}"/>
    <hyperlink ref="D1812" r:id="rId5182" xr:uid="{00000000-0004-0000-0000-0000B7140000}"/>
    <hyperlink ref="A1813" r:id="rId5183" xr:uid="{00000000-0004-0000-0000-0000B8140000}"/>
    <hyperlink ref="C1813" r:id="rId5184" xr:uid="{00000000-0004-0000-0000-0000B9140000}"/>
    <hyperlink ref="D1813" r:id="rId5185" xr:uid="{00000000-0004-0000-0000-0000BA140000}"/>
    <hyperlink ref="A1814" r:id="rId5186" xr:uid="{00000000-0004-0000-0000-0000BB140000}"/>
    <hyperlink ref="C1814" r:id="rId5187" xr:uid="{00000000-0004-0000-0000-0000BC140000}"/>
    <hyperlink ref="D1814" r:id="rId5188" xr:uid="{00000000-0004-0000-0000-0000BD140000}"/>
    <hyperlink ref="A1815" r:id="rId5189" xr:uid="{00000000-0004-0000-0000-0000BE140000}"/>
    <hyperlink ref="C1815" r:id="rId5190" xr:uid="{00000000-0004-0000-0000-0000BF140000}"/>
    <hyperlink ref="D1815" r:id="rId5191" xr:uid="{00000000-0004-0000-0000-0000C0140000}"/>
    <hyperlink ref="C1816" r:id="rId5192" xr:uid="{00000000-0004-0000-0000-0000C1140000}"/>
    <hyperlink ref="D1816" r:id="rId5193" xr:uid="{00000000-0004-0000-0000-0000C2140000}"/>
    <hyperlink ref="C1817" r:id="rId5194" xr:uid="{00000000-0004-0000-0000-0000C3140000}"/>
    <hyperlink ref="D1817" r:id="rId5195" xr:uid="{00000000-0004-0000-0000-0000C4140000}"/>
    <hyperlink ref="A1818" r:id="rId5196" xr:uid="{00000000-0004-0000-0000-0000C5140000}"/>
    <hyperlink ref="C1818" r:id="rId5197" xr:uid="{00000000-0004-0000-0000-0000C6140000}"/>
    <hyperlink ref="D1818" r:id="rId5198" xr:uid="{00000000-0004-0000-0000-0000C7140000}"/>
    <hyperlink ref="A1819" r:id="rId5199" xr:uid="{00000000-0004-0000-0000-0000C8140000}"/>
    <hyperlink ref="C1819" r:id="rId5200" xr:uid="{00000000-0004-0000-0000-0000C9140000}"/>
    <hyperlink ref="D1819" r:id="rId5201" xr:uid="{00000000-0004-0000-0000-0000CA140000}"/>
    <hyperlink ref="A1820" r:id="rId5202" xr:uid="{00000000-0004-0000-0000-0000CB140000}"/>
    <hyperlink ref="C1820" r:id="rId5203" xr:uid="{00000000-0004-0000-0000-0000CC140000}"/>
    <hyperlink ref="D1820" r:id="rId5204" xr:uid="{00000000-0004-0000-0000-0000CD140000}"/>
    <hyperlink ref="E1820" r:id="rId5205" xr:uid="{00000000-0004-0000-0000-0000CE140000}"/>
    <hyperlink ref="C1821" r:id="rId5206" xr:uid="{00000000-0004-0000-0000-0000CF140000}"/>
    <hyperlink ref="D1821" r:id="rId5207" xr:uid="{00000000-0004-0000-0000-0000D0140000}"/>
    <hyperlink ref="A1822" r:id="rId5208" xr:uid="{00000000-0004-0000-0000-0000D1140000}"/>
    <hyperlink ref="C1822" r:id="rId5209" xr:uid="{00000000-0004-0000-0000-0000D2140000}"/>
    <hyperlink ref="D1822" r:id="rId5210" xr:uid="{00000000-0004-0000-0000-0000D3140000}"/>
    <hyperlink ref="A1823" r:id="rId5211" xr:uid="{00000000-0004-0000-0000-0000D4140000}"/>
    <hyperlink ref="C1823" r:id="rId5212" xr:uid="{00000000-0004-0000-0000-0000D5140000}"/>
    <hyperlink ref="D1823" r:id="rId5213" xr:uid="{00000000-0004-0000-0000-0000D6140000}"/>
    <hyperlink ref="A1824" r:id="rId5214" xr:uid="{00000000-0004-0000-0000-0000D7140000}"/>
    <hyperlink ref="C1824" r:id="rId5215" xr:uid="{00000000-0004-0000-0000-0000D8140000}"/>
    <hyperlink ref="D1824" r:id="rId5216" xr:uid="{00000000-0004-0000-0000-0000D9140000}"/>
    <hyperlink ref="A1825" r:id="rId5217" xr:uid="{00000000-0004-0000-0000-0000DA140000}"/>
    <hyperlink ref="C1825" r:id="rId5218" xr:uid="{00000000-0004-0000-0000-0000DB140000}"/>
    <hyperlink ref="D1825" r:id="rId5219" xr:uid="{00000000-0004-0000-0000-0000DC140000}"/>
    <hyperlink ref="A1826" r:id="rId5220" xr:uid="{00000000-0004-0000-0000-0000DD140000}"/>
    <hyperlink ref="C1826" r:id="rId5221" xr:uid="{00000000-0004-0000-0000-0000DE140000}"/>
    <hyperlink ref="D1826" r:id="rId5222" xr:uid="{00000000-0004-0000-0000-0000DF140000}"/>
    <hyperlink ref="C1827" r:id="rId5223" xr:uid="{00000000-0004-0000-0000-0000E0140000}"/>
    <hyperlink ref="D1827" r:id="rId5224" xr:uid="{00000000-0004-0000-0000-0000E1140000}"/>
    <hyperlink ref="C1828" r:id="rId5225" xr:uid="{00000000-0004-0000-0000-0000E2140000}"/>
    <hyperlink ref="D1828" r:id="rId5226" xr:uid="{00000000-0004-0000-0000-0000E3140000}"/>
    <hyperlink ref="A1829" r:id="rId5227" xr:uid="{00000000-0004-0000-0000-0000E4140000}"/>
    <hyperlink ref="C1829" r:id="rId5228" xr:uid="{00000000-0004-0000-0000-0000E5140000}"/>
    <hyperlink ref="D1829" r:id="rId5229" xr:uid="{00000000-0004-0000-0000-0000E6140000}"/>
    <hyperlink ref="A1830" r:id="rId5230" xr:uid="{00000000-0004-0000-0000-0000E7140000}"/>
    <hyperlink ref="C1830" r:id="rId5231" xr:uid="{00000000-0004-0000-0000-0000E8140000}"/>
    <hyperlink ref="D1830" r:id="rId5232" xr:uid="{00000000-0004-0000-0000-0000E9140000}"/>
    <hyperlink ref="A1831" r:id="rId5233" xr:uid="{00000000-0004-0000-0000-0000EA140000}"/>
    <hyperlink ref="C1831" r:id="rId5234" xr:uid="{00000000-0004-0000-0000-0000EB140000}"/>
    <hyperlink ref="D1831" r:id="rId5235" xr:uid="{00000000-0004-0000-0000-0000EC140000}"/>
    <hyperlink ref="A1832" r:id="rId5236" xr:uid="{00000000-0004-0000-0000-0000ED140000}"/>
    <hyperlink ref="C1832" r:id="rId5237" xr:uid="{00000000-0004-0000-0000-0000EE140000}"/>
    <hyperlink ref="D1832" r:id="rId5238" xr:uid="{00000000-0004-0000-0000-0000EF140000}"/>
    <hyperlink ref="A1833" r:id="rId5239" xr:uid="{00000000-0004-0000-0000-0000F0140000}"/>
    <hyperlink ref="C1833" r:id="rId5240" xr:uid="{00000000-0004-0000-0000-0000F1140000}"/>
    <hyperlink ref="D1833" r:id="rId5241" xr:uid="{00000000-0004-0000-0000-0000F2140000}"/>
    <hyperlink ref="A1834" r:id="rId5242" xr:uid="{00000000-0004-0000-0000-0000F3140000}"/>
    <hyperlink ref="C1834" r:id="rId5243" xr:uid="{00000000-0004-0000-0000-0000F4140000}"/>
    <hyperlink ref="D1834" r:id="rId5244" xr:uid="{00000000-0004-0000-0000-0000F5140000}"/>
    <hyperlink ref="E1834" r:id="rId5245" xr:uid="{00000000-0004-0000-0000-0000F6140000}"/>
    <hyperlink ref="A1835" r:id="rId5246" xr:uid="{00000000-0004-0000-0000-0000F7140000}"/>
    <hyperlink ref="C1835" r:id="rId5247" xr:uid="{00000000-0004-0000-0000-0000F8140000}"/>
    <hyperlink ref="D1835" r:id="rId5248" xr:uid="{00000000-0004-0000-0000-0000F9140000}"/>
    <hyperlink ref="A1836" r:id="rId5249" xr:uid="{00000000-0004-0000-0000-0000FA140000}"/>
    <hyperlink ref="C1836" r:id="rId5250" xr:uid="{00000000-0004-0000-0000-0000FB140000}"/>
    <hyperlink ref="D1836" r:id="rId5251" xr:uid="{00000000-0004-0000-0000-0000FC140000}"/>
    <hyperlink ref="A1837" r:id="rId5252" xr:uid="{00000000-0004-0000-0000-0000FD140000}"/>
    <hyperlink ref="C1837" r:id="rId5253" xr:uid="{00000000-0004-0000-0000-0000FE140000}"/>
    <hyperlink ref="D1837" r:id="rId5254" xr:uid="{00000000-0004-0000-0000-0000FF140000}"/>
    <hyperlink ref="A1838" r:id="rId5255" xr:uid="{00000000-0004-0000-0000-000000150000}"/>
    <hyperlink ref="C1838" r:id="rId5256" xr:uid="{00000000-0004-0000-0000-000001150000}"/>
    <hyperlink ref="D1838" r:id="rId5257" xr:uid="{00000000-0004-0000-0000-000002150000}"/>
    <hyperlink ref="C1839" r:id="rId5258" xr:uid="{00000000-0004-0000-0000-000003150000}"/>
    <hyperlink ref="D1839" r:id="rId5259" xr:uid="{00000000-0004-0000-0000-000004150000}"/>
    <hyperlink ref="A1840" r:id="rId5260" xr:uid="{00000000-0004-0000-0000-000005150000}"/>
    <hyperlink ref="C1840" r:id="rId5261" xr:uid="{00000000-0004-0000-0000-000006150000}"/>
    <hyperlink ref="D1840" r:id="rId5262" xr:uid="{00000000-0004-0000-0000-000007150000}"/>
    <hyperlink ref="A1841" r:id="rId5263" xr:uid="{00000000-0004-0000-0000-000008150000}"/>
    <hyperlink ref="C1841" r:id="rId5264" xr:uid="{00000000-0004-0000-0000-000009150000}"/>
    <hyperlink ref="D1841" r:id="rId5265" xr:uid="{00000000-0004-0000-0000-00000A150000}"/>
    <hyperlink ref="A1842" r:id="rId5266" xr:uid="{00000000-0004-0000-0000-00000B150000}"/>
    <hyperlink ref="C1842" r:id="rId5267" xr:uid="{00000000-0004-0000-0000-00000C150000}"/>
    <hyperlink ref="D1842" r:id="rId5268" xr:uid="{00000000-0004-0000-0000-00000D150000}"/>
    <hyperlink ref="A1843" r:id="rId5269" xr:uid="{00000000-0004-0000-0000-00000E150000}"/>
    <hyperlink ref="C1843" r:id="rId5270" xr:uid="{00000000-0004-0000-0000-00000F150000}"/>
    <hyperlink ref="D1843" r:id="rId5271" xr:uid="{00000000-0004-0000-0000-000010150000}"/>
    <hyperlink ref="A1844" r:id="rId5272" xr:uid="{00000000-0004-0000-0000-000011150000}"/>
    <hyperlink ref="C1844" r:id="rId5273" xr:uid="{00000000-0004-0000-0000-000012150000}"/>
    <hyperlink ref="D1844" r:id="rId5274" xr:uid="{00000000-0004-0000-0000-000013150000}"/>
    <hyperlink ref="A1845" r:id="rId5275" xr:uid="{00000000-0004-0000-0000-000014150000}"/>
    <hyperlink ref="C1845" r:id="rId5276" xr:uid="{00000000-0004-0000-0000-000015150000}"/>
    <hyperlink ref="D1845" r:id="rId5277" xr:uid="{00000000-0004-0000-0000-000016150000}"/>
    <hyperlink ref="A1846" r:id="rId5278" xr:uid="{00000000-0004-0000-0000-000017150000}"/>
    <hyperlink ref="C1846" r:id="rId5279" xr:uid="{00000000-0004-0000-0000-000018150000}"/>
    <hyperlink ref="D1846" r:id="rId5280" xr:uid="{00000000-0004-0000-0000-000019150000}"/>
    <hyperlink ref="A1847" r:id="rId5281" xr:uid="{00000000-0004-0000-0000-00001A150000}"/>
    <hyperlink ref="C1847" r:id="rId5282" xr:uid="{00000000-0004-0000-0000-00001B150000}"/>
    <hyperlink ref="D1847" r:id="rId5283" xr:uid="{00000000-0004-0000-0000-00001C150000}"/>
    <hyperlink ref="A1848" r:id="rId5284" xr:uid="{00000000-0004-0000-0000-00001D150000}"/>
    <hyperlink ref="C1848" r:id="rId5285" xr:uid="{00000000-0004-0000-0000-00001E150000}"/>
    <hyperlink ref="D1848" r:id="rId5286" xr:uid="{00000000-0004-0000-0000-00001F150000}"/>
    <hyperlink ref="A1849" r:id="rId5287" xr:uid="{00000000-0004-0000-0000-000020150000}"/>
    <hyperlink ref="C1849" r:id="rId5288" xr:uid="{00000000-0004-0000-0000-000021150000}"/>
    <hyperlink ref="D1849" r:id="rId5289" xr:uid="{00000000-0004-0000-0000-000022150000}"/>
    <hyperlink ref="A1850" r:id="rId5290" xr:uid="{00000000-0004-0000-0000-000023150000}"/>
    <hyperlink ref="C1850" r:id="rId5291" xr:uid="{00000000-0004-0000-0000-000024150000}"/>
    <hyperlink ref="D1850" r:id="rId5292" xr:uid="{00000000-0004-0000-0000-000025150000}"/>
    <hyperlink ref="A1851" r:id="rId5293" xr:uid="{00000000-0004-0000-0000-000026150000}"/>
    <hyperlink ref="C1851" r:id="rId5294" xr:uid="{00000000-0004-0000-0000-000027150000}"/>
    <hyperlink ref="D1851" r:id="rId5295" xr:uid="{00000000-0004-0000-0000-000028150000}"/>
    <hyperlink ref="A1852" r:id="rId5296" xr:uid="{00000000-0004-0000-0000-000029150000}"/>
    <hyperlink ref="C1852" r:id="rId5297" xr:uid="{00000000-0004-0000-0000-00002A150000}"/>
    <hyperlink ref="D1852" r:id="rId5298" xr:uid="{00000000-0004-0000-0000-00002B150000}"/>
    <hyperlink ref="A1853" r:id="rId5299" xr:uid="{00000000-0004-0000-0000-00002C150000}"/>
    <hyperlink ref="C1853" r:id="rId5300" xr:uid="{00000000-0004-0000-0000-00002D150000}"/>
    <hyperlink ref="D1853" r:id="rId5301" xr:uid="{00000000-0004-0000-0000-00002E150000}"/>
    <hyperlink ref="A1854" r:id="rId5302" xr:uid="{00000000-0004-0000-0000-00002F150000}"/>
    <hyperlink ref="C1854" r:id="rId5303" xr:uid="{00000000-0004-0000-0000-000030150000}"/>
    <hyperlink ref="D1854" r:id="rId5304" xr:uid="{00000000-0004-0000-0000-000031150000}"/>
    <hyperlink ref="A1855" r:id="rId5305" xr:uid="{00000000-0004-0000-0000-000032150000}"/>
    <hyperlink ref="C1855" r:id="rId5306" xr:uid="{00000000-0004-0000-0000-000033150000}"/>
    <hyperlink ref="D1855" r:id="rId5307" xr:uid="{00000000-0004-0000-0000-000034150000}"/>
    <hyperlink ref="C1856" r:id="rId5308" xr:uid="{00000000-0004-0000-0000-000035150000}"/>
    <hyperlink ref="D1856" r:id="rId5309" xr:uid="{00000000-0004-0000-0000-000036150000}"/>
    <hyperlink ref="A1857" r:id="rId5310" xr:uid="{00000000-0004-0000-0000-000037150000}"/>
    <hyperlink ref="C1857" r:id="rId5311" xr:uid="{00000000-0004-0000-0000-000038150000}"/>
    <hyperlink ref="D1857" r:id="rId5312" xr:uid="{00000000-0004-0000-0000-000039150000}"/>
    <hyperlink ref="A1858" r:id="rId5313" xr:uid="{00000000-0004-0000-0000-00003A150000}"/>
    <hyperlink ref="C1858" r:id="rId5314" xr:uid="{00000000-0004-0000-0000-00003B150000}"/>
    <hyperlink ref="D1858" r:id="rId5315" xr:uid="{00000000-0004-0000-0000-00003C150000}"/>
    <hyperlink ref="A1859" r:id="rId5316" xr:uid="{00000000-0004-0000-0000-00003D150000}"/>
    <hyperlink ref="C1859" r:id="rId5317" xr:uid="{00000000-0004-0000-0000-00003E150000}"/>
    <hyperlink ref="D1859" r:id="rId5318" xr:uid="{00000000-0004-0000-0000-00003F150000}"/>
    <hyperlink ref="A1860" r:id="rId5319" xr:uid="{00000000-0004-0000-0000-000040150000}"/>
    <hyperlink ref="C1860" r:id="rId5320" xr:uid="{00000000-0004-0000-0000-000041150000}"/>
    <hyperlink ref="D1860" r:id="rId5321" xr:uid="{00000000-0004-0000-0000-000042150000}"/>
    <hyperlink ref="A1861" r:id="rId5322" xr:uid="{00000000-0004-0000-0000-000043150000}"/>
    <hyperlink ref="C1861" r:id="rId5323" xr:uid="{00000000-0004-0000-0000-000044150000}"/>
    <hyperlink ref="D1861" r:id="rId5324" xr:uid="{00000000-0004-0000-0000-000045150000}"/>
    <hyperlink ref="A1862" r:id="rId5325" xr:uid="{00000000-0004-0000-0000-000047150000}"/>
    <hyperlink ref="C1862" r:id="rId5326" xr:uid="{00000000-0004-0000-0000-000048150000}"/>
    <hyperlink ref="D1862" r:id="rId5327" xr:uid="{00000000-0004-0000-0000-000049150000}"/>
    <hyperlink ref="A1863" r:id="rId5328" xr:uid="{00000000-0004-0000-0000-00004A150000}"/>
    <hyperlink ref="C1863" r:id="rId5329" xr:uid="{00000000-0004-0000-0000-00004B150000}"/>
    <hyperlink ref="D1863" r:id="rId5330" xr:uid="{00000000-0004-0000-0000-00004C150000}"/>
    <hyperlink ref="A1864" r:id="rId5331" xr:uid="{00000000-0004-0000-0000-00004D150000}"/>
    <hyperlink ref="C1864" r:id="rId5332" xr:uid="{00000000-0004-0000-0000-00004E150000}"/>
    <hyperlink ref="D1864" r:id="rId5333" xr:uid="{00000000-0004-0000-0000-00004F150000}"/>
    <hyperlink ref="A1865" r:id="rId5334" xr:uid="{00000000-0004-0000-0000-000051150000}"/>
    <hyperlink ref="C1865" r:id="rId5335" xr:uid="{00000000-0004-0000-0000-000052150000}"/>
    <hyperlink ref="D1865" r:id="rId5336" xr:uid="{00000000-0004-0000-0000-000053150000}"/>
    <hyperlink ref="A1866" r:id="rId5337" xr:uid="{00000000-0004-0000-0000-000054150000}"/>
    <hyperlink ref="C1866" r:id="rId5338" xr:uid="{00000000-0004-0000-0000-000055150000}"/>
    <hyperlink ref="D1866" r:id="rId5339" xr:uid="{00000000-0004-0000-0000-000056150000}"/>
    <hyperlink ref="C1867" r:id="rId5340" xr:uid="{00000000-0004-0000-0000-000057150000}"/>
    <hyperlink ref="D1867" r:id="rId5341" xr:uid="{00000000-0004-0000-0000-000058150000}"/>
    <hyperlink ref="C1868" r:id="rId5342" xr:uid="{00000000-0004-0000-0000-000059150000}"/>
    <hyperlink ref="D1868" r:id="rId5343" xr:uid="{00000000-0004-0000-0000-00005A150000}"/>
    <hyperlink ref="A1869" r:id="rId5344" xr:uid="{00000000-0004-0000-0000-00005B150000}"/>
    <hyperlink ref="C1869" r:id="rId5345" xr:uid="{00000000-0004-0000-0000-00005C150000}"/>
    <hyperlink ref="D1869" r:id="rId5346" xr:uid="{00000000-0004-0000-0000-00005D150000}"/>
    <hyperlink ref="A1870" r:id="rId5347" xr:uid="{00000000-0004-0000-0000-00005E150000}"/>
    <hyperlink ref="C1870" r:id="rId5348" xr:uid="{00000000-0004-0000-0000-00005F150000}"/>
    <hyperlink ref="D1870" r:id="rId5349" xr:uid="{00000000-0004-0000-0000-000060150000}"/>
    <hyperlink ref="A1871" r:id="rId5350" xr:uid="{00000000-0004-0000-0000-000061150000}"/>
    <hyperlink ref="C1871" r:id="rId5351" xr:uid="{00000000-0004-0000-0000-000062150000}"/>
    <hyperlink ref="D1871" r:id="rId5352" xr:uid="{00000000-0004-0000-0000-000063150000}"/>
    <hyperlink ref="A1872" r:id="rId5353" xr:uid="{00000000-0004-0000-0000-000064150000}"/>
    <hyperlink ref="A1873" r:id="rId5354" xr:uid="{00000000-0004-0000-0000-000065150000}"/>
    <hyperlink ref="A1878" r:id="rId5355" xr:uid="{00000000-0004-0000-0000-000066150000}"/>
    <hyperlink ref="C1878" r:id="rId5356" xr:uid="{00000000-0004-0000-0000-000067150000}"/>
    <hyperlink ref="D1878" r:id="rId5357" xr:uid="{00000000-0004-0000-0000-000068150000}"/>
    <hyperlink ref="A1879" r:id="rId5358" xr:uid="{00000000-0004-0000-0000-000069150000}"/>
    <hyperlink ref="C1879" r:id="rId5359" xr:uid="{00000000-0004-0000-0000-00006A150000}"/>
    <hyperlink ref="D1879" r:id="rId5360" xr:uid="{00000000-0004-0000-0000-00006B150000}"/>
    <hyperlink ref="A1880" r:id="rId5361" xr:uid="{00000000-0004-0000-0000-00006C150000}"/>
    <hyperlink ref="C1880" r:id="rId5362" xr:uid="{00000000-0004-0000-0000-00006D150000}"/>
    <hyperlink ref="D1880" r:id="rId5363" xr:uid="{00000000-0004-0000-0000-00006E150000}"/>
    <hyperlink ref="A1881" r:id="rId5364" xr:uid="{00000000-0004-0000-0000-00006F150000}"/>
    <hyperlink ref="C1881" r:id="rId5365" xr:uid="{00000000-0004-0000-0000-000070150000}"/>
    <hyperlink ref="D1881" r:id="rId5366" xr:uid="{00000000-0004-0000-0000-000071150000}"/>
    <hyperlink ref="A1882" r:id="rId5367" xr:uid="{00000000-0004-0000-0000-000072150000}"/>
    <hyperlink ref="C1882" r:id="rId5368" xr:uid="{00000000-0004-0000-0000-000073150000}"/>
    <hyperlink ref="D1882" r:id="rId5369" xr:uid="{00000000-0004-0000-0000-000074150000}"/>
    <hyperlink ref="A1883" r:id="rId5370" xr:uid="{00000000-0004-0000-0000-000075150000}"/>
    <hyperlink ref="C1883" r:id="rId5371" xr:uid="{00000000-0004-0000-0000-000076150000}"/>
    <hyperlink ref="D1883" r:id="rId5372" xr:uid="{00000000-0004-0000-0000-000077150000}"/>
    <hyperlink ref="A1884" r:id="rId5373" xr:uid="{00000000-0004-0000-0000-000078150000}"/>
    <hyperlink ref="C1884" r:id="rId5374" xr:uid="{00000000-0004-0000-0000-000079150000}"/>
    <hyperlink ref="D1884" r:id="rId5375" xr:uid="{00000000-0004-0000-0000-00007A150000}"/>
    <hyperlink ref="E1884" r:id="rId5376" xr:uid="{00000000-0004-0000-0000-00007B150000}"/>
    <hyperlink ref="A1885" r:id="rId5377" xr:uid="{00000000-0004-0000-0000-00007C150000}"/>
    <hyperlink ref="C1885" r:id="rId5378" xr:uid="{00000000-0004-0000-0000-00007D150000}"/>
    <hyperlink ref="D1885" r:id="rId5379" xr:uid="{00000000-0004-0000-0000-00007E150000}"/>
    <hyperlink ref="A1886" r:id="rId5380" xr:uid="{00000000-0004-0000-0000-00007F150000}"/>
    <hyperlink ref="C1886" r:id="rId5381" xr:uid="{00000000-0004-0000-0000-000080150000}"/>
    <hyperlink ref="D1886" r:id="rId5382" xr:uid="{00000000-0004-0000-0000-000081150000}"/>
    <hyperlink ref="A1887" r:id="rId5383" xr:uid="{00000000-0004-0000-0000-000082150000}"/>
    <hyperlink ref="C1887" r:id="rId5384" xr:uid="{00000000-0004-0000-0000-000083150000}"/>
    <hyperlink ref="D1887" r:id="rId5385" xr:uid="{00000000-0004-0000-0000-000084150000}"/>
    <hyperlink ref="C1888" r:id="rId5386" xr:uid="{00000000-0004-0000-0000-000085150000}"/>
    <hyperlink ref="D1888" r:id="rId5387" xr:uid="{00000000-0004-0000-0000-000086150000}"/>
    <hyperlink ref="C1889" r:id="rId5388" xr:uid="{00000000-0004-0000-0000-000087150000}"/>
    <hyperlink ref="D1889" r:id="rId5389" xr:uid="{00000000-0004-0000-0000-000088150000}"/>
    <hyperlink ref="C1890" r:id="rId5390" xr:uid="{00000000-0004-0000-0000-000089150000}"/>
    <hyperlink ref="D1890" r:id="rId5391" xr:uid="{00000000-0004-0000-0000-00008A150000}"/>
    <hyperlink ref="A1891" r:id="rId5392" xr:uid="{00000000-0004-0000-0000-00008B150000}"/>
    <hyperlink ref="C1891" r:id="rId5393" xr:uid="{00000000-0004-0000-0000-00008C150000}"/>
    <hyperlink ref="D1891" r:id="rId5394" xr:uid="{00000000-0004-0000-0000-00008D150000}"/>
    <hyperlink ref="A1892" r:id="rId5395" xr:uid="{00000000-0004-0000-0000-00008E150000}"/>
    <hyperlink ref="A1893" r:id="rId5396" xr:uid="{00000000-0004-0000-0000-00008F150000}"/>
    <hyperlink ref="A1894" r:id="rId5397" xr:uid="{00000000-0004-0000-0000-000090150000}"/>
    <hyperlink ref="C1894" r:id="rId5398" xr:uid="{00000000-0004-0000-0000-000091150000}"/>
    <hyperlink ref="D1894" r:id="rId5399" xr:uid="{00000000-0004-0000-0000-000092150000}"/>
    <hyperlink ref="A1895" r:id="rId5400" xr:uid="{00000000-0004-0000-0000-000093150000}"/>
    <hyperlink ref="C1895" r:id="rId5401" xr:uid="{00000000-0004-0000-0000-000094150000}"/>
    <hyperlink ref="D1895" r:id="rId5402" xr:uid="{00000000-0004-0000-0000-000095150000}"/>
    <hyperlink ref="C1896" r:id="rId5403" xr:uid="{00000000-0004-0000-0000-000096150000}"/>
    <hyperlink ref="D1896" r:id="rId5404" xr:uid="{00000000-0004-0000-0000-000097150000}"/>
    <hyperlink ref="A1897" r:id="rId5405" xr:uid="{00000000-0004-0000-0000-000098150000}"/>
    <hyperlink ref="C1897" r:id="rId5406" xr:uid="{00000000-0004-0000-0000-000099150000}"/>
    <hyperlink ref="D1897" r:id="rId5407" xr:uid="{00000000-0004-0000-0000-00009A150000}"/>
    <hyperlink ref="A1898" r:id="rId5408" xr:uid="{00000000-0004-0000-0000-00009B150000}"/>
    <hyperlink ref="C1898" r:id="rId5409" xr:uid="{00000000-0004-0000-0000-00009C150000}"/>
    <hyperlink ref="D1898" r:id="rId5410" xr:uid="{00000000-0004-0000-0000-00009D150000}"/>
    <hyperlink ref="A1899" r:id="rId5411" xr:uid="{00000000-0004-0000-0000-00009E150000}"/>
    <hyperlink ref="C1899" r:id="rId5412" xr:uid="{00000000-0004-0000-0000-00009F150000}"/>
    <hyperlink ref="D1899" r:id="rId5413" xr:uid="{00000000-0004-0000-0000-0000A0150000}"/>
    <hyperlink ref="A1900" r:id="rId5414" xr:uid="{00000000-0004-0000-0000-0000A1150000}"/>
    <hyperlink ref="C1900" r:id="rId5415" xr:uid="{00000000-0004-0000-0000-0000A2150000}"/>
    <hyperlink ref="D1900" r:id="rId5416" xr:uid="{00000000-0004-0000-0000-0000A3150000}"/>
    <hyperlink ref="A1901" r:id="rId5417" xr:uid="{00000000-0004-0000-0000-0000A4150000}"/>
    <hyperlink ref="C1901" r:id="rId5418" xr:uid="{00000000-0004-0000-0000-0000A5150000}"/>
    <hyperlink ref="D1901" r:id="rId5419" xr:uid="{00000000-0004-0000-0000-0000A6150000}"/>
    <hyperlink ref="A1902" r:id="rId5420" xr:uid="{00000000-0004-0000-0000-0000A7150000}"/>
    <hyperlink ref="C1902" r:id="rId5421" xr:uid="{00000000-0004-0000-0000-0000A8150000}"/>
    <hyperlink ref="D1902" r:id="rId5422" xr:uid="{00000000-0004-0000-0000-0000A9150000}"/>
    <hyperlink ref="A1903" r:id="rId5423" xr:uid="{00000000-0004-0000-0000-0000AA150000}"/>
    <hyperlink ref="C1903" r:id="rId5424" xr:uid="{00000000-0004-0000-0000-0000AB150000}"/>
    <hyperlink ref="D1903" r:id="rId5425" xr:uid="{00000000-0004-0000-0000-0000AC150000}"/>
    <hyperlink ref="A1904" r:id="rId5426" xr:uid="{00000000-0004-0000-0000-0000AD150000}"/>
    <hyperlink ref="C1904" r:id="rId5427" xr:uid="{00000000-0004-0000-0000-0000AE150000}"/>
    <hyperlink ref="D1904" r:id="rId5428" xr:uid="{00000000-0004-0000-0000-0000AF150000}"/>
    <hyperlink ref="C1905" r:id="rId5429" xr:uid="{00000000-0004-0000-0000-0000B0150000}"/>
    <hyperlink ref="D1905" r:id="rId5430" xr:uid="{00000000-0004-0000-0000-0000B1150000}"/>
    <hyperlink ref="A1906" r:id="rId5431" xr:uid="{00000000-0004-0000-0000-0000B2150000}"/>
    <hyperlink ref="C1906" r:id="rId5432" xr:uid="{00000000-0004-0000-0000-0000B3150000}"/>
    <hyperlink ref="D1906" r:id="rId5433" xr:uid="{00000000-0004-0000-0000-0000B4150000}"/>
    <hyperlink ref="A1907" r:id="rId5434" xr:uid="{00000000-0004-0000-0000-0000B5150000}"/>
    <hyperlink ref="C1907" r:id="rId5435" xr:uid="{00000000-0004-0000-0000-0000B6150000}"/>
    <hyperlink ref="D1907" r:id="rId5436" xr:uid="{00000000-0004-0000-0000-0000B7150000}"/>
    <hyperlink ref="A1908" r:id="rId5437" xr:uid="{00000000-0004-0000-0000-0000B8150000}"/>
    <hyperlink ref="C1908" r:id="rId5438" xr:uid="{00000000-0004-0000-0000-0000B9150000}"/>
    <hyperlink ref="D1908" r:id="rId5439" xr:uid="{00000000-0004-0000-0000-0000BA150000}"/>
    <hyperlink ref="C1909" r:id="rId5440" xr:uid="{00000000-0004-0000-0000-0000BB150000}"/>
    <hyperlink ref="D1909" r:id="rId5441" xr:uid="{00000000-0004-0000-0000-0000BC150000}"/>
    <hyperlink ref="C1910" r:id="rId5442" xr:uid="{00000000-0004-0000-0000-0000BD150000}"/>
    <hyperlink ref="D1910" r:id="rId5443" xr:uid="{00000000-0004-0000-0000-0000BE150000}"/>
    <hyperlink ref="A1911" r:id="rId5444" xr:uid="{00000000-0004-0000-0000-0000BF150000}"/>
    <hyperlink ref="C1911" r:id="rId5445" xr:uid="{00000000-0004-0000-0000-0000C0150000}"/>
    <hyperlink ref="D1911" r:id="rId5446" xr:uid="{00000000-0004-0000-0000-0000C1150000}"/>
    <hyperlink ref="A1912" r:id="rId5447" xr:uid="{00000000-0004-0000-0000-0000C2150000}"/>
    <hyperlink ref="C1912" r:id="rId5448" xr:uid="{00000000-0004-0000-0000-0000C3150000}"/>
    <hyperlink ref="D1912" r:id="rId5449" xr:uid="{00000000-0004-0000-0000-0000C4150000}"/>
    <hyperlink ref="A1913" r:id="rId5450" xr:uid="{00000000-0004-0000-0000-0000C5150000}"/>
    <hyperlink ref="C1913" r:id="rId5451" xr:uid="{00000000-0004-0000-0000-0000C6150000}"/>
    <hyperlink ref="D1913" r:id="rId5452" location="process" xr:uid="{00000000-0004-0000-0000-0000C7150000}"/>
    <hyperlink ref="A1914" r:id="rId5453" xr:uid="{00000000-0004-0000-0000-0000C8150000}"/>
    <hyperlink ref="C1914" r:id="rId5454" xr:uid="{00000000-0004-0000-0000-0000C9150000}"/>
    <hyperlink ref="D1914" r:id="rId5455" xr:uid="{00000000-0004-0000-0000-0000CA150000}"/>
    <hyperlink ref="C1915" r:id="rId5456" xr:uid="{00000000-0004-0000-0000-0000CB150000}"/>
    <hyperlink ref="D1915" r:id="rId5457" xr:uid="{00000000-0004-0000-0000-0000CC150000}"/>
    <hyperlink ref="A1916" r:id="rId5458" xr:uid="{00000000-0004-0000-0000-0000CD150000}"/>
    <hyperlink ref="C1916" r:id="rId5459" xr:uid="{00000000-0004-0000-0000-0000CE150000}"/>
    <hyperlink ref="D1916" r:id="rId5460" xr:uid="{00000000-0004-0000-0000-0000CF150000}"/>
    <hyperlink ref="A1917" r:id="rId5461" xr:uid="{00000000-0004-0000-0000-0000D0150000}"/>
    <hyperlink ref="C1917" r:id="rId5462" xr:uid="{00000000-0004-0000-0000-0000D1150000}"/>
    <hyperlink ref="D1917" r:id="rId5463" xr:uid="{00000000-0004-0000-0000-0000D2150000}"/>
    <hyperlink ref="A1918" r:id="rId5464" xr:uid="{00000000-0004-0000-0000-0000D3150000}"/>
    <hyperlink ref="C1918" r:id="rId5465" xr:uid="{00000000-0004-0000-0000-0000D4150000}"/>
    <hyperlink ref="D1918" r:id="rId5466" xr:uid="{00000000-0004-0000-0000-0000D5150000}"/>
    <hyperlink ref="A1919" r:id="rId5467" xr:uid="{00000000-0004-0000-0000-0000D6150000}"/>
    <hyperlink ref="C1919" r:id="rId5468" xr:uid="{00000000-0004-0000-0000-0000D7150000}"/>
    <hyperlink ref="D1919" r:id="rId5469" xr:uid="{00000000-0004-0000-0000-0000D8150000}"/>
    <hyperlink ref="A1920" r:id="rId5470" xr:uid="{00000000-0004-0000-0000-0000D9150000}"/>
    <hyperlink ref="C1920" r:id="rId5471" xr:uid="{00000000-0004-0000-0000-0000DA150000}"/>
    <hyperlink ref="D1920" r:id="rId5472" xr:uid="{00000000-0004-0000-0000-0000DB150000}"/>
    <hyperlink ref="A1921" r:id="rId5473" xr:uid="{00000000-0004-0000-0000-0000DC150000}"/>
    <hyperlink ref="C1921" r:id="rId5474" xr:uid="{00000000-0004-0000-0000-0000DD150000}"/>
    <hyperlink ref="D1921" r:id="rId5475" xr:uid="{00000000-0004-0000-0000-0000DE150000}"/>
    <hyperlink ref="C1922" r:id="rId5476" xr:uid="{00000000-0004-0000-0000-0000DF150000}"/>
    <hyperlink ref="D1922" r:id="rId5477" xr:uid="{00000000-0004-0000-0000-0000E0150000}"/>
    <hyperlink ref="A1923" r:id="rId5478" xr:uid="{00000000-0004-0000-0000-0000E1150000}"/>
    <hyperlink ref="C1923" r:id="rId5479" xr:uid="{00000000-0004-0000-0000-0000E2150000}"/>
    <hyperlink ref="D1923" r:id="rId5480" xr:uid="{00000000-0004-0000-0000-0000E3150000}"/>
    <hyperlink ref="C1924" r:id="rId5481" xr:uid="{00000000-0004-0000-0000-0000E4150000}"/>
    <hyperlink ref="D1924" r:id="rId5482" xr:uid="{00000000-0004-0000-0000-0000E5150000}"/>
    <hyperlink ref="A1925" r:id="rId5483" xr:uid="{00000000-0004-0000-0000-0000E6150000}"/>
    <hyperlink ref="C1925" r:id="rId5484" xr:uid="{00000000-0004-0000-0000-0000E7150000}"/>
    <hyperlink ref="D1925" r:id="rId5485" xr:uid="{00000000-0004-0000-0000-0000E8150000}"/>
    <hyperlink ref="A1926" r:id="rId5486" xr:uid="{00000000-0004-0000-0000-0000E9150000}"/>
    <hyperlink ref="C1926" r:id="rId5487" xr:uid="{00000000-0004-0000-0000-0000EA150000}"/>
    <hyperlink ref="D1926" r:id="rId5488" xr:uid="{00000000-0004-0000-0000-0000EB150000}"/>
    <hyperlink ref="A1927" r:id="rId5489" xr:uid="{00000000-0004-0000-0000-0000EC150000}"/>
    <hyperlink ref="C1927" r:id="rId5490" xr:uid="{00000000-0004-0000-0000-0000ED150000}"/>
    <hyperlink ref="D1927" r:id="rId5491" xr:uid="{00000000-0004-0000-0000-0000EE150000}"/>
    <hyperlink ref="A1928" r:id="rId5492" xr:uid="{00000000-0004-0000-0000-0000EF150000}"/>
    <hyperlink ref="C1928" r:id="rId5493" xr:uid="{00000000-0004-0000-0000-0000F0150000}"/>
    <hyperlink ref="D1928" r:id="rId5494" xr:uid="{00000000-0004-0000-0000-0000F1150000}"/>
    <hyperlink ref="A1929" r:id="rId5495" xr:uid="{00000000-0004-0000-0000-0000F2150000}"/>
    <hyperlink ref="C1929" r:id="rId5496" xr:uid="{00000000-0004-0000-0000-0000F3150000}"/>
    <hyperlink ref="D1929" r:id="rId5497" xr:uid="{00000000-0004-0000-0000-0000F4150000}"/>
    <hyperlink ref="A1930" r:id="rId5498" xr:uid="{00000000-0004-0000-0000-0000F5150000}"/>
    <hyperlink ref="C1930" r:id="rId5499" xr:uid="{00000000-0004-0000-0000-0000F6150000}"/>
    <hyperlink ref="D1930" r:id="rId5500" xr:uid="{00000000-0004-0000-0000-0000F7150000}"/>
    <hyperlink ref="A1931" r:id="rId5501" xr:uid="{00000000-0004-0000-0000-0000F8150000}"/>
    <hyperlink ref="C1931" r:id="rId5502" xr:uid="{00000000-0004-0000-0000-0000F9150000}"/>
    <hyperlink ref="D1931" r:id="rId5503" xr:uid="{00000000-0004-0000-0000-0000FA150000}"/>
    <hyperlink ref="A1932" r:id="rId5504" xr:uid="{00000000-0004-0000-0000-0000FB150000}"/>
    <hyperlink ref="C1932" r:id="rId5505" xr:uid="{00000000-0004-0000-0000-0000FC150000}"/>
    <hyperlink ref="D1932" r:id="rId5506" xr:uid="{00000000-0004-0000-0000-0000FD150000}"/>
    <hyperlink ref="A1933" r:id="rId5507" xr:uid="{00000000-0004-0000-0000-0000FE150000}"/>
    <hyperlink ref="C1933" r:id="rId5508" xr:uid="{00000000-0004-0000-0000-0000FF150000}"/>
    <hyperlink ref="D1933" r:id="rId5509" xr:uid="{00000000-0004-0000-0000-000000160000}"/>
    <hyperlink ref="E1933" r:id="rId5510" xr:uid="{00000000-0004-0000-0000-000001160000}"/>
    <hyperlink ref="A1934" r:id="rId5511" xr:uid="{00000000-0004-0000-0000-000002160000}"/>
    <hyperlink ref="C1934" r:id="rId5512" xr:uid="{00000000-0004-0000-0000-000003160000}"/>
    <hyperlink ref="D1934" r:id="rId5513" xr:uid="{00000000-0004-0000-0000-000004160000}"/>
    <hyperlink ref="A1935" r:id="rId5514" xr:uid="{00000000-0004-0000-0000-000005160000}"/>
    <hyperlink ref="C1935" r:id="rId5515" xr:uid="{00000000-0004-0000-0000-000006160000}"/>
    <hyperlink ref="D1935" r:id="rId5516" xr:uid="{00000000-0004-0000-0000-000007160000}"/>
    <hyperlink ref="A1936" r:id="rId5517" xr:uid="{00000000-0004-0000-0000-000008160000}"/>
    <hyperlink ref="C1936" r:id="rId5518" xr:uid="{00000000-0004-0000-0000-000009160000}"/>
    <hyperlink ref="D1936" r:id="rId5519" xr:uid="{00000000-0004-0000-0000-00000A160000}"/>
    <hyperlink ref="A1937" r:id="rId5520" xr:uid="{00000000-0004-0000-0000-00000B160000}"/>
    <hyperlink ref="C1937" r:id="rId5521" xr:uid="{00000000-0004-0000-0000-00000C160000}"/>
    <hyperlink ref="D1937" r:id="rId5522" xr:uid="{00000000-0004-0000-0000-00000D160000}"/>
    <hyperlink ref="A1938" r:id="rId5523" xr:uid="{00000000-0004-0000-0000-00000E160000}"/>
    <hyperlink ref="C1938" r:id="rId5524" xr:uid="{00000000-0004-0000-0000-00000F160000}"/>
    <hyperlink ref="D1938" r:id="rId5525" xr:uid="{00000000-0004-0000-0000-000010160000}"/>
    <hyperlink ref="A1939" r:id="rId5526" xr:uid="{00000000-0004-0000-0000-000011160000}"/>
    <hyperlink ref="C1939" r:id="rId5527" xr:uid="{00000000-0004-0000-0000-000012160000}"/>
    <hyperlink ref="D1939" r:id="rId5528" xr:uid="{00000000-0004-0000-0000-000013160000}"/>
    <hyperlink ref="A1940" r:id="rId5529" xr:uid="{00000000-0004-0000-0000-000014160000}"/>
    <hyperlink ref="C1940" r:id="rId5530" xr:uid="{00000000-0004-0000-0000-000015160000}"/>
    <hyperlink ref="D1940" r:id="rId5531" xr:uid="{00000000-0004-0000-0000-000016160000}"/>
    <hyperlink ref="E1940" r:id="rId5532" xr:uid="{00000000-0004-0000-0000-000017160000}"/>
    <hyperlink ref="C1941" r:id="rId5533" xr:uid="{00000000-0004-0000-0000-000018160000}"/>
    <hyperlink ref="D1941" r:id="rId5534" xr:uid="{00000000-0004-0000-0000-000019160000}"/>
    <hyperlink ref="C1942" r:id="rId5535" xr:uid="{00000000-0004-0000-0000-00001A160000}"/>
    <hyperlink ref="D1942" r:id="rId5536" xr:uid="{00000000-0004-0000-0000-00001B160000}"/>
    <hyperlink ref="A1943" r:id="rId5537" xr:uid="{00000000-0004-0000-0000-00001C160000}"/>
    <hyperlink ref="C1943" r:id="rId5538" xr:uid="{00000000-0004-0000-0000-00001D160000}"/>
    <hyperlink ref="D1943" r:id="rId5539" xr:uid="{00000000-0004-0000-0000-00001E160000}"/>
    <hyperlink ref="A1944" r:id="rId5540" xr:uid="{00000000-0004-0000-0000-00001F160000}"/>
    <hyperlink ref="C1944" r:id="rId5541" xr:uid="{00000000-0004-0000-0000-000020160000}"/>
    <hyperlink ref="D1944" r:id="rId5542" xr:uid="{00000000-0004-0000-0000-000021160000}"/>
    <hyperlink ref="A1945" r:id="rId5543" xr:uid="{00000000-0004-0000-0000-000022160000}"/>
    <hyperlink ref="C1945" r:id="rId5544" xr:uid="{00000000-0004-0000-0000-000023160000}"/>
    <hyperlink ref="D1945" r:id="rId5545" xr:uid="{00000000-0004-0000-0000-000024160000}"/>
    <hyperlink ref="A1946" r:id="rId5546" xr:uid="{00000000-0004-0000-0000-000025160000}"/>
    <hyperlink ref="C1946" r:id="rId5547" xr:uid="{00000000-0004-0000-0000-000026160000}"/>
    <hyperlink ref="D1946" r:id="rId5548" xr:uid="{00000000-0004-0000-0000-000027160000}"/>
    <hyperlink ref="A1947" r:id="rId5549" xr:uid="{00000000-0004-0000-0000-000028160000}"/>
    <hyperlink ref="C1947" r:id="rId5550" xr:uid="{00000000-0004-0000-0000-000029160000}"/>
    <hyperlink ref="D1947" r:id="rId5551" xr:uid="{00000000-0004-0000-0000-00002A160000}"/>
    <hyperlink ref="A1948" r:id="rId5552" xr:uid="{00000000-0004-0000-0000-00002B160000}"/>
    <hyperlink ref="C1948" r:id="rId5553" xr:uid="{00000000-0004-0000-0000-00002C160000}"/>
    <hyperlink ref="D1948" r:id="rId5554" xr:uid="{00000000-0004-0000-0000-00002D160000}"/>
    <hyperlink ref="C1949" r:id="rId5555" xr:uid="{00000000-0004-0000-0000-00002E160000}"/>
    <hyperlink ref="D1949" r:id="rId5556" xr:uid="{00000000-0004-0000-0000-00002F160000}"/>
    <hyperlink ref="A1950" r:id="rId5557" xr:uid="{00000000-0004-0000-0000-000030160000}"/>
    <hyperlink ref="C1950" r:id="rId5558" xr:uid="{00000000-0004-0000-0000-000031160000}"/>
    <hyperlink ref="D1950" r:id="rId5559" xr:uid="{00000000-0004-0000-0000-000032160000}"/>
    <hyperlink ref="A1951" r:id="rId5560" xr:uid="{00000000-0004-0000-0000-000033160000}"/>
    <hyperlink ref="C1951" r:id="rId5561" xr:uid="{00000000-0004-0000-0000-000034160000}"/>
    <hyperlink ref="D1951" r:id="rId5562" xr:uid="{00000000-0004-0000-0000-000035160000}"/>
    <hyperlink ref="A1952" r:id="rId5563" xr:uid="{00000000-0004-0000-0000-000036160000}"/>
    <hyperlink ref="C1952" r:id="rId5564" xr:uid="{00000000-0004-0000-0000-000037160000}"/>
    <hyperlink ref="D1952" r:id="rId5565" xr:uid="{00000000-0004-0000-0000-000038160000}"/>
    <hyperlink ref="A1953" r:id="rId5566" xr:uid="{00000000-0004-0000-0000-000039160000}"/>
    <hyperlink ref="C1953" r:id="rId5567" xr:uid="{00000000-0004-0000-0000-00003A160000}"/>
    <hyperlink ref="D1953" r:id="rId5568" xr:uid="{00000000-0004-0000-0000-00003B160000}"/>
    <hyperlink ref="A1954" r:id="rId5569" xr:uid="{00000000-0004-0000-0000-00003C160000}"/>
    <hyperlink ref="C1954" r:id="rId5570" xr:uid="{00000000-0004-0000-0000-00003D160000}"/>
    <hyperlink ref="D1954" r:id="rId5571" xr:uid="{00000000-0004-0000-0000-00003E160000}"/>
    <hyperlink ref="A1955" r:id="rId5572" xr:uid="{00000000-0004-0000-0000-00003F160000}"/>
    <hyperlink ref="C1955" r:id="rId5573" xr:uid="{00000000-0004-0000-0000-000040160000}"/>
    <hyperlink ref="D1955" r:id="rId5574" xr:uid="{00000000-0004-0000-0000-000041160000}"/>
    <hyperlink ref="C1956" r:id="rId5575" xr:uid="{00000000-0004-0000-0000-000042160000}"/>
    <hyperlink ref="D1956" r:id="rId5576" xr:uid="{00000000-0004-0000-0000-000043160000}"/>
    <hyperlink ref="A1957" r:id="rId5577" xr:uid="{00000000-0004-0000-0000-000044160000}"/>
    <hyperlink ref="C1957" r:id="rId5578" xr:uid="{00000000-0004-0000-0000-000045160000}"/>
    <hyperlink ref="D1957" r:id="rId5579" xr:uid="{00000000-0004-0000-0000-000046160000}"/>
    <hyperlink ref="A1958" r:id="rId5580" xr:uid="{00000000-0004-0000-0000-000047160000}"/>
    <hyperlink ref="C1958" r:id="rId5581" xr:uid="{00000000-0004-0000-0000-000048160000}"/>
    <hyperlink ref="D1958" r:id="rId5582" xr:uid="{00000000-0004-0000-0000-000049160000}"/>
    <hyperlink ref="A1959" r:id="rId5583" xr:uid="{00000000-0004-0000-0000-00004A160000}"/>
    <hyperlink ref="C1959" r:id="rId5584" xr:uid="{00000000-0004-0000-0000-00004B160000}"/>
    <hyperlink ref="D1959" r:id="rId5585" xr:uid="{00000000-0004-0000-0000-00004C160000}"/>
    <hyperlink ref="A1960" r:id="rId5586" xr:uid="{00000000-0004-0000-0000-00004D160000}"/>
    <hyperlink ref="C1960" r:id="rId5587" xr:uid="{00000000-0004-0000-0000-00004E160000}"/>
    <hyperlink ref="D1960" r:id="rId5588" xr:uid="{00000000-0004-0000-0000-00004F160000}"/>
    <hyperlink ref="A1961" r:id="rId5589" xr:uid="{00000000-0004-0000-0000-000050160000}"/>
    <hyperlink ref="C1961" r:id="rId5590" xr:uid="{00000000-0004-0000-0000-000051160000}"/>
    <hyperlink ref="D1961" r:id="rId5591" xr:uid="{00000000-0004-0000-0000-000052160000}"/>
    <hyperlink ref="A1962" r:id="rId5592" xr:uid="{00000000-0004-0000-0000-000053160000}"/>
    <hyperlink ref="C1962" r:id="rId5593" xr:uid="{00000000-0004-0000-0000-000054160000}"/>
    <hyperlink ref="D1962" r:id="rId5594" xr:uid="{00000000-0004-0000-0000-000055160000}"/>
    <hyperlink ref="A1963" r:id="rId5595" xr:uid="{00000000-0004-0000-0000-000056160000}"/>
    <hyperlink ref="C1963" r:id="rId5596" xr:uid="{00000000-0004-0000-0000-000057160000}"/>
    <hyperlink ref="D1963" r:id="rId5597" xr:uid="{00000000-0004-0000-0000-000058160000}"/>
    <hyperlink ref="A1964" r:id="rId5598" xr:uid="{00000000-0004-0000-0000-000059160000}"/>
    <hyperlink ref="C1964" r:id="rId5599" xr:uid="{00000000-0004-0000-0000-00005A160000}"/>
    <hyperlink ref="D1964" r:id="rId5600" xr:uid="{00000000-0004-0000-0000-00005B160000}"/>
    <hyperlink ref="C1965" r:id="rId5601" xr:uid="{00000000-0004-0000-0000-00005C160000}"/>
    <hyperlink ref="D1965" r:id="rId5602" xr:uid="{00000000-0004-0000-0000-00005D160000}"/>
    <hyperlink ref="A1966" r:id="rId5603" xr:uid="{00000000-0004-0000-0000-00005E160000}"/>
    <hyperlink ref="C1966" r:id="rId5604" xr:uid="{00000000-0004-0000-0000-00005F160000}"/>
    <hyperlink ref="D1966" r:id="rId5605" xr:uid="{00000000-0004-0000-0000-000060160000}"/>
    <hyperlink ref="A1967" r:id="rId5606" xr:uid="{00000000-0004-0000-0000-000061160000}"/>
    <hyperlink ref="C1967" r:id="rId5607" xr:uid="{00000000-0004-0000-0000-000062160000}"/>
    <hyperlink ref="D1967" r:id="rId5608" xr:uid="{00000000-0004-0000-0000-000063160000}"/>
    <hyperlink ref="A1968" r:id="rId5609" xr:uid="{00000000-0004-0000-0000-000064160000}"/>
    <hyperlink ref="C1968" r:id="rId5610" xr:uid="{00000000-0004-0000-0000-000065160000}"/>
    <hyperlink ref="D1968" r:id="rId5611" xr:uid="{00000000-0004-0000-0000-000066160000}"/>
    <hyperlink ref="A1969" r:id="rId5612" xr:uid="{00000000-0004-0000-0000-000067160000}"/>
    <hyperlink ref="C1969" r:id="rId5613" xr:uid="{00000000-0004-0000-0000-000068160000}"/>
    <hyperlink ref="D1969" r:id="rId5614" xr:uid="{00000000-0004-0000-0000-000069160000}"/>
    <hyperlink ref="A1970" r:id="rId5615" xr:uid="{00000000-0004-0000-0000-00006A160000}"/>
    <hyperlink ref="C1970" r:id="rId5616" xr:uid="{00000000-0004-0000-0000-00006B160000}"/>
    <hyperlink ref="D1970" r:id="rId5617" xr:uid="{00000000-0004-0000-0000-00006C160000}"/>
    <hyperlink ref="A1971" r:id="rId5618" xr:uid="{00000000-0004-0000-0000-00006D160000}"/>
    <hyperlink ref="C1971" r:id="rId5619" xr:uid="{00000000-0004-0000-0000-00006E160000}"/>
    <hyperlink ref="D1971" r:id="rId5620" xr:uid="{00000000-0004-0000-0000-00006F160000}"/>
    <hyperlink ref="A1972" r:id="rId5621" xr:uid="{00000000-0004-0000-0000-000070160000}"/>
    <hyperlink ref="C1972" r:id="rId5622" xr:uid="{00000000-0004-0000-0000-000071160000}"/>
    <hyperlink ref="D1972" r:id="rId5623" xr:uid="{00000000-0004-0000-0000-000072160000}"/>
    <hyperlink ref="A1973" r:id="rId5624" xr:uid="{00000000-0004-0000-0000-000073160000}"/>
    <hyperlink ref="C1973" r:id="rId5625" xr:uid="{00000000-0004-0000-0000-000074160000}"/>
    <hyperlink ref="D1973" r:id="rId5626" xr:uid="{00000000-0004-0000-0000-000075160000}"/>
    <hyperlink ref="E1973" r:id="rId5627" xr:uid="{00000000-0004-0000-0000-000076160000}"/>
    <hyperlink ref="A1974" r:id="rId5628" xr:uid="{00000000-0004-0000-0000-000077160000}"/>
    <hyperlink ref="C1974" r:id="rId5629" xr:uid="{00000000-0004-0000-0000-000078160000}"/>
    <hyperlink ref="D1974" r:id="rId5630" xr:uid="{00000000-0004-0000-0000-000079160000}"/>
    <hyperlink ref="A1975" r:id="rId5631" xr:uid="{00000000-0004-0000-0000-00007A160000}"/>
    <hyperlink ref="C1975" r:id="rId5632" xr:uid="{00000000-0004-0000-0000-00007B160000}"/>
    <hyperlink ref="D1975" r:id="rId5633" xr:uid="{00000000-0004-0000-0000-00007C160000}"/>
    <hyperlink ref="A1976" r:id="rId5634" xr:uid="{00000000-0004-0000-0000-00007D160000}"/>
    <hyperlink ref="C1976" r:id="rId5635" xr:uid="{00000000-0004-0000-0000-00007E160000}"/>
    <hyperlink ref="D1976" r:id="rId5636" xr:uid="{00000000-0004-0000-0000-00007F160000}"/>
    <hyperlink ref="A1977" r:id="rId5637" xr:uid="{00000000-0004-0000-0000-000080160000}"/>
    <hyperlink ref="C1977" r:id="rId5638" xr:uid="{00000000-0004-0000-0000-000081160000}"/>
    <hyperlink ref="D1977" r:id="rId5639" xr:uid="{00000000-0004-0000-0000-000082160000}"/>
    <hyperlink ref="A1978" r:id="rId5640" xr:uid="{00000000-0004-0000-0000-000083160000}"/>
    <hyperlink ref="C1978" r:id="rId5641" xr:uid="{00000000-0004-0000-0000-000084160000}"/>
    <hyperlink ref="D1978" r:id="rId5642" xr:uid="{00000000-0004-0000-0000-000085160000}"/>
    <hyperlink ref="A1979" r:id="rId5643" xr:uid="{00000000-0004-0000-0000-000086160000}"/>
    <hyperlink ref="C1979" r:id="rId5644" xr:uid="{00000000-0004-0000-0000-000087160000}"/>
    <hyperlink ref="D1979" r:id="rId5645" xr:uid="{00000000-0004-0000-0000-000088160000}"/>
    <hyperlink ref="A1980" r:id="rId5646" xr:uid="{00000000-0004-0000-0000-000089160000}"/>
    <hyperlink ref="C1980" r:id="rId5647" xr:uid="{00000000-0004-0000-0000-00008A160000}"/>
    <hyperlink ref="D1980" r:id="rId5648" xr:uid="{00000000-0004-0000-0000-00008B160000}"/>
    <hyperlink ref="A1981" r:id="rId5649" xr:uid="{00000000-0004-0000-0000-00008C160000}"/>
    <hyperlink ref="C1981" r:id="rId5650" xr:uid="{00000000-0004-0000-0000-00008D160000}"/>
    <hyperlink ref="D1981" r:id="rId5651" xr:uid="{00000000-0004-0000-0000-00008E160000}"/>
    <hyperlink ref="A1982" r:id="rId5652" xr:uid="{00000000-0004-0000-0000-00008F160000}"/>
    <hyperlink ref="C1982" r:id="rId5653" xr:uid="{00000000-0004-0000-0000-000090160000}"/>
    <hyperlink ref="D1982" r:id="rId5654" xr:uid="{00000000-0004-0000-0000-000091160000}"/>
    <hyperlink ref="A1983" r:id="rId5655" xr:uid="{00000000-0004-0000-0000-000092160000}"/>
    <hyperlink ref="C1983" r:id="rId5656" xr:uid="{00000000-0004-0000-0000-000093160000}"/>
    <hyperlink ref="D1983" r:id="rId5657" xr:uid="{00000000-0004-0000-0000-000094160000}"/>
    <hyperlink ref="A1984" r:id="rId5658" xr:uid="{00000000-0004-0000-0000-000095160000}"/>
    <hyperlink ref="C1984" r:id="rId5659" xr:uid="{00000000-0004-0000-0000-000096160000}"/>
    <hyperlink ref="D1984" r:id="rId5660" xr:uid="{00000000-0004-0000-0000-000097160000}"/>
    <hyperlink ref="A1985" r:id="rId5661" xr:uid="{00000000-0004-0000-0000-000098160000}"/>
    <hyperlink ref="C1985" r:id="rId5662" xr:uid="{00000000-0004-0000-0000-000099160000}"/>
    <hyperlink ref="D1985" r:id="rId5663" xr:uid="{00000000-0004-0000-0000-00009A160000}"/>
    <hyperlink ref="A1986" r:id="rId5664" xr:uid="{00000000-0004-0000-0000-00009B160000}"/>
    <hyperlink ref="C1986" r:id="rId5665" xr:uid="{00000000-0004-0000-0000-00009C160000}"/>
    <hyperlink ref="D1986" r:id="rId5666" xr:uid="{00000000-0004-0000-0000-00009D160000}"/>
    <hyperlink ref="A1987" r:id="rId5667" xr:uid="{00000000-0004-0000-0000-00009E160000}"/>
    <hyperlink ref="C1987" r:id="rId5668" xr:uid="{00000000-0004-0000-0000-00009F160000}"/>
    <hyperlink ref="D1987" r:id="rId5669" xr:uid="{00000000-0004-0000-0000-0000A0160000}"/>
    <hyperlink ref="A1988" r:id="rId5670" xr:uid="{00000000-0004-0000-0000-0000A1160000}"/>
    <hyperlink ref="A1989" r:id="rId5671" xr:uid="{00000000-0004-0000-0000-0000A2160000}"/>
    <hyperlink ref="A1990" r:id="rId5672" xr:uid="{00000000-0004-0000-0000-0000A3160000}"/>
    <hyperlink ref="C1990" r:id="rId5673" location="google_vignette" xr:uid="{00000000-0004-0000-0000-0000A4160000}"/>
    <hyperlink ref="D1990" r:id="rId5674" xr:uid="{00000000-0004-0000-0000-0000A5160000}"/>
    <hyperlink ref="A1991" r:id="rId5675" xr:uid="{00000000-0004-0000-0000-0000A6160000}"/>
    <hyperlink ref="C1991" r:id="rId5676" xr:uid="{00000000-0004-0000-0000-0000A7160000}"/>
    <hyperlink ref="D1991" r:id="rId5677" xr:uid="{00000000-0004-0000-0000-0000A8160000}"/>
    <hyperlink ref="E1991" r:id="rId5678" xr:uid="{00000000-0004-0000-0000-0000A9160000}"/>
    <hyperlink ref="A1992" r:id="rId5679" xr:uid="{00000000-0004-0000-0000-0000AA160000}"/>
    <hyperlink ref="C1992" r:id="rId5680" xr:uid="{00000000-0004-0000-0000-0000AB160000}"/>
    <hyperlink ref="D1992" r:id="rId5681" xr:uid="{00000000-0004-0000-0000-0000AC160000}"/>
    <hyperlink ref="C1993" r:id="rId5682" xr:uid="{00000000-0004-0000-0000-0000AD160000}"/>
    <hyperlink ref="D1993" r:id="rId5683" xr:uid="{00000000-0004-0000-0000-0000AE160000}"/>
    <hyperlink ref="A1994" r:id="rId5684" xr:uid="{00000000-0004-0000-0000-0000AF160000}"/>
    <hyperlink ref="C1994" r:id="rId5685" xr:uid="{00000000-0004-0000-0000-0000B0160000}"/>
    <hyperlink ref="D1994" r:id="rId5686" xr:uid="{00000000-0004-0000-0000-0000B1160000}"/>
    <hyperlink ref="A1995" r:id="rId5687" xr:uid="{00000000-0004-0000-0000-0000B2160000}"/>
    <hyperlink ref="C1995" r:id="rId5688" xr:uid="{00000000-0004-0000-0000-0000B3160000}"/>
    <hyperlink ref="D1995" r:id="rId5689" xr:uid="{00000000-0004-0000-0000-0000B4160000}"/>
    <hyperlink ref="A1996" r:id="rId5690" xr:uid="{00000000-0004-0000-0000-0000B5160000}"/>
    <hyperlink ref="C1996" r:id="rId5691" xr:uid="{00000000-0004-0000-0000-0000B6160000}"/>
    <hyperlink ref="D1996" r:id="rId5692" xr:uid="{00000000-0004-0000-0000-0000B7160000}"/>
    <hyperlink ref="A1997" r:id="rId5693" xr:uid="{00000000-0004-0000-0000-0000B8160000}"/>
    <hyperlink ref="C1997" r:id="rId5694" xr:uid="{00000000-0004-0000-0000-0000B9160000}"/>
    <hyperlink ref="D1997" r:id="rId5695" xr:uid="{00000000-0004-0000-0000-0000BA160000}"/>
    <hyperlink ref="E1997" r:id="rId5696" xr:uid="{00000000-0004-0000-0000-0000BB160000}"/>
    <hyperlink ref="A1998" r:id="rId5697" xr:uid="{00000000-0004-0000-0000-0000BD160000}"/>
    <hyperlink ref="D1998" r:id="rId5698" xr:uid="{00000000-0004-0000-0000-0000BE160000}"/>
    <hyperlink ref="A1999" r:id="rId5699" xr:uid="{00000000-0004-0000-0000-0000BF160000}"/>
    <hyperlink ref="C1999" r:id="rId5700" xr:uid="{00000000-0004-0000-0000-0000C0160000}"/>
    <hyperlink ref="D1999" r:id="rId5701" xr:uid="{00000000-0004-0000-0000-0000C1160000}"/>
    <hyperlink ref="A2000" r:id="rId5702" xr:uid="{00000000-0004-0000-0000-0000C2160000}"/>
    <hyperlink ref="C2000" r:id="rId5703" xr:uid="{00000000-0004-0000-0000-0000C3160000}"/>
    <hyperlink ref="D2000" r:id="rId5704" xr:uid="{00000000-0004-0000-0000-0000C4160000}"/>
    <hyperlink ref="C2001" r:id="rId5705" xr:uid="{00000000-0004-0000-0000-0000C6160000}"/>
    <hyperlink ref="D2001" r:id="rId5706" xr:uid="{00000000-0004-0000-0000-0000C7160000}"/>
    <hyperlink ref="A2002" r:id="rId5707" xr:uid="{00000000-0004-0000-0000-0000C8160000}"/>
    <hyperlink ref="C2002" r:id="rId5708" xr:uid="{00000000-0004-0000-0000-0000C9160000}"/>
    <hyperlink ref="D2002" r:id="rId5709" xr:uid="{00000000-0004-0000-0000-0000CA160000}"/>
    <hyperlink ref="A2003" r:id="rId5710" xr:uid="{00000000-0004-0000-0000-0000CB160000}"/>
    <hyperlink ref="C2003" r:id="rId5711" xr:uid="{00000000-0004-0000-0000-0000CC160000}"/>
    <hyperlink ref="D2003" r:id="rId5712" xr:uid="{00000000-0004-0000-0000-0000CD160000}"/>
    <hyperlink ref="E2003" r:id="rId5713" xr:uid="{00000000-0004-0000-0000-0000CE160000}"/>
    <hyperlink ref="A2004" r:id="rId5714" xr:uid="{00000000-0004-0000-0000-0000CF160000}"/>
    <hyperlink ref="C2004" r:id="rId5715" xr:uid="{00000000-0004-0000-0000-0000D0160000}"/>
    <hyperlink ref="D2004" r:id="rId5716" xr:uid="{00000000-0004-0000-0000-0000D1160000}"/>
    <hyperlink ref="A2005" r:id="rId5717" xr:uid="{00000000-0004-0000-0000-0000D2160000}"/>
    <hyperlink ref="C2005" r:id="rId5718" xr:uid="{00000000-0004-0000-0000-0000D3160000}"/>
    <hyperlink ref="D2005" r:id="rId5719" xr:uid="{00000000-0004-0000-0000-0000D4160000}"/>
    <hyperlink ref="A2006" r:id="rId5720" xr:uid="{00000000-0004-0000-0000-0000D5160000}"/>
    <hyperlink ref="C2006" r:id="rId5721" xr:uid="{00000000-0004-0000-0000-0000D6160000}"/>
    <hyperlink ref="D2006" r:id="rId5722" xr:uid="{00000000-0004-0000-0000-0000D7160000}"/>
    <hyperlink ref="A2007" r:id="rId5723" xr:uid="{00000000-0004-0000-0000-0000D8160000}"/>
    <hyperlink ref="C2007" r:id="rId5724" xr:uid="{00000000-0004-0000-0000-0000D9160000}"/>
    <hyperlink ref="D2007" r:id="rId5725" xr:uid="{00000000-0004-0000-0000-0000DA160000}"/>
    <hyperlink ref="A2008" r:id="rId5726" xr:uid="{00000000-0004-0000-0000-0000DB160000}"/>
    <hyperlink ref="A2009" r:id="rId5727" xr:uid="{00000000-0004-0000-0000-0000DC160000}"/>
    <hyperlink ref="A2012" r:id="rId5728" xr:uid="{00000000-0004-0000-0000-0000DD160000}"/>
    <hyperlink ref="C2012" r:id="rId5729" xr:uid="{00000000-0004-0000-0000-0000DE160000}"/>
    <hyperlink ref="D2012" r:id="rId5730" xr:uid="{00000000-0004-0000-0000-0000DF160000}"/>
    <hyperlink ref="A2013" r:id="rId5731" xr:uid="{00000000-0004-0000-0000-0000E0160000}"/>
    <hyperlink ref="C2013" r:id="rId5732" xr:uid="{00000000-0004-0000-0000-0000E1160000}"/>
    <hyperlink ref="D2013" r:id="rId5733" xr:uid="{00000000-0004-0000-0000-0000E2160000}"/>
    <hyperlink ref="A2014" r:id="rId5734" xr:uid="{00000000-0004-0000-0000-0000E3160000}"/>
    <hyperlink ref="C2014" r:id="rId5735" xr:uid="{00000000-0004-0000-0000-0000E4160000}"/>
    <hyperlink ref="D2014" r:id="rId5736" xr:uid="{00000000-0004-0000-0000-0000E5160000}"/>
    <hyperlink ref="A2015" r:id="rId5737" xr:uid="{00000000-0004-0000-0000-0000E6160000}"/>
    <hyperlink ref="C2015" r:id="rId5738" xr:uid="{00000000-0004-0000-0000-0000E7160000}"/>
    <hyperlink ref="D2015" r:id="rId5739" xr:uid="{00000000-0004-0000-0000-0000E8160000}"/>
    <hyperlink ref="A2016" r:id="rId5740" xr:uid="{00000000-0004-0000-0000-0000E9160000}"/>
    <hyperlink ref="C2016" r:id="rId5741" xr:uid="{00000000-0004-0000-0000-0000EA160000}"/>
    <hyperlink ref="D2016" r:id="rId5742" xr:uid="{00000000-0004-0000-0000-0000EB160000}"/>
    <hyperlink ref="A2017" r:id="rId5743" xr:uid="{00000000-0004-0000-0000-0000EC160000}"/>
    <hyperlink ref="C2017" r:id="rId5744" xr:uid="{00000000-0004-0000-0000-0000ED160000}"/>
    <hyperlink ref="D2017" r:id="rId5745" xr:uid="{00000000-0004-0000-0000-0000EE160000}"/>
    <hyperlink ref="A2018" r:id="rId5746" xr:uid="{00000000-0004-0000-0000-0000EF160000}"/>
    <hyperlink ref="C2018" r:id="rId5747" xr:uid="{00000000-0004-0000-0000-0000F0160000}"/>
    <hyperlink ref="D2018" r:id="rId5748" xr:uid="{00000000-0004-0000-0000-0000F1160000}"/>
    <hyperlink ref="A2019" r:id="rId5749" xr:uid="{00000000-0004-0000-0000-0000F2160000}"/>
    <hyperlink ref="C2019" r:id="rId5750" xr:uid="{00000000-0004-0000-0000-0000F3160000}"/>
    <hyperlink ref="D2019" r:id="rId5751" xr:uid="{00000000-0004-0000-0000-0000F4160000}"/>
    <hyperlink ref="A2020" r:id="rId5752" xr:uid="{00000000-0004-0000-0000-0000F5160000}"/>
    <hyperlink ref="C2020" r:id="rId5753" xr:uid="{00000000-0004-0000-0000-0000F6160000}"/>
    <hyperlink ref="D2020" r:id="rId5754" xr:uid="{00000000-0004-0000-0000-0000F7160000}"/>
    <hyperlink ref="E2020" r:id="rId5755" xr:uid="{00000000-0004-0000-0000-0000F8160000}"/>
    <hyperlink ref="A2021" r:id="rId5756" xr:uid="{00000000-0004-0000-0000-0000F9160000}"/>
    <hyperlink ref="C2021" r:id="rId5757" xr:uid="{00000000-0004-0000-0000-0000FA160000}"/>
    <hyperlink ref="D2021" r:id="rId5758" xr:uid="{00000000-0004-0000-0000-0000FB160000}"/>
    <hyperlink ref="A2022" r:id="rId5759" xr:uid="{00000000-0004-0000-0000-0000FC160000}"/>
    <hyperlink ref="C2022" r:id="rId5760" xr:uid="{00000000-0004-0000-0000-0000FD160000}"/>
    <hyperlink ref="D2022" r:id="rId5761" xr:uid="{00000000-0004-0000-0000-0000FE160000}"/>
    <hyperlink ref="A2023" r:id="rId5762" xr:uid="{00000000-0004-0000-0000-0000FF160000}"/>
    <hyperlink ref="C2023" r:id="rId5763" xr:uid="{00000000-0004-0000-0000-000000170000}"/>
    <hyperlink ref="D2023" r:id="rId5764" xr:uid="{00000000-0004-0000-0000-000001170000}"/>
    <hyperlink ref="A2024" r:id="rId5765" xr:uid="{00000000-0004-0000-0000-000002170000}"/>
    <hyperlink ref="C2024" r:id="rId5766" xr:uid="{00000000-0004-0000-0000-000003170000}"/>
    <hyperlink ref="D2024" r:id="rId5767" xr:uid="{00000000-0004-0000-0000-000004170000}"/>
    <hyperlink ref="A2025" r:id="rId5768" xr:uid="{00000000-0004-0000-0000-000005170000}"/>
    <hyperlink ref="C2025" r:id="rId5769" xr:uid="{00000000-0004-0000-0000-000006170000}"/>
    <hyperlink ref="D2025" r:id="rId5770" xr:uid="{00000000-0004-0000-0000-000007170000}"/>
    <hyperlink ref="A2026" r:id="rId5771" xr:uid="{00000000-0004-0000-0000-000008170000}"/>
    <hyperlink ref="C2026" r:id="rId5772" xr:uid="{00000000-0004-0000-0000-000009170000}"/>
    <hyperlink ref="D2026" r:id="rId5773" xr:uid="{00000000-0004-0000-0000-00000A170000}"/>
    <hyperlink ref="A2027" r:id="rId5774" xr:uid="{00000000-0004-0000-0000-00000B170000}"/>
    <hyperlink ref="A2028" r:id="rId5775" xr:uid="{00000000-0004-0000-0000-00000C170000}"/>
    <hyperlink ref="A2029" r:id="rId5776" xr:uid="{00000000-0004-0000-0000-00000D170000}"/>
    <hyperlink ref="C2029" r:id="rId5777" xr:uid="{00000000-0004-0000-0000-00000E170000}"/>
    <hyperlink ref="D2029" r:id="rId5778" xr:uid="{00000000-0004-0000-0000-00000F170000}"/>
    <hyperlink ref="A2030" r:id="rId5779" xr:uid="{00000000-0004-0000-0000-000010170000}"/>
    <hyperlink ref="A2031" r:id="rId5780" xr:uid="{00000000-0004-0000-0000-000011170000}"/>
    <hyperlink ref="A2032" r:id="rId5781" xr:uid="{00000000-0004-0000-0000-000012170000}"/>
    <hyperlink ref="A2033" r:id="rId5782" xr:uid="{00000000-0004-0000-0000-000013170000}"/>
    <hyperlink ref="C2033" r:id="rId5783" xr:uid="{00000000-0004-0000-0000-000014170000}"/>
    <hyperlink ref="D2033" r:id="rId5784" xr:uid="{00000000-0004-0000-0000-000015170000}"/>
    <hyperlink ref="A2034" r:id="rId5785" xr:uid="{00000000-0004-0000-0000-000016170000}"/>
    <hyperlink ref="C2034" r:id="rId5786" xr:uid="{00000000-0004-0000-0000-000017170000}"/>
    <hyperlink ref="D2034" r:id="rId5787" xr:uid="{00000000-0004-0000-0000-000018170000}"/>
    <hyperlink ref="A2035" r:id="rId5788" xr:uid="{00000000-0004-0000-0000-000019170000}"/>
    <hyperlink ref="C2035" r:id="rId5789" xr:uid="{00000000-0004-0000-0000-00001A170000}"/>
    <hyperlink ref="D2035" r:id="rId5790" xr:uid="{00000000-0004-0000-0000-00001B170000}"/>
    <hyperlink ref="C2036" r:id="rId5791" xr:uid="{00000000-0004-0000-0000-00001C170000}"/>
    <hyperlink ref="D2036" r:id="rId5792" xr:uid="{00000000-0004-0000-0000-00001D170000}"/>
    <hyperlink ref="C2037" r:id="rId5793" xr:uid="{00000000-0004-0000-0000-00001E170000}"/>
    <hyperlink ref="D2037" r:id="rId5794" xr:uid="{00000000-0004-0000-0000-00001F170000}"/>
    <hyperlink ref="A2038" r:id="rId5795" xr:uid="{00000000-0004-0000-0000-000020170000}"/>
    <hyperlink ref="C2038" r:id="rId5796" xr:uid="{00000000-0004-0000-0000-000021170000}"/>
    <hyperlink ref="D2038" r:id="rId5797" xr:uid="{00000000-0004-0000-0000-000022170000}"/>
    <hyperlink ref="A2039" r:id="rId5798" xr:uid="{00000000-0004-0000-0000-000023170000}"/>
    <hyperlink ref="C2039" r:id="rId5799" xr:uid="{00000000-0004-0000-0000-000024170000}"/>
    <hyperlink ref="D2039" r:id="rId5800" xr:uid="{00000000-0004-0000-0000-000025170000}"/>
    <hyperlink ref="A2040" r:id="rId5801" xr:uid="{00000000-0004-0000-0000-000026170000}"/>
    <hyperlink ref="C2040" r:id="rId5802" xr:uid="{00000000-0004-0000-0000-000027170000}"/>
    <hyperlink ref="D2040" r:id="rId5803" xr:uid="{00000000-0004-0000-0000-000028170000}"/>
    <hyperlink ref="A2041" r:id="rId5804" xr:uid="{00000000-0004-0000-0000-000029170000}"/>
    <hyperlink ref="C2041" r:id="rId5805" xr:uid="{00000000-0004-0000-0000-00002A170000}"/>
    <hyperlink ref="D2041" r:id="rId5806" xr:uid="{00000000-0004-0000-0000-00002B170000}"/>
    <hyperlink ref="A2042" r:id="rId5807" xr:uid="{00000000-0004-0000-0000-00002C170000}"/>
    <hyperlink ref="C2042" r:id="rId5808" xr:uid="{00000000-0004-0000-0000-00002D170000}"/>
    <hyperlink ref="D2042" r:id="rId5809" xr:uid="{00000000-0004-0000-0000-00002E170000}"/>
    <hyperlink ref="A2043" r:id="rId5810" xr:uid="{00000000-0004-0000-0000-00002F170000}"/>
    <hyperlink ref="C2043" r:id="rId5811" xr:uid="{00000000-0004-0000-0000-000030170000}"/>
    <hyperlink ref="D2043" r:id="rId5812" xr:uid="{00000000-0004-0000-0000-000031170000}"/>
    <hyperlink ref="C2044" r:id="rId5813" xr:uid="{00000000-0004-0000-0000-000032170000}"/>
    <hyperlink ref="D2044" r:id="rId5814" xr:uid="{00000000-0004-0000-0000-000033170000}"/>
    <hyperlink ref="A2045" r:id="rId5815" xr:uid="{00000000-0004-0000-0000-000034170000}"/>
    <hyperlink ref="C2045" r:id="rId5816" xr:uid="{00000000-0004-0000-0000-000035170000}"/>
    <hyperlink ref="D2045" r:id="rId5817" xr:uid="{00000000-0004-0000-0000-000036170000}"/>
    <hyperlink ref="A2046" r:id="rId5818" xr:uid="{00000000-0004-0000-0000-000037170000}"/>
    <hyperlink ref="C2046" r:id="rId5819" xr:uid="{00000000-0004-0000-0000-000038170000}"/>
    <hyperlink ref="D2046" r:id="rId5820" xr:uid="{00000000-0004-0000-0000-000039170000}"/>
    <hyperlink ref="A2047" r:id="rId5821" xr:uid="{00000000-0004-0000-0000-00003A170000}"/>
    <hyperlink ref="C2047" r:id="rId5822" xr:uid="{00000000-0004-0000-0000-00003B170000}"/>
    <hyperlink ref="D2047" r:id="rId5823" xr:uid="{00000000-0004-0000-0000-00003C170000}"/>
    <hyperlink ref="A2048" r:id="rId5824" xr:uid="{00000000-0004-0000-0000-00003D170000}"/>
    <hyperlink ref="C2048" r:id="rId5825" xr:uid="{00000000-0004-0000-0000-00003E170000}"/>
    <hyperlink ref="D2048" r:id="rId5826" xr:uid="{00000000-0004-0000-0000-00003F170000}"/>
    <hyperlink ref="A2049" r:id="rId5827" xr:uid="{00000000-0004-0000-0000-000040170000}"/>
    <hyperlink ref="C2049" r:id="rId5828" xr:uid="{00000000-0004-0000-0000-000041170000}"/>
    <hyperlink ref="D2049" r:id="rId5829" xr:uid="{00000000-0004-0000-0000-000042170000}"/>
    <hyperlink ref="A2050" r:id="rId5830" xr:uid="{00000000-0004-0000-0000-000043170000}"/>
    <hyperlink ref="C2050" r:id="rId5831" xr:uid="{00000000-0004-0000-0000-000044170000}"/>
    <hyperlink ref="D2050" r:id="rId5832" xr:uid="{00000000-0004-0000-0000-000045170000}"/>
    <hyperlink ref="A2051" r:id="rId5833" xr:uid="{00000000-0004-0000-0000-000046170000}"/>
    <hyperlink ref="C2051" r:id="rId5834" xr:uid="{00000000-0004-0000-0000-000047170000}"/>
    <hyperlink ref="D2051" r:id="rId5835" xr:uid="{00000000-0004-0000-0000-000048170000}"/>
    <hyperlink ref="A2052" r:id="rId5836" xr:uid="{00000000-0004-0000-0000-000049170000}"/>
    <hyperlink ref="C2052" r:id="rId5837" xr:uid="{00000000-0004-0000-0000-00004A170000}"/>
    <hyperlink ref="D2052" r:id="rId5838" xr:uid="{00000000-0004-0000-0000-00004B170000}"/>
    <hyperlink ref="C2053" r:id="rId5839" xr:uid="{00000000-0004-0000-0000-00004C170000}"/>
    <hyperlink ref="D2053" r:id="rId5840" xr:uid="{00000000-0004-0000-0000-00004D170000}"/>
    <hyperlink ref="A2054" r:id="rId5841" xr:uid="{00000000-0004-0000-0000-00004E170000}"/>
    <hyperlink ref="C2054" r:id="rId5842" xr:uid="{00000000-0004-0000-0000-00004F170000}"/>
    <hyperlink ref="D2054" r:id="rId5843" xr:uid="{00000000-0004-0000-0000-000050170000}"/>
    <hyperlink ref="A2055" r:id="rId5844" xr:uid="{00000000-0004-0000-0000-000051170000}"/>
    <hyperlink ref="C2055" r:id="rId5845" xr:uid="{00000000-0004-0000-0000-000052170000}"/>
    <hyperlink ref="D2055" r:id="rId5846" xr:uid="{00000000-0004-0000-0000-000053170000}"/>
    <hyperlink ref="A2056" r:id="rId5847" xr:uid="{00000000-0004-0000-0000-000054170000}"/>
    <hyperlink ref="C2056" r:id="rId5848" xr:uid="{00000000-0004-0000-0000-000055170000}"/>
    <hyperlink ref="D2056" r:id="rId5849" xr:uid="{00000000-0004-0000-0000-000056170000}"/>
    <hyperlink ref="A2057" r:id="rId5850" xr:uid="{00000000-0004-0000-0000-000057170000}"/>
    <hyperlink ref="C2057" r:id="rId5851" xr:uid="{00000000-0004-0000-0000-000058170000}"/>
    <hyperlink ref="D2057" r:id="rId5852" xr:uid="{00000000-0004-0000-0000-000059170000}"/>
    <hyperlink ref="C2058" r:id="rId5853" xr:uid="{00000000-0004-0000-0000-00005A170000}"/>
    <hyperlink ref="D2058" r:id="rId5854" xr:uid="{00000000-0004-0000-0000-00005B170000}"/>
    <hyperlink ref="A2059" r:id="rId5855" xr:uid="{00000000-0004-0000-0000-00005C170000}"/>
    <hyperlink ref="C2059" r:id="rId5856" xr:uid="{00000000-0004-0000-0000-00005D170000}"/>
    <hyperlink ref="D2059" r:id="rId5857" xr:uid="{00000000-0004-0000-0000-00005E170000}"/>
    <hyperlink ref="A2060" r:id="rId5858" xr:uid="{00000000-0004-0000-0000-00005F170000}"/>
    <hyperlink ref="C2060" r:id="rId5859" xr:uid="{00000000-0004-0000-0000-000060170000}"/>
    <hyperlink ref="D2060" r:id="rId5860" xr:uid="{00000000-0004-0000-0000-000061170000}"/>
    <hyperlink ref="A2061" r:id="rId5861" xr:uid="{00000000-0004-0000-0000-000062170000}"/>
    <hyperlink ref="C2061" r:id="rId5862" xr:uid="{00000000-0004-0000-0000-000063170000}"/>
    <hyperlink ref="D2061" r:id="rId5863" xr:uid="{00000000-0004-0000-0000-000064170000}"/>
    <hyperlink ref="A2062" r:id="rId5864" xr:uid="{00000000-0004-0000-0000-000065170000}"/>
    <hyperlink ref="C2062" r:id="rId5865" xr:uid="{00000000-0004-0000-0000-000066170000}"/>
    <hyperlink ref="D2062" r:id="rId5866" xr:uid="{00000000-0004-0000-0000-000067170000}"/>
    <hyperlink ref="A2063" r:id="rId5867" xr:uid="{00000000-0004-0000-0000-000068170000}"/>
    <hyperlink ref="C2063" r:id="rId5868" xr:uid="{00000000-0004-0000-0000-000069170000}"/>
    <hyperlink ref="D2063" r:id="rId5869" xr:uid="{00000000-0004-0000-0000-00006A170000}"/>
    <hyperlink ref="A2064" r:id="rId5870" xr:uid="{00000000-0004-0000-0000-00006B170000}"/>
    <hyperlink ref="C2064" r:id="rId5871" xr:uid="{00000000-0004-0000-0000-00006C170000}"/>
    <hyperlink ref="D2064" r:id="rId5872" xr:uid="{00000000-0004-0000-0000-00006D170000}"/>
    <hyperlink ref="C2065" r:id="rId5873" xr:uid="{00000000-0004-0000-0000-00006E170000}"/>
    <hyperlink ref="D2065" r:id="rId5874" xr:uid="{00000000-0004-0000-0000-00006F170000}"/>
    <hyperlink ref="C2066" r:id="rId5875" xr:uid="{00000000-0004-0000-0000-000070170000}"/>
    <hyperlink ref="D2066" r:id="rId5876" xr:uid="{00000000-0004-0000-0000-000071170000}"/>
    <hyperlink ref="C2067" r:id="rId5877" xr:uid="{00000000-0004-0000-0000-000072170000}"/>
    <hyperlink ref="D2067" r:id="rId5878" xr:uid="{00000000-0004-0000-0000-000073170000}"/>
    <hyperlink ref="C2068" r:id="rId5879" xr:uid="{00000000-0004-0000-0000-000074170000}"/>
    <hyperlink ref="D2068" r:id="rId5880" xr:uid="{00000000-0004-0000-0000-000075170000}"/>
    <hyperlink ref="A2069" r:id="rId5881" xr:uid="{00000000-0004-0000-0000-000076170000}"/>
    <hyperlink ref="C2069" r:id="rId5882" xr:uid="{00000000-0004-0000-0000-000077170000}"/>
    <hyperlink ref="D2069" r:id="rId5883" xr:uid="{00000000-0004-0000-0000-000078170000}"/>
    <hyperlink ref="A2070" r:id="rId5884" xr:uid="{00000000-0004-0000-0000-000079170000}"/>
    <hyperlink ref="C2070" r:id="rId5885" xr:uid="{00000000-0004-0000-0000-00007A170000}"/>
    <hyperlink ref="D2070" r:id="rId5886" xr:uid="{00000000-0004-0000-0000-00007B170000}"/>
    <hyperlink ref="A2071" r:id="rId5887" xr:uid="{00000000-0004-0000-0000-00007C170000}"/>
    <hyperlink ref="C2071" r:id="rId5888" xr:uid="{00000000-0004-0000-0000-00007D170000}"/>
    <hyperlink ref="D2071" r:id="rId5889" xr:uid="{00000000-0004-0000-0000-00007E170000}"/>
    <hyperlink ref="A2072" r:id="rId5890" xr:uid="{00000000-0004-0000-0000-00007F170000}"/>
    <hyperlink ref="C2072" r:id="rId5891" xr:uid="{00000000-0004-0000-0000-000080170000}"/>
    <hyperlink ref="D2072" r:id="rId5892" xr:uid="{00000000-0004-0000-0000-000081170000}"/>
    <hyperlink ref="A2073" r:id="rId5893" xr:uid="{00000000-0004-0000-0000-000082170000}"/>
    <hyperlink ref="C2073" r:id="rId5894" xr:uid="{00000000-0004-0000-0000-000083170000}"/>
    <hyperlink ref="D2073" r:id="rId5895" xr:uid="{00000000-0004-0000-0000-000084170000}"/>
    <hyperlink ref="A2074" r:id="rId5896" xr:uid="{00000000-0004-0000-0000-000085170000}"/>
    <hyperlink ref="C2074" r:id="rId5897" xr:uid="{00000000-0004-0000-0000-000086170000}"/>
    <hyperlink ref="D2074" r:id="rId5898" xr:uid="{00000000-0004-0000-0000-000087170000}"/>
    <hyperlink ref="A2075" r:id="rId5899" xr:uid="{00000000-0004-0000-0000-000088170000}"/>
    <hyperlink ref="C2075" r:id="rId5900" xr:uid="{00000000-0004-0000-0000-000089170000}"/>
    <hyperlink ref="D2075" r:id="rId5901" xr:uid="{00000000-0004-0000-0000-00008A170000}"/>
    <hyperlink ref="A2076" r:id="rId5902" xr:uid="{00000000-0004-0000-0000-00008B170000}"/>
    <hyperlink ref="C2076" r:id="rId5903" xr:uid="{00000000-0004-0000-0000-00008C170000}"/>
    <hyperlink ref="D2076" r:id="rId5904" xr:uid="{00000000-0004-0000-0000-00008D170000}"/>
    <hyperlink ref="C2077" r:id="rId5905" xr:uid="{00000000-0004-0000-0000-00008E170000}"/>
    <hyperlink ref="D2077" r:id="rId5906" xr:uid="{00000000-0004-0000-0000-00008F170000}"/>
    <hyperlink ref="A2078" r:id="rId5907" xr:uid="{00000000-0004-0000-0000-000090170000}"/>
    <hyperlink ref="C2078" r:id="rId5908" xr:uid="{00000000-0004-0000-0000-000091170000}"/>
    <hyperlink ref="D2078" r:id="rId5909" xr:uid="{00000000-0004-0000-0000-000092170000}"/>
    <hyperlink ref="A2079" r:id="rId5910" xr:uid="{00000000-0004-0000-0000-000093170000}"/>
    <hyperlink ref="C2079" r:id="rId5911" xr:uid="{00000000-0004-0000-0000-000094170000}"/>
    <hyperlink ref="D2079" r:id="rId5912" xr:uid="{00000000-0004-0000-0000-000095170000}"/>
    <hyperlink ref="A2080" r:id="rId5913" xr:uid="{00000000-0004-0000-0000-000096170000}"/>
    <hyperlink ref="C2080" r:id="rId5914" xr:uid="{00000000-0004-0000-0000-000097170000}"/>
    <hyperlink ref="D2080" r:id="rId5915" xr:uid="{00000000-0004-0000-0000-000098170000}"/>
    <hyperlink ref="A2081" r:id="rId5916" xr:uid="{00000000-0004-0000-0000-000099170000}"/>
    <hyperlink ref="C2081" r:id="rId5917" xr:uid="{00000000-0004-0000-0000-00009A170000}"/>
    <hyperlink ref="D2081" r:id="rId5918" xr:uid="{00000000-0004-0000-0000-00009B170000}"/>
    <hyperlink ref="A2082" r:id="rId5919" xr:uid="{00000000-0004-0000-0000-00009C170000}"/>
    <hyperlink ref="A2083" r:id="rId5920" xr:uid="{00000000-0004-0000-0000-00009D170000}"/>
    <hyperlink ref="C2083" r:id="rId5921" xr:uid="{00000000-0004-0000-0000-00009E170000}"/>
    <hyperlink ref="D2083" r:id="rId5922" xr:uid="{00000000-0004-0000-0000-00009F170000}"/>
    <hyperlink ref="E2083" r:id="rId5923" xr:uid="{00000000-0004-0000-0000-0000A0170000}"/>
    <hyperlink ref="A2084" r:id="rId5924" xr:uid="{00000000-0004-0000-0000-0000A1170000}"/>
    <hyperlink ref="C2084" r:id="rId5925" xr:uid="{00000000-0004-0000-0000-0000A2170000}"/>
    <hyperlink ref="D2084" r:id="rId5926" xr:uid="{00000000-0004-0000-0000-0000A3170000}"/>
    <hyperlink ref="A2086" r:id="rId5927" xr:uid="{00000000-0004-0000-0000-0000A4170000}"/>
    <hyperlink ref="C2086" r:id="rId5928" xr:uid="{00000000-0004-0000-0000-0000A5170000}"/>
    <hyperlink ref="D2086" r:id="rId5929" xr:uid="{00000000-0004-0000-0000-0000A6170000}"/>
    <hyperlink ref="A2087" r:id="rId5930" xr:uid="{00000000-0004-0000-0000-0000A7170000}"/>
    <hyperlink ref="C2087" r:id="rId5931" xr:uid="{00000000-0004-0000-0000-0000A8170000}"/>
    <hyperlink ref="D2087" r:id="rId5932" xr:uid="{00000000-0004-0000-0000-0000A9170000}"/>
    <hyperlink ref="A2088" r:id="rId5933" xr:uid="{00000000-0004-0000-0000-0000AA170000}"/>
    <hyperlink ref="C2088" r:id="rId5934" xr:uid="{00000000-0004-0000-0000-0000AB170000}"/>
    <hyperlink ref="D2088" r:id="rId5935" xr:uid="{00000000-0004-0000-0000-0000AC170000}"/>
    <hyperlink ref="A2089" r:id="rId5936" xr:uid="{00000000-0004-0000-0000-0000AD170000}"/>
    <hyperlink ref="C2089" r:id="rId5937" xr:uid="{00000000-0004-0000-0000-0000AE170000}"/>
    <hyperlink ref="D2089" r:id="rId5938" xr:uid="{00000000-0004-0000-0000-0000AF170000}"/>
    <hyperlink ref="A2090" r:id="rId5939" xr:uid="{00000000-0004-0000-0000-0000B0170000}"/>
    <hyperlink ref="C2090" r:id="rId5940" xr:uid="{00000000-0004-0000-0000-0000B1170000}"/>
    <hyperlink ref="D2090" r:id="rId5941" xr:uid="{00000000-0004-0000-0000-0000B2170000}"/>
    <hyperlink ref="A2091" r:id="rId5942" xr:uid="{00000000-0004-0000-0000-0000B3170000}"/>
    <hyperlink ref="C2091" r:id="rId5943" xr:uid="{00000000-0004-0000-0000-0000B4170000}"/>
    <hyperlink ref="D2091" r:id="rId5944" xr:uid="{00000000-0004-0000-0000-0000B5170000}"/>
    <hyperlink ref="A2092" r:id="rId5945" xr:uid="{00000000-0004-0000-0000-0000B6170000}"/>
    <hyperlink ref="C2092" r:id="rId5946" xr:uid="{00000000-0004-0000-0000-0000B7170000}"/>
    <hyperlink ref="D2092" r:id="rId5947" xr:uid="{00000000-0004-0000-0000-0000B8170000}"/>
    <hyperlink ref="C2093" r:id="rId5948" xr:uid="{00000000-0004-0000-0000-0000B9170000}"/>
    <hyperlink ref="D2093" r:id="rId5949" xr:uid="{00000000-0004-0000-0000-0000BA170000}"/>
    <hyperlink ref="A2094" r:id="rId5950" xr:uid="{00000000-0004-0000-0000-0000BB170000}"/>
    <hyperlink ref="C2094" r:id="rId5951" xr:uid="{00000000-0004-0000-0000-0000BC170000}"/>
    <hyperlink ref="D2094" r:id="rId5952" xr:uid="{00000000-0004-0000-0000-0000BD170000}"/>
    <hyperlink ref="E2094" r:id="rId5953" xr:uid="{00000000-0004-0000-0000-0000BE170000}"/>
    <hyperlink ref="A2095" r:id="rId5954" xr:uid="{00000000-0004-0000-0000-0000BF170000}"/>
    <hyperlink ref="C2095" r:id="rId5955" xr:uid="{00000000-0004-0000-0000-0000C0170000}"/>
    <hyperlink ref="D2095" r:id="rId5956" xr:uid="{00000000-0004-0000-0000-0000C1170000}"/>
    <hyperlink ref="E2095" r:id="rId5957" xr:uid="{00000000-0004-0000-0000-0000C2170000}"/>
    <hyperlink ref="A2096" r:id="rId5958" xr:uid="{00000000-0004-0000-0000-0000C3170000}"/>
    <hyperlink ref="C2096" r:id="rId5959" xr:uid="{00000000-0004-0000-0000-0000C4170000}"/>
    <hyperlink ref="D2096" r:id="rId5960" xr:uid="{00000000-0004-0000-0000-0000C5170000}"/>
    <hyperlink ref="C2097" r:id="rId5961" xr:uid="{00000000-0004-0000-0000-0000C6170000}"/>
    <hyperlink ref="D2097" r:id="rId5962" xr:uid="{00000000-0004-0000-0000-0000C7170000}"/>
    <hyperlink ref="A2098" r:id="rId5963" xr:uid="{00000000-0004-0000-0000-0000C8170000}"/>
    <hyperlink ref="C2098" r:id="rId5964" xr:uid="{00000000-0004-0000-0000-0000C9170000}"/>
    <hyperlink ref="D2098" r:id="rId5965" xr:uid="{00000000-0004-0000-0000-0000CA170000}"/>
    <hyperlink ref="A2099" r:id="rId5966" xr:uid="{00000000-0004-0000-0000-0000CB170000}"/>
    <hyperlink ref="C2099" r:id="rId5967" xr:uid="{00000000-0004-0000-0000-0000CC170000}"/>
    <hyperlink ref="D2099" r:id="rId5968" xr:uid="{00000000-0004-0000-0000-0000CD170000}"/>
    <hyperlink ref="A2100" r:id="rId5969" xr:uid="{00000000-0004-0000-0000-0000CE170000}"/>
    <hyperlink ref="A2101" r:id="rId5970" xr:uid="{00000000-0004-0000-0000-0000CF170000}"/>
    <hyperlink ref="C2101" r:id="rId5971" xr:uid="{00000000-0004-0000-0000-0000D0170000}"/>
    <hyperlink ref="D2101" r:id="rId5972" xr:uid="{00000000-0004-0000-0000-0000D1170000}"/>
    <hyperlink ref="A2102" r:id="rId5973" xr:uid="{00000000-0004-0000-0000-0000D2170000}"/>
    <hyperlink ref="C2102" r:id="rId5974" xr:uid="{00000000-0004-0000-0000-0000D3170000}"/>
    <hyperlink ref="D2102" r:id="rId5975" xr:uid="{00000000-0004-0000-0000-0000D4170000}"/>
    <hyperlink ref="E2102" r:id="rId5976" xr:uid="{00000000-0004-0000-0000-0000D5170000}"/>
    <hyperlink ref="A2103" r:id="rId5977" xr:uid="{00000000-0004-0000-0000-0000D6170000}"/>
    <hyperlink ref="C2103" r:id="rId5978" xr:uid="{00000000-0004-0000-0000-0000D7170000}"/>
    <hyperlink ref="D2103" r:id="rId5979" xr:uid="{00000000-0004-0000-0000-0000D8170000}"/>
    <hyperlink ref="C2104" r:id="rId5980" xr:uid="{00000000-0004-0000-0000-0000D9170000}"/>
    <hyperlink ref="D2104" r:id="rId5981" xr:uid="{00000000-0004-0000-0000-0000DA170000}"/>
    <hyperlink ref="C2105" r:id="rId5982" xr:uid="{00000000-0004-0000-0000-0000DB170000}"/>
    <hyperlink ref="D2105" r:id="rId5983" xr:uid="{00000000-0004-0000-0000-0000DC170000}"/>
    <hyperlink ref="A2106" r:id="rId5984" xr:uid="{00000000-0004-0000-0000-0000DD170000}"/>
    <hyperlink ref="C2106" r:id="rId5985" xr:uid="{00000000-0004-0000-0000-0000DE170000}"/>
    <hyperlink ref="D2106" r:id="rId5986" xr:uid="{00000000-0004-0000-0000-0000DF170000}"/>
    <hyperlink ref="A2107" r:id="rId5987" xr:uid="{00000000-0004-0000-0000-0000E0170000}"/>
    <hyperlink ref="C2107" r:id="rId5988" xr:uid="{00000000-0004-0000-0000-0000E1170000}"/>
    <hyperlink ref="D2107" r:id="rId5989" xr:uid="{00000000-0004-0000-0000-0000E2170000}"/>
    <hyperlink ref="A2108" r:id="rId5990" xr:uid="{00000000-0004-0000-0000-0000E3170000}"/>
    <hyperlink ref="C2108" r:id="rId5991" xr:uid="{00000000-0004-0000-0000-0000E4170000}"/>
    <hyperlink ref="D2108" r:id="rId5992" xr:uid="{00000000-0004-0000-0000-0000E5170000}"/>
    <hyperlink ref="E2108" r:id="rId5993" xr:uid="{00000000-0004-0000-0000-0000E6170000}"/>
    <hyperlink ref="C2109" r:id="rId5994" xr:uid="{00000000-0004-0000-0000-0000E7170000}"/>
    <hyperlink ref="D2109" r:id="rId5995" xr:uid="{00000000-0004-0000-0000-0000E8170000}"/>
    <hyperlink ref="C2110" r:id="rId5996" xr:uid="{00000000-0004-0000-0000-0000E9170000}"/>
    <hyperlink ref="D2110" r:id="rId5997" xr:uid="{00000000-0004-0000-0000-0000EA170000}"/>
    <hyperlink ref="C2111" r:id="rId5998" xr:uid="{00000000-0004-0000-0000-0000EB170000}"/>
    <hyperlink ref="D2111" r:id="rId5999" xr:uid="{00000000-0004-0000-0000-0000EC170000}"/>
    <hyperlink ref="A2112" r:id="rId6000" xr:uid="{00000000-0004-0000-0000-0000ED170000}"/>
    <hyperlink ref="C2112" r:id="rId6001" xr:uid="{00000000-0004-0000-0000-0000EE170000}"/>
    <hyperlink ref="D2112" r:id="rId6002" xr:uid="{00000000-0004-0000-0000-0000EF170000}"/>
    <hyperlink ref="A2113" r:id="rId6003" xr:uid="{00000000-0004-0000-0000-0000F0170000}"/>
    <hyperlink ref="C2113" r:id="rId6004" xr:uid="{00000000-0004-0000-0000-0000F1170000}"/>
    <hyperlink ref="D2113" r:id="rId6005" xr:uid="{00000000-0004-0000-0000-0000F2170000}"/>
    <hyperlink ref="A2114" r:id="rId6006" xr:uid="{00000000-0004-0000-0000-0000F3170000}"/>
    <hyperlink ref="C2114" r:id="rId6007" xr:uid="{00000000-0004-0000-0000-0000F4170000}"/>
    <hyperlink ref="D2114" r:id="rId6008" xr:uid="{00000000-0004-0000-0000-0000F5170000}"/>
    <hyperlink ref="A2115" r:id="rId6009" xr:uid="{00000000-0004-0000-0000-0000F6170000}"/>
    <hyperlink ref="C2115" r:id="rId6010" xr:uid="{00000000-0004-0000-0000-0000F7170000}"/>
    <hyperlink ref="D2115" r:id="rId6011" xr:uid="{00000000-0004-0000-0000-0000F8170000}"/>
    <hyperlink ref="A2116" r:id="rId6012" xr:uid="{00000000-0004-0000-0000-0000F9170000}"/>
    <hyperlink ref="C2116" r:id="rId6013" xr:uid="{00000000-0004-0000-0000-0000FA170000}"/>
    <hyperlink ref="D2116" r:id="rId6014" xr:uid="{00000000-0004-0000-0000-0000FB170000}"/>
    <hyperlink ref="C2117" r:id="rId6015" xr:uid="{00000000-0004-0000-0000-0000FC170000}"/>
    <hyperlink ref="D2117" r:id="rId6016" xr:uid="{00000000-0004-0000-0000-0000FD170000}"/>
    <hyperlink ref="A2118" r:id="rId6017" xr:uid="{00000000-0004-0000-0000-0000FE170000}"/>
    <hyperlink ref="C2118" r:id="rId6018" xr:uid="{00000000-0004-0000-0000-0000FF170000}"/>
    <hyperlink ref="D2118" r:id="rId6019" xr:uid="{00000000-0004-0000-0000-000000180000}"/>
    <hyperlink ref="A2119" r:id="rId6020" xr:uid="{00000000-0004-0000-0000-000001180000}"/>
    <hyperlink ref="C2119" r:id="rId6021" xr:uid="{00000000-0004-0000-0000-000002180000}"/>
    <hyperlink ref="D2119" r:id="rId6022" xr:uid="{00000000-0004-0000-0000-000003180000}"/>
    <hyperlink ref="A2120" r:id="rId6023" xr:uid="{00000000-0004-0000-0000-000004180000}"/>
    <hyperlink ref="C2120" r:id="rId6024" xr:uid="{00000000-0004-0000-0000-000005180000}"/>
    <hyperlink ref="D2120" r:id="rId6025" xr:uid="{00000000-0004-0000-0000-000006180000}"/>
    <hyperlink ref="A2121" r:id="rId6026" xr:uid="{00000000-0004-0000-0000-000007180000}"/>
    <hyperlink ref="C2121" r:id="rId6027" xr:uid="{00000000-0004-0000-0000-000008180000}"/>
    <hyperlink ref="D2121" r:id="rId6028" xr:uid="{00000000-0004-0000-0000-000009180000}"/>
    <hyperlink ref="A2122" r:id="rId6029" xr:uid="{00000000-0004-0000-0000-00000A180000}"/>
    <hyperlink ref="C2122" r:id="rId6030" xr:uid="{00000000-0004-0000-0000-00000B180000}"/>
    <hyperlink ref="D2122" r:id="rId6031" xr:uid="{00000000-0004-0000-0000-00000C180000}"/>
    <hyperlink ref="A2123" r:id="rId6032" xr:uid="{00000000-0004-0000-0000-00000D180000}"/>
    <hyperlink ref="C2123" r:id="rId6033" xr:uid="{00000000-0004-0000-0000-00000E180000}"/>
    <hyperlink ref="D2123" r:id="rId6034" xr:uid="{00000000-0004-0000-0000-00000F180000}"/>
    <hyperlink ref="A2125" r:id="rId6035" xr:uid="{00000000-0004-0000-0000-000010180000}"/>
    <hyperlink ref="A2126" r:id="rId6036" xr:uid="{00000000-0004-0000-0000-000011180000}"/>
    <hyperlink ref="C2126" r:id="rId6037" xr:uid="{00000000-0004-0000-0000-000012180000}"/>
    <hyperlink ref="D2126" r:id="rId6038" xr:uid="{00000000-0004-0000-0000-000013180000}"/>
    <hyperlink ref="A2127" r:id="rId6039" xr:uid="{00000000-0004-0000-0000-000014180000}"/>
    <hyperlink ref="C2127" r:id="rId6040" xr:uid="{00000000-0004-0000-0000-000015180000}"/>
    <hyperlink ref="D2127" r:id="rId6041" xr:uid="{00000000-0004-0000-0000-000016180000}"/>
    <hyperlink ref="A2128" r:id="rId6042" xr:uid="{00000000-0004-0000-0000-000017180000}"/>
    <hyperlink ref="C2128" r:id="rId6043" xr:uid="{00000000-0004-0000-0000-000018180000}"/>
    <hyperlink ref="D2128" r:id="rId6044" xr:uid="{00000000-0004-0000-0000-000019180000}"/>
    <hyperlink ref="A2129" r:id="rId6045" xr:uid="{00000000-0004-0000-0000-00001A180000}"/>
    <hyperlink ref="A2130" r:id="rId6046" xr:uid="{00000000-0004-0000-0000-00001B180000}"/>
    <hyperlink ref="C2130" r:id="rId6047" xr:uid="{00000000-0004-0000-0000-00001C180000}"/>
    <hyperlink ref="D2130" r:id="rId6048" xr:uid="{00000000-0004-0000-0000-00001D180000}"/>
    <hyperlink ref="A2131" r:id="rId6049" xr:uid="{00000000-0004-0000-0000-00001E180000}"/>
    <hyperlink ref="C2131" r:id="rId6050" xr:uid="{00000000-0004-0000-0000-00001F180000}"/>
    <hyperlink ref="D2131" r:id="rId6051" xr:uid="{00000000-0004-0000-0000-000020180000}"/>
    <hyperlink ref="A2132" r:id="rId6052" xr:uid="{00000000-0004-0000-0000-000021180000}"/>
    <hyperlink ref="C2132" r:id="rId6053" xr:uid="{00000000-0004-0000-0000-000022180000}"/>
    <hyperlink ref="D2132" r:id="rId6054" xr:uid="{00000000-0004-0000-0000-000023180000}"/>
    <hyperlink ref="A2133" r:id="rId6055" xr:uid="{00000000-0004-0000-0000-000024180000}"/>
    <hyperlink ref="C2133" r:id="rId6056" xr:uid="{00000000-0004-0000-0000-000025180000}"/>
    <hyperlink ref="D2133" r:id="rId6057" xr:uid="{00000000-0004-0000-0000-000026180000}"/>
    <hyperlink ref="A2134" r:id="rId6058" xr:uid="{00000000-0004-0000-0000-000027180000}"/>
    <hyperlink ref="C2134" r:id="rId6059" xr:uid="{00000000-0004-0000-0000-000028180000}"/>
    <hyperlink ref="D2134" r:id="rId6060" xr:uid="{00000000-0004-0000-0000-000029180000}"/>
    <hyperlink ref="A2135" r:id="rId6061" xr:uid="{00000000-0004-0000-0000-00002A180000}"/>
    <hyperlink ref="C2135" r:id="rId6062" xr:uid="{00000000-0004-0000-0000-00002B180000}"/>
    <hyperlink ref="D2135" r:id="rId6063" xr:uid="{00000000-0004-0000-0000-00002C180000}"/>
    <hyperlink ref="A2136" r:id="rId6064" xr:uid="{00000000-0004-0000-0000-00002D180000}"/>
    <hyperlink ref="C2136" r:id="rId6065" xr:uid="{00000000-0004-0000-0000-00002E180000}"/>
    <hyperlink ref="D2136" r:id="rId6066" xr:uid="{00000000-0004-0000-0000-00002F180000}"/>
    <hyperlink ref="A2137" r:id="rId6067" xr:uid="{00000000-0004-0000-0000-000030180000}"/>
    <hyperlink ref="C2137" r:id="rId6068" xr:uid="{00000000-0004-0000-0000-000031180000}"/>
    <hyperlink ref="D2137" r:id="rId6069" xr:uid="{00000000-0004-0000-0000-000032180000}"/>
    <hyperlink ref="C2138" r:id="rId6070" xr:uid="{00000000-0004-0000-0000-000033180000}"/>
    <hyperlink ref="D2138" r:id="rId6071" xr:uid="{00000000-0004-0000-0000-000034180000}"/>
    <hyperlink ref="A2139" r:id="rId6072" xr:uid="{00000000-0004-0000-0000-000035180000}"/>
    <hyperlink ref="C2139" r:id="rId6073" xr:uid="{00000000-0004-0000-0000-000036180000}"/>
    <hyperlink ref="D2139" r:id="rId6074" xr:uid="{00000000-0004-0000-0000-000037180000}"/>
    <hyperlink ref="A2140" r:id="rId6075" xr:uid="{00000000-0004-0000-0000-000038180000}"/>
    <hyperlink ref="C2140" r:id="rId6076" xr:uid="{00000000-0004-0000-0000-000039180000}"/>
    <hyperlink ref="D2140" r:id="rId6077" xr:uid="{00000000-0004-0000-0000-00003A180000}"/>
    <hyperlink ref="A2141" r:id="rId6078" xr:uid="{00000000-0004-0000-0000-00003B180000}"/>
    <hyperlink ref="C2141" r:id="rId6079" xr:uid="{00000000-0004-0000-0000-00003C180000}"/>
    <hyperlink ref="D2141" r:id="rId6080" xr:uid="{00000000-0004-0000-0000-00003D180000}"/>
    <hyperlink ref="A2142" r:id="rId6081" xr:uid="{00000000-0004-0000-0000-00003E180000}"/>
    <hyperlink ref="C2142" r:id="rId6082" xr:uid="{00000000-0004-0000-0000-00003F180000}"/>
    <hyperlink ref="D2142" r:id="rId6083" xr:uid="{00000000-0004-0000-0000-000040180000}"/>
    <hyperlink ref="A2143" r:id="rId6084" xr:uid="{00000000-0004-0000-0000-000041180000}"/>
    <hyperlink ref="C2143" r:id="rId6085" xr:uid="{00000000-0004-0000-0000-000042180000}"/>
    <hyperlink ref="D2143" r:id="rId6086" xr:uid="{00000000-0004-0000-0000-000043180000}"/>
    <hyperlink ref="A2144" r:id="rId6087" xr:uid="{00000000-0004-0000-0000-000044180000}"/>
    <hyperlink ref="C2144" r:id="rId6088" xr:uid="{00000000-0004-0000-0000-000045180000}"/>
    <hyperlink ref="D2144" r:id="rId6089" xr:uid="{00000000-0004-0000-0000-000046180000}"/>
    <hyperlink ref="A2145" r:id="rId6090" xr:uid="{00000000-0004-0000-0000-000047180000}"/>
    <hyperlink ref="C2145" r:id="rId6091" xr:uid="{00000000-0004-0000-0000-000048180000}"/>
    <hyperlink ref="D2145" r:id="rId6092" xr:uid="{00000000-0004-0000-0000-000049180000}"/>
    <hyperlink ref="A2146" r:id="rId6093" xr:uid="{00000000-0004-0000-0000-00004A180000}"/>
    <hyperlink ref="C2146" r:id="rId6094" xr:uid="{00000000-0004-0000-0000-00004B180000}"/>
    <hyperlink ref="D2146" r:id="rId6095" xr:uid="{00000000-0004-0000-0000-00004C180000}"/>
    <hyperlink ref="A2147" r:id="rId6096" xr:uid="{00000000-0004-0000-0000-00004D180000}"/>
    <hyperlink ref="C2147" r:id="rId6097" xr:uid="{00000000-0004-0000-0000-00004E180000}"/>
    <hyperlink ref="D2147" r:id="rId6098" xr:uid="{00000000-0004-0000-0000-00004F180000}"/>
    <hyperlink ref="E2147" r:id="rId6099" xr:uid="{00000000-0004-0000-0000-000050180000}"/>
    <hyperlink ref="A2148" r:id="rId6100" xr:uid="{00000000-0004-0000-0000-000051180000}"/>
    <hyperlink ref="C2148" r:id="rId6101" xr:uid="{00000000-0004-0000-0000-000052180000}"/>
    <hyperlink ref="D2148" r:id="rId6102" xr:uid="{00000000-0004-0000-0000-000053180000}"/>
    <hyperlink ref="A2149" r:id="rId6103" xr:uid="{00000000-0004-0000-0000-000054180000}"/>
    <hyperlink ref="C2149" r:id="rId6104" xr:uid="{00000000-0004-0000-0000-000055180000}"/>
    <hyperlink ref="D2149" r:id="rId6105" xr:uid="{00000000-0004-0000-0000-000056180000}"/>
    <hyperlink ref="A2150" r:id="rId6106" xr:uid="{00000000-0004-0000-0000-000057180000}"/>
    <hyperlink ref="A2154" r:id="rId6107" xr:uid="{00000000-0004-0000-0000-000058180000}"/>
    <hyperlink ref="A2155" r:id="rId6108" xr:uid="{00000000-0004-0000-0000-000059180000}"/>
    <hyperlink ref="C2155" r:id="rId6109" xr:uid="{00000000-0004-0000-0000-00005A180000}"/>
    <hyperlink ref="D2155" r:id="rId6110" xr:uid="{00000000-0004-0000-0000-00005B180000}"/>
    <hyperlink ref="E2155" r:id="rId6111" xr:uid="{00000000-0004-0000-0000-00005C180000}"/>
    <hyperlink ref="A2156" r:id="rId6112" xr:uid="{00000000-0004-0000-0000-00005D180000}"/>
    <hyperlink ref="C2156" r:id="rId6113" xr:uid="{00000000-0004-0000-0000-00005E180000}"/>
    <hyperlink ref="D2156" r:id="rId6114" xr:uid="{00000000-0004-0000-0000-00005F180000}"/>
    <hyperlink ref="A2157" r:id="rId6115" xr:uid="{00000000-0004-0000-0000-000060180000}"/>
    <hyperlink ref="A2158" r:id="rId6116" xr:uid="{00000000-0004-0000-0000-000061180000}"/>
    <hyperlink ref="A2159" r:id="rId6117" xr:uid="{00000000-0004-0000-0000-000062180000}"/>
    <hyperlink ref="A2160" r:id="rId6118" xr:uid="{00000000-0004-0000-0000-000063180000}"/>
    <hyperlink ref="A2162" r:id="rId6119" xr:uid="{00000000-0004-0000-0000-000064180000}"/>
    <hyperlink ref="A2163" r:id="rId6120" xr:uid="{00000000-0004-0000-0000-000065180000}"/>
    <hyperlink ref="C2163" r:id="rId6121" xr:uid="{00000000-0004-0000-0000-000066180000}"/>
    <hyperlink ref="D2163" r:id="rId6122" xr:uid="{00000000-0004-0000-0000-000067180000}"/>
    <hyperlink ref="E2163" r:id="rId6123" xr:uid="{00000000-0004-0000-0000-000068180000}"/>
    <hyperlink ref="A2164" r:id="rId6124" xr:uid="{00000000-0004-0000-0000-000069180000}"/>
    <hyperlink ref="C2164" r:id="rId6125" xr:uid="{00000000-0004-0000-0000-00006A180000}"/>
    <hyperlink ref="D2164" r:id="rId6126" xr:uid="{00000000-0004-0000-0000-00006B180000}"/>
    <hyperlink ref="A2165" r:id="rId6127" xr:uid="{00000000-0004-0000-0000-00006C180000}"/>
    <hyperlink ref="C2165" r:id="rId6128" xr:uid="{00000000-0004-0000-0000-00006D180000}"/>
    <hyperlink ref="D2165" r:id="rId6129" xr:uid="{00000000-0004-0000-0000-00006E180000}"/>
    <hyperlink ref="A2166" r:id="rId6130" xr:uid="{00000000-0004-0000-0000-00006F180000}"/>
    <hyperlink ref="C2166" r:id="rId6131" xr:uid="{00000000-0004-0000-0000-000070180000}"/>
    <hyperlink ref="D2166" r:id="rId6132" xr:uid="{00000000-0004-0000-0000-000071180000}"/>
    <hyperlink ref="A2167" r:id="rId6133" xr:uid="{00000000-0004-0000-0000-000072180000}"/>
    <hyperlink ref="C2167" r:id="rId6134" xr:uid="{00000000-0004-0000-0000-000073180000}"/>
    <hyperlink ref="D2167" r:id="rId6135" xr:uid="{00000000-0004-0000-0000-000074180000}"/>
    <hyperlink ref="A2168" r:id="rId6136" xr:uid="{00000000-0004-0000-0000-000075180000}"/>
    <hyperlink ref="C2168" r:id="rId6137" xr:uid="{00000000-0004-0000-0000-000076180000}"/>
    <hyperlink ref="D2168" r:id="rId6138" xr:uid="{00000000-0004-0000-0000-000077180000}"/>
    <hyperlink ref="E2168" r:id="rId6139" xr:uid="{00000000-0004-0000-0000-000078180000}"/>
    <hyperlink ref="A2169" r:id="rId6140" xr:uid="{00000000-0004-0000-0000-000079180000}"/>
    <hyperlink ref="C2169" r:id="rId6141" xr:uid="{00000000-0004-0000-0000-00007A180000}"/>
    <hyperlink ref="D2169" r:id="rId6142" xr:uid="{00000000-0004-0000-0000-00007B180000}"/>
    <hyperlink ref="A2170" r:id="rId6143" xr:uid="{00000000-0004-0000-0000-00007C180000}"/>
    <hyperlink ref="C2170" r:id="rId6144" xr:uid="{00000000-0004-0000-0000-00007D180000}"/>
    <hyperlink ref="D2170" r:id="rId6145" xr:uid="{00000000-0004-0000-0000-00007E180000}"/>
    <hyperlink ref="C2171" r:id="rId6146" xr:uid="{00000000-0004-0000-0000-00007F180000}"/>
    <hyperlink ref="D2171" r:id="rId6147" xr:uid="{00000000-0004-0000-0000-000080180000}"/>
    <hyperlink ref="C2172" r:id="rId6148" xr:uid="{00000000-0004-0000-0000-000081180000}"/>
    <hyperlink ref="D2172" r:id="rId6149" xr:uid="{00000000-0004-0000-0000-000082180000}"/>
    <hyperlink ref="A2173" r:id="rId6150" xr:uid="{00000000-0004-0000-0000-000083180000}"/>
    <hyperlink ref="C2173" r:id="rId6151" xr:uid="{00000000-0004-0000-0000-000084180000}"/>
    <hyperlink ref="D2173" r:id="rId6152" xr:uid="{00000000-0004-0000-0000-000085180000}"/>
    <hyperlink ref="A2174" r:id="rId6153" xr:uid="{00000000-0004-0000-0000-000086180000}"/>
    <hyperlink ref="C2174" r:id="rId6154" xr:uid="{00000000-0004-0000-0000-000087180000}"/>
    <hyperlink ref="D2174" r:id="rId6155" xr:uid="{00000000-0004-0000-0000-000088180000}"/>
    <hyperlink ref="A2175" r:id="rId6156" xr:uid="{00000000-0004-0000-0000-000089180000}"/>
    <hyperlink ref="C2175" r:id="rId6157" xr:uid="{00000000-0004-0000-0000-00008A180000}"/>
    <hyperlink ref="D2175" r:id="rId6158" xr:uid="{00000000-0004-0000-0000-00008B180000}"/>
    <hyperlink ref="A2176" r:id="rId6159" xr:uid="{00000000-0004-0000-0000-00008C180000}"/>
    <hyperlink ref="C2176" r:id="rId6160" xr:uid="{00000000-0004-0000-0000-00008D180000}"/>
    <hyperlink ref="D2176" r:id="rId6161" xr:uid="{00000000-0004-0000-0000-00008E180000}"/>
    <hyperlink ref="A2177" r:id="rId6162" xr:uid="{00000000-0004-0000-0000-00008F180000}"/>
    <hyperlink ref="C2177" r:id="rId6163" xr:uid="{00000000-0004-0000-0000-000090180000}"/>
    <hyperlink ref="D2177" r:id="rId6164" xr:uid="{00000000-0004-0000-0000-000091180000}"/>
    <hyperlink ref="A2178" r:id="rId6165" xr:uid="{00000000-0004-0000-0000-000092180000}"/>
    <hyperlink ref="C2178" r:id="rId6166" xr:uid="{00000000-0004-0000-0000-000093180000}"/>
    <hyperlink ref="D2178" r:id="rId6167" xr:uid="{00000000-0004-0000-0000-000094180000}"/>
    <hyperlink ref="A2179" r:id="rId6168" xr:uid="{00000000-0004-0000-0000-000095180000}"/>
    <hyperlink ref="C2179" r:id="rId6169" xr:uid="{00000000-0004-0000-0000-000096180000}"/>
    <hyperlink ref="D2179" r:id="rId6170" xr:uid="{00000000-0004-0000-0000-000097180000}"/>
    <hyperlink ref="A2180" r:id="rId6171" xr:uid="{00000000-0004-0000-0000-000098180000}"/>
    <hyperlink ref="C2180" r:id="rId6172" xr:uid="{00000000-0004-0000-0000-000099180000}"/>
    <hyperlink ref="D2180" r:id="rId6173" xr:uid="{00000000-0004-0000-0000-00009A180000}"/>
    <hyperlink ref="E2180" r:id="rId6174" xr:uid="{00000000-0004-0000-0000-00009B180000}"/>
    <hyperlink ref="A2181" r:id="rId6175" xr:uid="{00000000-0004-0000-0000-00009C180000}"/>
    <hyperlink ref="C2181" r:id="rId6176" xr:uid="{00000000-0004-0000-0000-00009D180000}"/>
    <hyperlink ref="D2181" r:id="rId6177" xr:uid="{00000000-0004-0000-0000-00009E180000}"/>
    <hyperlink ref="A2182" r:id="rId6178" xr:uid="{00000000-0004-0000-0000-00009F180000}"/>
    <hyperlink ref="C2182" r:id="rId6179" xr:uid="{00000000-0004-0000-0000-0000A0180000}"/>
    <hyperlink ref="D2182" r:id="rId6180" xr:uid="{00000000-0004-0000-0000-0000A1180000}"/>
    <hyperlink ref="A2183" r:id="rId6181" xr:uid="{00000000-0004-0000-0000-0000A2180000}"/>
    <hyperlink ref="C2183" r:id="rId6182" xr:uid="{00000000-0004-0000-0000-0000A3180000}"/>
    <hyperlink ref="D2183" r:id="rId6183" xr:uid="{00000000-0004-0000-0000-0000A4180000}"/>
    <hyperlink ref="A2184" r:id="rId6184" xr:uid="{00000000-0004-0000-0000-0000A5180000}"/>
    <hyperlink ref="C2184" r:id="rId6185" xr:uid="{00000000-0004-0000-0000-0000A6180000}"/>
    <hyperlink ref="D2184" r:id="rId6186" xr:uid="{00000000-0004-0000-0000-0000A7180000}"/>
    <hyperlink ref="A2185" r:id="rId6187" xr:uid="{00000000-0004-0000-0000-0000A8180000}"/>
    <hyperlink ref="C2185" r:id="rId6188" xr:uid="{00000000-0004-0000-0000-0000A9180000}"/>
    <hyperlink ref="D2185" r:id="rId6189" xr:uid="{00000000-0004-0000-0000-0000AA180000}"/>
    <hyperlink ref="A2186" r:id="rId6190" xr:uid="{00000000-0004-0000-0000-0000AB180000}"/>
    <hyperlink ref="C2186" r:id="rId6191" xr:uid="{00000000-0004-0000-0000-0000AC180000}"/>
    <hyperlink ref="D2186" r:id="rId6192" xr:uid="{00000000-0004-0000-0000-0000AD180000}"/>
    <hyperlink ref="A2187" r:id="rId6193" xr:uid="{00000000-0004-0000-0000-0000AE180000}"/>
    <hyperlink ref="C2187" r:id="rId6194" xr:uid="{00000000-0004-0000-0000-0000AF180000}"/>
    <hyperlink ref="D2187" r:id="rId6195" xr:uid="{00000000-0004-0000-0000-0000B0180000}"/>
    <hyperlink ref="A2188" r:id="rId6196" xr:uid="{00000000-0004-0000-0000-0000B1180000}"/>
    <hyperlink ref="C2188" r:id="rId6197" xr:uid="{00000000-0004-0000-0000-0000B2180000}"/>
    <hyperlink ref="D2188" r:id="rId6198" xr:uid="{00000000-0004-0000-0000-0000B3180000}"/>
    <hyperlink ref="E2188" r:id="rId6199" xr:uid="{00000000-0004-0000-0000-0000B4180000}"/>
    <hyperlink ref="A2189" r:id="rId6200" xr:uid="{00000000-0004-0000-0000-0000B5180000}"/>
    <hyperlink ref="C2189" r:id="rId6201" xr:uid="{00000000-0004-0000-0000-0000B6180000}"/>
    <hyperlink ref="D2189" r:id="rId6202" xr:uid="{00000000-0004-0000-0000-0000B7180000}"/>
    <hyperlink ref="A2190" r:id="rId6203" xr:uid="{00000000-0004-0000-0000-0000B8180000}"/>
    <hyperlink ref="C2190" r:id="rId6204" xr:uid="{00000000-0004-0000-0000-0000B9180000}"/>
    <hyperlink ref="D2190" r:id="rId6205" xr:uid="{00000000-0004-0000-0000-0000BA180000}"/>
    <hyperlink ref="E2190" r:id="rId6206" xr:uid="{00000000-0004-0000-0000-0000BB180000}"/>
    <hyperlink ref="C2191" r:id="rId6207" xr:uid="{00000000-0004-0000-0000-0000BC180000}"/>
    <hyperlink ref="D2191" r:id="rId6208" xr:uid="{00000000-0004-0000-0000-0000BD180000}"/>
    <hyperlink ref="C2192" r:id="rId6209" xr:uid="{00000000-0004-0000-0000-0000BE180000}"/>
    <hyperlink ref="D2192" r:id="rId6210" xr:uid="{00000000-0004-0000-0000-0000BF180000}"/>
    <hyperlink ref="A2193" r:id="rId6211" xr:uid="{00000000-0004-0000-0000-0000C0180000}"/>
    <hyperlink ref="C2193" r:id="rId6212" xr:uid="{00000000-0004-0000-0000-0000C1180000}"/>
    <hyperlink ref="D2193" r:id="rId6213" xr:uid="{00000000-0004-0000-0000-0000C2180000}"/>
    <hyperlink ref="A2194" r:id="rId6214" xr:uid="{00000000-0004-0000-0000-0000C3180000}"/>
    <hyperlink ref="C2194" r:id="rId6215" xr:uid="{00000000-0004-0000-0000-0000C4180000}"/>
    <hyperlink ref="D2194" r:id="rId6216" xr:uid="{00000000-0004-0000-0000-0000C5180000}"/>
    <hyperlink ref="A2195" r:id="rId6217" xr:uid="{00000000-0004-0000-0000-0000C6180000}"/>
    <hyperlink ref="C2195" r:id="rId6218" xr:uid="{00000000-0004-0000-0000-0000C7180000}"/>
    <hyperlink ref="D2195" r:id="rId6219" xr:uid="{00000000-0004-0000-0000-0000C8180000}"/>
    <hyperlink ref="C2196" r:id="rId6220" xr:uid="{00000000-0004-0000-0000-0000C9180000}"/>
    <hyperlink ref="D2196" r:id="rId6221" xr:uid="{00000000-0004-0000-0000-0000CA180000}"/>
    <hyperlink ref="A2197" r:id="rId6222" xr:uid="{00000000-0004-0000-0000-0000CB180000}"/>
    <hyperlink ref="C2197" r:id="rId6223" xr:uid="{00000000-0004-0000-0000-0000CC180000}"/>
    <hyperlink ref="D2197" r:id="rId6224" xr:uid="{00000000-0004-0000-0000-0000CD180000}"/>
    <hyperlink ref="A2198" r:id="rId6225" xr:uid="{00000000-0004-0000-0000-0000CE180000}"/>
    <hyperlink ref="C2198" r:id="rId6226" xr:uid="{00000000-0004-0000-0000-0000CF180000}"/>
    <hyperlink ref="D2198" r:id="rId6227" xr:uid="{00000000-0004-0000-0000-0000D0180000}"/>
    <hyperlink ref="A2199" r:id="rId6228" xr:uid="{00000000-0004-0000-0000-0000D1180000}"/>
    <hyperlink ref="C2199" r:id="rId6229" xr:uid="{00000000-0004-0000-0000-0000D2180000}"/>
    <hyperlink ref="D2199" r:id="rId6230" xr:uid="{00000000-0004-0000-0000-0000D3180000}"/>
    <hyperlink ref="A2200" r:id="rId6231" xr:uid="{00000000-0004-0000-0000-0000D4180000}"/>
    <hyperlink ref="C2200" r:id="rId6232" xr:uid="{00000000-0004-0000-0000-0000D5180000}"/>
    <hyperlink ref="D2200" r:id="rId6233" xr:uid="{00000000-0004-0000-0000-0000D6180000}"/>
    <hyperlink ref="A2201" r:id="rId6234" xr:uid="{00000000-0004-0000-0000-0000D7180000}"/>
    <hyperlink ref="C2201" r:id="rId6235" xr:uid="{00000000-0004-0000-0000-0000D8180000}"/>
    <hyperlink ref="D2201" r:id="rId6236" xr:uid="{00000000-0004-0000-0000-0000D9180000}"/>
    <hyperlink ref="A2202" r:id="rId6237" xr:uid="{00000000-0004-0000-0000-0000DA180000}"/>
    <hyperlink ref="C2202" r:id="rId6238" xr:uid="{00000000-0004-0000-0000-0000DB180000}"/>
    <hyperlink ref="D2202" r:id="rId6239" xr:uid="{00000000-0004-0000-0000-0000DC180000}"/>
    <hyperlink ref="C2203" r:id="rId6240" xr:uid="{00000000-0004-0000-0000-0000DD180000}"/>
    <hyperlink ref="D2203" r:id="rId6241" xr:uid="{00000000-0004-0000-0000-0000DE180000}"/>
    <hyperlink ref="C2204" r:id="rId6242" xr:uid="{00000000-0004-0000-0000-0000DF180000}"/>
    <hyperlink ref="D2204" r:id="rId6243" xr:uid="{00000000-0004-0000-0000-0000E0180000}"/>
    <hyperlink ref="A2205" r:id="rId6244" xr:uid="{00000000-0004-0000-0000-0000E1180000}"/>
    <hyperlink ref="C2205" r:id="rId6245" xr:uid="{00000000-0004-0000-0000-0000E2180000}"/>
    <hyperlink ref="D2205" r:id="rId6246" xr:uid="{00000000-0004-0000-0000-0000E3180000}"/>
    <hyperlink ref="A2206" r:id="rId6247" xr:uid="{00000000-0004-0000-0000-0000E4180000}"/>
    <hyperlink ref="C2206" r:id="rId6248" xr:uid="{00000000-0004-0000-0000-0000E5180000}"/>
    <hyperlink ref="D2206" r:id="rId6249" xr:uid="{00000000-0004-0000-0000-0000E6180000}"/>
    <hyperlink ref="A2207" r:id="rId6250" xr:uid="{00000000-0004-0000-0000-0000E7180000}"/>
    <hyperlink ref="C2207" r:id="rId6251" xr:uid="{00000000-0004-0000-0000-0000E8180000}"/>
    <hyperlink ref="D2207" r:id="rId6252" xr:uid="{00000000-0004-0000-0000-0000E9180000}"/>
    <hyperlink ref="A2208" r:id="rId6253" xr:uid="{00000000-0004-0000-0000-0000EA180000}"/>
    <hyperlink ref="C2208" r:id="rId6254" xr:uid="{00000000-0004-0000-0000-0000EB180000}"/>
    <hyperlink ref="D2208" r:id="rId6255" xr:uid="{00000000-0004-0000-0000-0000EC180000}"/>
    <hyperlink ref="A2209" r:id="rId6256" xr:uid="{00000000-0004-0000-0000-0000ED180000}"/>
    <hyperlink ref="C2209" r:id="rId6257" xr:uid="{00000000-0004-0000-0000-0000EE180000}"/>
    <hyperlink ref="D2209" r:id="rId6258" xr:uid="{00000000-0004-0000-0000-0000EF180000}"/>
    <hyperlink ref="A2210" r:id="rId6259" xr:uid="{00000000-0004-0000-0000-0000F0180000}"/>
    <hyperlink ref="C2210" r:id="rId6260" xr:uid="{00000000-0004-0000-0000-0000F1180000}"/>
    <hyperlink ref="D2210" r:id="rId6261" xr:uid="{00000000-0004-0000-0000-0000F2180000}"/>
    <hyperlink ref="A2211" r:id="rId6262" xr:uid="{00000000-0004-0000-0000-0000F3180000}"/>
    <hyperlink ref="C2211" r:id="rId6263" xr:uid="{00000000-0004-0000-0000-0000F4180000}"/>
    <hyperlink ref="D2211" r:id="rId6264" xr:uid="{00000000-0004-0000-0000-0000F5180000}"/>
    <hyperlink ref="A2212" r:id="rId6265" xr:uid="{00000000-0004-0000-0000-0000F6180000}"/>
    <hyperlink ref="C2212" r:id="rId6266" xr:uid="{00000000-0004-0000-0000-0000F7180000}"/>
    <hyperlink ref="D2212" r:id="rId6267" xr:uid="{00000000-0004-0000-0000-0000F8180000}"/>
    <hyperlink ref="A2213" r:id="rId6268" xr:uid="{00000000-0004-0000-0000-0000F9180000}"/>
    <hyperlink ref="C2213" r:id="rId6269" xr:uid="{00000000-0004-0000-0000-0000FA180000}"/>
    <hyperlink ref="D2213" r:id="rId6270" xr:uid="{00000000-0004-0000-0000-0000FB180000}"/>
    <hyperlink ref="A2214" r:id="rId6271" xr:uid="{00000000-0004-0000-0000-0000FC180000}"/>
    <hyperlink ref="C2214" r:id="rId6272" xr:uid="{00000000-0004-0000-0000-0000FD180000}"/>
    <hyperlink ref="D2214" r:id="rId6273" xr:uid="{00000000-0004-0000-0000-0000FE180000}"/>
    <hyperlink ref="A2215" r:id="rId6274" xr:uid="{00000000-0004-0000-0000-0000FF180000}"/>
    <hyperlink ref="C2215" r:id="rId6275" xr:uid="{00000000-0004-0000-0000-000000190000}"/>
    <hyperlink ref="D2215" r:id="rId6276" xr:uid="{00000000-0004-0000-0000-000001190000}"/>
    <hyperlink ref="C2216" r:id="rId6277" xr:uid="{00000000-0004-0000-0000-000002190000}"/>
    <hyperlink ref="C2217" r:id="rId6278" xr:uid="{00000000-0004-0000-0000-000003190000}"/>
    <hyperlink ref="D2217" r:id="rId6279" xr:uid="{00000000-0004-0000-0000-000004190000}"/>
    <hyperlink ref="A2218" r:id="rId6280" xr:uid="{00000000-0004-0000-0000-000005190000}"/>
    <hyperlink ref="C2218" r:id="rId6281" xr:uid="{00000000-0004-0000-0000-000006190000}"/>
    <hyperlink ref="D2218" r:id="rId6282" xr:uid="{00000000-0004-0000-0000-000007190000}"/>
    <hyperlink ref="A2219" r:id="rId6283" xr:uid="{00000000-0004-0000-0000-000008190000}"/>
    <hyperlink ref="C2219" r:id="rId6284" xr:uid="{00000000-0004-0000-0000-000009190000}"/>
    <hyperlink ref="D2219" r:id="rId6285" xr:uid="{00000000-0004-0000-0000-00000A190000}"/>
    <hyperlink ref="A2220" r:id="rId6286" xr:uid="{00000000-0004-0000-0000-00000B190000}"/>
    <hyperlink ref="C2220" r:id="rId6287" xr:uid="{00000000-0004-0000-0000-00000C190000}"/>
    <hyperlink ref="D2220" r:id="rId6288" xr:uid="{00000000-0004-0000-0000-00000D190000}"/>
    <hyperlink ref="A2221" r:id="rId6289" xr:uid="{00000000-0004-0000-0000-00000E190000}"/>
    <hyperlink ref="C2221" r:id="rId6290" xr:uid="{00000000-0004-0000-0000-00000F190000}"/>
    <hyperlink ref="D2221" r:id="rId6291" xr:uid="{00000000-0004-0000-0000-000010190000}"/>
    <hyperlink ref="A2222" r:id="rId6292" xr:uid="{00000000-0004-0000-0000-000011190000}"/>
    <hyperlink ref="C2222" r:id="rId6293" xr:uid="{00000000-0004-0000-0000-000012190000}"/>
    <hyperlink ref="D2222" r:id="rId6294" xr:uid="{00000000-0004-0000-0000-000013190000}"/>
    <hyperlink ref="A2223" r:id="rId6295" xr:uid="{00000000-0004-0000-0000-000014190000}"/>
    <hyperlink ref="C2223" r:id="rId6296" xr:uid="{00000000-0004-0000-0000-000015190000}"/>
    <hyperlink ref="D2223" r:id="rId6297" xr:uid="{00000000-0004-0000-0000-000016190000}"/>
    <hyperlink ref="A2224" r:id="rId6298" xr:uid="{00000000-0004-0000-0000-000017190000}"/>
    <hyperlink ref="C2224" r:id="rId6299" xr:uid="{00000000-0004-0000-0000-000018190000}"/>
    <hyperlink ref="D2224" r:id="rId6300" xr:uid="{00000000-0004-0000-0000-000019190000}"/>
    <hyperlink ref="A2225" r:id="rId6301" xr:uid="{00000000-0004-0000-0000-00001A190000}"/>
    <hyperlink ref="C2225" r:id="rId6302" xr:uid="{00000000-0004-0000-0000-00001B190000}"/>
    <hyperlink ref="D2225" r:id="rId6303" xr:uid="{00000000-0004-0000-0000-00001C190000}"/>
    <hyperlink ref="C2226" r:id="rId6304" xr:uid="{00000000-0004-0000-0000-00001D190000}"/>
    <hyperlink ref="D2226" r:id="rId6305" xr:uid="{00000000-0004-0000-0000-00001E190000}"/>
    <hyperlink ref="A2227" r:id="rId6306" xr:uid="{00000000-0004-0000-0000-00001F190000}"/>
    <hyperlink ref="C2227" r:id="rId6307" xr:uid="{00000000-0004-0000-0000-000020190000}"/>
    <hyperlink ref="D2227" r:id="rId6308" xr:uid="{00000000-0004-0000-0000-000021190000}"/>
    <hyperlink ref="A2228" r:id="rId6309" xr:uid="{00000000-0004-0000-0000-000022190000}"/>
    <hyperlink ref="C2228" r:id="rId6310" xr:uid="{00000000-0004-0000-0000-000023190000}"/>
    <hyperlink ref="D2228" r:id="rId6311" xr:uid="{00000000-0004-0000-0000-000024190000}"/>
    <hyperlink ref="C2229" r:id="rId6312" xr:uid="{00000000-0004-0000-0000-000025190000}"/>
    <hyperlink ref="D2229" r:id="rId6313" xr:uid="{00000000-0004-0000-0000-000026190000}"/>
    <hyperlink ref="A2230" r:id="rId6314" xr:uid="{00000000-0004-0000-0000-000027190000}"/>
    <hyperlink ref="C2230" r:id="rId6315" xr:uid="{00000000-0004-0000-0000-000028190000}"/>
    <hyperlink ref="D2230" r:id="rId6316" xr:uid="{00000000-0004-0000-0000-000029190000}"/>
    <hyperlink ref="A2231" r:id="rId6317" xr:uid="{00000000-0004-0000-0000-00002A190000}"/>
    <hyperlink ref="C2231" r:id="rId6318" xr:uid="{00000000-0004-0000-0000-00002B190000}"/>
    <hyperlink ref="D2231" r:id="rId6319" xr:uid="{00000000-0004-0000-0000-00002C190000}"/>
    <hyperlink ref="A2232" r:id="rId6320" xr:uid="{00000000-0004-0000-0000-00002D190000}"/>
    <hyperlink ref="C2232" r:id="rId6321" xr:uid="{00000000-0004-0000-0000-00002E190000}"/>
    <hyperlink ref="D2232" r:id="rId6322" xr:uid="{00000000-0004-0000-0000-00002F190000}"/>
    <hyperlink ref="A2233" r:id="rId6323" xr:uid="{00000000-0004-0000-0000-000030190000}"/>
    <hyperlink ref="C2233" r:id="rId6324" xr:uid="{00000000-0004-0000-0000-000031190000}"/>
    <hyperlink ref="D2233" r:id="rId6325" xr:uid="{00000000-0004-0000-0000-000032190000}"/>
    <hyperlink ref="A2234" r:id="rId6326" xr:uid="{00000000-0004-0000-0000-000033190000}"/>
    <hyperlink ref="C2234" r:id="rId6327" xr:uid="{00000000-0004-0000-0000-000034190000}"/>
    <hyperlink ref="D2234" r:id="rId6328" xr:uid="{00000000-0004-0000-0000-000035190000}"/>
    <hyperlink ref="A2235" r:id="rId6329" xr:uid="{00000000-0004-0000-0000-000036190000}"/>
    <hyperlink ref="C2235" r:id="rId6330" xr:uid="{00000000-0004-0000-0000-000037190000}"/>
    <hyperlink ref="D2235" r:id="rId6331" xr:uid="{00000000-0004-0000-0000-000038190000}"/>
    <hyperlink ref="A2236" r:id="rId6332" xr:uid="{00000000-0004-0000-0000-000039190000}"/>
    <hyperlink ref="C2236" r:id="rId6333" xr:uid="{00000000-0004-0000-0000-00003A190000}"/>
    <hyperlink ref="D2236" r:id="rId6334" xr:uid="{00000000-0004-0000-0000-00003B190000}"/>
    <hyperlink ref="A2237" r:id="rId6335" xr:uid="{00000000-0004-0000-0000-00003C190000}"/>
    <hyperlink ref="C2237" r:id="rId6336" xr:uid="{00000000-0004-0000-0000-00003D190000}"/>
    <hyperlink ref="D2237" r:id="rId6337" xr:uid="{00000000-0004-0000-0000-00003E190000}"/>
    <hyperlink ref="A2238" r:id="rId6338" xr:uid="{00000000-0004-0000-0000-00003F190000}"/>
    <hyperlink ref="C2238" r:id="rId6339" xr:uid="{00000000-0004-0000-0000-000040190000}"/>
    <hyperlink ref="D2238" r:id="rId6340" xr:uid="{00000000-0004-0000-0000-000041190000}"/>
    <hyperlink ref="A2239" r:id="rId6341" xr:uid="{00000000-0004-0000-0000-000042190000}"/>
    <hyperlink ref="C2239" r:id="rId6342" xr:uid="{00000000-0004-0000-0000-000043190000}"/>
    <hyperlink ref="D2239" r:id="rId6343" xr:uid="{00000000-0004-0000-0000-000044190000}"/>
    <hyperlink ref="A2240" r:id="rId6344" xr:uid="{00000000-0004-0000-0000-000045190000}"/>
    <hyperlink ref="C2240" r:id="rId6345" xr:uid="{00000000-0004-0000-0000-000046190000}"/>
    <hyperlink ref="D2240" r:id="rId6346" xr:uid="{00000000-0004-0000-0000-000047190000}"/>
    <hyperlink ref="A2241" r:id="rId6347" xr:uid="{00000000-0004-0000-0000-000048190000}"/>
    <hyperlink ref="A2242" r:id="rId6348" xr:uid="{00000000-0004-0000-0000-000049190000}"/>
    <hyperlink ref="A2243" r:id="rId6349" xr:uid="{00000000-0004-0000-0000-00004A190000}"/>
    <hyperlink ref="A2245" r:id="rId6350" xr:uid="{00000000-0004-0000-0000-00004B190000}"/>
    <hyperlink ref="A2249" r:id="rId6351" xr:uid="{00000000-0004-0000-0000-00004C190000}"/>
    <hyperlink ref="C2249" r:id="rId6352" xr:uid="{00000000-0004-0000-0000-00004D190000}"/>
    <hyperlink ref="D2249" r:id="rId6353" xr:uid="{00000000-0004-0000-0000-00004E190000}"/>
    <hyperlink ref="C2250" r:id="rId6354" xr:uid="{00000000-0004-0000-0000-00004F190000}"/>
    <hyperlink ref="D2250" r:id="rId6355" xr:uid="{00000000-0004-0000-0000-000050190000}"/>
    <hyperlink ref="A2251" r:id="rId6356" xr:uid="{00000000-0004-0000-0000-000051190000}"/>
    <hyperlink ref="C2251" r:id="rId6357" xr:uid="{00000000-0004-0000-0000-000052190000}"/>
    <hyperlink ref="D2251" r:id="rId6358" xr:uid="{00000000-0004-0000-0000-000053190000}"/>
    <hyperlink ref="A2252" r:id="rId6359" xr:uid="{00000000-0004-0000-0000-000054190000}"/>
    <hyperlink ref="C2252" r:id="rId6360" xr:uid="{00000000-0004-0000-0000-000055190000}"/>
    <hyperlink ref="D2252" r:id="rId6361" xr:uid="{00000000-0004-0000-0000-000056190000}"/>
    <hyperlink ref="A2253" r:id="rId6362" xr:uid="{00000000-0004-0000-0000-000057190000}"/>
    <hyperlink ref="C2253" r:id="rId6363" xr:uid="{00000000-0004-0000-0000-000058190000}"/>
    <hyperlink ref="D2253" r:id="rId6364" xr:uid="{00000000-0004-0000-0000-000059190000}"/>
    <hyperlink ref="A2254" r:id="rId6365" xr:uid="{00000000-0004-0000-0000-00005A190000}"/>
    <hyperlink ref="C2254" r:id="rId6366" xr:uid="{00000000-0004-0000-0000-00005B190000}"/>
    <hyperlink ref="D2254" r:id="rId6367" xr:uid="{00000000-0004-0000-0000-00005C190000}"/>
    <hyperlink ref="A2255" r:id="rId6368" xr:uid="{00000000-0004-0000-0000-00005D190000}"/>
    <hyperlink ref="C2255" r:id="rId6369" xr:uid="{00000000-0004-0000-0000-00005E190000}"/>
    <hyperlink ref="D2255" r:id="rId6370" xr:uid="{00000000-0004-0000-0000-00005F190000}"/>
    <hyperlink ref="A2256" r:id="rId6371" xr:uid="{00000000-0004-0000-0000-000060190000}"/>
    <hyperlink ref="C2256" r:id="rId6372" xr:uid="{00000000-0004-0000-0000-000061190000}"/>
    <hyperlink ref="D2256" r:id="rId6373" xr:uid="{00000000-0004-0000-0000-000062190000}"/>
    <hyperlink ref="E2256" r:id="rId6374" xr:uid="{00000000-0004-0000-0000-000063190000}"/>
    <hyperlink ref="A2257" r:id="rId6375" xr:uid="{00000000-0004-0000-0000-000064190000}"/>
    <hyperlink ref="C2257" r:id="rId6376" xr:uid="{00000000-0004-0000-0000-000065190000}"/>
    <hyperlink ref="D2257" r:id="rId6377" xr:uid="{00000000-0004-0000-0000-000066190000}"/>
    <hyperlink ref="A2258" r:id="rId6378" xr:uid="{00000000-0004-0000-0000-000067190000}"/>
    <hyperlink ref="C2258" r:id="rId6379" xr:uid="{00000000-0004-0000-0000-000068190000}"/>
    <hyperlink ref="D2258" r:id="rId6380" xr:uid="{00000000-0004-0000-0000-000069190000}"/>
    <hyperlink ref="C2259" r:id="rId6381" xr:uid="{00000000-0004-0000-0000-00006A190000}"/>
    <hyperlink ref="D2259" r:id="rId6382" xr:uid="{00000000-0004-0000-0000-00006B190000}"/>
    <hyperlink ref="C2260" r:id="rId6383" xr:uid="{00000000-0004-0000-0000-00006C190000}"/>
    <hyperlink ref="D2260" r:id="rId6384" xr:uid="{00000000-0004-0000-0000-00006D190000}"/>
    <hyperlink ref="A2261" r:id="rId6385" xr:uid="{00000000-0004-0000-0000-00006E190000}"/>
    <hyperlink ref="C2261" r:id="rId6386" xr:uid="{00000000-0004-0000-0000-00006F190000}"/>
    <hyperlink ref="D2261" r:id="rId6387" xr:uid="{00000000-0004-0000-0000-000070190000}"/>
    <hyperlink ref="C2262" r:id="rId6388" xr:uid="{00000000-0004-0000-0000-000071190000}"/>
    <hyperlink ref="D2262" r:id="rId6389" xr:uid="{00000000-0004-0000-0000-000072190000}"/>
    <hyperlink ref="C2263" r:id="rId6390" xr:uid="{00000000-0004-0000-0000-000073190000}"/>
    <hyperlink ref="D2263" r:id="rId6391" xr:uid="{00000000-0004-0000-0000-000074190000}"/>
    <hyperlink ref="C2264" r:id="rId6392" xr:uid="{00000000-0004-0000-0000-000075190000}"/>
    <hyperlink ref="D2264" r:id="rId6393" xr:uid="{00000000-0004-0000-0000-000076190000}"/>
    <hyperlink ref="A2265" r:id="rId6394" xr:uid="{00000000-0004-0000-0000-000077190000}"/>
    <hyperlink ref="C2265" r:id="rId6395" xr:uid="{00000000-0004-0000-0000-000078190000}"/>
    <hyperlink ref="D2265" r:id="rId6396" xr:uid="{00000000-0004-0000-0000-000079190000}"/>
    <hyperlink ref="A2266" r:id="rId6397" xr:uid="{00000000-0004-0000-0000-00007A190000}"/>
    <hyperlink ref="C2266" r:id="rId6398" xr:uid="{00000000-0004-0000-0000-00007B190000}"/>
    <hyperlink ref="D2266" r:id="rId6399" xr:uid="{00000000-0004-0000-0000-00007C190000}"/>
    <hyperlink ref="C2267" r:id="rId6400" xr:uid="{00000000-0004-0000-0000-00007D190000}"/>
    <hyperlink ref="D2267" r:id="rId6401" xr:uid="{00000000-0004-0000-0000-00007E190000}"/>
    <hyperlink ref="C2268" r:id="rId6402" xr:uid="{00000000-0004-0000-0000-00007F190000}"/>
    <hyperlink ref="D2268" r:id="rId6403" xr:uid="{00000000-0004-0000-0000-000080190000}"/>
    <hyperlink ref="A2269" r:id="rId6404" xr:uid="{00000000-0004-0000-0000-000081190000}"/>
    <hyperlink ref="C2269" r:id="rId6405" xr:uid="{00000000-0004-0000-0000-000082190000}"/>
    <hyperlink ref="D2269" r:id="rId6406" xr:uid="{00000000-0004-0000-0000-000083190000}"/>
    <hyperlink ref="A2270" r:id="rId6407" xr:uid="{00000000-0004-0000-0000-000084190000}"/>
    <hyperlink ref="C2270" r:id="rId6408" xr:uid="{00000000-0004-0000-0000-000085190000}"/>
    <hyperlink ref="D2270" r:id="rId6409" xr:uid="{00000000-0004-0000-0000-000086190000}"/>
    <hyperlink ref="A2273" r:id="rId6410" xr:uid="{00000000-0004-0000-0000-000087190000}"/>
    <hyperlink ref="C2273" r:id="rId6411" xr:uid="{00000000-0004-0000-0000-000088190000}"/>
    <hyperlink ref="D2273" r:id="rId6412" xr:uid="{00000000-0004-0000-0000-000089190000}"/>
    <hyperlink ref="C2274" r:id="rId6413" xr:uid="{00000000-0004-0000-0000-00008A190000}"/>
    <hyperlink ref="D2274" r:id="rId6414" xr:uid="{00000000-0004-0000-0000-00008B190000}"/>
    <hyperlink ref="A2275" r:id="rId6415" xr:uid="{00000000-0004-0000-0000-00008C190000}"/>
    <hyperlink ref="C2275" r:id="rId6416" xr:uid="{00000000-0004-0000-0000-00008D190000}"/>
    <hyperlink ref="D2275" r:id="rId6417" xr:uid="{00000000-0004-0000-0000-00008E190000}"/>
    <hyperlink ref="A2276" r:id="rId6418" xr:uid="{00000000-0004-0000-0000-00008F190000}"/>
    <hyperlink ref="C2276" r:id="rId6419" xr:uid="{00000000-0004-0000-0000-000090190000}"/>
    <hyperlink ref="D2276" r:id="rId6420" xr:uid="{00000000-0004-0000-0000-000091190000}"/>
    <hyperlink ref="A2277" r:id="rId6421" xr:uid="{00000000-0004-0000-0000-000092190000}"/>
    <hyperlink ref="C2277" r:id="rId6422" xr:uid="{00000000-0004-0000-0000-000093190000}"/>
    <hyperlink ref="D2277" r:id="rId6423" xr:uid="{00000000-0004-0000-0000-000094190000}"/>
    <hyperlink ref="C2278" r:id="rId6424" xr:uid="{00000000-0004-0000-0000-000095190000}"/>
    <hyperlink ref="D2278" r:id="rId6425" xr:uid="{00000000-0004-0000-0000-000096190000}"/>
    <hyperlink ref="E2278" r:id="rId6426" xr:uid="{00000000-0004-0000-0000-000097190000}"/>
    <hyperlink ref="A2279" r:id="rId6427" xr:uid="{00000000-0004-0000-0000-000098190000}"/>
    <hyperlink ref="C2279" r:id="rId6428" xr:uid="{00000000-0004-0000-0000-000099190000}"/>
    <hyperlink ref="D2279" r:id="rId6429" xr:uid="{00000000-0004-0000-0000-00009A190000}"/>
    <hyperlink ref="A2280" r:id="rId6430" xr:uid="{00000000-0004-0000-0000-00009B190000}"/>
    <hyperlink ref="C2280" r:id="rId6431" xr:uid="{00000000-0004-0000-0000-00009C190000}"/>
    <hyperlink ref="D2280" r:id="rId6432" xr:uid="{00000000-0004-0000-0000-00009D190000}"/>
    <hyperlink ref="C2281" r:id="rId6433" xr:uid="{00000000-0004-0000-0000-00009E190000}"/>
    <hyperlink ref="D2281" r:id="rId6434" xr:uid="{00000000-0004-0000-0000-00009F190000}"/>
    <hyperlink ref="C2282" r:id="rId6435" xr:uid="{00000000-0004-0000-0000-0000A0190000}"/>
    <hyperlink ref="D2282" r:id="rId6436" xr:uid="{00000000-0004-0000-0000-0000A1190000}"/>
    <hyperlink ref="A2283" r:id="rId6437" xr:uid="{00000000-0004-0000-0000-0000A2190000}"/>
    <hyperlink ref="C2283" r:id="rId6438" xr:uid="{00000000-0004-0000-0000-0000A3190000}"/>
    <hyperlink ref="D2283" r:id="rId6439" xr:uid="{00000000-0004-0000-0000-0000A4190000}"/>
    <hyperlink ref="A2284" r:id="rId6440" xr:uid="{00000000-0004-0000-0000-0000A5190000}"/>
    <hyperlink ref="C2284" r:id="rId6441" xr:uid="{00000000-0004-0000-0000-0000A6190000}"/>
    <hyperlink ref="D2284" r:id="rId6442" xr:uid="{00000000-0004-0000-0000-0000A7190000}"/>
    <hyperlink ref="A2286" r:id="rId6443" xr:uid="{00000000-0004-0000-0000-0000A8190000}"/>
    <hyperlink ref="C2286" r:id="rId6444" xr:uid="{00000000-0004-0000-0000-0000A9190000}"/>
    <hyperlink ref="D2286" r:id="rId6445" xr:uid="{00000000-0004-0000-0000-0000AA190000}"/>
    <hyperlink ref="A2287" r:id="rId6446" xr:uid="{00000000-0004-0000-0000-0000AB190000}"/>
    <hyperlink ref="C2287" r:id="rId6447" xr:uid="{00000000-0004-0000-0000-0000AC190000}"/>
    <hyperlink ref="D2287" r:id="rId6448" xr:uid="{00000000-0004-0000-0000-0000AD190000}"/>
    <hyperlink ref="A2288" r:id="rId6449" xr:uid="{00000000-0004-0000-0000-0000AE190000}"/>
    <hyperlink ref="A2291" r:id="rId6450" xr:uid="{00000000-0004-0000-0000-0000AF190000}"/>
    <hyperlink ref="C2291" r:id="rId6451" xr:uid="{00000000-0004-0000-0000-0000B0190000}"/>
    <hyperlink ref="D2291" r:id="rId6452" xr:uid="{00000000-0004-0000-0000-0000B1190000}"/>
    <hyperlink ref="A2292" r:id="rId6453" xr:uid="{00000000-0004-0000-0000-0000B2190000}"/>
    <hyperlink ref="C2292" r:id="rId6454" xr:uid="{00000000-0004-0000-0000-0000B3190000}"/>
    <hyperlink ref="D2292" r:id="rId6455" xr:uid="{00000000-0004-0000-0000-0000B4190000}"/>
    <hyperlink ref="A2293" r:id="rId6456" xr:uid="{00000000-0004-0000-0000-0000B5190000}"/>
    <hyperlink ref="C2293" r:id="rId6457" xr:uid="{00000000-0004-0000-0000-0000B6190000}"/>
    <hyperlink ref="D2293" r:id="rId6458" xr:uid="{00000000-0004-0000-0000-0000B7190000}"/>
    <hyperlink ref="A2294" r:id="rId6459" xr:uid="{00000000-0004-0000-0000-0000B8190000}"/>
    <hyperlink ref="C2294" r:id="rId6460" xr:uid="{00000000-0004-0000-0000-0000B9190000}"/>
    <hyperlink ref="D2294" r:id="rId6461" xr:uid="{00000000-0004-0000-0000-0000BA190000}"/>
    <hyperlink ref="C2295" r:id="rId6462" xr:uid="{00000000-0004-0000-0000-0000BB190000}"/>
    <hyperlink ref="D2295" r:id="rId6463" xr:uid="{00000000-0004-0000-0000-0000BC190000}"/>
    <hyperlink ref="A2296" r:id="rId6464" xr:uid="{00000000-0004-0000-0000-0000BD190000}"/>
    <hyperlink ref="C2296" r:id="rId6465" xr:uid="{00000000-0004-0000-0000-0000BE190000}"/>
    <hyperlink ref="D2296" r:id="rId6466" xr:uid="{00000000-0004-0000-0000-0000BF190000}"/>
    <hyperlink ref="A2297" r:id="rId6467" xr:uid="{00000000-0004-0000-0000-0000C0190000}"/>
    <hyperlink ref="C2297" r:id="rId6468" xr:uid="{00000000-0004-0000-0000-0000C1190000}"/>
    <hyperlink ref="D2297" r:id="rId6469" xr:uid="{00000000-0004-0000-0000-0000C2190000}"/>
    <hyperlink ref="A2298" r:id="rId6470" xr:uid="{00000000-0004-0000-0000-0000C3190000}"/>
    <hyperlink ref="C2298" r:id="rId6471" xr:uid="{00000000-0004-0000-0000-0000C4190000}"/>
    <hyperlink ref="D2298" r:id="rId6472" xr:uid="{00000000-0004-0000-0000-0000C5190000}"/>
    <hyperlink ref="A2299" r:id="rId6473" xr:uid="{00000000-0004-0000-0000-0000C6190000}"/>
    <hyperlink ref="C2299" r:id="rId6474" xr:uid="{00000000-0004-0000-0000-0000C7190000}"/>
    <hyperlink ref="D2299" r:id="rId6475" xr:uid="{00000000-0004-0000-0000-0000C8190000}"/>
    <hyperlink ref="A2300" r:id="rId6476" xr:uid="{00000000-0004-0000-0000-0000C9190000}"/>
    <hyperlink ref="C2300" r:id="rId6477" xr:uid="{00000000-0004-0000-0000-0000CA190000}"/>
    <hyperlink ref="D2300" r:id="rId6478" xr:uid="{00000000-0004-0000-0000-0000CB190000}"/>
    <hyperlink ref="A2301" r:id="rId6479" xr:uid="{00000000-0004-0000-0000-0000CC190000}"/>
    <hyperlink ref="C2301" r:id="rId6480" xr:uid="{00000000-0004-0000-0000-0000CD190000}"/>
    <hyperlink ref="D2301" r:id="rId6481" xr:uid="{00000000-0004-0000-0000-0000CE190000}"/>
    <hyperlink ref="A2302" r:id="rId6482" xr:uid="{00000000-0004-0000-0000-0000CF190000}"/>
    <hyperlink ref="C2302" r:id="rId6483" xr:uid="{00000000-0004-0000-0000-0000D0190000}"/>
    <hyperlink ref="D2302" r:id="rId6484" xr:uid="{00000000-0004-0000-0000-0000D1190000}"/>
    <hyperlink ref="C2303" r:id="rId6485" xr:uid="{00000000-0004-0000-0000-0000D2190000}"/>
    <hyperlink ref="D2303" r:id="rId6486" xr:uid="{00000000-0004-0000-0000-0000D3190000}"/>
    <hyperlink ref="C2304" r:id="rId6487" xr:uid="{00000000-0004-0000-0000-0000D4190000}"/>
    <hyperlink ref="D2304" r:id="rId6488" xr:uid="{00000000-0004-0000-0000-0000D5190000}"/>
    <hyperlink ref="C2305" r:id="rId6489" xr:uid="{00000000-0004-0000-0000-0000D6190000}"/>
    <hyperlink ref="D2305" r:id="rId6490" xr:uid="{00000000-0004-0000-0000-0000D7190000}"/>
    <hyperlink ref="A2306" r:id="rId6491" xr:uid="{00000000-0004-0000-0000-0000D8190000}"/>
    <hyperlink ref="C2306" r:id="rId6492" xr:uid="{00000000-0004-0000-0000-0000D9190000}"/>
    <hyperlink ref="D2306" r:id="rId6493" xr:uid="{00000000-0004-0000-0000-0000DA190000}"/>
    <hyperlink ref="A2307" r:id="rId6494" xr:uid="{00000000-0004-0000-0000-0000DB190000}"/>
    <hyperlink ref="C2307" r:id="rId6495" xr:uid="{00000000-0004-0000-0000-0000DC190000}"/>
    <hyperlink ref="D2307" r:id="rId6496" xr:uid="{00000000-0004-0000-0000-0000DD190000}"/>
    <hyperlink ref="A2308" r:id="rId6497" xr:uid="{00000000-0004-0000-0000-0000DE190000}"/>
    <hyperlink ref="C2308" r:id="rId6498" xr:uid="{00000000-0004-0000-0000-0000DF190000}"/>
    <hyperlink ref="D2308" r:id="rId6499" xr:uid="{00000000-0004-0000-0000-0000E0190000}"/>
    <hyperlink ref="A2309" r:id="rId6500" xr:uid="{00000000-0004-0000-0000-0000E1190000}"/>
    <hyperlink ref="C2309" r:id="rId6501" xr:uid="{00000000-0004-0000-0000-0000E2190000}"/>
    <hyperlink ref="D2309" r:id="rId6502" xr:uid="{00000000-0004-0000-0000-0000E3190000}"/>
    <hyperlink ref="A2310" r:id="rId6503" xr:uid="{00000000-0004-0000-0000-0000E4190000}"/>
    <hyperlink ref="C2310" r:id="rId6504" xr:uid="{00000000-0004-0000-0000-0000E5190000}"/>
    <hyperlink ref="D2310" r:id="rId6505" xr:uid="{00000000-0004-0000-0000-0000E6190000}"/>
    <hyperlink ref="A2311" r:id="rId6506" xr:uid="{00000000-0004-0000-0000-0000E7190000}"/>
    <hyperlink ref="C2311" r:id="rId6507" xr:uid="{00000000-0004-0000-0000-0000E8190000}"/>
    <hyperlink ref="D2311" r:id="rId6508" xr:uid="{00000000-0004-0000-0000-0000E9190000}"/>
    <hyperlink ref="A2312" r:id="rId6509" xr:uid="{00000000-0004-0000-0000-0000EA190000}"/>
    <hyperlink ref="C2312" r:id="rId6510" xr:uid="{00000000-0004-0000-0000-0000EB190000}"/>
    <hyperlink ref="D2312" r:id="rId6511" xr:uid="{00000000-0004-0000-0000-0000EC190000}"/>
    <hyperlink ref="A2313" r:id="rId6512" xr:uid="{00000000-0004-0000-0000-0000ED190000}"/>
    <hyperlink ref="C2313" r:id="rId6513" xr:uid="{00000000-0004-0000-0000-0000EE190000}"/>
    <hyperlink ref="D2313" r:id="rId6514" xr:uid="{00000000-0004-0000-0000-0000EF190000}"/>
    <hyperlink ref="A2314" r:id="rId6515" xr:uid="{00000000-0004-0000-0000-0000F0190000}"/>
    <hyperlink ref="C2314" r:id="rId6516" xr:uid="{00000000-0004-0000-0000-0000F1190000}"/>
    <hyperlink ref="D2314" r:id="rId6517" xr:uid="{00000000-0004-0000-0000-0000F2190000}"/>
    <hyperlink ref="E2314" r:id="rId6518" xr:uid="{00000000-0004-0000-0000-0000F3190000}"/>
    <hyperlink ref="A2315" r:id="rId6519" xr:uid="{00000000-0004-0000-0000-0000F4190000}"/>
    <hyperlink ref="C2315" r:id="rId6520" xr:uid="{00000000-0004-0000-0000-0000F5190000}"/>
    <hyperlink ref="D2315" r:id="rId6521" xr:uid="{00000000-0004-0000-0000-0000F6190000}"/>
    <hyperlink ref="A2316" r:id="rId6522" xr:uid="{00000000-0004-0000-0000-0000F7190000}"/>
    <hyperlink ref="C2316" r:id="rId6523" xr:uid="{00000000-0004-0000-0000-0000F8190000}"/>
    <hyperlink ref="D2316" r:id="rId6524" xr:uid="{00000000-0004-0000-0000-0000F9190000}"/>
    <hyperlink ref="A2317" r:id="rId6525" xr:uid="{00000000-0004-0000-0000-0000FA190000}"/>
    <hyperlink ref="C2317" r:id="rId6526" xr:uid="{00000000-0004-0000-0000-0000FB190000}"/>
    <hyperlink ref="D2317" r:id="rId6527" xr:uid="{00000000-0004-0000-0000-0000FC190000}"/>
    <hyperlink ref="E2317" r:id="rId6528" xr:uid="{00000000-0004-0000-0000-0000FD190000}"/>
    <hyperlink ref="A2318" r:id="rId6529" xr:uid="{00000000-0004-0000-0000-0000FE190000}"/>
    <hyperlink ref="C2318" r:id="rId6530" xr:uid="{00000000-0004-0000-0000-0000FF190000}"/>
    <hyperlink ref="D2318" r:id="rId6531" xr:uid="{00000000-0004-0000-0000-0000001A0000}"/>
    <hyperlink ref="C2319" r:id="rId6532" xr:uid="{00000000-0004-0000-0000-0000011A0000}"/>
    <hyperlink ref="D2319" r:id="rId6533" xr:uid="{00000000-0004-0000-0000-0000021A0000}"/>
    <hyperlink ref="A2320" r:id="rId6534" xr:uid="{00000000-0004-0000-0000-0000031A0000}"/>
    <hyperlink ref="C2320" r:id="rId6535" xr:uid="{00000000-0004-0000-0000-0000041A0000}"/>
    <hyperlink ref="D2320" r:id="rId6536" xr:uid="{00000000-0004-0000-0000-0000051A0000}"/>
    <hyperlink ref="A2321" r:id="rId6537" xr:uid="{00000000-0004-0000-0000-0000061A0000}"/>
    <hyperlink ref="C2321" r:id="rId6538" xr:uid="{00000000-0004-0000-0000-0000071A0000}"/>
    <hyperlink ref="D2321" r:id="rId6539" xr:uid="{00000000-0004-0000-0000-0000081A0000}"/>
    <hyperlink ref="A2322" r:id="rId6540" xr:uid="{00000000-0004-0000-0000-0000091A0000}"/>
    <hyperlink ref="C2322" r:id="rId6541" xr:uid="{00000000-0004-0000-0000-00000A1A0000}"/>
    <hyperlink ref="D2322" r:id="rId6542" xr:uid="{00000000-0004-0000-0000-00000B1A0000}"/>
    <hyperlink ref="A2323" r:id="rId6543" xr:uid="{00000000-0004-0000-0000-00000C1A0000}"/>
    <hyperlink ref="C2323" r:id="rId6544" xr:uid="{00000000-0004-0000-0000-00000D1A0000}"/>
    <hyperlink ref="D2323" r:id="rId6545" xr:uid="{00000000-0004-0000-0000-00000E1A0000}"/>
    <hyperlink ref="A2324" r:id="rId6546" xr:uid="{00000000-0004-0000-0000-00000F1A0000}"/>
    <hyperlink ref="C2324" r:id="rId6547" xr:uid="{00000000-0004-0000-0000-0000101A0000}"/>
    <hyperlink ref="D2324" r:id="rId6548" xr:uid="{00000000-0004-0000-0000-0000111A0000}"/>
    <hyperlink ref="E2324" r:id="rId6549" xr:uid="{00000000-0004-0000-0000-0000121A0000}"/>
    <hyperlink ref="A2325" r:id="rId6550" xr:uid="{00000000-0004-0000-0000-0000131A0000}"/>
    <hyperlink ref="C2325" r:id="rId6551" xr:uid="{00000000-0004-0000-0000-0000141A0000}"/>
    <hyperlink ref="D2325" r:id="rId6552" xr:uid="{00000000-0004-0000-0000-0000151A0000}"/>
    <hyperlink ref="A2326" r:id="rId6553" xr:uid="{00000000-0004-0000-0000-0000161A0000}"/>
    <hyperlink ref="C2326" r:id="rId6554" xr:uid="{00000000-0004-0000-0000-0000171A0000}"/>
    <hyperlink ref="D2326" r:id="rId6555" xr:uid="{00000000-0004-0000-0000-0000181A0000}"/>
    <hyperlink ref="A2327" r:id="rId6556" xr:uid="{00000000-0004-0000-0000-0000191A0000}"/>
    <hyperlink ref="C2327" r:id="rId6557" xr:uid="{00000000-0004-0000-0000-00001A1A0000}"/>
    <hyperlink ref="D2327" r:id="rId6558" xr:uid="{00000000-0004-0000-0000-00001B1A0000}"/>
    <hyperlink ref="A2328" r:id="rId6559" xr:uid="{00000000-0004-0000-0000-00001C1A0000}"/>
    <hyperlink ref="C2328" r:id="rId6560" xr:uid="{00000000-0004-0000-0000-00001D1A0000}"/>
    <hyperlink ref="D2328" r:id="rId6561" xr:uid="{00000000-0004-0000-0000-00001E1A0000}"/>
    <hyperlink ref="C2329" r:id="rId6562" xr:uid="{00000000-0004-0000-0000-00001F1A0000}"/>
    <hyperlink ref="D2329" r:id="rId6563" xr:uid="{00000000-0004-0000-0000-0000201A0000}"/>
    <hyperlink ref="C2330" r:id="rId6564" xr:uid="{00000000-0004-0000-0000-0000211A0000}"/>
    <hyperlink ref="D2330" r:id="rId6565" xr:uid="{00000000-0004-0000-0000-0000221A0000}"/>
    <hyperlink ref="A2331" r:id="rId6566" xr:uid="{00000000-0004-0000-0000-0000231A0000}"/>
    <hyperlink ref="C2331" r:id="rId6567" xr:uid="{00000000-0004-0000-0000-0000241A0000}"/>
    <hyperlink ref="D2331" r:id="rId6568" xr:uid="{00000000-0004-0000-0000-0000251A0000}"/>
    <hyperlink ref="A2332" r:id="rId6569" xr:uid="{00000000-0004-0000-0000-0000261A0000}"/>
    <hyperlink ref="C2332" r:id="rId6570" xr:uid="{00000000-0004-0000-0000-0000271A0000}"/>
    <hyperlink ref="D2332" r:id="rId6571" xr:uid="{00000000-0004-0000-0000-0000281A0000}"/>
    <hyperlink ref="A2333" r:id="rId6572" xr:uid="{00000000-0004-0000-0000-0000291A0000}"/>
    <hyperlink ref="C2333" r:id="rId6573" xr:uid="{00000000-0004-0000-0000-00002A1A0000}"/>
    <hyperlink ref="D2333" r:id="rId6574" xr:uid="{00000000-0004-0000-0000-00002B1A0000}"/>
    <hyperlink ref="A2334" r:id="rId6575" xr:uid="{00000000-0004-0000-0000-00002C1A0000}"/>
    <hyperlink ref="A2335" r:id="rId6576" xr:uid="{00000000-0004-0000-0000-00002D1A0000}"/>
    <hyperlink ref="A2336" r:id="rId6577" xr:uid="{00000000-0004-0000-0000-00002E1A0000}"/>
    <hyperlink ref="A2337" r:id="rId6578" xr:uid="{00000000-0004-0000-0000-00002F1A0000}"/>
    <hyperlink ref="A2343" r:id="rId6579" xr:uid="{00000000-0004-0000-0000-0000301A0000}"/>
    <hyperlink ref="C2343" r:id="rId6580" xr:uid="{00000000-0004-0000-0000-0000311A0000}"/>
    <hyperlink ref="D2343" r:id="rId6581" xr:uid="{00000000-0004-0000-0000-0000321A0000}"/>
    <hyperlink ref="A2344" r:id="rId6582" xr:uid="{00000000-0004-0000-0000-0000331A0000}"/>
    <hyperlink ref="C2344" r:id="rId6583" xr:uid="{00000000-0004-0000-0000-0000341A0000}"/>
    <hyperlink ref="D2344" r:id="rId6584" xr:uid="{00000000-0004-0000-0000-0000351A0000}"/>
    <hyperlink ref="A2345" r:id="rId6585" xr:uid="{00000000-0004-0000-0000-0000361A0000}"/>
    <hyperlink ref="C2345" r:id="rId6586" xr:uid="{00000000-0004-0000-0000-0000371A0000}"/>
    <hyperlink ref="D2345" r:id="rId6587" xr:uid="{00000000-0004-0000-0000-0000381A0000}"/>
    <hyperlink ref="E2345" r:id="rId6588" xr:uid="{00000000-0004-0000-0000-0000391A0000}"/>
    <hyperlink ref="A2346" r:id="rId6589" xr:uid="{00000000-0004-0000-0000-00003A1A0000}"/>
    <hyperlink ref="C2346" r:id="rId6590" xr:uid="{00000000-0004-0000-0000-00003B1A0000}"/>
    <hyperlink ref="D2346" r:id="rId6591" xr:uid="{00000000-0004-0000-0000-00003C1A0000}"/>
    <hyperlink ref="A2347" r:id="rId6592" xr:uid="{00000000-0004-0000-0000-00003D1A0000}"/>
    <hyperlink ref="C2347" r:id="rId6593" xr:uid="{00000000-0004-0000-0000-00003E1A0000}"/>
    <hyperlink ref="D2347" r:id="rId6594" xr:uid="{00000000-0004-0000-0000-00003F1A0000}"/>
    <hyperlink ref="A2348" r:id="rId6595" xr:uid="{00000000-0004-0000-0000-0000401A0000}"/>
    <hyperlink ref="C2348" r:id="rId6596" xr:uid="{00000000-0004-0000-0000-0000411A0000}"/>
    <hyperlink ref="D2348" r:id="rId6597" xr:uid="{00000000-0004-0000-0000-0000421A0000}"/>
    <hyperlink ref="A2349" r:id="rId6598" xr:uid="{00000000-0004-0000-0000-0000431A0000}"/>
    <hyperlink ref="C2349" r:id="rId6599" xr:uid="{00000000-0004-0000-0000-0000441A0000}"/>
    <hyperlink ref="D2349" r:id="rId6600" xr:uid="{00000000-0004-0000-0000-0000451A0000}"/>
    <hyperlink ref="C2350" r:id="rId6601" xr:uid="{00000000-0004-0000-0000-0000461A0000}"/>
    <hyperlink ref="A2351" r:id="rId6602" xr:uid="{00000000-0004-0000-0000-0000471A0000}"/>
    <hyperlink ref="C2351" r:id="rId6603" xr:uid="{00000000-0004-0000-0000-0000481A0000}"/>
    <hyperlink ref="D2351" r:id="rId6604" xr:uid="{00000000-0004-0000-0000-0000491A0000}"/>
    <hyperlink ref="A2352" r:id="rId6605" xr:uid="{00000000-0004-0000-0000-00004A1A0000}"/>
    <hyperlink ref="A2353" r:id="rId6606" xr:uid="{00000000-0004-0000-0000-00004B1A0000}"/>
    <hyperlink ref="A2354" r:id="rId6607" xr:uid="{00000000-0004-0000-0000-00004C1A0000}"/>
    <hyperlink ref="A2355" r:id="rId6608" xr:uid="{00000000-0004-0000-0000-00004D1A0000}"/>
    <hyperlink ref="A2357" r:id="rId6609" xr:uid="{00000000-0004-0000-0000-00004E1A0000}"/>
    <hyperlink ref="C2357" r:id="rId6610" xr:uid="{00000000-0004-0000-0000-00004F1A0000}"/>
    <hyperlink ref="D2357" r:id="rId6611" xr:uid="{00000000-0004-0000-0000-0000501A0000}"/>
    <hyperlink ref="A2358" r:id="rId6612" xr:uid="{00000000-0004-0000-0000-0000511A0000}"/>
    <hyperlink ref="C2358" r:id="rId6613" xr:uid="{00000000-0004-0000-0000-0000521A0000}"/>
    <hyperlink ref="D2358" r:id="rId6614" xr:uid="{00000000-0004-0000-0000-0000531A0000}"/>
    <hyperlink ref="C2359" r:id="rId6615" xr:uid="{00000000-0004-0000-0000-0000541A0000}"/>
    <hyperlink ref="D2359" r:id="rId6616" xr:uid="{00000000-0004-0000-0000-0000551A0000}"/>
    <hyperlink ref="A2360" r:id="rId6617" xr:uid="{00000000-0004-0000-0000-0000561A0000}"/>
    <hyperlink ref="C2360" r:id="rId6618" xr:uid="{00000000-0004-0000-0000-0000571A0000}"/>
    <hyperlink ref="D2360" r:id="rId6619" xr:uid="{00000000-0004-0000-0000-0000581A0000}"/>
    <hyperlink ref="A2362" r:id="rId6620" xr:uid="{00000000-0004-0000-0000-0000591A0000}"/>
    <hyperlink ref="C2362" r:id="rId6621" xr:uid="{00000000-0004-0000-0000-00005A1A0000}"/>
    <hyperlink ref="D2362" r:id="rId6622" xr:uid="{00000000-0004-0000-0000-00005B1A0000}"/>
    <hyperlink ref="A2366" r:id="rId6623" xr:uid="{00000000-0004-0000-0000-00005C1A0000}"/>
    <hyperlink ref="C2366" r:id="rId6624" xr:uid="{00000000-0004-0000-0000-00005D1A0000}"/>
    <hyperlink ref="D2366" r:id="rId6625" xr:uid="{00000000-0004-0000-0000-00005E1A0000}"/>
    <hyperlink ref="A2367" r:id="rId6626" xr:uid="{00000000-0004-0000-0000-00005F1A0000}"/>
    <hyperlink ref="C2367" r:id="rId6627" xr:uid="{00000000-0004-0000-0000-0000601A0000}"/>
    <hyperlink ref="D2367" r:id="rId6628" xr:uid="{00000000-0004-0000-0000-0000611A0000}"/>
    <hyperlink ref="A2368" r:id="rId6629" xr:uid="{00000000-0004-0000-0000-0000621A0000}"/>
    <hyperlink ref="C2368" r:id="rId6630" xr:uid="{00000000-0004-0000-0000-0000631A0000}"/>
    <hyperlink ref="D2368" r:id="rId6631" xr:uid="{00000000-0004-0000-0000-0000641A0000}"/>
    <hyperlink ref="A2369" r:id="rId6632" xr:uid="{00000000-0004-0000-0000-0000651A0000}"/>
    <hyperlink ref="C2369" r:id="rId6633" xr:uid="{00000000-0004-0000-0000-0000661A0000}"/>
    <hyperlink ref="D2369" r:id="rId6634" xr:uid="{00000000-0004-0000-0000-0000671A0000}"/>
    <hyperlink ref="A2370" r:id="rId6635" xr:uid="{00000000-0004-0000-0000-0000681A0000}"/>
    <hyperlink ref="C2370" r:id="rId6636" xr:uid="{00000000-0004-0000-0000-0000691A0000}"/>
    <hyperlink ref="D2370" r:id="rId6637" xr:uid="{00000000-0004-0000-0000-00006A1A0000}"/>
    <hyperlink ref="A2371" r:id="rId6638" xr:uid="{00000000-0004-0000-0000-00006B1A0000}"/>
    <hyperlink ref="C2371" r:id="rId6639" xr:uid="{00000000-0004-0000-0000-00006C1A0000}"/>
    <hyperlink ref="D2371" r:id="rId6640" xr:uid="{00000000-0004-0000-0000-00006D1A0000}"/>
    <hyperlink ref="A2372" r:id="rId6641" xr:uid="{00000000-0004-0000-0000-00006E1A0000}"/>
    <hyperlink ref="C2372" r:id="rId6642" xr:uid="{00000000-0004-0000-0000-00006F1A0000}"/>
    <hyperlink ref="D2372" r:id="rId6643" xr:uid="{00000000-0004-0000-0000-0000701A0000}"/>
    <hyperlink ref="A2373" r:id="rId6644" xr:uid="{00000000-0004-0000-0000-0000711A0000}"/>
    <hyperlink ref="A2374" r:id="rId6645" xr:uid="{00000000-0004-0000-0000-0000721A0000}"/>
    <hyperlink ref="A2375" r:id="rId6646" xr:uid="{00000000-0004-0000-0000-0000731A0000}"/>
    <hyperlink ref="A2377" r:id="rId6647" xr:uid="{00000000-0004-0000-0000-0000741A0000}"/>
    <hyperlink ref="C2377" r:id="rId6648" xr:uid="{00000000-0004-0000-0000-0000751A0000}"/>
    <hyperlink ref="D2377" r:id="rId6649" xr:uid="{00000000-0004-0000-0000-0000761A0000}"/>
    <hyperlink ref="A2379" r:id="rId6650" xr:uid="{00000000-0004-0000-0000-0000771A0000}"/>
    <hyperlink ref="C2379" r:id="rId6651" xr:uid="{00000000-0004-0000-0000-0000781A0000}"/>
    <hyperlink ref="D2379" r:id="rId6652" xr:uid="{00000000-0004-0000-0000-0000791A0000}"/>
    <hyperlink ref="A2380" r:id="rId6653" xr:uid="{00000000-0004-0000-0000-00007A1A0000}"/>
    <hyperlink ref="C2380" r:id="rId6654" xr:uid="{00000000-0004-0000-0000-00007B1A0000}"/>
    <hyperlink ref="D2380" r:id="rId6655" xr:uid="{00000000-0004-0000-0000-00007C1A0000}"/>
    <hyperlink ref="A2381" r:id="rId6656" xr:uid="{00000000-0004-0000-0000-00007D1A0000}"/>
    <hyperlink ref="C2381" r:id="rId6657" xr:uid="{00000000-0004-0000-0000-00007E1A0000}"/>
    <hyperlink ref="D2381" r:id="rId6658" xr:uid="{00000000-0004-0000-0000-00007F1A0000}"/>
    <hyperlink ref="A2382" r:id="rId6659" xr:uid="{00000000-0004-0000-0000-0000801A0000}"/>
    <hyperlink ref="C2382" r:id="rId6660" xr:uid="{00000000-0004-0000-0000-0000811A0000}"/>
    <hyperlink ref="D2382" r:id="rId6661" xr:uid="{00000000-0004-0000-0000-0000821A0000}"/>
    <hyperlink ref="A2383" r:id="rId6662" xr:uid="{00000000-0004-0000-0000-0000831A0000}"/>
    <hyperlink ref="C2383" r:id="rId6663" xr:uid="{00000000-0004-0000-0000-0000841A0000}"/>
    <hyperlink ref="D2383" r:id="rId6664" xr:uid="{00000000-0004-0000-0000-0000851A0000}"/>
    <hyperlink ref="C2384" r:id="rId6665" xr:uid="{00000000-0004-0000-0000-0000861A0000}"/>
    <hyperlink ref="D2384" r:id="rId6666" xr:uid="{00000000-0004-0000-0000-0000871A0000}"/>
    <hyperlink ref="A2385" r:id="rId6667" xr:uid="{00000000-0004-0000-0000-0000881A0000}"/>
    <hyperlink ref="C2385" r:id="rId6668" xr:uid="{00000000-0004-0000-0000-0000891A0000}"/>
    <hyperlink ref="D2385" r:id="rId6669" xr:uid="{00000000-0004-0000-0000-00008A1A0000}"/>
    <hyperlink ref="A2386" r:id="rId6670" xr:uid="{00000000-0004-0000-0000-00008B1A0000}"/>
    <hyperlink ref="C2386" r:id="rId6671" xr:uid="{00000000-0004-0000-0000-00008C1A0000}"/>
    <hyperlink ref="D2386" r:id="rId6672" xr:uid="{00000000-0004-0000-0000-00008D1A0000}"/>
    <hyperlink ref="A2387" r:id="rId6673" xr:uid="{00000000-0004-0000-0000-00008E1A0000}"/>
    <hyperlink ref="C2387" r:id="rId6674" xr:uid="{00000000-0004-0000-0000-00008F1A0000}"/>
    <hyperlink ref="D2387" r:id="rId6675" xr:uid="{00000000-0004-0000-0000-0000901A0000}"/>
    <hyperlink ref="A2388" r:id="rId6676" xr:uid="{00000000-0004-0000-0000-0000911A0000}"/>
    <hyperlink ref="C2388" r:id="rId6677" xr:uid="{00000000-0004-0000-0000-0000921A0000}"/>
    <hyperlink ref="D2388" r:id="rId6678" xr:uid="{00000000-0004-0000-0000-0000931A0000}"/>
    <hyperlink ref="A2389" r:id="rId6679" xr:uid="{00000000-0004-0000-0000-0000941A0000}"/>
    <hyperlink ref="C2389" r:id="rId6680" xr:uid="{00000000-0004-0000-0000-0000951A0000}"/>
    <hyperlink ref="D2389" r:id="rId6681" xr:uid="{00000000-0004-0000-0000-0000961A0000}"/>
    <hyperlink ref="A2390" r:id="rId6682" xr:uid="{00000000-0004-0000-0000-0000971A0000}"/>
    <hyperlink ref="C2390" r:id="rId6683" xr:uid="{00000000-0004-0000-0000-0000981A0000}"/>
    <hyperlink ref="D2390" r:id="rId6684" xr:uid="{00000000-0004-0000-0000-0000991A0000}"/>
    <hyperlink ref="A2391" r:id="rId6685" xr:uid="{00000000-0004-0000-0000-00009A1A0000}"/>
    <hyperlink ref="C2391" r:id="rId6686" xr:uid="{00000000-0004-0000-0000-00009B1A0000}"/>
    <hyperlink ref="D2391" r:id="rId6687" xr:uid="{00000000-0004-0000-0000-00009C1A0000}"/>
    <hyperlink ref="C2392" r:id="rId6688" xr:uid="{00000000-0004-0000-0000-00009D1A0000}"/>
    <hyperlink ref="D2392" r:id="rId6689" xr:uid="{00000000-0004-0000-0000-00009E1A0000}"/>
    <hyperlink ref="C2393" r:id="rId6690" xr:uid="{00000000-0004-0000-0000-00009F1A0000}"/>
    <hyperlink ref="A2394" r:id="rId6691" xr:uid="{00000000-0004-0000-0000-0000A01A0000}"/>
    <hyperlink ref="C2394" r:id="rId6692" xr:uid="{00000000-0004-0000-0000-0000A11A0000}"/>
    <hyperlink ref="D2394" r:id="rId6693" xr:uid="{00000000-0004-0000-0000-0000A21A0000}"/>
    <hyperlink ref="A2395" r:id="rId6694" xr:uid="{00000000-0004-0000-0000-0000A31A0000}"/>
    <hyperlink ref="C2395" r:id="rId6695" xr:uid="{00000000-0004-0000-0000-0000A41A0000}"/>
    <hyperlink ref="D2395" r:id="rId6696" xr:uid="{00000000-0004-0000-0000-0000A51A0000}"/>
    <hyperlink ref="A2396" r:id="rId6697" xr:uid="{00000000-0004-0000-0000-0000A61A0000}"/>
    <hyperlink ref="C2396" r:id="rId6698" xr:uid="{00000000-0004-0000-0000-0000A71A0000}"/>
    <hyperlink ref="D2396" r:id="rId6699" xr:uid="{00000000-0004-0000-0000-0000A81A0000}"/>
    <hyperlink ref="C2397" r:id="rId6700" xr:uid="{00000000-0004-0000-0000-0000A91A0000}"/>
    <hyperlink ref="D2397" r:id="rId6701" xr:uid="{00000000-0004-0000-0000-0000AA1A0000}"/>
    <hyperlink ref="C2398" r:id="rId6702" xr:uid="{00000000-0004-0000-0000-0000AB1A0000}"/>
    <hyperlink ref="D2398" r:id="rId6703" xr:uid="{00000000-0004-0000-0000-0000AC1A0000}"/>
    <hyperlink ref="C2399" r:id="rId6704" xr:uid="{00000000-0004-0000-0000-0000AD1A0000}"/>
    <hyperlink ref="D2399" r:id="rId6705" xr:uid="{00000000-0004-0000-0000-0000AE1A0000}"/>
    <hyperlink ref="A2400" r:id="rId6706" xr:uid="{00000000-0004-0000-0000-0000AF1A0000}"/>
    <hyperlink ref="C2400" r:id="rId6707" xr:uid="{00000000-0004-0000-0000-0000B01A0000}"/>
    <hyperlink ref="D2400" r:id="rId6708" xr:uid="{00000000-0004-0000-0000-0000B11A0000}"/>
    <hyperlink ref="A2401" r:id="rId6709" xr:uid="{00000000-0004-0000-0000-0000B21A0000}"/>
    <hyperlink ref="C2401" r:id="rId6710" xr:uid="{00000000-0004-0000-0000-0000B31A0000}"/>
    <hyperlink ref="D2401" r:id="rId6711" xr:uid="{00000000-0004-0000-0000-0000B41A0000}"/>
    <hyperlink ref="C2402" r:id="rId6712" xr:uid="{00000000-0004-0000-0000-0000B51A0000}"/>
    <hyperlink ref="D2402" r:id="rId6713" xr:uid="{00000000-0004-0000-0000-0000B61A0000}"/>
    <hyperlink ref="A2403" r:id="rId6714" xr:uid="{00000000-0004-0000-0000-0000B71A0000}"/>
    <hyperlink ref="C2403" r:id="rId6715" xr:uid="{00000000-0004-0000-0000-0000B81A0000}"/>
    <hyperlink ref="D2403" r:id="rId6716" xr:uid="{00000000-0004-0000-0000-0000B91A0000}"/>
    <hyperlink ref="A2404" r:id="rId6717" xr:uid="{00000000-0004-0000-0000-0000BA1A0000}"/>
    <hyperlink ref="C2404" r:id="rId6718" xr:uid="{00000000-0004-0000-0000-0000BB1A0000}"/>
    <hyperlink ref="D2404" r:id="rId6719" xr:uid="{00000000-0004-0000-0000-0000BC1A0000}"/>
    <hyperlink ref="A2405" r:id="rId6720" xr:uid="{00000000-0004-0000-0000-0000BD1A0000}"/>
    <hyperlink ref="C2405" r:id="rId6721" xr:uid="{00000000-0004-0000-0000-0000BE1A0000}"/>
    <hyperlink ref="D2405" r:id="rId6722" xr:uid="{00000000-0004-0000-0000-0000BF1A0000}"/>
    <hyperlink ref="A2406" r:id="rId6723" xr:uid="{00000000-0004-0000-0000-0000C01A0000}"/>
    <hyperlink ref="C2406" r:id="rId6724" xr:uid="{00000000-0004-0000-0000-0000C11A0000}"/>
    <hyperlink ref="D2406" r:id="rId6725" xr:uid="{00000000-0004-0000-0000-0000C21A0000}"/>
    <hyperlink ref="A2407" r:id="rId6726" xr:uid="{00000000-0004-0000-0000-0000C31A0000}"/>
    <hyperlink ref="C2407" r:id="rId6727" xr:uid="{00000000-0004-0000-0000-0000C41A0000}"/>
    <hyperlink ref="D2407" r:id="rId6728" xr:uid="{00000000-0004-0000-0000-0000C51A0000}"/>
    <hyperlink ref="A2408" r:id="rId6729" xr:uid="{00000000-0004-0000-0000-0000C61A0000}"/>
    <hyperlink ref="C2408" r:id="rId6730" xr:uid="{00000000-0004-0000-0000-0000C71A0000}"/>
    <hyperlink ref="D2408" r:id="rId6731" xr:uid="{00000000-0004-0000-0000-0000C81A0000}"/>
    <hyperlink ref="A2409" r:id="rId6732" xr:uid="{00000000-0004-0000-0000-0000C91A0000}"/>
    <hyperlink ref="C2409" r:id="rId6733" xr:uid="{00000000-0004-0000-0000-0000CA1A0000}"/>
    <hyperlink ref="D2409" r:id="rId6734" xr:uid="{00000000-0004-0000-0000-0000CB1A0000}"/>
    <hyperlink ref="E2409" r:id="rId6735" xr:uid="{00000000-0004-0000-0000-0000CC1A0000}"/>
    <hyperlink ref="A2410" r:id="rId6736" xr:uid="{00000000-0004-0000-0000-0000CD1A0000}"/>
    <hyperlink ref="C2410" r:id="rId6737" xr:uid="{00000000-0004-0000-0000-0000CE1A0000}"/>
    <hyperlink ref="D2410" r:id="rId6738" xr:uid="{00000000-0004-0000-0000-0000CF1A0000}"/>
    <hyperlink ref="A2411" r:id="rId6739" xr:uid="{00000000-0004-0000-0000-0000D01A0000}"/>
    <hyperlink ref="C2411" r:id="rId6740" xr:uid="{00000000-0004-0000-0000-0000D11A0000}"/>
    <hyperlink ref="D2411" r:id="rId6741" xr:uid="{00000000-0004-0000-0000-0000D21A0000}"/>
    <hyperlink ref="A2412" r:id="rId6742" xr:uid="{00000000-0004-0000-0000-0000D31A0000}"/>
    <hyperlink ref="C2412" r:id="rId6743" xr:uid="{00000000-0004-0000-0000-0000D41A0000}"/>
    <hyperlink ref="D2412" r:id="rId6744" xr:uid="{00000000-0004-0000-0000-0000D51A0000}"/>
    <hyperlink ref="A2413" r:id="rId6745" xr:uid="{00000000-0004-0000-0000-0000D61A0000}"/>
    <hyperlink ref="C2413" r:id="rId6746" xr:uid="{00000000-0004-0000-0000-0000D71A0000}"/>
    <hyperlink ref="D2413" r:id="rId6747" xr:uid="{00000000-0004-0000-0000-0000D81A0000}"/>
    <hyperlink ref="A2414" r:id="rId6748" xr:uid="{00000000-0004-0000-0000-0000D91A0000}"/>
    <hyperlink ref="C2414" r:id="rId6749" xr:uid="{00000000-0004-0000-0000-0000DA1A0000}"/>
    <hyperlink ref="D2414" r:id="rId6750" xr:uid="{00000000-0004-0000-0000-0000DB1A0000}"/>
    <hyperlink ref="A2415" r:id="rId6751" xr:uid="{00000000-0004-0000-0000-0000DC1A0000}"/>
    <hyperlink ref="C2415" r:id="rId6752" xr:uid="{00000000-0004-0000-0000-0000DD1A0000}"/>
    <hyperlink ref="D2415" r:id="rId6753" xr:uid="{00000000-0004-0000-0000-0000DE1A0000}"/>
    <hyperlink ref="A2416" r:id="rId6754" xr:uid="{00000000-0004-0000-0000-0000DF1A0000}"/>
    <hyperlink ref="C2416" r:id="rId6755" xr:uid="{00000000-0004-0000-0000-0000E01A0000}"/>
    <hyperlink ref="D2416" r:id="rId6756" xr:uid="{00000000-0004-0000-0000-0000E11A0000}"/>
    <hyperlink ref="C2417" r:id="rId6757" xr:uid="{00000000-0004-0000-0000-0000E21A0000}"/>
    <hyperlink ref="D2417" r:id="rId6758" xr:uid="{00000000-0004-0000-0000-0000E31A0000}"/>
    <hyperlink ref="A2418" r:id="rId6759" xr:uid="{00000000-0004-0000-0000-0000E41A0000}"/>
    <hyperlink ref="C2418" r:id="rId6760" xr:uid="{00000000-0004-0000-0000-0000E51A0000}"/>
    <hyperlink ref="D2418" r:id="rId6761" xr:uid="{00000000-0004-0000-0000-0000E61A0000}"/>
    <hyperlink ref="A2419" r:id="rId6762" xr:uid="{00000000-0004-0000-0000-0000E71A0000}"/>
    <hyperlink ref="C2419" r:id="rId6763" xr:uid="{00000000-0004-0000-0000-0000E81A0000}"/>
    <hyperlink ref="D2419" r:id="rId6764" xr:uid="{00000000-0004-0000-0000-0000E91A0000}"/>
    <hyperlink ref="A2420" r:id="rId6765" xr:uid="{00000000-0004-0000-0000-0000EA1A0000}"/>
    <hyperlink ref="C2420" r:id="rId6766" xr:uid="{00000000-0004-0000-0000-0000EB1A0000}"/>
    <hyperlink ref="D2420" r:id="rId6767" xr:uid="{00000000-0004-0000-0000-0000EC1A0000}"/>
    <hyperlink ref="A2421" r:id="rId6768" xr:uid="{00000000-0004-0000-0000-0000ED1A0000}"/>
    <hyperlink ref="C2421" r:id="rId6769" xr:uid="{00000000-0004-0000-0000-0000EE1A0000}"/>
    <hyperlink ref="D2421" r:id="rId6770" xr:uid="{00000000-0004-0000-0000-0000EF1A0000}"/>
    <hyperlink ref="A2422" r:id="rId6771" xr:uid="{00000000-0004-0000-0000-0000F01A0000}"/>
    <hyperlink ref="A2426" r:id="rId6772" xr:uid="{00000000-0004-0000-0000-0000F11A0000}"/>
    <hyperlink ref="A2427" r:id="rId6773" xr:uid="{00000000-0004-0000-0000-0000F21A0000}"/>
    <hyperlink ref="C2427" r:id="rId6774" xr:uid="{00000000-0004-0000-0000-0000F31A0000}"/>
    <hyperlink ref="D2427" r:id="rId6775" xr:uid="{00000000-0004-0000-0000-0000F41A0000}"/>
    <hyperlink ref="A2428" r:id="rId6776" xr:uid="{00000000-0004-0000-0000-0000F51A0000}"/>
    <hyperlink ref="A2429" r:id="rId6777" xr:uid="{00000000-0004-0000-0000-0000F61A0000}"/>
    <hyperlink ref="A2430" r:id="rId6778" xr:uid="{00000000-0004-0000-0000-0000F71A0000}"/>
    <hyperlink ref="C2430" r:id="rId6779" xr:uid="{00000000-0004-0000-0000-0000F81A0000}"/>
    <hyperlink ref="D2430" r:id="rId6780" xr:uid="{00000000-0004-0000-0000-0000F91A0000}"/>
    <hyperlink ref="A2431" r:id="rId6781" xr:uid="{00000000-0004-0000-0000-0000FA1A0000}"/>
    <hyperlink ref="C2431" r:id="rId6782" xr:uid="{00000000-0004-0000-0000-0000FB1A0000}"/>
    <hyperlink ref="D2431" r:id="rId6783" xr:uid="{00000000-0004-0000-0000-0000FC1A0000}"/>
    <hyperlink ref="A2432" r:id="rId6784" xr:uid="{00000000-0004-0000-0000-0000FD1A0000}"/>
    <hyperlink ref="C2432" r:id="rId6785" xr:uid="{00000000-0004-0000-0000-0000FE1A0000}"/>
    <hyperlink ref="D2432" r:id="rId6786" xr:uid="{00000000-0004-0000-0000-0000FF1A0000}"/>
    <hyperlink ref="A2433" r:id="rId6787" xr:uid="{00000000-0004-0000-0000-0000001B0000}"/>
    <hyperlink ref="C2433" r:id="rId6788" xr:uid="{00000000-0004-0000-0000-0000011B0000}"/>
    <hyperlink ref="D2433" r:id="rId6789" xr:uid="{00000000-0004-0000-0000-0000021B0000}"/>
    <hyperlink ref="A2434" r:id="rId6790" xr:uid="{00000000-0004-0000-0000-0000031B0000}"/>
    <hyperlink ref="C2434" r:id="rId6791" xr:uid="{00000000-0004-0000-0000-0000041B0000}"/>
    <hyperlink ref="D2434" r:id="rId6792" xr:uid="{00000000-0004-0000-0000-0000051B0000}"/>
    <hyperlink ref="A2435" r:id="rId6793" xr:uid="{00000000-0004-0000-0000-0000061B0000}"/>
    <hyperlink ref="C2435" r:id="rId6794" xr:uid="{00000000-0004-0000-0000-0000071B0000}"/>
    <hyperlink ref="D2435" r:id="rId6795" xr:uid="{00000000-0004-0000-0000-0000081B0000}"/>
    <hyperlink ref="A2436" r:id="rId6796" xr:uid="{00000000-0004-0000-0000-0000091B0000}"/>
    <hyperlink ref="C2436" r:id="rId6797" xr:uid="{00000000-0004-0000-0000-00000A1B0000}"/>
    <hyperlink ref="D2436" r:id="rId6798" xr:uid="{00000000-0004-0000-0000-00000B1B0000}"/>
    <hyperlink ref="C2437" r:id="rId6799" xr:uid="{00000000-0004-0000-0000-00000C1B0000}"/>
    <hyperlink ref="D2437" r:id="rId6800" xr:uid="{00000000-0004-0000-0000-00000D1B0000}"/>
    <hyperlink ref="A2438" r:id="rId6801" xr:uid="{00000000-0004-0000-0000-00000E1B0000}"/>
    <hyperlink ref="C2438" r:id="rId6802" xr:uid="{00000000-0004-0000-0000-00000F1B0000}"/>
    <hyperlink ref="D2438" r:id="rId6803" xr:uid="{00000000-0004-0000-0000-0000101B0000}"/>
    <hyperlink ref="A2439" r:id="rId6804" xr:uid="{00000000-0004-0000-0000-0000111B0000}"/>
    <hyperlink ref="C2439" r:id="rId6805" xr:uid="{00000000-0004-0000-0000-0000121B0000}"/>
    <hyperlink ref="D2439" r:id="rId6806" xr:uid="{00000000-0004-0000-0000-0000131B0000}"/>
    <hyperlink ref="A2440" r:id="rId6807" xr:uid="{00000000-0004-0000-0000-0000141B0000}"/>
    <hyperlink ref="C2440" r:id="rId6808" xr:uid="{00000000-0004-0000-0000-0000151B0000}"/>
    <hyperlink ref="D2440" r:id="rId6809" xr:uid="{00000000-0004-0000-0000-0000161B0000}"/>
    <hyperlink ref="A2441" r:id="rId6810" xr:uid="{00000000-0004-0000-0000-0000171B0000}"/>
    <hyperlink ref="C2441" r:id="rId6811" xr:uid="{00000000-0004-0000-0000-0000181B0000}"/>
    <hyperlink ref="D2441" r:id="rId6812" xr:uid="{00000000-0004-0000-0000-0000191B0000}"/>
    <hyperlink ref="A2442" r:id="rId6813" xr:uid="{00000000-0004-0000-0000-00001A1B0000}"/>
    <hyperlink ref="C2442" r:id="rId6814" xr:uid="{00000000-0004-0000-0000-00001B1B0000}"/>
    <hyperlink ref="D2442" r:id="rId6815" xr:uid="{00000000-0004-0000-0000-00001C1B0000}"/>
    <hyperlink ref="A2443" r:id="rId6816" xr:uid="{00000000-0004-0000-0000-00001D1B0000}"/>
    <hyperlink ref="C2443" r:id="rId6817" xr:uid="{00000000-0004-0000-0000-00001E1B0000}"/>
    <hyperlink ref="D2443" r:id="rId6818" xr:uid="{00000000-0004-0000-0000-00001F1B0000}"/>
    <hyperlink ref="E2443" r:id="rId6819" xr:uid="{00000000-0004-0000-0000-0000201B0000}"/>
    <hyperlink ref="A2444" r:id="rId6820" xr:uid="{00000000-0004-0000-0000-0000211B0000}"/>
    <hyperlink ref="C2444" r:id="rId6821" xr:uid="{00000000-0004-0000-0000-0000221B0000}"/>
    <hyperlink ref="D2444" r:id="rId6822" xr:uid="{00000000-0004-0000-0000-0000231B0000}"/>
    <hyperlink ref="A2445" r:id="rId6823" xr:uid="{00000000-0004-0000-0000-0000241B0000}"/>
    <hyperlink ref="C2445" r:id="rId6824" xr:uid="{00000000-0004-0000-0000-0000251B0000}"/>
    <hyperlink ref="D2445" r:id="rId6825" xr:uid="{00000000-0004-0000-0000-0000261B0000}"/>
    <hyperlink ref="A2446" r:id="rId6826" xr:uid="{00000000-0004-0000-0000-0000271B0000}"/>
    <hyperlink ref="C2446" r:id="rId6827" xr:uid="{00000000-0004-0000-0000-0000281B0000}"/>
    <hyperlink ref="D2446" r:id="rId6828" xr:uid="{00000000-0004-0000-0000-0000291B0000}"/>
    <hyperlink ref="A2447" r:id="rId6829" xr:uid="{00000000-0004-0000-0000-00002A1B0000}"/>
    <hyperlink ref="C2447" r:id="rId6830" xr:uid="{00000000-0004-0000-0000-00002B1B0000}"/>
    <hyperlink ref="D2447" r:id="rId6831" xr:uid="{00000000-0004-0000-0000-00002C1B0000}"/>
    <hyperlink ref="A2448" r:id="rId6832" xr:uid="{00000000-0004-0000-0000-00002D1B0000}"/>
    <hyperlink ref="A2449" r:id="rId6833" xr:uid="{00000000-0004-0000-0000-00002E1B0000}"/>
    <hyperlink ref="A2450" r:id="rId6834" xr:uid="{00000000-0004-0000-0000-00002F1B0000}"/>
    <hyperlink ref="A2456" r:id="rId6835" xr:uid="{00000000-0004-0000-0000-0000301B0000}"/>
    <hyperlink ref="C2456" r:id="rId6836" xr:uid="{00000000-0004-0000-0000-0000311B0000}"/>
    <hyperlink ref="D2456" r:id="rId6837" xr:uid="{00000000-0004-0000-0000-0000321B0000}"/>
    <hyperlink ref="A2457" r:id="rId6838" xr:uid="{00000000-0004-0000-0000-0000331B0000}"/>
    <hyperlink ref="C2457" r:id="rId6839" xr:uid="{00000000-0004-0000-0000-0000341B0000}"/>
    <hyperlink ref="D2457" r:id="rId6840" xr:uid="{00000000-0004-0000-0000-0000351B0000}"/>
    <hyperlink ref="A2458" r:id="rId6841" xr:uid="{00000000-0004-0000-0000-0000361B0000}"/>
    <hyperlink ref="C2458" r:id="rId6842" xr:uid="{00000000-0004-0000-0000-0000371B0000}"/>
    <hyperlink ref="D2458" r:id="rId6843" xr:uid="{00000000-0004-0000-0000-0000381B0000}"/>
    <hyperlink ref="A2459" r:id="rId6844" xr:uid="{00000000-0004-0000-0000-0000391B0000}"/>
    <hyperlink ref="C2459" r:id="rId6845" xr:uid="{00000000-0004-0000-0000-00003A1B0000}"/>
    <hyperlink ref="D2459" r:id="rId6846" xr:uid="{00000000-0004-0000-0000-00003B1B0000}"/>
    <hyperlink ref="A2460" r:id="rId6847" xr:uid="{00000000-0004-0000-0000-00003C1B0000}"/>
    <hyperlink ref="C2460" r:id="rId6848" xr:uid="{00000000-0004-0000-0000-00003D1B0000}"/>
    <hyperlink ref="D2460" r:id="rId6849" xr:uid="{00000000-0004-0000-0000-00003E1B0000}"/>
    <hyperlink ref="A2461" r:id="rId6850" xr:uid="{00000000-0004-0000-0000-00003F1B0000}"/>
    <hyperlink ref="C2461" r:id="rId6851" xr:uid="{00000000-0004-0000-0000-0000401B0000}"/>
    <hyperlink ref="D2461" r:id="rId6852" xr:uid="{00000000-0004-0000-0000-0000411B0000}"/>
    <hyperlink ref="A2462" r:id="rId6853" xr:uid="{00000000-0004-0000-0000-0000421B0000}"/>
    <hyperlink ref="C2462" r:id="rId6854" xr:uid="{00000000-0004-0000-0000-0000431B0000}"/>
    <hyperlink ref="D2462" r:id="rId6855" xr:uid="{00000000-0004-0000-0000-0000441B0000}"/>
    <hyperlink ref="A2463" r:id="rId6856" xr:uid="{00000000-0004-0000-0000-0000451B0000}"/>
    <hyperlink ref="A2464" r:id="rId6857" xr:uid="{00000000-0004-0000-0000-0000461B0000}"/>
    <hyperlink ref="A2465" r:id="rId6858" xr:uid="{00000000-0004-0000-0000-0000471B0000}"/>
    <hyperlink ref="A2466" r:id="rId6859" xr:uid="{00000000-0004-0000-0000-0000481B0000}"/>
    <hyperlink ref="A2467" r:id="rId6860" xr:uid="{00000000-0004-0000-0000-0000491B0000}"/>
    <hyperlink ref="A2468" r:id="rId6861" xr:uid="{00000000-0004-0000-0000-00004A1B0000}"/>
    <hyperlink ref="C2468" r:id="rId6862" xr:uid="{00000000-0004-0000-0000-00004B1B0000}"/>
    <hyperlink ref="D2468" r:id="rId6863" xr:uid="{00000000-0004-0000-0000-00004C1B0000}"/>
    <hyperlink ref="A2469" r:id="rId6864" xr:uid="{00000000-0004-0000-0000-00004D1B0000}"/>
    <hyperlink ref="C2469" r:id="rId6865" xr:uid="{00000000-0004-0000-0000-00004E1B0000}"/>
    <hyperlink ref="D2469" r:id="rId6866" xr:uid="{00000000-0004-0000-0000-00004F1B0000}"/>
    <hyperlink ref="A2470" r:id="rId6867" xr:uid="{00000000-0004-0000-0000-0000501B0000}"/>
    <hyperlink ref="C2470" r:id="rId6868" xr:uid="{00000000-0004-0000-0000-0000511B0000}"/>
    <hyperlink ref="D2470" r:id="rId6869" xr:uid="{00000000-0004-0000-0000-0000521B0000}"/>
    <hyperlink ref="A2471" r:id="rId6870" xr:uid="{00000000-0004-0000-0000-0000531B0000}"/>
    <hyperlink ref="C2471" r:id="rId6871" xr:uid="{00000000-0004-0000-0000-0000541B0000}"/>
    <hyperlink ref="D2471" r:id="rId6872" xr:uid="{00000000-0004-0000-0000-0000551B0000}"/>
    <hyperlink ref="A2472" r:id="rId6873" xr:uid="{00000000-0004-0000-0000-0000561B0000}"/>
    <hyperlink ref="C2472" r:id="rId6874" xr:uid="{00000000-0004-0000-0000-0000571B0000}"/>
    <hyperlink ref="D2472" r:id="rId6875" xr:uid="{00000000-0004-0000-0000-0000581B0000}"/>
    <hyperlink ref="A2473" r:id="rId6876" xr:uid="{00000000-0004-0000-0000-0000591B0000}"/>
    <hyperlink ref="C2473" r:id="rId6877" xr:uid="{00000000-0004-0000-0000-00005A1B0000}"/>
    <hyperlink ref="D2473" r:id="rId6878" xr:uid="{00000000-0004-0000-0000-00005B1B0000}"/>
    <hyperlink ref="A2474" r:id="rId6879" xr:uid="{00000000-0004-0000-0000-00005C1B0000}"/>
    <hyperlink ref="C2474" r:id="rId6880" xr:uid="{00000000-0004-0000-0000-00005D1B0000}"/>
    <hyperlink ref="D2474" r:id="rId6881" xr:uid="{00000000-0004-0000-0000-00005E1B0000}"/>
    <hyperlink ref="A2475" r:id="rId6882" xr:uid="{00000000-0004-0000-0000-00005F1B0000}"/>
    <hyperlink ref="C2475" r:id="rId6883" xr:uid="{00000000-0004-0000-0000-0000601B0000}"/>
    <hyperlink ref="D2475" r:id="rId6884" xr:uid="{00000000-0004-0000-0000-0000611B0000}"/>
    <hyperlink ref="A2478" r:id="rId6885" xr:uid="{00000000-0004-0000-0000-0000621B0000}"/>
    <hyperlink ref="C2478" r:id="rId6886" xr:uid="{00000000-0004-0000-0000-0000631B0000}"/>
    <hyperlink ref="D2478" r:id="rId6887" xr:uid="{00000000-0004-0000-0000-0000641B0000}"/>
    <hyperlink ref="A2480" r:id="rId6888" xr:uid="{00000000-0004-0000-0000-0000651B0000}"/>
    <hyperlink ref="C2480" r:id="rId6889" xr:uid="{00000000-0004-0000-0000-0000661B0000}"/>
    <hyperlink ref="D2480" r:id="rId6890" xr:uid="{00000000-0004-0000-0000-0000671B0000}"/>
    <hyperlink ref="E2480" r:id="rId6891" xr:uid="{00000000-0004-0000-0000-0000681B0000}"/>
    <hyperlink ref="A2481" r:id="rId6892" xr:uid="{00000000-0004-0000-0000-0000691B0000}"/>
    <hyperlink ref="C2481" r:id="rId6893" xr:uid="{00000000-0004-0000-0000-00006A1B0000}"/>
    <hyperlink ref="D2481" r:id="rId6894" xr:uid="{00000000-0004-0000-0000-00006B1B0000}"/>
    <hyperlink ref="A2482" r:id="rId6895" xr:uid="{00000000-0004-0000-0000-00006C1B0000}"/>
    <hyperlink ref="A2483" r:id="rId6896" xr:uid="{00000000-0004-0000-0000-00006D1B0000}"/>
    <hyperlink ref="C2483" r:id="rId6897" xr:uid="{00000000-0004-0000-0000-00006E1B0000}"/>
    <hyperlink ref="D2483" r:id="rId6898" xr:uid="{00000000-0004-0000-0000-00006F1B0000}"/>
    <hyperlink ref="A2484" r:id="rId6899" xr:uid="{00000000-0004-0000-0000-0000701B0000}"/>
    <hyperlink ref="C2484" r:id="rId6900" xr:uid="{00000000-0004-0000-0000-0000711B0000}"/>
    <hyperlink ref="D2484" r:id="rId6901" xr:uid="{00000000-0004-0000-0000-0000721B0000}"/>
    <hyperlink ref="A2485" r:id="rId6902" xr:uid="{00000000-0004-0000-0000-0000731B0000}"/>
    <hyperlink ref="C2485" r:id="rId6903" xr:uid="{00000000-0004-0000-0000-0000741B0000}"/>
    <hyperlink ref="D2485" r:id="rId6904" xr:uid="{00000000-0004-0000-0000-0000751B0000}"/>
    <hyperlink ref="A2486" r:id="rId6905" xr:uid="{00000000-0004-0000-0000-0000761B0000}"/>
    <hyperlink ref="C2486" r:id="rId6906" xr:uid="{00000000-0004-0000-0000-0000771B0000}"/>
    <hyperlink ref="D2486" r:id="rId6907" xr:uid="{00000000-0004-0000-0000-0000781B0000}"/>
    <hyperlink ref="A2487" r:id="rId6908" xr:uid="{00000000-0004-0000-0000-0000791B0000}"/>
    <hyperlink ref="C2487" r:id="rId6909" xr:uid="{00000000-0004-0000-0000-00007A1B0000}"/>
    <hyperlink ref="D2487" r:id="rId6910" xr:uid="{00000000-0004-0000-0000-00007B1B0000}"/>
    <hyperlink ref="A2488" r:id="rId6911" xr:uid="{00000000-0004-0000-0000-00007C1B0000}"/>
    <hyperlink ref="C2488" r:id="rId6912" xr:uid="{00000000-0004-0000-0000-00007D1B0000}"/>
    <hyperlink ref="D2488" r:id="rId6913" xr:uid="{00000000-0004-0000-0000-00007E1B0000}"/>
    <hyperlink ref="A2489" r:id="rId6914" xr:uid="{00000000-0004-0000-0000-00007F1B0000}"/>
    <hyperlink ref="C2489" r:id="rId6915" xr:uid="{00000000-0004-0000-0000-0000801B0000}"/>
    <hyperlink ref="D2489" r:id="rId6916" xr:uid="{00000000-0004-0000-0000-0000811B0000}"/>
    <hyperlink ref="A2490" r:id="rId6917" xr:uid="{00000000-0004-0000-0000-0000821B0000}"/>
    <hyperlink ref="C2490" r:id="rId6918" xr:uid="{00000000-0004-0000-0000-0000831B0000}"/>
    <hyperlink ref="D2490" r:id="rId6919" xr:uid="{00000000-0004-0000-0000-0000841B0000}"/>
    <hyperlink ref="A2491" r:id="rId6920" xr:uid="{00000000-0004-0000-0000-0000851B0000}"/>
    <hyperlink ref="C2491" r:id="rId6921" xr:uid="{00000000-0004-0000-0000-0000861B0000}"/>
    <hyperlink ref="D2491" r:id="rId6922" xr:uid="{00000000-0004-0000-0000-0000871B0000}"/>
    <hyperlink ref="A2492" r:id="rId6923" xr:uid="{00000000-0004-0000-0000-0000881B0000}"/>
    <hyperlink ref="C2492" r:id="rId6924" xr:uid="{00000000-0004-0000-0000-0000891B0000}"/>
    <hyperlink ref="D2492" r:id="rId6925" xr:uid="{00000000-0004-0000-0000-00008A1B0000}"/>
    <hyperlink ref="A2493" r:id="rId6926" xr:uid="{00000000-0004-0000-0000-00008B1B0000}"/>
    <hyperlink ref="C2493" r:id="rId6927" xr:uid="{00000000-0004-0000-0000-00008C1B0000}"/>
    <hyperlink ref="D2493" r:id="rId6928" xr:uid="{00000000-0004-0000-0000-00008D1B0000}"/>
    <hyperlink ref="A2494" r:id="rId6929" xr:uid="{00000000-0004-0000-0000-00008E1B0000}"/>
    <hyperlink ref="C2494" r:id="rId6930" xr:uid="{00000000-0004-0000-0000-00008F1B0000}"/>
    <hyperlink ref="D2494" r:id="rId6931" xr:uid="{00000000-0004-0000-0000-0000901B0000}"/>
    <hyperlink ref="A2495" r:id="rId6932" xr:uid="{00000000-0004-0000-0000-0000911B0000}"/>
    <hyperlink ref="C2495" r:id="rId6933" xr:uid="{00000000-0004-0000-0000-0000921B0000}"/>
    <hyperlink ref="D2495" r:id="rId6934" xr:uid="{00000000-0004-0000-0000-0000931B0000}"/>
    <hyperlink ref="A2496" r:id="rId6935" xr:uid="{00000000-0004-0000-0000-0000941B0000}"/>
    <hyperlink ref="C2496" r:id="rId6936" xr:uid="{00000000-0004-0000-0000-0000951B0000}"/>
    <hyperlink ref="D2496" r:id="rId6937" xr:uid="{00000000-0004-0000-0000-0000961B0000}"/>
    <hyperlink ref="A2497" r:id="rId6938" xr:uid="{00000000-0004-0000-0000-0000971B0000}"/>
    <hyperlink ref="C2497" r:id="rId6939" xr:uid="{00000000-0004-0000-0000-0000981B0000}"/>
    <hyperlink ref="D2497" r:id="rId6940" xr:uid="{00000000-0004-0000-0000-0000991B0000}"/>
    <hyperlink ref="C2498" r:id="rId6941" xr:uid="{00000000-0004-0000-0000-00009A1B0000}"/>
    <hyperlink ref="D2498" r:id="rId6942" xr:uid="{00000000-0004-0000-0000-00009B1B0000}"/>
    <hyperlink ref="C2499" r:id="rId6943" xr:uid="{00000000-0004-0000-0000-00009C1B0000}"/>
    <hyperlink ref="D2499" r:id="rId6944" xr:uid="{00000000-0004-0000-0000-00009D1B0000}"/>
    <hyperlink ref="C2500" r:id="rId6945" xr:uid="{00000000-0004-0000-0000-00009E1B0000}"/>
    <hyperlink ref="D2500" r:id="rId6946" xr:uid="{00000000-0004-0000-0000-00009F1B0000}"/>
    <hyperlink ref="A2501" r:id="rId6947" xr:uid="{00000000-0004-0000-0000-0000A01B0000}"/>
    <hyperlink ref="C2501" r:id="rId6948" xr:uid="{00000000-0004-0000-0000-0000A11B0000}"/>
    <hyperlink ref="D2501" r:id="rId6949" xr:uid="{00000000-0004-0000-0000-0000A21B0000}"/>
    <hyperlink ref="C2502" r:id="rId6950" xr:uid="{00000000-0004-0000-0000-0000A31B0000}"/>
    <hyperlink ref="D2502" r:id="rId6951" xr:uid="{00000000-0004-0000-0000-0000A41B0000}"/>
    <hyperlink ref="A2503" r:id="rId6952" xr:uid="{00000000-0004-0000-0000-0000A51B0000}"/>
    <hyperlink ref="C2503" r:id="rId6953" xr:uid="{00000000-0004-0000-0000-0000A61B0000}"/>
    <hyperlink ref="D2503" r:id="rId6954" xr:uid="{00000000-0004-0000-0000-0000A71B0000}"/>
    <hyperlink ref="A2504" r:id="rId6955" xr:uid="{00000000-0004-0000-0000-0000A81B0000}"/>
    <hyperlink ref="C2504" r:id="rId6956" xr:uid="{00000000-0004-0000-0000-0000A91B0000}"/>
    <hyperlink ref="D2504" r:id="rId6957" xr:uid="{00000000-0004-0000-0000-0000AA1B0000}"/>
    <hyperlink ref="A2505" r:id="rId6958" xr:uid="{00000000-0004-0000-0000-0000AB1B0000}"/>
    <hyperlink ref="C2505" r:id="rId6959" xr:uid="{00000000-0004-0000-0000-0000AC1B0000}"/>
    <hyperlink ref="D2505" r:id="rId6960" xr:uid="{00000000-0004-0000-0000-0000AD1B0000}"/>
    <hyperlink ref="A2506" r:id="rId6961" xr:uid="{00000000-0004-0000-0000-0000AE1B0000}"/>
    <hyperlink ref="C2506" r:id="rId6962" xr:uid="{00000000-0004-0000-0000-0000AF1B0000}"/>
    <hyperlink ref="D2506" r:id="rId6963" xr:uid="{00000000-0004-0000-0000-0000B01B0000}"/>
    <hyperlink ref="A2507" r:id="rId6964" xr:uid="{00000000-0004-0000-0000-0000B11B0000}"/>
    <hyperlink ref="C2507" r:id="rId6965" xr:uid="{00000000-0004-0000-0000-0000B21B0000}"/>
    <hyperlink ref="D2507" r:id="rId6966" xr:uid="{00000000-0004-0000-0000-0000B31B0000}"/>
    <hyperlink ref="A2508" r:id="rId6967" xr:uid="{00000000-0004-0000-0000-0000B41B0000}"/>
    <hyperlink ref="C2508" r:id="rId6968" xr:uid="{00000000-0004-0000-0000-0000B51B0000}"/>
    <hyperlink ref="D2508" r:id="rId6969" xr:uid="{00000000-0004-0000-0000-0000B61B0000}"/>
    <hyperlink ref="A2509" r:id="rId6970" xr:uid="{00000000-0004-0000-0000-0000B71B0000}"/>
    <hyperlink ref="C2509" r:id="rId6971" xr:uid="{00000000-0004-0000-0000-0000B81B0000}"/>
    <hyperlink ref="D2509" r:id="rId6972" xr:uid="{00000000-0004-0000-0000-0000B91B0000}"/>
    <hyperlink ref="A2510" r:id="rId6973" xr:uid="{00000000-0004-0000-0000-0000BA1B0000}"/>
    <hyperlink ref="C2510" r:id="rId6974" xr:uid="{00000000-0004-0000-0000-0000BB1B0000}"/>
    <hyperlink ref="D2510" r:id="rId6975" xr:uid="{00000000-0004-0000-0000-0000BC1B0000}"/>
    <hyperlink ref="C2511" r:id="rId6976" xr:uid="{00000000-0004-0000-0000-0000BD1B0000}"/>
    <hyperlink ref="D2511" r:id="rId6977" xr:uid="{00000000-0004-0000-0000-0000BE1B0000}"/>
    <hyperlink ref="A2512" r:id="rId6978" xr:uid="{00000000-0004-0000-0000-0000BF1B0000}"/>
    <hyperlink ref="C2512" r:id="rId6979" xr:uid="{00000000-0004-0000-0000-0000C01B0000}"/>
    <hyperlink ref="D2512" r:id="rId6980" xr:uid="{00000000-0004-0000-0000-0000C11B0000}"/>
    <hyperlink ref="A2513" r:id="rId6981" xr:uid="{00000000-0004-0000-0000-0000C21B0000}"/>
    <hyperlink ref="C2513" r:id="rId6982" xr:uid="{00000000-0004-0000-0000-0000C31B0000}"/>
    <hyperlink ref="D2513" r:id="rId6983" xr:uid="{00000000-0004-0000-0000-0000C41B0000}"/>
    <hyperlink ref="C2514" r:id="rId6984" xr:uid="{00000000-0004-0000-0000-0000C51B0000}"/>
    <hyperlink ref="D2514" r:id="rId6985" xr:uid="{00000000-0004-0000-0000-0000C61B0000}"/>
    <hyperlink ref="A2515" r:id="rId6986" xr:uid="{00000000-0004-0000-0000-0000C71B0000}"/>
    <hyperlink ref="A2516" r:id="rId6987" xr:uid="{00000000-0004-0000-0000-0000C81B0000}"/>
    <hyperlink ref="A2519" r:id="rId6988" xr:uid="{00000000-0004-0000-0000-0000C91B0000}"/>
    <hyperlink ref="C2519" r:id="rId6989" xr:uid="{00000000-0004-0000-0000-0000CA1B0000}"/>
    <hyperlink ref="D2519" r:id="rId6990" xr:uid="{00000000-0004-0000-0000-0000CB1B0000}"/>
    <hyperlink ref="A2520" r:id="rId6991" xr:uid="{00000000-0004-0000-0000-0000CC1B0000}"/>
    <hyperlink ref="C2520" r:id="rId6992" xr:uid="{00000000-0004-0000-0000-0000CD1B0000}"/>
    <hyperlink ref="D2520" r:id="rId6993" xr:uid="{00000000-0004-0000-0000-0000CE1B0000}"/>
    <hyperlink ref="A2521" r:id="rId6994" xr:uid="{00000000-0004-0000-0000-0000CF1B0000}"/>
    <hyperlink ref="C2521" r:id="rId6995" xr:uid="{00000000-0004-0000-0000-0000D01B0000}"/>
    <hyperlink ref="D2521" r:id="rId6996" xr:uid="{00000000-0004-0000-0000-0000D11B0000}"/>
    <hyperlink ref="A2522" r:id="rId6997" xr:uid="{00000000-0004-0000-0000-0000D21B0000}"/>
    <hyperlink ref="C2522" r:id="rId6998" xr:uid="{00000000-0004-0000-0000-0000D31B0000}"/>
    <hyperlink ref="D2522" r:id="rId6999" xr:uid="{00000000-0004-0000-0000-0000D41B0000}"/>
    <hyperlink ref="A2523" r:id="rId7000" xr:uid="{00000000-0004-0000-0000-0000D51B0000}"/>
    <hyperlink ref="C2523" r:id="rId7001" xr:uid="{00000000-0004-0000-0000-0000D61B0000}"/>
    <hyperlink ref="D2523" r:id="rId7002" xr:uid="{00000000-0004-0000-0000-0000D71B0000}"/>
    <hyperlink ref="A2524" r:id="rId7003" xr:uid="{00000000-0004-0000-0000-0000D81B0000}"/>
    <hyperlink ref="C2524" r:id="rId7004" xr:uid="{00000000-0004-0000-0000-0000D91B0000}"/>
    <hyperlink ref="D2524" r:id="rId7005" xr:uid="{00000000-0004-0000-0000-0000DA1B0000}"/>
    <hyperlink ref="E2524" r:id="rId7006" xr:uid="{00000000-0004-0000-0000-0000DB1B0000}"/>
    <hyperlink ref="A2525" r:id="rId7007" xr:uid="{00000000-0004-0000-0000-0000DC1B0000}"/>
    <hyperlink ref="C2525" r:id="rId7008" xr:uid="{00000000-0004-0000-0000-0000DD1B0000}"/>
    <hyperlink ref="D2525" r:id="rId7009" xr:uid="{00000000-0004-0000-0000-0000DE1B0000}"/>
    <hyperlink ref="A2526" r:id="rId7010" xr:uid="{00000000-0004-0000-0000-0000DF1B0000}"/>
    <hyperlink ref="C2526" r:id="rId7011" xr:uid="{00000000-0004-0000-0000-0000E01B0000}"/>
    <hyperlink ref="D2526" r:id="rId7012" xr:uid="{00000000-0004-0000-0000-0000E11B0000}"/>
    <hyperlink ref="C2527" r:id="rId7013" xr:uid="{00000000-0004-0000-0000-0000E21B0000}"/>
    <hyperlink ref="D2527" r:id="rId7014" xr:uid="{00000000-0004-0000-0000-0000E31B0000}"/>
    <hyperlink ref="C2528" r:id="rId7015" xr:uid="{00000000-0004-0000-0000-0000E41B0000}"/>
    <hyperlink ref="D2528" r:id="rId7016" xr:uid="{00000000-0004-0000-0000-0000E51B0000}"/>
    <hyperlink ref="C2529" r:id="rId7017" xr:uid="{00000000-0004-0000-0000-0000E61B0000}"/>
    <hyperlink ref="D2529" r:id="rId7018" xr:uid="{00000000-0004-0000-0000-0000E71B0000}"/>
    <hyperlink ref="C2530" r:id="rId7019" xr:uid="{00000000-0004-0000-0000-0000E81B0000}"/>
    <hyperlink ref="D2530" r:id="rId7020" xr:uid="{00000000-0004-0000-0000-0000E91B0000}"/>
    <hyperlink ref="C2531" r:id="rId7021" xr:uid="{00000000-0004-0000-0000-0000EA1B0000}"/>
    <hyperlink ref="D2531" r:id="rId7022" xr:uid="{00000000-0004-0000-0000-0000EB1B0000}"/>
    <hyperlink ref="A2532" r:id="rId7023" xr:uid="{00000000-0004-0000-0000-0000EC1B0000}"/>
    <hyperlink ref="C2532" r:id="rId7024" xr:uid="{00000000-0004-0000-0000-0000ED1B0000}"/>
    <hyperlink ref="D2532" r:id="rId7025" xr:uid="{00000000-0004-0000-0000-0000EE1B0000}"/>
    <hyperlink ref="A2533" r:id="rId7026" xr:uid="{00000000-0004-0000-0000-0000EF1B0000}"/>
    <hyperlink ref="C2533" r:id="rId7027" xr:uid="{00000000-0004-0000-0000-0000F01B0000}"/>
    <hyperlink ref="D2533" r:id="rId7028" xr:uid="{00000000-0004-0000-0000-0000F11B0000}"/>
    <hyperlink ref="A2534" r:id="rId7029" xr:uid="{00000000-0004-0000-0000-0000F21B0000}"/>
    <hyperlink ref="C2534" r:id="rId7030" xr:uid="{00000000-0004-0000-0000-0000F31B0000}"/>
    <hyperlink ref="D2534" r:id="rId7031" xr:uid="{00000000-0004-0000-0000-0000F41B0000}"/>
    <hyperlink ref="A2535" r:id="rId7032" xr:uid="{00000000-0004-0000-0000-0000F51B0000}"/>
    <hyperlink ref="C2535" r:id="rId7033" xr:uid="{00000000-0004-0000-0000-0000F61B0000}"/>
    <hyperlink ref="D2535" r:id="rId7034" xr:uid="{00000000-0004-0000-0000-0000F71B0000}"/>
    <hyperlink ref="C2536" r:id="rId7035" xr:uid="{00000000-0004-0000-0000-0000F81B0000}"/>
    <hyperlink ref="D2536" r:id="rId7036" xr:uid="{00000000-0004-0000-0000-0000F91B0000}"/>
    <hyperlink ref="C2537" r:id="rId7037" xr:uid="{00000000-0004-0000-0000-0000FA1B0000}"/>
    <hyperlink ref="D2537" r:id="rId7038" xr:uid="{00000000-0004-0000-0000-0000FB1B0000}"/>
    <hyperlink ref="A2538" r:id="rId7039" xr:uid="{00000000-0004-0000-0000-0000FC1B0000}"/>
    <hyperlink ref="C2538" r:id="rId7040" xr:uid="{00000000-0004-0000-0000-0000FD1B0000}"/>
    <hyperlink ref="D2538" r:id="rId7041" xr:uid="{00000000-0004-0000-0000-0000FE1B0000}"/>
    <hyperlink ref="A2539" r:id="rId7042" xr:uid="{00000000-0004-0000-0000-0000FF1B0000}"/>
    <hyperlink ref="C2539" r:id="rId7043" xr:uid="{00000000-0004-0000-0000-0000001C0000}"/>
    <hyperlink ref="D2539" r:id="rId7044" xr:uid="{00000000-0004-0000-0000-0000011C0000}"/>
    <hyperlink ref="A2540" r:id="rId7045" xr:uid="{00000000-0004-0000-0000-0000021C0000}"/>
    <hyperlink ref="C2540" r:id="rId7046" xr:uid="{00000000-0004-0000-0000-0000031C0000}"/>
    <hyperlink ref="D2540" r:id="rId7047" xr:uid="{00000000-0004-0000-0000-0000041C0000}"/>
    <hyperlink ref="A2541" r:id="rId7048" xr:uid="{00000000-0004-0000-0000-0000051C0000}"/>
    <hyperlink ref="C2541" r:id="rId7049" xr:uid="{00000000-0004-0000-0000-0000061C0000}"/>
    <hyperlink ref="D2541" r:id="rId7050" xr:uid="{00000000-0004-0000-0000-0000071C0000}"/>
    <hyperlink ref="A2542" r:id="rId7051" xr:uid="{00000000-0004-0000-0000-0000081C0000}"/>
    <hyperlink ref="C2542" r:id="rId7052" xr:uid="{00000000-0004-0000-0000-0000091C0000}"/>
    <hyperlink ref="D2542" r:id="rId7053" xr:uid="{00000000-0004-0000-0000-00000A1C0000}"/>
    <hyperlink ref="A2543" r:id="rId7054" xr:uid="{00000000-0004-0000-0000-00000B1C0000}"/>
    <hyperlink ref="C2543" r:id="rId7055" xr:uid="{00000000-0004-0000-0000-00000C1C0000}"/>
    <hyperlink ref="D2543" r:id="rId7056" xr:uid="{00000000-0004-0000-0000-00000D1C0000}"/>
    <hyperlink ref="E2543" r:id="rId7057" xr:uid="{00000000-0004-0000-0000-00000E1C0000}"/>
    <hyperlink ref="C2544" r:id="rId7058" xr:uid="{00000000-0004-0000-0000-00000F1C0000}"/>
    <hyperlink ref="D2544" r:id="rId7059" xr:uid="{00000000-0004-0000-0000-0000101C0000}"/>
    <hyperlink ref="C2545" r:id="rId7060" xr:uid="{00000000-0004-0000-0000-0000111C0000}"/>
    <hyperlink ref="D2545" r:id="rId7061" xr:uid="{00000000-0004-0000-0000-0000121C0000}"/>
    <hyperlink ref="A2546" r:id="rId7062" xr:uid="{00000000-0004-0000-0000-0000131C0000}"/>
    <hyperlink ref="C2546" r:id="rId7063" xr:uid="{00000000-0004-0000-0000-0000141C0000}"/>
    <hyperlink ref="D2546" r:id="rId7064" xr:uid="{00000000-0004-0000-0000-0000151C0000}"/>
    <hyperlink ref="A2547" r:id="rId7065" xr:uid="{00000000-0004-0000-0000-0000161C0000}"/>
    <hyperlink ref="C2547" r:id="rId7066" xr:uid="{00000000-0004-0000-0000-0000171C0000}"/>
    <hyperlink ref="D2547" r:id="rId7067" xr:uid="{00000000-0004-0000-0000-0000181C0000}"/>
    <hyperlink ref="A2548" r:id="rId7068" xr:uid="{00000000-0004-0000-0000-0000191C0000}"/>
    <hyperlink ref="C2548" r:id="rId7069" xr:uid="{00000000-0004-0000-0000-00001A1C0000}"/>
    <hyperlink ref="D2548" r:id="rId7070" xr:uid="{00000000-0004-0000-0000-00001B1C0000}"/>
    <hyperlink ref="A2549" r:id="rId7071" xr:uid="{00000000-0004-0000-0000-00001C1C0000}"/>
    <hyperlink ref="C2549" r:id="rId7072" xr:uid="{00000000-0004-0000-0000-00001D1C0000}"/>
    <hyperlink ref="D2549" r:id="rId7073" xr:uid="{00000000-0004-0000-0000-00001E1C0000}"/>
    <hyperlink ref="E2549" r:id="rId7074" xr:uid="{00000000-0004-0000-0000-00001F1C0000}"/>
    <hyperlink ref="A2550" r:id="rId7075" xr:uid="{00000000-0004-0000-0000-0000201C0000}"/>
    <hyperlink ref="C2550" r:id="rId7076" xr:uid="{00000000-0004-0000-0000-0000211C0000}"/>
    <hyperlink ref="D2550" r:id="rId7077" xr:uid="{00000000-0004-0000-0000-0000221C0000}"/>
    <hyperlink ref="A2551" r:id="rId7078" xr:uid="{00000000-0004-0000-0000-0000231C0000}"/>
    <hyperlink ref="C2551" r:id="rId7079" xr:uid="{00000000-0004-0000-0000-0000241C0000}"/>
    <hyperlink ref="D2551" r:id="rId7080" xr:uid="{00000000-0004-0000-0000-0000251C0000}"/>
    <hyperlink ref="A2552" r:id="rId7081" xr:uid="{00000000-0004-0000-0000-0000261C0000}"/>
    <hyperlink ref="C2552" r:id="rId7082" xr:uid="{00000000-0004-0000-0000-0000271C0000}"/>
    <hyperlink ref="D2552" r:id="rId7083" xr:uid="{00000000-0004-0000-0000-0000281C0000}"/>
    <hyperlink ref="A2553" r:id="rId7084" xr:uid="{00000000-0004-0000-0000-0000291C0000}"/>
    <hyperlink ref="A2554" r:id="rId7085" xr:uid="{00000000-0004-0000-0000-00002A1C0000}"/>
    <hyperlink ref="C2554" r:id="rId7086" xr:uid="{00000000-0004-0000-0000-00002B1C0000}"/>
    <hyperlink ref="D2554" r:id="rId7087" xr:uid="{00000000-0004-0000-0000-00002C1C0000}"/>
    <hyperlink ref="A2555" r:id="rId7088" xr:uid="{00000000-0004-0000-0000-00002D1C0000}"/>
    <hyperlink ref="C2555" r:id="rId7089" xr:uid="{00000000-0004-0000-0000-00002E1C0000}"/>
    <hyperlink ref="D2555" r:id="rId7090" xr:uid="{00000000-0004-0000-0000-00002F1C0000}"/>
    <hyperlink ref="A2556" r:id="rId7091" xr:uid="{00000000-0004-0000-0000-0000301C0000}"/>
    <hyperlink ref="C2556" r:id="rId7092" xr:uid="{00000000-0004-0000-0000-0000311C0000}"/>
    <hyperlink ref="D2556" r:id="rId7093" xr:uid="{00000000-0004-0000-0000-0000321C0000}"/>
    <hyperlink ref="A2557" r:id="rId7094" xr:uid="{00000000-0004-0000-0000-0000331C0000}"/>
    <hyperlink ref="A2558" r:id="rId7095" xr:uid="{00000000-0004-0000-0000-0000341C0000}"/>
    <hyperlink ref="A2559" r:id="rId7096" xr:uid="{00000000-0004-0000-0000-0000351C0000}"/>
    <hyperlink ref="A2562" r:id="rId7097" xr:uid="{00000000-0004-0000-0000-0000361C0000}"/>
    <hyperlink ref="C2562" r:id="rId7098" xr:uid="{00000000-0004-0000-0000-0000371C0000}"/>
    <hyperlink ref="D2562" r:id="rId7099" xr:uid="{00000000-0004-0000-0000-0000381C0000}"/>
    <hyperlink ref="E2562" r:id="rId7100" xr:uid="{00000000-0004-0000-0000-0000391C0000}"/>
    <hyperlink ref="A2563" r:id="rId7101" xr:uid="{00000000-0004-0000-0000-00003A1C0000}"/>
    <hyperlink ref="C2563" r:id="rId7102" xr:uid="{00000000-0004-0000-0000-00003B1C0000}"/>
    <hyperlink ref="D2563" r:id="rId7103" xr:uid="{00000000-0004-0000-0000-00003C1C0000}"/>
    <hyperlink ref="A2564" r:id="rId7104" xr:uid="{00000000-0004-0000-0000-00003D1C0000}"/>
    <hyperlink ref="C2564" r:id="rId7105" xr:uid="{00000000-0004-0000-0000-00003E1C0000}"/>
    <hyperlink ref="D2564" r:id="rId7106" xr:uid="{00000000-0004-0000-0000-00003F1C0000}"/>
    <hyperlink ref="C2566" r:id="rId7107" xr:uid="{00000000-0004-0000-0000-0000401C0000}"/>
    <hyperlink ref="D2566" r:id="rId7108" xr:uid="{00000000-0004-0000-0000-0000411C0000}"/>
    <hyperlink ref="E2566" r:id="rId7109" xr:uid="{00000000-0004-0000-0000-0000421C0000}"/>
    <hyperlink ref="A2568" r:id="rId7110" xr:uid="{00000000-0004-0000-0000-0000431C0000}"/>
    <hyperlink ref="C2568" r:id="rId7111" xr:uid="{00000000-0004-0000-0000-0000441C0000}"/>
    <hyperlink ref="D2568" r:id="rId7112" xr:uid="{00000000-0004-0000-0000-0000451C0000}"/>
    <hyperlink ref="A2571" r:id="rId7113" xr:uid="{00000000-0004-0000-0000-0000461C0000}"/>
    <hyperlink ref="C2571" r:id="rId7114" xr:uid="{00000000-0004-0000-0000-0000471C0000}"/>
    <hyperlink ref="D2571" r:id="rId7115" xr:uid="{00000000-0004-0000-0000-0000481C0000}"/>
    <hyperlink ref="A2572" r:id="rId7116" xr:uid="{00000000-0004-0000-0000-0000491C0000}"/>
    <hyperlink ref="C2572" r:id="rId7117" xr:uid="{00000000-0004-0000-0000-00004A1C0000}"/>
    <hyperlink ref="D2572" r:id="rId7118" xr:uid="{00000000-0004-0000-0000-00004B1C0000}"/>
    <hyperlink ref="A2573" r:id="rId7119" xr:uid="{00000000-0004-0000-0000-00004C1C0000}"/>
    <hyperlink ref="C2573" r:id="rId7120" xr:uid="{00000000-0004-0000-0000-00004D1C0000}"/>
    <hyperlink ref="D2573" r:id="rId7121" xr:uid="{00000000-0004-0000-0000-00004E1C0000}"/>
    <hyperlink ref="A2574" r:id="rId7122" xr:uid="{00000000-0004-0000-0000-00004F1C0000}"/>
    <hyperlink ref="C2574" r:id="rId7123" xr:uid="{00000000-0004-0000-0000-0000501C0000}"/>
    <hyperlink ref="D2574" r:id="rId7124" xr:uid="{00000000-0004-0000-0000-0000511C0000}"/>
    <hyperlink ref="A2575" r:id="rId7125" xr:uid="{00000000-0004-0000-0000-0000521C0000}"/>
    <hyperlink ref="C2575" r:id="rId7126" xr:uid="{00000000-0004-0000-0000-0000531C0000}"/>
    <hyperlink ref="D2575" r:id="rId7127" xr:uid="{00000000-0004-0000-0000-0000541C0000}"/>
    <hyperlink ref="C2576" r:id="rId7128" xr:uid="{00000000-0004-0000-0000-0000551C0000}"/>
    <hyperlink ref="D2576" r:id="rId7129" xr:uid="{00000000-0004-0000-0000-0000561C0000}"/>
    <hyperlink ref="A2577" r:id="rId7130" xr:uid="{00000000-0004-0000-0000-0000571C0000}"/>
    <hyperlink ref="C2577" r:id="rId7131" xr:uid="{00000000-0004-0000-0000-0000581C0000}"/>
    <hyperlink ref="D2577" r:id="rId7132" xr:uid="{00000000-0004-0000-0000-0000591C0000}"/>
    <hyperlink ref="A2578" r:id="rId7133" xr:uid="{00000000-0004-0000-0000-00005A1C0000}"/>
    <hyperlink ref="C2578" r:id="rId7134" xr:uid="{00000000-0004-0000-0000-00005B1C0000}"/>
    <hyperlink ref="D2578" r:id="rId7135" xr:uid="{00000000-0004-0000-0000-00005C1C0000}"/>
    <hyperlink ref="A2579" r:id="rId7136" xr:uid="{00000000-0004-0000-0000-00005D1C0000}"/>
    <hyperlink ref="C2579" r:id="rId7137" xr:uid="{00000000-0004-0000-0000-00005E1C0000}"/>
    <hyperlink ref="D2579" r:id="rId7138" xr:uid="{00000000-0004-0000-0000-00005F1C0000}"/>
    <hyperlink ref="A2580" r:id="rId7139" xr:uid="{00000000-0004-0000-0000-0000601C0000}"/>
    <hyperlink ref="C2580" r:id="rId7140" xr:uid="{00000000-0004-0000-0000-0000611C0000}"/>
    <hyperlink ref="D2580" r:id="rId7141" xr:uid="{00000000-0004-0000-0000-0000621C0000}"/>
    <hyperlink ref="A2581" r:id="rId7142" xr:uid="{00000000-0004-0000-0000-0000631C0000}"/>
    <hyperlink ref="C2581" r:id="rId7143" xr:uid="{00000000-0004-0000-0000-0000641C0000}"/>
    <hyperlink ref="D2581" r:id="rId7144" xr:uid="{00000000-0004-0000-0000-0000651C0000}"/>
    <hyperlink ref="A2582" r:id="rId7145" xr:uid="{00000000-0004-0000-0000-0000661C0000}"/>
    <hyperlink ref="C2582" r:id="rId7146" xr:uid="{00000000-0004-0000-0000-0000671C0000}"/>
    <hyperlink ref="D2582" r:id="rId7147" xr:uid="{00000000-0004-0000-0000-0000681C0000}"/>
    <hyperlink ref="A2583" r:id="rId7148" xr:uid="{00000000-0004-0000-0000-0000691C0000}"/>
    <hyperlink ref="C2583" r:id="rId7149" xr:uid="{00000000-0004-0000-0000-00006A1C0000}"/>
    <hyperlink ref="D2583" r:id="rId7150" xr:uid="{00000000-0004-0000-0000-00006B1C0000}"/>
    <hyperlink ref="A2584" r:id="rId7151" xr:uid="{00000000-0004-0000-0000-00006C1C0000}"/>
    <hyperlink ref="C2584" r:id="rId7152" xr:uid="{00000000-0004-0000-0000-00006D1C0000}"/>
    <hyperlink ref="D2584" r:id="rId7153" xr:uid="{00000000-0004-0000-0000-00006E1C0000}"/>
    <hyperlink ref="A2585" r:id="rId7154" xr:uid="{00000000-0004-0000-0000-00006F1C0000}"/>
    <hyperlink ref="C2585" r:id="rId7155" xr:uid="{00000000-0004-0000-0000-0000701C0000}"/>
    <hyperlink ref="D2585" r:id="rId7156" xr:uid="{00000000-0004-0000-0000-0000711C0000}"/>
    <hyperlink ref="C2586" r:id="rId7157" xr:uid="{00000000-0004-0000-0000-0000721C0000}"/>
    <hyperlink ref="D2586" r:id="rId7158" xr:uid="{00000000-0004-0000-0000-0000731C0000}"/>
    <hyperlink ref="C2587" r:id="rId7159" xr:uid="{00000000-0004-0000-0000-0000741C0000}"/>
    <hyperlink ref="A2588" r:id="rId7160" xr:uid="{00000000-0004-0000-0000-0000751C0000}"/>
    <hyperlink ref="C2588" r:id="rId7161" xr:uid="{00000000-0004-0000-0000-0000761C0000}"/>
    <hyperlink ref="D2588" r:id="rId7162" xr:uid="{00000000-0004-0000-0000-0000771C0000}"/>
    <hyperlink ref="A2589" r:id="rId7163" xr:uid="{00000000-0004-0000-0000-0000781C0000}"/>
    <hyperlink ref="C2589" r:id="rId7164" xr:uid="{00000000-0004-0000-0000-0000791C0000}"/>
    <hyperlink ref="D2589" r:id="rId7165" xr:uid="{00000000-0004-0000-0000-00007A1C0000}"/>
    <hyperlink ref="A2590" r:id="rId7166" xr:uid="{00000000-0004-0000-0000-00007B1C0000}"/>
    <hyperlink ref="C2590" r:id="rId7167" xr:uid="{00000000-0004-0000-0000-00007C1C0000}"/>
    <hyperlink ref="D2590" r:id="rId7168" xr:uid="{00000000-0004-0000-0000-00007D1C0000}"/>
    <hyperlink ref="C2591" r:id="rId7169" xr:uid="{00000000-0004-0000-0000-00007E1C0000}"/>
    <hyperlink ref="D2591" r:id="rId7170" xr:uid="{00000000-0004-0000-0000-00007F1C0000}"/>
    <hyperlink ref="A2592" r:id="rId7171" xr:uid="{00000000-0004-0000-0000-0000801C0000}"/>
    <hyperlink ref="C2592" r:id="rId7172" xr:uid="{00000000-0004-0000-0000-0000811C0000}"/>
    <hyperlink ref="D2592" r:id="rId7173" xr:uid="{00000000-0004-0000-0000-0000821C0000}"/>
    <hyperlink ref="A2593" r:id="rId7174" xr:uid="{00000000-0004-0000-0000-0000831C0000}"/>
    <hyperlink ref="C2593" r:id="rId7175" xr:uid="{00000000-0004-0000-0000-0000841C0000}"/>
    <hyperlink ref="D2593" r:id="rId7176" xr:uid="{00000000-0004-0000-0000-0000851C0000}"/>
    <hyperlink ref="C2594" r:id="rId7177" xr:uid="{00000000-0004-0000-0000-0000861C0000}"/>
    <hyperlink ref="D2594" r:id="rId7178" xr:uid="{00000000-0004-0000-0000-0000871C0000}"/>
    <hyperlink ref="A2595" r:id="rId7179" xr:uid="{00000000-0004-0000-0000-0000881C0000}"/>
    <hyperlink ref="C2595" r:id="rId7180" xr:uid="{00000000-0004-0000-0000-0000891C0000}"/>
    <hyperlink ref="D2595" r:id="rId7181" xr:uid="{00000000-0004-0000-0000-00008A1C0000}"/>
    <hyperlink ref="A2596" r:id="rId7182" xr:uid="{00000000-0004-0000-0000-00008B1C0000}"/>
    <hyperlink ref="C2596" r:id="rId7183" xr:uid="{00000000-0004-0000-0000-00008C1C0000}"/>
    <hyperlink ref="D2596" r:id="rId7184" xr:uid="{00000000-0004-0000-0000-00008D1C0000}"/>
    <hyperlink ref="A2597" r:id="rId7185" xr:uid="{00000000-0004-0000-0000-00008E1C0000}"/>
    <hyperlink ref="C2597" r:id="rId7186" xr:uid="{00000000-0004-0000-0000-00008F1C0000}"/>
    <hyperlink ref="D2597" r:id="rId7187" xr:uid="{00000000-0004-0000-0000-0000901C0000}"/>
    <hyperlink ref="E2597" r:id="rId7188" xr:uid="{00000000-0004-0000-0000-0000911C0000}"/>
    <hyperlink ref="A2598" r:id="rId7189" xr:uid="{00000000-0004-0000-0000-0000921C0000}"/>
    <hyperlink ref="C2598" r:id="rId7190" xr:uid="{00000000-0004-0000-0000-0000931C0000}"/>
    <hyperlink ref="D2598" r:id="rId7191" xr:uid="{00000000-0004-0000-0000-0000941C0000}"/>
    <hyperlink ref="A2599" r:id="rId7192" xr:uid="{00000000-0004-0000-0000-0000951C0000}"/>
    <hyperlink ref="C2599" r:id="rId7193" xr:uid="{00000000-0004-0000-0000-0000961C0000}"/>
    <hyperlink ref="D2599" r:id="rId7194" xr:uid="{00000000-0004-0000-0000-0000971C0000}"/>
    <hyperlink ref="A2600" r:id="rId7195" xr:uid="{00000000-0004-0000-0000-0000981C0000}"/>
    <hyperlink ref="C2600" r:id="rId7196" xr:uid="{00000000-0004-0000-0000-0000991C0000}"/>
    <hyperlink ref="D2600" r:id="rId7197" xr:uid="{00000000-0004-0000-0000-00009A1C0000}"/>
    <hyperlink ref="A2601" r:id="rId7198" xr:uid="{00000000-0004-0000-0000-00009B1C0000}"/>
    <hyperlink ref="C2601" r:id="rId7199" xr:uid="{00000000-0004-0000-0000-00009C1C0000}"/>
    <hyperlink ref="D2601" r:id="rId7200" xr:uid="{00000000-0004-0000-0000-00009D1C0000}"/>
    <hyperlink ref="A2602" r:id="rId7201" xr:uid="{00000000-0004-0000-0000-00009E1C0000}"/>
    <hyperlink ref="C2602" r:id="rId7202" xr:uid="{00000000-0004-0000-0000-00009F1C0000}"/>
    <hyperlink ref="D2602" r:id="rId7203" xr:uid="{00000000-0004-0000-0000-0000A01C0000}"/>
    <hyperlink ref="A2603" r:id="rId7204" xr:uid="{00000000-0004-0000-0000-0000A11C0000}"/>
    <hyperlink ref="C2603" r:id="rId7205" xr:uid="{00000000-0004-0000-0000-0000A21C0000}"/>
    <hyperlink ref="D2603" r:id="rId7206" xr:uid="{00000000-0004-0000-0000-0000A31C0000}"/>
    <hyperlink ref="A2604" r:id="rId7207" xr:uid="{00000000-0004-0000-0000-0000A41C0000}"/>
    <hyperlink ref="C2604" r:id="rId7208" xr:uid="{00000000-0004-0000-0000-0000A51C0000}"/>
    <hyperlink ref="D2604" r:id="rId7209" xr:uid="{00000000-0004-0000-0000-0000A61C0000}"/>
    <hyperlink ref="A2605" r:id="rId7210" xr:uid="{00000000-0004-0000-0000-0000A71C0000}"/>
    <hyperlink ref="C2605" r:id="rId7211" xr:uid="{00000000-0004-0000-0000-0000A81C0000}"/>
    <hyperlink ref="D2605" r:id="rId7212" xr:uid="{00000000-0004-0000-0000-0000A91C0000}"/>
    <hyperlink ref="A2606" r:id="rId7213" xr:uid="{00000000-0004-0000-0000-0000AA1C0000}"/>
    <hyperlink ref="C2606" r:id="rId7214" xr:uid="{00000000-0004-0000-0000-0000AB1C0000}"/>
    <hyperlink ref="D2606" r:id="rId7215" xr:uid="{00000000-0004-0000-0000-0000AC1C0000}"/>
    <hyperlink ref="A2607" r:id="rId7216" xr:uid="{00000000-0004-0000-0000-0000AD1C0000}"/>
    <hyperlink ref="C2607" r:id="rId7217" xr:uid="{00000000-0004-0000-0000-0000AE1C0000}"/>
    <hyperlink ref="D2607" r:id="rId7218" xr:uid="{00000000-0004-0000-0000-0000AF1C0000}"/>
    <hyperlink ref="A2608" r:id="rId7219" xr:uid="{00000000-0004-0000-0000-0000B01C0000}"/>
    <hyperlink ref="C2608" r:id="rId7220" xr:uid="{00000000-0004-0000-0000-0000B11C0000}"/>
    <hyperlink ref="D2608" r:id="rId7221" xr:uid="{00000000-0004-0000-0000-0000B21C0000}"/>
    <hyperlink ref="A2609" r:id="rId7222" xr:uid="{00000000-0004-0000-0000-0000B31C0000}"/>
    <hyperlink ref="C2609" r:id="rId7223" xr:uid="{00000000-0004-0000-0000-0000B41C0000}"/>
    <hyperlink ref="D2609" r:id="rId7224" xr:uid="{00000000-0004-0000-0000-0000B51C0000}"/>
    <hyperlink ref="A2610" r:id="rId7225" xr:uid="{00000000-0004-0000-0000-0000B61C0000}"/>
    <hyperlink ref="C2610" r:id="rId7226" xr:uid="{00000000-0004-0000-0000-0000B71C0000}"/>
    <hyperlink ref="D2610" r:id="rId7227" xr:uid="{00000000-0004-0000-0000-0000B81C0000}"/>
    <hyperlink ref="A2611" r:id="rId7228" xr:uid="{00000000-0004-0000-0000-0000B91C0000}"/>
    <hyperlink ref="C2611" r:id="rId7229" xr:uid="{00000000-0004-0000-0000-0000BA1C0000}"/>
    <hyperlink ref="D2611" r:id="rId7230" xr:uid="{00000000-0004-0000-0000-0000BB1C0000}"/>
    <hyperlink ref="A2612" r:id="rId7231" xr:uid="{00000000-0004-0000-0000-0000BC1C0000}"/>
    <hyperlink ref="C2612" r:id="rId7232" xr:uid="{00000000-0004-0000-0000-0000BD1C0000}"/>
    <hyperlink ref="D2612" r:id="rId7233" xr:uid="{00000000-0004-0000-0000-0000BE1C0000}"/>
    <hyperlink ref="A2613" r:id="rId7234" xr:uid="{00000000-0004-0000-0000-0000BF1C0000}"/>
    <hyperlink ref="A2614" r:id="rId7235" xr:uid="{00000000-0004-0000-0000-0000C01C0000}"/>
    <hyperlink ref="C2614" r:id="rId7236" xr:uid="{00000000-0004-0000-0000-0000C11C0000}"/>
    <hyperlink ref="D2614" r:id="rId7237" xr:uid="{00000000-0004-0000-0000-0000C21C0000}"/>
    <hyperlink ref="A2615" r:id="rId7238" xr:uid="{00000000-0004-0000-0000-0000C31C0000}"/>
    <hyperlink ref="C2615" r:id="rId7239" xr:uid="{00000000-0004-0000-0000-0000C41C0000}"/>
    <hyperlink ref="D2615" r:id="rId7240" xr:uid="{00000000-0004-0000-0000-0000C51C0000}"/>
    <hyperlink ref="A2616" r:id="rId7241" xr:uid="{00000000-0004-0000-0000-0000C61C0000}"/>
    <hyperlink ref="C2616" r:id="rId7242" xr:uid="{00000000-0004-0000-0000-0000C71C0000}"/>
    <hyperlink ref="D2616" r:id="rId7243" xr:uid="{00000000-0004-0000-0000-0000C81C0000}"/>
    <hyperlink ref="A2617" r:id="rId7244" xr:uid="{00000000-0004-0000-0000-0000C91C0000}"/>
    <hyperlink ref="C2617" r:id="rId7245" xr:uid="{00000000-0004-0000-0000-0000CA1C0000}"/>
    <hyperlink ref="D2617" r:id="rId7246" xr:uid="{00000000-0004-0000-0000-0000CB1C0000}"/>
    <hyperlink ref="A2618" r:id="rId7247" xr:uid="{00000000-0004-0000-0000-0000CC1C0000}"/>
    <hyperlink ref="C2618" r:id="rId7248" xr:uid="{00000000-0004-0000-0000-0000CD1C0000}"/>
    <hyperlink ref="D2618" r:id="rId7249" xr:uid="{00000000-0004-0000-0000-0000CE1C0000}"/>
    <hyperlink ref="A2619" r:id="rId7250" xr:uid="{00000000-0004-0000-0000-0000CF1C0000}"/>
    <hyperlink ref="C2619" r:id="rId7251" xr:uid="{00000000-0004-0000-0000-0000D01C0000}"/>
    <hyperlink ref="D2619" r:id="rId7252" xr:uid="{00000000-0004-0000-0000-0000D11C0000}"/>
    <hyperlink ref="A2620" r:id="rId7253" xr:uid="{00000000-0004-0000-0000-0000D21C0000}"/>
    <hyperlink ref="C2620" r:id="rId7254" xr:uid="{00000000-0004-0000-0000-0000D31C0000}"/>
    <hyperlink ref="D2620" r:id="rId7255" xr:uid="{00000000-0004-0000-0000-0000D41C0000}"/>
    <hyperlink ref="A2621" r:id="rId7256" xr:uid="{00000000-0004-0000-0000-0000D51C0000}"/>
    <hyperlink ref="C2621" r:id="rId7257" xr:uid="{00000000-0004-0000-0000-0000D61C0000}"/>
    <hyperlink ref="D2621" r:id="rId7258" xr:uid="{00000000-0004-0000-0000-0000D71C0000}"/>
    <hyperlink ref="A2622" r:id="rId7259" xr:uid="{00000000-0004-0000-0000-0000D81C0000}"/>
    <hyperlink ref="C2622" r:id="rId7260" xr:uid="{00000000-0004-0000-0000-0000D91C0000}"/>
    <hyperlink ref="D2622" r:id="rId7261" xr:uid="{00000000-0004-0000-0000-0000DA1C0000}"/>
    <hyperlink ref="A2623" r:id="rId7262" xr:uid="{00000000-0004-0000-0000-0000DB1C0000}"/>
    <hyperlink ref="C2623" r:id="rId7263" xr:uid="{00000000-0004-0000-0000-0000DC1C0000}"/>
    <hyperlink ref="D2623" r:id="rId7264" xr:uid="{00000000-0004-0000-0000-0000DD1C0000}"/>
    <hyperlink ref="A2624" r:id="rId7265" xr:uid="{00000000-0004-0000-0000-0000DE1C0000}"/>
    <hyperlink ref="C2624" r:id="rId7266" xr:uid="{00000000-0004-0000-0000-0000DF1C0000}"/>
    <hyperlink ref="D2624" r:id="rId7267" xr:uid="{00000000-0004-0000-0000-0000E01C0000}"/>
    <hyperlink ref="A2625" r:id="rId7268" xr:uid="{00000000-0004-0000-0000-0000E11C0000}"/>
    <hyperlink ref="C2625" r:id="rId7269" xr:uid="{00000000-0004-0000-0000-0000E21C0000}"/>
    <hyperlink ref="D2625" r:id="rId7270" xr:uid="{00000000-0004-0000-0000-0000E31C0000}"/>
    <hyperlink ref="A2627" r:id="rId7271" xr:uid="{00000000-0004-0000-0000-0000E41C0000}"/>
    <hyperlink ref="C2629" r:id="rId7272" xr:uid="{00000000-0004-0000-0000-0000E51C0000}"/>
    <hyperlink ref="D2629" r:id="rId7273" xr:uid="{00000000-0004-0000-0000-0000E61C0000}"/>
    <hyperlink ref="A2630" r:id="rId7274" xr:uid="{00000000-0004-0000-0000-0000E71C0000}"/>
    <hyperlink ref="C2630" r:id="rId7275" xr:uid="{00000000-0004-0000-0000-0000E81C0000}"/>
    <hyperlink ref="D2630" r:id="rId7276" xr:uid="{00000000-0004-0000-0000-0000E91C0000}"/>
    <hyperlink ref="A2631" r:id="rId7277" xr:uid="{00000000-0004-0000-0000-0000EA1C0000}"/>
    <hyperlink ref="C2631" r:id="rId7278" xr:uid="{00000000-0004-0000-0000-0000EB1C0000}"/>
    <hyperlink ref="D2631" r:id="rId7279" xr:uid="{00000000-0004-0000-0000-0000EC1C0000}"/>
    <hyperlink ref="A2632" r:id="rId7280" xr:uid="{00000000-0004-0000-0000-0000ED1C0000}"/>
    <hyperlink ref="C2632" r:id="rId7281" xr:uid="{00000000-0004-0000-0000-0000EE1C0000}"/>
    <hyperlink ref="D2632" r:id="rId7282" xr:uid="{00000000-0004-0000-0000-0000EF1C0000}"/>
    <hyperlink ref="A2633" r:id="rId7283" xr:uid="{00000000-0004-0000-0000-0000F01C0000}"/>
    <hyperlink ref="C2633" r:id="rId7284" xr:uid="{00000000-0004-0000-0000-0000F11C0000}"/>
    <hyperlink ref="D2633" r:id="rId7285" xr:uid="{00000000-0004-0000-0000-0000F21C0000}"/>
    <hyperlink ref="A2634" r:id="rId7286" xr:uid="{00000000-0004-0000-0000-0000F31C0000}"/>
    <hyperlink ref="C2634" r:id="rId7287" xr:uid="{00000000-0004-0000-0000-0000F41C0000}"/>
    <hyperlink ref="D2634" r:id="rId7288" xr:uid="{00000000-0004-0000-0000-0000F51C0000}"/>
    <hyperlink ref="A2635" r:id="rId7289" xr:uid="{00000000-0004-0000-0000-0000F61C0000}"/>
    <hyperlink ref="C2635" r:id="rId7290" xr:uid="{00000000-0004-0000-0000-0000F71C0000}"/>
    <hyperlink ref="D2635" r:id="rId7291" xr:uid="{00000000-0004-0000-0000-0000F81C0000}"/>
    <hyperlink ref="A2636" r:id="rId7292" xr:uid="{00000000-0004-0000-0000-0000F91C0000}"/>
    <hyperlink ref="C2636" r:id="rId7293" xr:uid="{00000000-0004-0000-0000-0000FA1C0000}"/>
    <hyperlink ref="D2636" r:id="rId7294" xr:uid="{00000000-0004-0000-0000-0000FB1C0000}"/>
    <hyperlink ref="A2637" r:id="rId7295" xr:uid="{00000000-0004-0000-0000-0000FC1C0000}"/>
    <hyperlink ref="C2637" r:id="rId7296" xr:uid="{00000000-0004-0000-0000-0000FD1C0000}"/>
    <hyperlink ref="D2637" r:id="rId7297" xr:uid="{00000000-0004-0000-0000-0000FE1C0000}"/>
    <hyperlink ref="A2638" r:id="rId7298" xr:uid="{00000000-0004-0000-0000-0000FF1C0000}"/>
    <hyperlink ref="C2638" r:id="rId7299" xr:uid="{00000000-0004-0000-0000-0000001D0000}"/>
    <hyperlink ref="D2638" r:id="rId7300" xr:uid="{00000000-0004-0000-0000-0000011D0000}"/>
    <hyperlink ref="C2639" r:id="rId7301" xr:uid="{00000000-0004-0000-0000-0000021D0000}"/>
    <hyperlink ref="D2639" r:id="rId7302" xr:uid="{00000000-0004-0000-0000-0000031D0000}"/>
    <hyperlink ref="C2640" r:id="rId7303" xr:uid="{00000000-0004-0000-0000-0000041D0000}"/>
    <hyperlink ref="D2640" r:id="rId7304" xr:uid="{00000000-0004-0000-0000-0000051D0000}"/>
    <hyperlink ref="A2641" r:id="rId7305" xr:uid="{00000000-0004-0000-0000-0000061D0000}"/>
    <hyperlink ref="C2641" r:id="rId7306" xr:uid="{00000000-0004-0000-0000-0000071D0000}"/>
    <hyperlink ref="D2641" r:id="rId7307" xr:uid="{00000000-0004-0000-0000-0000081D0000}"/>
    <hyperlink ref="A2642" r:id="rId7308" xr:uid="{00000000-0004-0000-0000-0000091D0000}"/>
    <hyperlink ref="C2642" r:id="rId7309" xr:uid="{00000000-0004-0000-0000-00000A1D0000}"/>
    <hyperlink ref="D2642" r:id="rId7310" xr:uid="{00000000-0004-0000-0000-00000B1D0000}"/>
    <hyperlink ref="C2643" r:id="rId7311" xr:uid="{00000000-0004-0000-0000-00000C1D0000}"/>
    <hyperlink ref="D2643" r:id="rId7312" xr:uid="{00000000-0004-0000-0000-00000D1D0000}"/>
    <hyperlink ref="A2644" r:id="rId7313" xr:uid="{00000000-0004-0000-0000-00000E1D0000}"/>
    <hyperlink ref="C2644" r:id="rId7314" xr:uid="{00000000-0004-0000-0000-00000F1D0000}"/>
    <hyperlink ref="D2644" r:id="rId7315" xr:uid="{00000000-0004-0000-0000-0000101D0000}"/>
    <hyperlink ref="C2645" r:id="rId7316" xr:uid="{00000000-0004-0000-0000-0000111D0000}"/>
    <hyperlink ref="D2645" r:id="rId7317" xr:uid="{00000000-0004-0000-0000-0000121D0000}"/>
    <hyperlink ref="A2646" r:id="rId7318" xr:uid="{00000000-0004-0000-0000-0000131D0000}"/>
    <hyperlink ref="C2646" r:id="rId7319" xr:uid="{00000000-0004-0000-0000-0000141D0000}"/>
    <hyperlink ref="D2646" r:id="rId7320" xr:uid="{00000000-0004-0000-0000-0000151D0000}"/>
    <hyperlink ref="A2647" r:id="rId7321" xr:uid="{00000000-0004-0000-0000-0000161D0000}"/>
    <hyperlink ref="C2647" r:id="rId7322" xr:uid="{00000000-0004-0000-0000-0000171D0000}"/>
    <hyperlink ref="D2647" r:id="rId7323" xr:uid="{00000000-0004-0000-0000-0000181D0000}"/>
    <hyperlink ref="A2648" r:id="rId7324" xr:uid="{00000000-0004-0000-0000-0000191D0000}"/>
    <hyperlink ref="C2648" r:id="rId7325" xr:uid="{00000000-0004-0000-0000-00001A1D0000}"/>
    <hyperlink ref="D2648" r:id="rId7326" xr:uid="{00000000-0004-0000-0000-00001B1D0000}"/>
    <hyperlink ref="A2649" r:id="rId7327" xr:uid="{00000000-0004-0000-0000-00001C1D0000}"/>
    <hyperlink ref="C2649" r:id="rId7328" xr:uid="{00000000-0004-0000-0000-00001D1D0000}"/>
    <hyperlink ref="D2649" r:id="rId7329" xr:uid="{00000000-0004-0000-0000-00001E1D0000}"/>
    <hyperlink ref="A2650" r:id="rId7330" xr:uid="{00000000-0004-0000-0000-00001F1D0000}"/>
    <hyperlink ref="C2650" r:id="rId7331" xr:uid="{00000000-0004-0000-0000-0000201D0000}"/>
    <hyperlink ref="D2650" r:id="rId7332" xr:uid="{00000000-0004-0000-0000-0000211D0000}"/>
    <hyperlink ref="A2651" r:id="rId7333" xr:uid="{00000000-0004-0000-0000-0000221D0000}"/>
    <hyperlink ref="C2651" r:id="rId7334" xr:uid="{00000000-0004-0000-0000-0000231D0000}"/>
    <hyperlink ref="D2651" r:id="rId7335" xr:uid="{00000000-0004-0000-0000-0000241D0000}"/>
    <hyperlink ref="A2656" r:id="rId7336" xr:uid="{00000000-0004-0000-0000-0000251D0000}"/>
    <hyperlink ref="C2656" r:id="rId7337" xr:uid="{00000000-0004-0000-0000-0000261D0000}"/>
    <hyperlink ref="D2656" r:id="rId7338" xr:uid="{00000000-0004-0000-0000-0000271D0000}"/>
    <hyperlink ref="A2657" r:id="rId7339" xr:uid="{00000000-0004-0000-0000-0000281D0000}"/>
    <hyperlink ref="A2658" r:id="rId7340" xr:uid="{00000000-0004-0000-0000-0000291D0000}"/>
    <hyperlink ref="A2660" r:id="rId7341" xr:uid="{00000000-0004-0000-0000-00002A1D0000}"/>
    <hyperlink ref="C2660" r:id="rId7342" xr:uid="{00000000-0004-0000-0000-00002B1D0000}"/>
    <hyperlink ref="D2660" r:id="rId7343" xr:uid="{00000000-0004-0000-0000-00002C1D0000}"/>
    <hyperlink ref="A2661" r:id="rId7344" xr:uid="{00000000-0004-0000-0000-00002D1D0000}"/>
    <hyperlink ref="C2661" r:id="rId7345" xr:uid="{00000000-0004-0000-0000-00002E1D0000}"/>
    <hyperlink ref="D2661" r:id="rId7346" xr:uid="{00000000-0004-0000-0000-00002F1D0000}"/>
    <hyperlink ref="A2663" r:id="rId7347" xr:uid="{00000000-0004-0000-0000-0000301D0000}"/>
    <hyperlink ref="C2663" r:id="rId7348" xr:uid="{00000000-0004-0000-0000-0000311D0000}"/>
    <hyperlink ref="D2663" r:id="rId7349" xr:uid="{00000000-0004-0000-0000-0000321D0000}"/>
    <hyperlink ref="A2664" r:id="rId7350" xr:uid="{00000000-0004-0000-0000-0000331D0000}"/>
    <hyperlink ref="C2664" r:id="rId7351" xr:uid="{00000000-0004-0000-0000-0000341D0000}"/>
    <hyperlink ref="D2664" r:id="rId7352" xr:uid="{00000000-0004-0000-0000-0000351D0000}"/>
    <hyperlink ref="A2665" r:id="rId7353" xr:uid="{00000000-0004-0000-0000-0000361D0000}"/>
    <hyperlink ref="C2665" r:id="rId7354" xr:uid="{00000000-0004-0000-0000-0000371D0000}"/>
    <hyperlink ref="D2665" r:id="rId7355" xr:uid="{00000000-0004-0000-0000-0000381D0000}"/>
    <hyperlink ref="A2666" r:id="rId7356" xr:uid="{00000000-0004-0000-0000-0000391D0000}"/>
    <hyperlink ref="C2666" r:id="rId7357" xr:uid="{00000000-0004-0000-0000-00003A1D0000}"/>
    <hyperlink ref="D2666" r:id="rId7358" xr:uid="{00000000-0004-0000-0000-00003B1D0000}"/>
    <hyperlink ref="A2667" r:id="rId7359" xr:uid="{00000000-0004-0000-0000-00003C1D0000}"/>
    <hyperlink ref="C2667" r:id="rId7360" xr:uid="{00000000-0004-0000-0000-00003D1D0000}"/>
    <hyperlink ref="D2667" r:id="rId7361" xr:uid="{00000000-0004-0000-0000-00003E1D0000}"/>
    <hyperlink ref="C2668" r:id="rId7362" xr:uid="{00000000-0004-0000-0000-00003F1D0000}"/>
    <hyperlink ref="D2668" r:id="rId7363" xr:uid="{00000000-0004-0000-0000-0000401D0000}"/>
    <hyperlink ref="C2669" r:id="rId7364" xr:uid="{00000000-0004-0000-0000-0000411D0000}"/>
    <hyperlink ref="D2669" r:id="rId7365" xr:uid="{00000000-0004-0000-0000-0000421D0000}"/>
    <hyperlink ref="A2670" r:id="rId7366" xr:uid="{00000000-0004-0000-0000-0000431D0000}"/>
    <hyperlink ref="C2670" r:id="rId7367" xr:uid="{00000000-0004-0000-0000-0000441D0000}"/>
    <hyperlink ref="D2670" r:id="rId7368" xr:uid="{00000000-0004-0000-0000-0000451D0000}"/>
    <hyperlink ref="A2671" r:id="rId7369" xr:uid="{00000000-0004-0000-0000-0000461D0000}"/>
    <hyperlink ref="C2671" r:id="rId7370" xr:uid="{00000000-0004-0000-0000-0000471D0000}"/>
    <hyperlink ref="D2671" r:id="rId7371" xr:uid="{00000000-0004-0000-0000-0000481D0000}"/>
    <hyperlink ref="C2672" r:id="rId7372" xr:uid="{00000000-0004-0000-0000-0000491D0000}"/>
    <hyperlink ref="D2672" r:id="rId7373" xr:uid="{00000000-0004-0000-0000-00004A1D0000}"/>
    <hyperlink ref="C2673" r:id="rId7374" xr:uid="{00000000-0004-0000-0000-00004B1D0000}"/>
    <hyperlink ref="D2673" r:id="rId7375" xr:uid="{00000000-0004-0000-0000-00004C1D0000}"/>
    <hyperlink ref="C2674" r:id="rId7376" xr:uid="{00000000-0004-0000-0000-00004D1D0000}"/>
    <hyperlink ref="D2674" r:id="rId7377" xr:uid="{00000000-0004-0000-0000-00004E1D0000}"/>
    <hyperlink ref="C2675" r:id="rId7378" xr:uid="{00000000-0004-0000-0000-00004F1D0000}"/>
    <hyperlink ref="D2675" r:id="rId7379" xr:uid="{00000000-0004-0000-0000-0000501D0000}"/>
    <hyperlink ref="C2676" r:id="rId7380" xr:uid="{00000000-0004-0000-0000-0000511D0000}"/>
    <hyperlink ref="D2676" r:id="rId7381" xr:uid="{00000000-0004-0000-0000-0000521D0000}"/>
    <hyperlink ref="A2677" r:id="rId7382" xr:uid="{00000000-0004-0000-0000-0000531D0000}"/>
    <hyperlink ref="C2677" r:id="rId7383" xr:uid="{00000000-0004-0000-0000-0000541D0000}"/>
    <hyperlink ref="D2677" r:id="rId7384" xr:uid="{00000000-0004-0000-0000-0000551D0000}"/>
    <hyperlink ref="A2678" r:id="rId7385" xr:uid="{00000000-0004-0000-0000-0000561D0000}"/>
    <hyperlink ref="C2678" r:id="rId7386" xr:uid="{00000000-0004-0000-0000-0000571D0000}"/>
    <hyperlink ref="D2678" r:id="rId7387" xr:uid="{00000000-0004-0000-0000-0000581D0000}"/>
    <hyperlink ref="A2679" r:id="rId7388" xr:uid="{00000000-0004-0000-0000-0000591D0000}"/>
    <hyperlink ref="C2679" r:id="rId7389" xr:uid="{00000000-0004-0000-0000-00005A1D0000}"/>
    <hyperlink ref="D2679" r:id="rId7390" xr:uid="{00000000-0004-0000-0000-00005B1D0000}"/>
    <hyperlink ref="A2680" r:id="rId7391" xr:uid="{00000000-0004-0000-0000-00005C1D0000}"/>
    <hyperlink ref="C2680" r:id="rId7392" xr:uid="{00000000-0004-0000-0000-00005D1D0000}"/>
    <hyperlink ref="D2680" r:id="rId7393" xr:uid="{00000000-0004-0000-0000-00005E1D0000}"/>
    <hyperlink ref="A2681" r:id="rId7394" xr:uid="{00000000-0004-0000-0000-00005F1D0000}"/>
    <hyperlink ref="C2681" r:id="rId7395" xr:uid="{00000000-0004-0000-0000-0000601D0000}"/>
    <hyperlink ref="D2681" r:id="rId7396" xr:uid="{00000000-0004-0000-0000-0000611D0000}"/>
    <hyperlink ref="A2682" r:id="rId7397" xr:uid="{00000000-0004-0000-0000-0000621D0000}"/>
    <hyperlink ref="C2682" r:id="rId7398" xr:uid="{00000000-0004-0000-0000-0000631D0000}"/>
    <hyperlink ref="D2682" r:id="rId7399" xr:uid="{00000000-0004-0000-0000-0000641D0000}"/>
    <hyperlink ref="A2683" r:id="rId7400" xr:uid="{00000000-0004-0000-0000-0000651D0000}"/>
    <hyperlink ref="C2683" r:id="rId7401" xr:uid="{00000000-0004-0000-0000-0000661D0000}"/>
    <hyperlink ref="D2683" r:id="rId7402" xr:uid="{00000000-0004-0000-0000-0000671D0000}"/>
    <hyperlink ref="A2684" r:id="rId7403" xr:uid="{00000000-0004-0000-0000-0000681D0000}"/>
    <hyperlink ref="C2684" r:id="rId7404" xr:uid="{00000000-0004-0000-0000-0000691D0000}"/>
    <hyperlink ref="D2684" r:id="rId7405" xr:uid="{00000000-0004-0000-0000-00006A1D0000}"/>
    <hyperlink ref="A2685" r:id="rId7406" xr:uid="{00000000-0004-0000-0000-00006B1D0000}"/>
    <hyperlink ref="C2685" r:id="rId7407" xr:uid="{00000000-0004-0000-0000-00006C1D0000}"/>
    <hyperlink ref="D2685" r:id="rId7408" xr:uid="{00000000-0004-0000-0000-00006D1D0000}"/>
    <hyperlink ref="A2686" r:id="rId7409" xr:uid="{00000000-0004-0000-0000-00006E1D0000}"/>
    <hyperlink ref="C2686" r:id="rId7410" xr:uid="{00000000-0004-0000-0000-00006F1D0000}"/>
    <hyperlink ref="D2686" r:id="rId7411" xr:uid="{00000000-0004-0000-0000-0000701D0000}"/>
    <hyperlink ref="A2687" r:id="rId7412" xr:uid="{00000000-0004-0000-0000-0000711D0000}"/>
    <hyperlink ref="C2687" r:id="rId7413" xr:uid="{00000000-0004-0000-0000-0000721D0000}"/>
    <hyperlink ref="D2687" r:id="rId7414" xr:uid="{00000000-0004-0000-0000-0000731D0000}"/>
    <hyperlink ref="A2688" r:id="rId7415" xr:uid="{00000000-0004-0000-0000-0000741D0000}"/>
    <hyperlink ref="C2688" r:id="rId7416" xr:uid="{00000000-0004-0000-0000-0000751D0000}"/>
    <hyperlink ref="D2688" r:id="rId7417" xr:uid="{00000000-0004-0000-0000-0000761D0000}"/>
    <hyperlink ref="A2689" r:id="rId7418" xr:uid="{00000000-0004-0000-0000-0000771D0000}"/>
    <hyperlink ref="C2689" r:id="rId7419" xr:uid="{00000000-0004-0000-0000-0000781D0000}"/>
    <hyperlink ref="D2689" r:id="rId7420" xr:uid="{00000000-0004-0000-0000-0000791D0000}"/>
    <hyperlink ref="A2690" r:id="rId7421" xr:uid="{00000000-0004-0000-0000-00007A1D0000}"/>
    <hyperlink ref="C2690" r:id="rId7422" xr:uid="{00000000-0004-0000-0000-00007B1D0000}"/>
    <hyperlink ref="D2690" r:id="rId7423" xr:uid="{00000000-0004-0000-0000-00007C1D0000}"/>
    <hyperlink ref="A2692" r:id="rId7424" xr:uid="{00000000-0004-0000-0000-00007D1D0000}"/>
    <hyperlink ref="C2692" r:id="rId7425" xr:uid="{00000000-0004-0000-0000-00007E1D0000}"/>
    <hyperlink ref="D2692" r:id="rId7426" xr:uid="{00000000-0004-0000-0000-00007F1D0000}"/>
    <hyperlink ref="A2693" r:id="rId7427" xr:uid="{00000000-0004-0000-0000-0000801D0000}"/>
    <hyperlink ref="C2693" r:id="rId7428" xr:uid="{00000000-0004-0000-0000-0000811D0000}"/>
    <hyperlink ref="D2693" r:id="rId7429" xr:uid="{00000000-0004-0000-0000-0000821D0000}"/>
    <hyperlink ref="A2694" r:id="rId7430" xr:uid="{00000000-0004-0000-0000-0000831D0000}"/>
    <hyperlink ref="C2694" r:id="rId7431" xr:uid="{00000000-0004-0000-0000-0000841D0000}"/>
    <hyperlink ref="D2694" r:id="rId7432" xr:uid="{00000000-0004-0000-0000-0000851D0000}"/>
    <hyperlink ref="A2695" r:id="rId7433" xr:uid="{00000000-0004-0000-0000-0000861D0000}"/>
    <hyperlink ref="C2695" r:id="rId7434" xr:uid="{00000000-0004-0000-0000-0000871D0000}"/>
    <hyperlink ref="D2695" r:id="rId7435" xr:uid="{00000000-0004-0000-0000-0000881D0000}"/>
    <hyperlink ref="A2696" r:id="rId7436" xr:uid="{00000000-0004-0000-0000-0000891D0000}"/>
    <hyperlink ref="C2696" r:id="rId7437" xr:uid="{00000000-0004-0000-0000-00008A1D0000}"/>
    <hyperlink ref="D2696" r:id="rId7438" xr:uid="{00000000-0004-0000-0000-00008B1D0000}"/>
    <hyperlink ref="A2697" r:id="rId7439" xr:uid="{00000000-0004-0000-0000-00008C1D0000}"/>
    <hyperlink ref="C2697" r:id="rId7440" xr:uid="{00000000-0004-0000-0000-00008D1D0000}"/>
    <hyperlink ref="D2697" r:id="rId7441" xr:uid="{00000000-0004-0000-0000-00008E1D0000}"/>
    <hyperlink ref="C2698" r:id="rId7442" xr:uid="{00000000-0004-0000-0000-00008F1D0000}"/>
    <hyperlink ref="D2698" r:id="rId7443" xr:uid="{00000000-0004-0000-0000-0000901D0000}"/>
    <hyperlink ref="A2699" r:id="rId7444" xr:uid="{00000000-0004-0000-0000-0000911D0000}"/>
    <hyperlink ref="C2699" r:id="rId7445" xr:uid="{00000000-0004-0000-0000-0000921D0000}"/>
    <hyperlink ref="D2699" r:id="rId7446" xr:uid="{00000000-0004-0000-0000-0000931D0000}"/>
    <hyperlink ref="A2700" r:id="rId7447" xr:uid="{00000000-0004-0000-0000-0000941D0000}"/>
    <hyperlink ref="C2700" r:id="rId7448" xr:uid="{00000000-0004-0000-0000-0000951D0000}"/>
    <hyperlink ref="D2700" r:id="rId7449" xr:uid="{00000000-0004-0000-0000-0000961D0000}"/>
    <hyperlink ref="A2701" r:id="rId7450" xr:uid="{00000000-0004-0000-0000-0000971D0000}"/>
    <hyperlink ref="C2701" r:id="rId7451" xr:uid="{00000000-0004-0000-0000-0000981D0000}"/>
    <hyperlink ref="D2701" r:id="rId7452" xr:uid="{00000000-0004-0000-0000-0000991D0000}"/>
    <hyperlink ref="A2702" r:id="rId7453" xr:uid="{00000000-0004-0000-0000-00009A1D0000}"/>
    <hyperlink ref="C2702" r:id="rId7454" xr:uid="{00000000-0004-0000-0000-00009B1D0000}"/>
    <hyperlink ref="D2702" r:id="rId7455" xr:uid="{00000000-0004-0000-0000-00009C1D0000}"/>
    <hyperlink ref="A2703" r:id="rId7456" xr:uid="{00000000-0004-0000-0000-00009D1D0000}"/>
    <hyperlink ref="C2703" r:id="rId7457" xr:uid="{00000000-0004-0000-0000-00009E1D0000}"/>
    <hyperlink ref="D2703" r:id="rId7458" xr:uid="{00000000-0004-0000-0000-00009F1D0000}"/>
    <hyperlink ref="A2704" r:id="rId7459" xr:uid="{00000000-0004-0000-0000-0000A01D0000}"/>
    <hyperlink ref="C2704" r:id="rId7460" xr:uid="{00000000-0004-0000-0000-0000A11D0000}"/>
    <hyperlink ref="D2704" r:id="rId7461" xr:uid="{00000000-0004-0000-0000-0000A21D0000}"/>
    <hyperlink ref="A2705" r:id="rId7462" xr:uid="{00000000-0004-0000-0000-0000A31D0000}"/>
    <hyperlink ref="C2705" r:id="rId7463" xr:uid="{00000000-0004-0000-0000-0000A41D0000}"/>
    <hyperlink ref="D2705" r:id="rId7464" xr:uid="{00000000-0004-0000-0000-0000A51D0000}"/>
    <hyperlink ref="A2706" r:id="rId7465" xr:uid="{00000000-0004-0000-0000-0000A61D0000}"/>
    <hyperlink ref="C2706" r:id="rId7466" xr:uid="{00000000-0004-0000-0000-0000A71D0000}"/>
    <hyperlink ref="D2706" r:id="rId7467" xr:uid="{00000000-0004-0000-0000-0000A81D0000}"/>
    <hyperlink ref="A2707" r:id="rId7468" xr:uid="{00000000-0004-0000-0000-0000A91D0000}"/>
    <hyperlink ref="C2707" r:id="rId7469" xr:uid="{00000000-0004-0000-0000-0000AA1D0000}"/>
    <hyperlink ref="D2707" r:id="rId7470" xr:uid="{00000000-0004-0000-0000-0000AB1D0000}"/>
    <hyperlink ref="A2708" r:id="rId7471" xr:uid="{00000000-0004-0000-0000-0000AC1D0000}"/>
    <hyperlink ref="C2708" r:id="rId7472" xr:uid="{00000000-0004-0000-0000-0000AD1D0000}"/>
    <hyperlink ref="D2708" r:id="rId7473" xr:uid="{00000000-0004-0000-0000-0000AE1D0000}"/>
    <hyperlink ref="A2709" r:id="rId7474" xr:uid="{00000000-0004-0000-0000-0000AF1D0000}"/>
    <hyperlink ref="A2711" r:id="rId7475" xr:uid="{00000000-0004-0000-0000-0000B01D0000}"/>
    <hyperlink ref="A2712" r:id="rId7476" xr:uid="{00000000-0004-0000-0000-0000B11D0000}"/>
    <hyperlink ref="A2714" r:id="rId7477" xr:uid="{00000000-0004-0000-0000-0000B21D0000}"/>
    <hyperlink ref="C2714" r:id="rId7478" xr:uid="{00000000-0004-0000-0000-0000B31D0000}"/>
    <hyperlink ref="D2714" r:id="rId7479" xr:uid="{00000000-0004-0000-0000-0000B41D0000}"/>
    <hyperlink ref="A2715" r:id="rId7480" xr:uid="{00000000-0004-0000-0000-0000B51D0000}"/>
    <hyperlink ref="C2715" r:id="rId7481" xr:uid="{00000000-0004-0000-0000-0000B61D0000}"/>
    <hyperlink ref="D2715" r:id="rId7482" xr:uid="{00000000-0004-0000-0000-0000B71D0000}"/>
    <hyperlink ref="A2716" r:id="rId7483" xr:uid="{00000000-0004-0000-0000-0000B81D0000}"/>
    <hyperlink ref="C2716" r:id="rId7484" xr:uid="{00000000-0004-0000-0000-0000B91D0000}"/>
    <hyperlink ref="D2716" r:id="rId7485" xr:uid="{00000000-0004-0000-0000-0000BA1D0000}"/>
    <hyperlink ref="A2717" r:id="rId7486" xr:uid="{00000000-0004-0000-0000-0000BB1D0000}"/>
    <hyperlink ref="C2717" r:id="rId7487" xr:uid="{00000000-0004-0000-0000-0000BC1D0000}"/>
    <hyperlink ref="D2717" r:id="rId7488" xr:uid="{00000000-0004-0000-0000-0000BD1D0000}"/>
    <hyperlink ref="A2718" r:id="rId7489" xr:uid="{00000000-0004-0000-0000-0000BE1D0000}"/>
    <hyperlink ref="C2718" r:id="rId7490" xr:uid="{00000000-0004-0000-0000-0000BF1D0000}"/>
    <hyperlink ref="D2718" r:id="rId7491" xr:uid="{00000000-0004-0000-0000-0000C01D0000}"/>
    <hyperlink ref="A2719" r:id="rId7492" xr:uid="{00000000-0004-0000-0000-0000C11D0000}"/>
    <hyperlink ref="C2719" r:id="rId7493" xr:uid="{00000000-0004-0000-0000-0000C21D0000}"/>
    <hyperlink ref="D2719" r:id="rId7494" xr:uid="{00000000-0004-0000-0000-0000C31D0000}"/>
    <hyperlink ref="A2720" r:id="rId7495" xr:uid="{00000000-0004-0000-0000-0000C41D0000}"/>
    <hyperlink ref="C2720" r:id="rId7496" xr:uid="{00000000-0004-0000-0000-0000C51D0000}"/>
    <hyperlink ref="D2720" r:id="rId7497" xr:uid="{00000000-0004-0000-0000-0000C61D0000}"/>
    <hyperlink ref="A2721" r:id="rId7498" xr:uid="{00000000-0004-0000-0000-0000C71D0000}"/>
    <hyperlink ref="C2721" r:id="rId7499" xr:uid="{00000000-0004-0000-0000-0000C81D0000}"/>
    <hyperlink ref="D2721" r:id="rId7500" xr:uid="{00000000-0004-0000-0000-0000C91D0000}"/>
    <hyperlink ref="A2722" r:id="rId7501" xr:uid="{00000000-0004-0000-0000-0000CA1D0000}"/>
    <hyperlink ref="C2722" r:id="rId7502" xr:uid="{00000000-0004-0000-0000-0000CB1D0000}"/>
    <hyperlink ref="D2722" r:id="rId7503" xr:uid="{00000000-0004-0000-0000-0000CC1D0000}"/>
    <hyperlink ref="A2723" r:id="rId7504" xr:uid="{00000000-0004-0000-0000-0000CD1D0000}"/>
    <hyperlink ref="C2723" r:id="rId7505" xr:uid="{00000000-0004-0000-0000-0000CE1D0000}"/>
    <hyperlink ref="D2723" r:id="rId7506" xr:uid="{00000000-0004-0000-0000-0000CF1D0000}"/>
    <hyperlink ref="A2724" r:id="rId7507" xr:uid="{00000000-0004-0000-0000-0000D01D0000}"/>
    <hyperlink ref="C2724" r:id="rId7508" xr:uid="{00000000-0004-0000-0000-0000D11D0000}"/>
    <hyperlink ref="D2724" r:id="rId7509" xr:uid="{00000000-0004-0000-0000-0000D21D0000}"/>
    <hyperlink ref="A2725" r:id="rId7510" xr:uid="{00000000-0004-0000-0000-0000D31D0000}"/>
    <hyperlink ref="C2725" r:id="rId7511" xr:uid="{00000000-0004-0000-0000-0000D41D0000}"/>
    <hyperlink ref="D2725" r:id="rId7512" xr:uid="{00000000-0004-0000-0000-0000D51D0000}"/>
    <hyperlink ref="A2726" r:id="rId7513" xr:uid="{00000000-0004-0000-0000-0000D61D0000}"/>
    <hyperlink ref="C2726" r:id="rId7514" xr:uid="{00000000-0004-0000-0000-0000D71D0000}"/>
    <hyperlink ref="D2726" r:id="rId7515" xr:uid="{00000000-0004-0000-0000-0000D81D0000}"/>
    <hyperlink ref="A2727" r:id="rId7516" xr:uid="{00000000-0004-0000-0000-0000D91D0000}"/>
    <hyperlink ref="C2727" r:id="rId7517" xr:uid="{00000000-0004-0000-0000-0000DA1D0000}"/>
    <hyperlink ref="D2727" r:id="rId7518" xr:uid="{00000000-0004-0000-0000-0000DB1D0000}"/>
    <hyperlink ref="C2728" r:id="rId7519" xr:uid="{00000000-0004-0000-0000-0000DC1D0000}"/>
    <hyperlink ref="D2728" r:id="rId7520" xr:uid="{00000000-0004-0000-0000-0000DD1D0000}"/>
    <hyperlink ref="A2729" r:id="rId7521" xr:uid="{00000000-0004-0000-0000-0000DE1D0000}"/>
    <hyperlink ref="C2729" r:id="rId7522" xr:uid="{00000000-0004-0000-0000-0000DF1D0000}"/>
    <hyperlink ref="D2729" r:id="rId7523" xr:uid="{00000000-0004-0000-0000-0000E01D0000}"/>
    <hyperlink ref="A2730" r:id="rId7524" xr:uid="{00000000-0004-0000-0000-0000E11D0000}"/>
    <hyperlink ref="C2730" r:id="rId7525" xr:uid="{00000000-0004-0000-0000-0000E21D0000}"/>
    <hyperlink ref="D2730" r:id="rId7526" xr:uid="{00000000-0004-0000-0000-0000E31D0000}"/>
    <hyperlink ref="A2731" r:id="rId7527" xr:uid="{00000000-0004-0000-0000-0000E41D0000}"/>
    <hyperlink ref="C2731" r:id="rId7528" xr:uid="{00000000-0004-0000-0000-0000E51D0000}"/>
    <hyperlink ref="D2731" r:id="rId7529" xr:uid="{00000000-0004-0000-0000-0000E61D0000}"/>
    <hyperlink ref="A2732" r:id="rId7530" xr:uid="{00000000-0004-0000-0000-0000E71D0000}"/>
    <hyperlink ref="C2732" r:id="rId7531" xr:uid="{00000000-0004-0000-0000-0000E81D0000}"/>
    <hyperlink ref="D2732" r:id="rId7532" xr:uid="{00000000-0004-0000-0000-0000E91D0000}"/>
    <hyperlink ref="A2733" r:id="rId7533" xr:uid="{00000000-0004-0000-0000-0000EA1D0000}"/>
    <hyperlink ref="C2733" r:id="rId7534" xr:uid="{00000000-0004-0000-0000-0000EB1D0000}"/>
    <hyperlink ref="D2733" r:id="rId7535" xr:uid="{00000000-0004-0000-0000-0000EC1D0000}"/>
    <hyperlink ref="A2734" r:id="rId7536" xr:uid="{00000000-0004-0000-0000-0000ED1D0000}"/>
    <hyperlink ref="C2734" r:id="rId7537" xr:uid="{00000000-0004-0000-0000-0000EE1D0000}"/>
    <hyperlink ref="D2734" r:id="rId7538" xr:uid="{00000000-0004-0000-0000-0000EF1D0000}"/>
    <hyperlink ref="A2735" r:id="rId7539" xr:uid="{00000000-0004-0000-0000-0000F01D0000}"/>
    <hyperlink ref="A2736" r:id="rId7540" xr:uid="{00000000-0004-0000-0000-0000F11D0000}"/>
    <hyperlink ref="A2740" r:id="rId7541" xr:uid="{00000000-0004-0000-0000-0000F21D0000}"/>
    <hyperlink ref="C2740" r:id="rId7542" xr:uid="{00000000-0004-0000-0000-0000F31D0000}"/>
    <hyperlink ref="D2740" r:id="rId7543" xr:uid="{00000000-0004-0000-0000-0000F41D0000}"/>
    <hyperlink ref="A2741" r:id="rId7544" xr:uid="{00000000-0004-0000-0000-0000F51D0000}"/>
    <hyperlink ref="A2742" r:id="rId7545" xr:uid="{00000000-0004-0000-0000-0000F61D0000}"/>
    <hyperlink ref="C2742" r:id="rId7546" xr:uid="{00000000-0004-0000-0000-0000F71D0000}"/>
    <hyperlink ref="D2742" r:id="rId7547" xr:uid="{00000000-0004-0000-0000-0000F81D0000}"/>
    <hyperlink ref="A2743" r:id="rId7548" xr:uid="{00000000-0004-0000-0000-0000F91D0000}"/>
    <hyperlink ref="C2743" r:id="rId7549" xr:uid="{00000000-0004-0000-0000-0000FA1D0000}"/>
    <hyperlink ref="D2743" r:id="rId7550" xr:uid="{00000000-0004-0000-0000-0000FB1D0000}"/>
    <hyperlink ref="C2744" r:id="rId7551" xr:uid="{00000000-0004-0000-0000-0000FC1D0000}"/>
    <hyperlink ref="D2744" r:id="rId7552" xr:uid="{00000000-0004-0000-0000-0000FD1D0000}"/>
    <hyperlink ref="A2745" r:id="rId7553" xr:uid="{00000000-0004-0000-0000-0000FE1D0000}"/>
    <hyperlink ref="C2745" r:id="rId7554" xr:uid="{00000000-0004-0000-0000-0000FF1D0000}"/>
    <hyperlink ref="D2745" r:id="rId7555" xr:uid="{00000000-0004-0000-0000-0000001E0000}"/>
    <hyperlink ref="A2746" r:id="rId7556" xr:uid="{00000000-0004-0000-0000-0000011E0000}"/>
    <hyperlink ref="C2746" r:id="rId7557" xr:uid="{00000000-0004-0000-0000-0000021E0000}"/>
    <hyperlink ref="D2746" r:id="rId7558" xr:uid="{00000000-0004-0000-0000-0000031E0000}"/>
    <hyperlink ref="A2747" r:id="rId7559" xr:uid="{00000000-0004-0000-0000-0000041E0000}"/>
    <hyperlink ref="C2747" r:id="rId7560" xr:uid="{00000000-0004-0000-0000-0000051E0000}"/>
    <hyperlink ref="D2747" r:id="rId7561" xr:uid="{00000000-0004-0000-0000-0000061E0000}"/>
    <hyperlink ref="A2748" r:id="rId7562" xr:uid="{00000000-0004-0000-0000-0000071E0000}"/>
    <hyperlink ref="C2748" r:id="rId7563" xr:uid="{00000000-0004-0000-0000-0000081E0000}"/>
    <hyperlink ref="D2748" r:id="rId7564" xr:uid="{00000000-0004-0000-0000-0000091E0000}"/>
    <hyperlink ref="A2749" r:id="rId7565" xr:uid="{00000000-0004-0000-0000-00000A1E0000}"/>
    <hyperlink ref="C2749" r:id="rId7566" xr:uid="{00000000-0004-0000-0000-00000B1E0000}"/>
    <hyperlink ref="D2749" r:id="rId7567" xr:uid="{00000000-0004-0000-0000-00000C1E0000}"/>
    <hyperlink ref="A2750" r:id="rId7568" xr:uid="{00000000-0004-0000-0000-00000D1E0000}"/>
    <hyperlink ref="C2750" r:id="rId7569" xr:uid="{00000000-0004-0000-0000-00000E1E0000}"/>
    <hyperlink ref="D2750" r:id="rId7570" xr:uid="{00000000-0004-0000-0000-00000F1E0000}"/>
    <hyperlink ref="A2751" r:id="rId7571" xr:uid="{00000000-0004-0000-0000-0000101E0000}"/>
    <hyperlink ref="C2751" r:id="rId7572" xr:uid="{00000000-0004-0000-0000-0000111E0000}"/>
    <hyperlink ref="D2751" r:id="rId7573" xr:uid="{00000000-0004-0000-0000-0000121E0000}"/>
    <hyperlink ref="C2752" r:id="rId7574" xr:uid="{00000000-0004-0000-0000-0000131E0000}"/>
    <hyperlink ref="D2752" r:id="rId7575" xr:uid="{00000000-0004-0000-0000-0000141E0000}"/>
    <hyperlink ref="A2753" r:id="rId7576" xr:uid="{00000000-0004-0000-0000-0000151E0000}"/>
    <hyperlink ref="C2753" r:id="rId7577" xr:uid="{00000000-0004-0000-0000-0000161E0000}"/>
    <hyperlink ref="D2753" r:id="rId7578" xr:uid="{00000000-0004-0000-0000-0000171E0000}"/>
    <hyperlink ref="A2754" r:id="rId7579" xr:uid="{00000000-0004-0000-0000-0000181E0000}"/>
    <hyperlink ref="C2754" r:id="rId7580" xr:uid="{00000000-0004-0000-0000-0000191E0000}"/>
    <hyperlink ref="D2754" r:id="rId7581" xr:uid="{00000000-0004-0000-0000-00001A1E0000}"/>
    <hyperlink ref="A2755" r:id="rId7582" xr:uid="{00000000-0004-0000-0000-00001B1E0000}"/>
    <hyperlink ref="C2755" r:id="rId7583" xr:uid="{00000000-0004-0000-0000-00001C1E0000}"/>
    <hyperlink ref="D2755" r:id="rId7584" xr:uid="{00000000-0004-0000-0000-00001D1E0000}"/>
    <hyperlink ref="E2755" r:id="rId7585" xr:uid="{00000000-0004-0000-0000-00001E1E0000}"/>
    <hyperlink ref="A2756" r:id="rId7586" xr:uid="{00000000-0004-0000-0000-00001F1E0000}"/>
    <hyperlink ref="C2756" r:id="rId7587" xr:uid="{00000000-0004-0000-0000-0000201E0000}"/>
    <hyperlink ref="D2756" r:id="rId7588" xr:uid="{00000000-0004-0000-0000-0000211E0000}"/>
    <hyperlink ref="A2757" r:id="rId7589" xr:uid="{00000000-0004-0000-0000-0000221E0000}"/>
    <hyperlink ref="C2757" r:id="rId7590" xr:uid="{00000000-0004-0000-0000-0000231E0000}"/>
    <hyperlink ref="D2757" r:id="rId7591" xr:uid="{00000000-0004-0000-0000-0000241E0000}"/>
    <hyperlink ref="E2757" r:id="rId7592" xr:uid="{00000000-0004-0000-0000-0000251E0000}"/>
    <hyperlink ref="C2758" r:id="rId7593" xr:uid="{00000000-0004-0000-0000-0000261E0000}"/>
    <hyperlink ref="D2758" r:id="rId7594" xr:uid="{00000000-0004-0000-0000-0000271E0000}"/>
    <hyperlink ref="A2759" r:id="rId7595" xr:uid="{00000000-0004-0000-0000-0000281E0000}"/>
    <hyperlink ref="C2759" r:id="rId7596" xr:uid="{00000000-0004-0000-0000-0000291E0000}"/>
    <hyperlink ref="D2759" r:id="rId7597" xr:uid="{00000000-0004-0000-0000-00002A1E0000}"/>
    <hyperlink ref="A2760" r:id="rId7598" xr:uid="{00000000-0004-0000-0000-00002B1E0000}"/>
    <hyperlink ref="C2760" r:id="rId7599" xr:uid="{00000000-0004-0000-0000-00002C1E0000}"/>
    <hyperlink ref="D2760" r:id="rId7600" xr:uid="{00000000-0004-0000-0000-00002D1E0000}"/>
    <hyperlink ref="A2761" r:id="rId7601" xr:uid="{00000000-0004-0000-0000-00002E1E0000}"/>
    <hyperlink ref="C2761" r:id="rId7602" xr:uid="{00000000-0004-0000-0000-00002F1E0000}"/>
    <hyperlink ref="D2761" r:id="rId7603" xr:uid="{00000000-0004-0000-0000-0000301E0000}"/>
    <hyperlink ref="A2763" r:id="rId7604" xr:uid="{00000000-0004-0000-0000-0000311E0000}"/>
    <hyperlink ref="C2765" r:id="rId7605" xr:uid="{00000000-0004-0000-0000-0000321E0000}"/>
    <hyperlink ref="D2765" r:id="rId7606" xr:uid="{00000000-0004-0000-0000-0000331E0000}"/>
    <hyperlink ref="A2766" r:id="rId7607" xr:uid="{00000000-0004-0000-0000-0000341E0000}"/>
    <hyperlink ref="A2767" r:id="rId7608" xr:uid="{00000000-0004-0000-0000-0000351E0000}"/>
    <hyperlink ref="C2767" r:id="rId7609" xr:uid="{00000000-0004-0000-0000-0000361E0000}"/>
    <hyperlink ref="D2767" r:id="rId7610" xr:uid="{00000000-0004-0000-0000-0000371E0000}"/>
    <hyperlink ref="A2768" r:id="rId7611" xr:uid="{00000000-0004-0000-0000-0000381E0000}"/>
    <hyperlink ref="C2768" r:id="rId7612" xr:uid="{00000000-0004-0000-0000-0000391E0000}"/>
    <hyperlink ref="D2768" r:id="rId7613" xr:uid="{00000000-0004-0000-0000-00003A1E0000}"/>
    <hyperlink ref="A2769" r:id="rId7614" xr:uid="{00000000-0004-0000-0000-00003B1E0000}"/>
    <hyperlink ref="A2770" r:id="rId7615" xr:uid="{00000000-0004-0000-0000-00003C1E0000}"/>
    <hyperlink ref="A2771" r:id="rId7616" xr:uid="{00000000-0004-0000-0000-00003D1E0000}"/>
    <hyperlink ref="C2771" r:id="rId7617" xr:uid="{00000000-0004-0000-0000-00003E1E0000}"/>
    <hyperlink ref="D2771" r:id="rId7618" xr:uid="{00000000-0004-0000-0000-00003F1E0000}"/>
    <hyperlink ref="A2772" r:id="rId7619" xr:uid="{00000000-0004-0000-0000-0000401E0000}"/>
    <hyperlink ref="C2772" r:id="rId7620" xr:uid="{00000000-0004-0000-0000-0000411E0000}"/>
    <hyperlink ref="D2772" r:id="rId7621" xr:uid="{00000000-0004-0000-0000-0000421E0000}"/>
    <hyperlink ref="A2773" r:id="rId7622" xr:uid="{00000000-0004-0000-0000-0000431E0000}"/>
    <hyperlink ref="C2773" r:id="rId7623" xr:uid="{00000000-0004-0000-0000-0000441E0000}"/>
    <hyperlink ref="D2773" r:id="rId7624" xr:uid="{00000000-0004-0000-0000-0000451E0000}"/>
    <hyperlink ref="A2774" r:id="rId7625" xr:uid="{00000000-0004-0000-0000-0000461E0000}"/>
    <hyperlink ref="C2774" r:id="rId7626" xr:uid="{00000000-0004-0000-0000-0000471E0000}"/>
    <hyperlink ref="D2774" r:id="rId7627" xr:uid="{00000000-0004-0000-0000-0000481E0000}"/>
    <hyperlink ref="A2775" r:id="rId7628" xr:uid="{00000000-0004-0000-0000-0000491E0000}"/>
    <hyperlink ref="C2775" r:id="rId7629" xr:uid="{00000000-0004-0000-0000-00004A1E0000}"/>
    <hyperlink ref="D2775" r:id="rId7630" xr:uid="{00000000-0004-0000-0000-00004B1E0000}"/>
    <hyperlink ref="A2776" r:id="rId7631" xr:uid="{00000000-0004-0000-0000-00004C1E0000}"/>
    <hyperlink ref="C2776" r:id="rId7632" xr:uid="{00000000-0004-0000-0000-00004D1E0000}"/>
    <hyperlink ref="D2776" r:id="rId7633" xr:uid="{00000000-0004-0000-0000-00004E1E0000}"/>
    <hyperlink ref="A2777" r:id="rId7634" xr:uid="{00000000-0004-0000-0000-00004F1E0000}"/>
    <hyperlink ref="C2777" r:id="rId7635" xr:uid="{00000000-0004-0000-0000-0000501E0000}"/>
    <hyperlink ref="D2777" r:id="rId7636" xr:uid="{00000000-0004-0000-0000-0000511E0000}"/>
    <hyperlink ref="A2778" r:id="rId7637" xr:uid="{00000000-0004-0000-0000-0000521E0000}"/>
    <hyperlink ref="C2778" r:id="rId7638" xr:uid="{00000000-0004-0000-0000-0000531E0000}"/>
    <hyperlink ref="D2778" r:id="rId7639" xr:uid="{00000000-0004-0000-0000-0000541E0000}"/>
    <hyperlink ref="A2779" r:id="rId7640" xr:uid="{00000000-0004-0000-0000-0000551E0000}"/>
    <hyperlink ref="C2779" r:id="rId7641" xr:uid="{00000000-0004-0000-0000-0000561E0000}"/>
    <hyperlink ref="D2779" r:id="rId7642" xr:uid="{00000000-0004-0000-0000-0000571E0000}"/>
    <hyperlink ref="A2780" r:id="rId7643" xr:uid="{00000000-0004-0000-0000-0000581E0000}"/>
    <hyperlink ref="C2780" r:id="rId7644" xr:uid="{00000000-0004-0000-0000-0000591E0000}"/>
    <hyperlink ref="D2780" r:id="rId7645" xr:uid="{00000000-0004-0000-0000-00005A1E0000}"/>
    <hyperlink ref="A2781" r:id="rId7646" xr:uid="{00000000-0004-0000-0000-00005B1E0000}"/>
    <hyperlink ref="C2781" r:id="rId7647" xr:uid="{00000000-0004-0000-0000-00005C1E0000}"/>
    <hyperlink ref="D2781" r:id="rId7648" xr:uid="{00000000-0004-0000-0000-00005D1E0000}"/>
    <hyperlink ref="E2781" r:id="rId7649" xr:uid="{00000000-0004-0000-0000-00005E1E0000}"/>
    <hyperlink ref="A2782" r:id="rId7650" xr:uid="{00000000-0004-0000-0000-00005F1E0000}"/>
    <hyperlink ref="C2782" r:id="rId7651" xr:uid="{00000000-0004-0000-0000-0000601E0000}"/>
    <hyperlink ref="D2782" r:id="rId7652" xr:uid="{00000000-0004-0000-0000-0000611E0000}"/>
    <hyperlink ref="A2783" r:id="rId7653" xr:uid="{00000000-0004-0000-0000-0000621E0000}"/>
    <hyperlink ref="C2783" r:id="rId7654" xr:uid="{00000000-0004-0000-0000-0000631E0000}"/>
    <hyperlink ref="D2783" r:id="rId7655" xr:uid="{00000000-0004-0000-0000-0000641E0000}"/>
    <hyperlink ref="A2784" r:id="rId7656" xr:uid="{00000000-0004-0000-0000-0000651E0000}"/>
    <hyperlink ref="C2784" r:id="rId7657" xr:uid="{00000000-0004-0000-0000-0000661E0000}"/>
    <hyperlink ref="D2784" r:id="rId7658" xr:uid="{00000000-0004-0000-0000-0000671E0000}"/>
    <hyperlink ref="A2785" r:id="rId7659" xr:uid="{00000000-0004-0000-0000-0000681E0000}"/>
    <hyperlink ref="C2785" r:id="rId7660" xr:uid="{00000000-0004-0000-0000-0000691E0000}"/>
    <hyperlink ref="D2785" r:id="rId7661" xr:uid="{00000000-0004-0000-0000-00006A1E0000}"/>
    <hyperlink ref="A2786" r:id="rId7662" xr:uid="{00000000-0004-0000-0000-00006B1E0000}"/>
    <hyperlink ref="C2786" r:id="rId7663" xr:uid="{00000000-0004-0000-0000-00006C1E0000}"/>
    <hyperlink ref="D2786" r:id="rId7664" xr:uid="{00000000-0004-0000-0000-00006D1E0000}"/>
    <hyperlink ref="A2787" r:id="rId7665" xr:uid="{00000000-0004-0000-0000-00006E1E0000}"/>
    <hyperlink ref="C2787" r:id="rId7666" xr:uid="{00000000-0004-0000-0000-00006F1E0000}"/>
    <hyperlink ref="D2787" r:id="rId7667" xr:uid="{00000000-0004-0000-0000-0000701E0000}"/>
    <hyperlink ref="A2788" r:id="rId7668" xr:uid="{00000000-0004-0000-0000-0000711E0000}"/>
    <hyperlink ref="C2788" r:id="rId7669" xr:uid="{00000000-0004-0000-0000-0000721E0000}"/>
    <hyperlink ref="D2788" r:id="rId7670" xr:uid="{00000000-0004-0000-0000-0000731E0000}"/>
    <hyperlink ref="C2789" r:id="rId7671" xr:uid="{00000000-0004-0000-0000-0000741E0000}"/>
    <hyperlink ref="D2789" r:id="rId7672" xr:uid="{00000000-0004-0000-0000-0000751E0000}"/>
    <hyperlink ref="A2790" r:id="rId7673" xr:uid="{00000000-0004-0000-0000-0000761E0000}"/>
    <hyperlink ref="C2790" r:id="rId7674" xr:uid="{00000000-0004-0000-0000-0000771E0000}"/>
    <hyperlink ref="D2790" r:id="rId7675" xr:uid="{00000000-0004-0000-0000-0000781E0000}"/>
    <hyperlink ref="C2791" r:id="rId7676" xr:uid="{00000000-0004-0000-0000-0000791E0000}"/>
    <hyperlink ref="D2791" r:id="rId7677" xr:uid="{00000000-0004-0000-0000-00007A1E0000}"/>
    <hyperlink ref="C2792" r:id="rId7678" xr:uid="{00000000-0004-0000-0000-00007B1E0000}"/>
    <hyperlink ref="D2792" r:id="rId7679" xr:uid="{00000000-0004-0000-0000-00007C1E0000}"/>
    <hyperlink ref="A2793" r:id="rId7680" xr:uid="{00000000-0004-0000-0000-00007D1E0000}"/>
    <hyperlink ref="C2793" r:id="rId7681" xr:uid="{00000000-0004-0000-0000-00007E1E0000}"/>
    <hyperlink ref="D2793" r:id="rId7682" xr:uid="{00000000-0004-0000-0000-00007F1E0000}"/>
    <hyperlink ref="A2794" r:id="rId7683" xr:uid="{00000000-0004-0000-0000-0000801E0000}"/>
    <hyperlink ref="C2794" r:id="rId7684" xr:uid="{00000000-0004-0000-0000-0000811E0000}"/>
    <hyperlink ref="D2794" r:id="rId7685" xr:uid="{00000000-0004-0000-0000-0000821E0000}"/>
    <hyperlink ref="A2795" r:id="rId7686" xr:uid="{00000000-0004-0000-0000-0000831E0000}"/>
    <hyperlink ref="C2795" r:id="rId7687" xr:uid="{00000000-0004-0000-0000-0000841E0000}"/>
    <hyperlink ref="D2795" r:id="rId7688" xr:uid="{00000000-0004-0000-0000-0000851E0000}"/>
    <hyperlink ref="A2796" r:id="rId7689" xr:uid="{00000000-0004-0000-0000-0000861E0000}"/>
    <hyperlink ref="C2796" r:id="rId7690" xr:uid="{00000000-0004-0000-0000-0000871E0000}"/>
    <hyperlink ref="D2796" r:id="rId7691" xr:uid="{00000000-0004-0000-0000-0000881E0000}"/>
    <hyperlink ref="A2797" r:id="rId7692" xr:uid="{00000000-0004-0000-0000-0000891E0000}"/>
    <hyperlink ref="C2797" r:id="rId7693" xr:uid="{00000000-0004-0000-0000-00008A1E0000}"/>
    <hyperlink ref="D2797" r:id="rId7694" xr:uid="{00000000-0004-0000-0000-00008B1E0000}"/>
    <hyperlink ref="A2798" r:id="rId7695" xr:uid="{00000000-0004-0000-0000-00008C1E0000}"/>
    <hyperlink ref="C2798" r:id="rId7696" xr:uid="{00000000-0004-0000-0000-00008D1E0000}"/>
    <hyperlink ref="D2798" r:id="rId7697" xr:uid="{00000000-0004-0000-0000-00008E1E0000}"/>
    <hyperlink ref="A2799" r:id="rId7698" xr:uid="{00000000-0004-0000-0000-00008F1E0000}"/>
    <hyperlink ref="C2799" r:id="rId7699" xr:uid="{00000000-0004-0000-0000-0000901E0000}"/>
    <hyperlink ref="D2799" r:id="rId7700" xr:uid="{00000000-0004-0000-0000-0000911E0000}"/>
    <hyperlink ref="A2800" r:id="rId7701" xr:uid="{00000000-0004-0000-0000-0000921E0000}"/>
    <hyperlink ref="C2800" r:id="rId7702" xr:uid="{00000000-0004-0000-0000-0000931E0000}"/>
    <hyperlink ref="D2800" r:id="rId7703" xr:uid="{00000000-0004-0000-0000-0000941E0000}"/>
    <hyperlink ref="C2801" r:id="rId7704" xr:uid="{00000000-0004-0000-0000-0000951E0000}"/>
    <hyperlink ref="D2801" r:id="rId7705" xr:uid="{00000000-0004-0000-0000-0000961E0000}"/>
    <hyperlink ref="C2802" r:id="rId7706" xr:uid="{00000000-0004-0000-0000-0000971E0000}"/>
    <hyperlink ref="D2802" r:id="rId7707" xr:uid="{00000000-0004-0000-0000-0000981E0000}"/>
    <hyperlink ref="A2803" r:id="rId7708" xr:uid="{00000000-0004-0000-0000-0000991E0000}"/>
    <hyperlink ref="C2803" r:id="rId7709" xr:uid="{00000000-0004-0000-0000-00009A1E0000}"/>
    <hyperlink ref="D2803" r:id="rId7710" xr:uid="{00000000-0004-0000-0000-00009B1E0000}"/>
    <hyperlink ref="A2804" r:id="rId7711" xr:uid="{00000000-0004-0000-0000-00009C1E0000}"/>
    <hyperlink ref="C2804" r:id="rId7712" xr:uid="{00000000-0004-0000-0000-00009D1E0000}"/>
    <hyperlink ref="D2804" r:id="rId7713" xr:uid="{00000000-0004-0000-0000-00009E1E0000}"/>
    <hyperlink ref="A2805" r:id="rId7714" xr:uid="{00000000-0004-0000-0000-00009F1E0000}"/>
    <hyperlink ref="C2805" r:id="rId7715" xr:uid="{00000000-0004-0000-0000-0000A01E0000}"/>
    <hyperlink ref="D2805" r:id="rId7716" xr:uid="{00000000-0004-0000-0000-0000A11E0000}"/>
    <hyperlink ref="A2806" r:id="rId7717" xr:uid="{00000000-0004-0000-0000-0000A21E0000}"/>
    <hyperlink ref="C2806" r:id="rId7718" xr:uid="{00000000-0004-0000-0000-0000A31E0000}"/>
    <hyperlink ref="D2806" r:id="rId7719" xr:uid="{00000000-0004-0000-0000-0000A41E0000}"/>
    <hyperlink ref="A2807" r:id="rId7720" xr:uid="{00000000-0004-0000-0000-0000A51E0000}"/>
    <hyperlink ref="C2807" r:id="rId7721" xr:uid="{00000000-0004-0000-0000-0000A61E0000}"/>
    <hyperlink ref="D2807" r:id="rId7722" xr:uid="{00000000-0004-0000-0000-0000A71E0000}"/>
    <hyperlink ref="A2808" r:id="rId7723" xr:uid="{00000000-0004-0000-0000-0000A81E0000}"/>
    <hyperlink ref="C2808" r:id="rId7724" xr:uid="{00000000-0004-0000-0000-0000A91E0000}"/>
    <hyperlink ref="D2808" r:id="rId7725" xr:uid="{00000000-0004-0000-0000-0000AA1E0000}"/>
    <hyperlink ref="A2809" r:id="rId7726" xr:uid="{00000000-0004-0000-0000-0000AB1E0000}"/>
    <hyperlink ref="C2809" r:id="rId7727" xr:uid="{00000000-0004-0000-0000-0000AC1E0000}"/>
    <hyperlink ref="D2809" r:id="rId7728" xr:uid="{00000000-0004-0000-0000-0000AD1E0000}"/>
    <hyperlink ref="A2810" r:id="rId7729" xr:uid="{00000000-0004-0000-0000-0000AE1E0000}"/>
    <hyperlink ref="C2810" r:id="rId7730" xr:uid="{00000000-0004-0000-0000-0000AF1E0000}"/>
    <hyperlink ref="D2810" r:id="rId7731" xr:uid="{00000000-0004-0000-0000-0000B01E0000}"/>
    <hyperlink ref="C2811" r:id="rId7732" xr:uid="{00000000-0004-0000-0000-0000B11E0000}"/>
    <hyperlink ref="D2811" r:id="rId7733" xr:uid="{00000000-0004-0000-0000-0000B21E0000}"/>
    <hyperlink ref="A2812" r:id="rId7734" xr:uid="{00000000-0004-0000-0000-0000B31E0000}"/>
    <hyperlink ref="C2812" r:id="rId7735" xr:uid="{00000000-0004-0000-0000-0000B41E0000}"/>
    <hyperlink ref="D2812" r:id="rId7736" xr:uid="{00000000-0004-0000-0000-0000B51E0000}"/>
    <hyperlink ref="A2813" r:id="rId7737" xr:uid="{00000000-0004-0000-0000-0000B61E0000}"/>
    <hyperlink ref="C2813" r:id="rId7738" xr:uid="{00000000-0004-0000-0000-0000B71E0000}"/>
    <hyperlink ref="D2813" r:id="rId7739" xr:uid="{00000000-0004-0000-0000-0000B81E0000}"/>
    <hyperlink ref="A2814" r:id="rId7740" xr:uid="{00000000-0004-0000-0000-0000B91E0000}"/>
    <hyperlink ref="C2814" r:id="rId7741" xr:uid="{00000000-0004-0000-0000-0000BA1E0000}"/>
    <hyperlink ref="D2814" r:id="rId7742" xr:uid="{00000000-0004-0000-0000-0000BB1E0000}"/>
    <hyperlink ref="C2815" r:id="rId7743" xr:uid="{00000000-0004-0000-0000-0000BC1E0000}"/>
    <hyperlink ref="D2815" r:id="rId7744" xr:uid="{00000000-0004-0000-0000-0000BD1E0000}"/>
    <hyperlink ref="A2816" r:id="rId7745" xr:uid="{00000000-0004-0000-0000-0000BE1E0000}"/>
    <hyperlink ref="C2816" r:id="rId7746" xr:uid="{00000000-0004-0000-0000-0000BF1E0000}"/>
    <hyperlink ref="D2816" r:id="rId7747" xr:uid="{00000000-0004-0000-0000-0000C01E0000}"/>
    <hyperlink ref="A2817" r:id="rId7748" xr:uid="{00000000-0004-0000-0000-0000C11E0000}"/>
    <hyperlink ref="A2818" r:id="rId7749" xr:uid="{00000000-0004-0000-0000-0000C21E0000}"/>
    <hyperlink ref="A2819" r:id="rId7750" xr:uid="{00000000-0004-0000-0000-0000C31E0000}"/>
    <hyperlink ref="A2820" r:id="rId7751" xr:uid="{00000000-0004-0000-0000-0000C41E0000}"/>
    <hyperlink ref="C2828" r:id="rId7752" xr:uid="{00000000-0004-0000-0000-0000C51E0000}"/>
    <hyperlink ref="D2828" r:id="rId7753" xr:uid="{00000000-0004-0000-0000-0000C61E0000}"/>
    <hyperlink ref="C2829" r:id="rId7754" xr:uid="{00000000-0004-0000-0000-0000C71E0000}"/>
    <hyperlink ref="D2829" r:id="rId7755" xr:uid="{00000000-0004-0000-0000-0000C81E0000}"/>
    <hyperlink ref="A2830" r:id="rId7756" xr:uid="{00000000-0004-0000-0000-0000C91E0000}"/>
    <hyperlink ref="C2830" r:id="rId7757" xr:uid="{00000000-0004-0000-0000-0000CA1E0000}"/>
    <hyperlink ref="D2830" r:id="rId7758" xr:uid="{00000000-0004-0000-0000-0000CB1E0000}"/>
    <hyperlink ref="A2831" r:id="rId7759" xr:uid="{00000000-0004-0000-0000-0000CC1E0000}"/>
    <hyperlink ref="C2831" r:id="rId7760" xr:uid="{00000000-0004-0000-0000-0000CD1E0000}"/>
    <hyperlink ref="D2831" r:id="rId7761" xr:uid="{00000000-0004-0000-0000-0000CE1E0000}"/>
    <hyperlink ref="C2832" r:id="rId7762" xr:uid="{00000000-0004-0000-0000-0000CF1E0000}"/>
    <hyperlink ref="D2832" r:id="rId7763" xr:uid="{00000000-0004-0000-0000-0000D01E0000}"/>
    <hyperlink ref="A2833" r:id="rId7764" xr:uid="{00000000-0004-0000-0000-0000D11E0000}"/>
    <hyperlink ref="C2833" r:id="rId7765" xr:uid="{00000000-0004-0000-0000-0000D21E0000}"/>
    <hyperlink ref="D2833" r:id="rId7766" xr:uid="{00000000-0004-0000-0000-0000D31E0000}"/>
    <hyperlink ref="A2834" r:id="rId7767" xr:uid="{00000000-0004-0000-0000-0000D41E0000}"/>
    <hyperlink ref="C2834" r:id="rId7768" xr:uid="{00000000-0004-0000-0000-0000D51E0000}"/>
    <hyperlink ref="D2834" r:id="rId7769" xr:uid="{00000000-0004-0000-0000-0000D61E0000}"/>
    <hyperlink ref="A2835" r:id="rId7770" xr:uid="{00000000-0004-0000-0000-0000D71E0000}"/>
    <hyperlink ref="C2835" r:id="rId7771" xr:uid="{00000000-0004-0000-0000-0000D81E0000}"/>
    <hyperlink ref="D2835" r:id="rId7772" xr:uid="{00000000-0004-0000-0000-0000D91E0000}"/>
    <hyperlink ref="A2836" r:id="rId7773" xr:uid="{00000000-0004-0000-0000-0000DA1E0000}"/>
    <hyperlink ref="C2836" r:id="rId7774" xr:uid="{00000000-0004-0000-0000-0000DB1E0000}"/>
    <hyperlink ref="D2836" r:id="rId7775" xr:uid="{00000000-0004-0000-0000-0000DC1E0000}"/>
    <hyperlink ref="A2837" r:id="rId7776" xr:uid="{00000000-0004-0000-0000-0000DD1E0000}"/>
    <hyperlink ref="C2837" r:id="rId7777" xr:uid="{00000000-0004-0000-0000-0000DE1E0000}"/>
    <hyperlink ref="D2837" r:id="rId7778" xr:uid="{00000000-0004-0000-0000-0000DF1E0000}"/>
    <hyperlink ref="A2838" r:id="rId7779" xr:uid="{00000000-0004-0000-0000-0000E01E0000}"/>
    <hyperlink ref="C2838" r:id="rId7780" xr:uid="{00000000-0004-0000-0000-0000E11E0000}"/>
    <hyperlink ref="D2838" r:id="rId7781" xr:uid="{00000000-0004-0000-0000-0000E21E0000}"/>
    <hyperlink ref="A2839" r:id="rId7782" xr:uid="{00000000-0004-0000-0000-0000E31E0000}"/>
    <hyperlink ref="C2840" r:id="rId7783" xr:uid="{00000000-0004-0000-0000-0000E41E0000}"/>
    <hyperlink ref="D2840" r:id="rId7784" xr:uid="{00000000-0004-0000-0000-0000E51E0000}"/>
    <hyperlink ref="A2841" r:id="rId7785" xr:uid="{00000000-0004-0000-0000-0000E61E0000}"/>
    <hyperlink ref="C2841" r:id="rId7786" xr:uid="{00000000-0004-0000-0000-0000E71E0000}"/>
    <hyperlink ref="D2841" r:id="rId7787" xr:uid="{00000000-0004-0000-0000-0000E81E0000}"/>
    <hyperlink ref="A2842" r:id="rId7788" xr:uid="{00000000-0004-0000-0000-0000E91E0000}"/>
    <hyperlink ref="C2842" r:id="rId7789" xr:uid="{00000000-0004-0000-0000-0000EA1E0000}"/>
    <hyperlink ref="D2842" r:id="rId7790" xr:uid="{00000000-0004-0000-0000-0000EB1E0000}"/>
    <hyperlink ref="A2843" r:id="rId7791" xr:uid="{00000000-0004-0000-0000-0000EC1E0000}"/>
    <hyperlink ref="C2843" r:id="rId7792" xr:uid="{00000000-0004-0000-0000-0000ED1E0000}"/>
    <hyperlink ref="D2843" r:id="rId7793" xr:uid="{00000000-0004-0000-0000-0000EE1E0000}"/>
    <hyperlink ref="A2844" r:id="rId7794" xr:uid="{00000000-0004-0000-0000-0000EF1E0000}"/>
    <hyperlink ref="C2844" r:id="rId7795" xr:uid="{00000000-0004-0000-0000-0000F01E0000}"/>
    <hyperlink ref="D2844" r:id="rId7796" xr:uid="{00000000-0004-0000-0000-0000F11E0000}"/>
    <hyperlink ref="A2845" r:id="rId7797" xr:uid="{00000000-0004-0000-0000-0000F21E0000}"/>
    <hyperlink ref="C2845" r:id="rId7798" xr:uid="{00000000-0004-0000-0000-0000F31E0000}"/>
    <hyperlink ref="D2845" r:id="rId7799" xr:uid="{00000000-0004-0000-0000-0000F41E0000}"/>
    <hyperlink ref="A2846" r:id="rId7800" xr:uid="{00000000-0004-0000-0000-0000F51E0000}"/>
    <hyperlink ref="A2847" r:id="rId7801" xr:uid="{00000000-0004-0000-0000-0000F61E0000}"/>
    <hyperlink ref="C2847" r:id="rId7802" xr:uid="{00000000-0004-0000-0000-0000F71E0000}"/>
    <hyperlink ref="D2847" r:id="rId7803" xr:uid="{00000000-0004-0000-0000-0000F81E0000}"/>
    <hyperlink ref="A2848" r:id="rId7804" xr:uid="{00000000-0004-0000-0000-0000F91E0000}"/>
    <hyperlink ref="C2848" r:id="rId7805" xr:uid="{00000000-0004-0000-0000-0000FA1E0000}"/>
    <hyperlink ref="D2848" r:id="rId7806" xr:uid="{00000000-0004-0000-0000-0000FB1E0000}"/>
    <hyperlink ref="A2849" r:id="rId7807" xr:uid="{00000000-0004-0000-0000-0000FC1E0000}"/>
    <hyperlink ref="C2849" r:id="rId7808" xr:uid="{00000000-0004-0000-0000-0000FD1E0000}"/>
    <hyperlink ref="D2849" r:id="rId7809" xr:uid="{00000000-0004-0000-0000-0000FE1E0000}"/>
    <hyperlink ref="A2850" r:id="rId7810" xr:uid="{00000000-0004-0000-0000-0000FF1E0000}"/>
    <hyperlink ref="C2850" r:id="rId7811" xr:uid="{00000000-0004-0000-0000-0000001F0000}"/>
    <hyperlink ref="D2850" r:id="rId7812" xr:uid="{00000000-0004-0000-0000-0000011F0000}"/>
    <hyperlink ref="A2851" r:id="rId7813" xr:uid="{00000000-0004-0000-0000-0000021F0000}"/>
    <hyperlink ref="C2851" r:id="rId7814" xr:uid="{00000000-0004-0000-0000-0000031F0000}"/>
    <hyperlink ref="D2851" r:id="rId7815" xr:uid="{00000000-0004-0000-0000-0000041F0000}"/>
    <hyperlink ref="A2852" r:id="rId7816" xr:uid="{00000000-0004-0000-0000-0000051F0000}"/>
    <hyperlink ref="C2852" r:id="rId7817" xr:uid="{00000000-0004-0000-0000-0000061F0000}"/>
    <hyperlink ref="D2852" r:id="rId7818" xr:uid="{00000000-0004-0000-0000-0000071F0000}"/>
    <hyperlink ref="A2853" r:id="rId7819" xr:uid="{00000000-0004-0000-0000-0000081F0000}"/>
    <hyperlink ref="C2853" r:id="rId7820" xr:uid="{00000000-0004-0000-0000-0000091F0000}"/>
    <hyperlink ref="D2853" r:id="rId7821" xr:uid="{00000000-0004-0000-0000-00000A1F0000}"/>
    <hyperlink ref="A2854" r:id="rId7822" xr:uid="{00000000-0004-0000-0000-00000B1F0000}"/>
    <hyperlink ref="C2854" r:id="rId7823" xr:uid="{00000000-0004-0000-0000-00000C1F0000}"/>
    <hyperlink ref="D2854" r:id="rId7824" xr:uid="{00000000-0004-0000-0000-00000D1F0000}"/>
    <hyperlink ref="A2855" r:id="rId7825" xr:uid="{00000000-0004-0000-0000-00000E1F0000}"/>
    <hyperlink ref="C2855" r:id="rId7826" xr:uid="{00000000-0004-0000-0000-00000F1F0000}"/>
    <hyperlink ref="D2855" r:id="rId7827" xr:uid="{00000000-0004-0000-0000-0000101F0000}"/>
    <hyperlink ref="C2856" r:id="rId7828" xr:uid="{00000000-0004-0000-0000-0000111F0000}"/>
    <hyperlink ref="D2856" r:id="rId7829" xr:uid="{00000000-0004-0000-0000-0000121F0000}"/>
    <hyperlink ref="A2857" r:id="rId7830" xr:uid="{00000000-0004-0000-0000-0000131F0000}"/>
    <hyperlink ref="C2857" r:id="rId7831" xr:uid="{00000000-0004-0000-0000-0000141F0000}"/>
    <hyperlink ref="D2857" r:id="rId7832" xr:uid="{00000000-0004-0000-0000-0000151F0000}"/>
    <hyperlink ref="A2858" r:id="rId7833" xr:uid="{00000000-0004-0000-0000-0000161F0000}"/>
    <hyperlink ref="C2858" r:id="rId7834" xr:uid="{00000000-0004-0000-0000-0000171F0000}"/>
    <hyperlink ref="D2858" r:id="rId7835" xr:uid="{00000000-0004-0000-0000-0000181F0000}"/>
    <hyperlink ref="A2859" r:id="rId7836" xr:uid="{00000000-0004-0000-0000-0000191F0000}"/>
    <hyperlink ref="C2859" r:id="rId7837" xr:uid="{00000000-0004-0000-0000-00001A1F0000}"/>
    <hyperlink ref="D2859" r:id="rId7838" xr:uid="{00000000-0004-0000-0000-00001B1F0000}"/>
    <hyperlink ref="A2860" r:id="rId7839" xr:uid="{00000000-0004-0000-0000-00001C1F0000}"/>
    <hyperlink ref="C2860" r:id="rId7840" xr:uid="{00000000-0004-0000-0000-00001D1F0000}"/>
    <hyperlink ref="D2860" r:id="rId7841" xr:uid="{00000000-0004-0000-0000-00001E1F0000}"/>
    <hyperlink ref="A2861" r:id="rId7842" xr:uid="{00000000-0004-0000-0000-00001F1F0000}"/>
    <hyperlink ref="C2861" r:id="rId7843" xr:uid="{00000000-0004-0000-0000-0000201F0000}"/>
    <hyperlink ref="D2861" r:id="rId7844" xr:uid="{00000000-0004-0000-0000-0000211F0000}"/>
    <hyperlink ref="A2862" r:id="rId7845" xr:uid="{00000000-0004-0000-0000-0000221F0000}"/>
    <hyperlink ref="A2864" r:id="rId7846" xr:uid="{00000000-0004-0000-0000-0000231F0000}"/>
    <hyperlink ref="C2864" r:id="rId7847" xr:uid="{00000000-0004-0000-0000-0000241F0000}"/>
    <hyperlink ref="D2864" r:id="rId7848" xr:uid="{00000000-0004-0000-0000-0000251F0000}"/>
    <hyperlink ref="A2865" r:id="rId7849" xr:uid="{00000000-0004-0000-0000-0000261F0000}"/>
    <hyperlink ref="C2865" r:id="rId7850" xr:uid="{00000000-0004-0000-0000-0000271F0000}"/>
    <hyperlink ref="D2865" r:id="rId7851" xr:uid="{00000000-0004-0000-0000-0000281F0000}"/>
    <hyperlink ref="A2866" r:id="rId7852" xr:uid="{00000000-0004-0000-0000-0000291F0000}"/>
    <hyperlink ref="C2866" r:id="rId7853" xr:uid="{00000000-0004-0000-0000-00002A1F0000}"/>
    <hyperlink ref="D2866" r:id="rId7854" xr:uid="{00000000-0004-0000-0000-00002B1F0000}"/>
    <hyperlink ref="A2867" r:id="rId7855" xr:uid="{00000000-0004-0000-0000-00002C1F0000}"/>
    <hyperlink ref="C2867" r:id="rId7856" xr:uid="{00000000-0004-0000-0000-00002D1F0000}"/>
    <hyperlink ref="D2867" r:id="rId7857" xr:uid="{00000000-0004-0000-0000-00002E1F0000}"/>
    <hyperlink ref="A2868" r:id="rId7858" xr:uid="{00000000-0004-0000-0000-00002F1F0000}"/>
    <hyperlink ref="C2868" r:id="rId7859" xr:uid="{00000000-0004-0000-0000-0000301F0000}"/>
    <hyperlink ref="D2868" r:id="rId7860" xr:uid="{00000000-0004-0000-0000-0000311F0000}"/>
    <hyperlink ref="A2869" r:id="rId7861" xr:uid="{00000000-0004-0000-0000-0000321F0000}"/>
    <hyperlink ref="C2869" r:id="rId7862" xr:uid="{00000000-0004-0000-0000-0000331F0000}"/>
    <hyperlink ref="D2869" r:id="rId7863" xr:uid="{00000000-0004-0000-0000-0000341F0000}"/>
    <hyperlink ref="A2870" r:id="rId7864" xr:uid="{00000000-0004-0000-0000-0000351F0000}"/>
    <hyperlink ref="C2870" r:id="rId7865" xr:uid="{00000000-0004-0000-0000-0000361F0000}"/>
    <hyperlink ref="D2870" r:id="rId7866" xr:uid="{00000000-0004-0000-0000-0000371F0000}"/>
    <hyperlink ref="A2871" r:id="rId7867" xr:uid="{00000000-0004-0000-0000-0000381F0000}"/>
    <hyperlink ref="C2871" r:id="rId7868" xr:uid="{00000000-0004-0000-0000-0000391F0000}"/>
    <hyperlink ref="D2871" r:id="rId7869" xr:uid="{00000000-0004-0000-0000-00003A1F0000}"/>
    <hyperlink ref="A2872" r:id="rId7870" xr:uid="{00000000-0004-0000-0000-00003B1F0000}"/>
    <hyperlink ref="C2872" r:id="rId7871" xr:uid="{00000000-0004-0000-0000-00003C1F0000}"/>
    <hyperlink ref="D2872" r:id="rId7872" xr:uid="{00000000-0004-0000-0000-00003D1F0000}"/>
    <hyperlink ref="C2873" r:id="rId7873" xr:uid="{00000000-0004-0000-0000-00003E1F0000}"/>
    <hyperlink ref="D2873" r:id="rId7874" xr:uid="{00000000-0004-0000-0000-00003F1F0000}"/>
    <hyperlink ref="A2874" r:id="rId7875" xr:uid="{00000000-0004-0000-0000-0000401F0000}"/>
    <hyperlink ref="C2874" r:id="rId7876" xr:uid="{00000000-0004-0000-0000-0000411F0000}"/>
    <hyperlink ref="D2874" r:id="rId7877" xr:uid="{00000000-0004-0000-0000-0000421F0000}"/>
    <hyperlink ref="C2875" r:id="rId7878" xr:uid="{00000000-0004-0000-0000-0000431F0000}"/>
    <hyperlink ref="D2875" r:id="rId7879" xr:uid="{00000000-0004-0000-0000-0000441F0000}"/>
    <hyperlink ref="A2876" r:id="rId7880" xr:uid="{00000000-0004-0000-0000-0000451F0000}"/>
    <hyperlink ref="C2876" r:id="rId7881" xr:uid="{00000000-0004-0000-0000-0000461F0000}"/>
    <hyperlink ref="D2876" r:id="rId7882" xr:uid="{00000000-0004-0000-0000-0000471F0000}"/>
    <hyperlink ref="A2877" r:id="rId7883" xr:uid="{00000000-0004-0000-0000-0000481F0000}"/>
    <hyperlink ref="C2877" r:id="rId7884" xr:uid="{00000000-0004-0000-0000-0000491F0000}"/>
    <hyperlink ref="D2877" r:id="rId7885" xr:uid="{00000000-0004-0000-0000-00004A1F0000}"/>
    <hyperlink ref="A2878" r:id="rId7886" xr:uid="{00000000-0004-0000-0000-00004B1F0000}"/>
    <hyperlink ref="C2878" r:id="rId7887" xr:uid="{00000000-0004-0000-0000-00004C1F0000}"/>
    <hyperlink ref="D2878" r:id="rId7888" xr:uid="{00000000-0004-0000-0000-00004D1F0000}"/>
    <hyperlink ref="A2879" r:id="rId7889" xr:uid="{00000000-0004-0000-0000-00004E1F0000}"/>
    <hyperlink ref="C2879" r:id="rId7890" xr:uid="{00000000-0004-0000-0000-00004F1F0000}"/>
    <hyperlink ref="D2879" r:id="rId7891" xr:uid="{00000000-0004-0000-0000-0000501F0000}"/>
    <hyperlink ref="A2882" r:id="rId7892" xr:uid="{00000000-0004-0000-0000-0000511F0000}"/>
    <hyperlink ref="C2882" r:id="rId7893" xr:uid="{00000000-0004-0000-0000-0000521F0000}"/>
    <hyperlink ref="D2882" r:id="rId7894" xr:uid="{00000000-0004-0000-0000-0000531F0000}"/>
    <hyperlink ref="A2883" r:id="rId7895" xr:uid="{00000000-0004-0000-0000-0000541F0000}"/>
    <hyperlink ref="C2883" r:id="rId7896" xr:uid="{00000000-0004-0000-0000-0000551F0000}"/>
    <hyperlink ref="D2883" r:id="rId7897" xr:uid="{00000000-0004-0000-0000-0000561F0000}"/>
    <hyperlink ref="A2884" r:id="rId7898" xr:uid="{00000000-0004-0000-0000-0000571F0000}"/>
    <hyperlink ref="C2884" r:id="rId7899" xr:uid="{00000000-0004-0000-0000-0000581F0000}"/>
    <hyperlink ref="D2884" r:id="rId7900" xr:uid="{00000000-0004-0000-0000-0000591F0000}"/>
    <hyperlink ref="A2885" r:id="rId7901" xr:uid="{00000000-0004-0000-0000-00005A1F0000}"/>
    <hyperlink ref="C2885" r:id="rId7902" xr:uid="{00000000-0004-0000-0000-00005B1F0000}"/>
    <hyperlink ref="D2885" r:id="rId7903" xr:uid="{00000000-0004-0000-0000-00005C1F0000}"/>
    <hyperlink ref="A2886" r:id="rId7904" xr:uid="{00000000-0004-0000-0000-00005D1F0000}"/>
    <hyperlink ref="C2886" r:id="rId7905" xr:uid="{00000000-0004-0000-0000-00005E1F0000}"/>
    <hyperlink ref="D2886" r:id="rId7906" xr:uid="{00000000-0004-0000-0000-00005F1F0000}"/>
    <hyperlink ref="A2887" r:id="rId7907" xr:uid="{00000000-0004-0000-0000-0000601F0000}"/>
    <hyperlink ref="C2887" r:id="rId7908" xr:uid="{00000000-0004-0000-0000-0000611F0000}"/>
    <hyperlink ref="D2887" r:id="rId7909" xr:uid="{00000000-0004-0000-0000-0000621F0000}"/>
    <hyperlink ref="A2888" r:id="rId7910" xr:uid="{00000000-0004-0000-0000-0000631F0000}"/>
    <hyperlink ref="C2888" r:id="rId7911" xr:uid="{00000000-0004-0000-0000-0000641F0000}"/>
    <hyperlink ref="D2888" r:id="rId7912" xr:uid="{00000000-0004-0000-0000-0000651F0000}"/>
    <hyperlink ref="A2889" r:id="rId7913" xr:uid="{00000000-0004-0000-0000-0000661F0000}"/>
    <hyperlink ref="A2890" r:id="rId7914" xr:uid="{00000000-0004-0000-0000-0000671F0000}"/>
    <hyperlink ref="C2890" r:id="rId7915" xr:uid="{00000000-0004-0000-0000-0000681F0000}"/>
    <hyperlink ref="D2890" r:id="rId7916" xr:uid="{00000000-0004-0000-0000-0000691F0000}"/>
    <hyperlink ref="A2891" r:id="rId7917" xr:uid="{00000000-0004-0000-0000-00006A1F0000}"/>
    <hyperlink ref="C2891" r:id="rId7918" xr:uid="{00000000-0004-0000-0000-00006B1F0000}"/>
    <hyperlink ref="D2891" r:id="rId7919" xr:uid="{00000000-0004-0000-0000-00006C1F0000}"/>
    <hyperlink ref="A2892" r:id="rId7920" xr:uid="{00000000-0004-0000-0000-00006D1F0000}"/>
    <hyperlink ref="C2892" r:id="rId7921" xr:uid="{00000000-0004-0000-0000-00006E1F0000}"/>
    <hyperlink ref="D2892" r:id="rId7922" xr:uid="{00000000-0004-0000-0000-00006F1F0000}"/>
    <hyperlink ref="A2893" r:id="rId7923" xr:uid="{00000000-0004-0000-0000-0000701F0000}"/>
    <hyperlink ref="C2893" r:id="rId7924" xr:uid="{00000000-0004-0000-0000-0000711F0000}"/>
    <hyperlink ref="D2893" r:id="rId7925" xr:uid="{00000000-0004-0000-0000-0000721F0000}"/>
    <hyperlink ref="A2894" r:id="rId7926" xr:uid="{00000000-0004-0000-0000-0000731F0000}"/>
    <hyperlink ref="C2894" r:id="rId7927" xr:uid="{00000000-0004-0000-0000-0000741F0000}"/>
    <hyperlink ref="D2894" r:id="rId7928" xr:uid="{00000000-0004-0000-0000-0000751F0000}"/>
    <hyperlink ref="A2895" r:id="rId7929" xr:uid="{00000000-0004-0000-0000-0000761F0000}"/>
    <hyperlink ref="C2895" r:id="rId7930" xr:uid="{00000000-0004-0000-0000-0000771F0000}"/>
    <hyperlink ref="D2895" r:id="rId7931" xr:uid="{00000000-0004-0000-0000-0000781F0000}"/>
    <hyperlink ref="A2896" r:id="rId7932" xr:uid="{00000000-0004-0000-0000-0000791F0000}"/>
    <hyperlink ref="C2896" r:id="rId7933" xr:uid="{00000000-0004-0000-0000-00007A1F0000}"/>
    <hyperlink ref="D2896" r:id="rId7934" xr:uid="{00000000-0004-0000-0000-00007B1F0000}"/>
    <hyperlink ref="A2897" r:id="rId7935" xr:uid="{00000000-0004-0000-0000-00007C1F0000}"/>
    <hyperlink ref="C2897" r:id="rId7936" xr:uid="{00000000-0004-0000-0000-00007D1F0000}"/>
    <hyperlink ref="D2897" r:id="rId7937" xr:uid="{00000000-0004-0000-0000-00007E1F0000}"/>
    <hyperlink ref="A2898" r:id="rId7938" xr:uid="{00000000-0004-0000-0000-00007F1F0000}"/>
    <hyperlink ref="C2898" r:id="rId7939" xr:uid="{00000000-0004-0000-0000-0000801F0000}"/>
    <hyperlink ref="D2898" r:id="rId7940" xr:uid="{00000000-0004-0000-0000-0000811F0000}"/>
    <hyperlink ref="A2899" r:id="rId7941" xr:uid="{00000000-0004-0000-0000-0000821F0000}"/>
    <hyperlink ref="C2899" r:id="rId7942" xr:uid="{00000000-0004-0000-0000-0000831F0000}"/>
    <hyperlink ref="D2899" r:id="rId7943" xr:uid="{00000000-0004-0000-0000-0000841F0000}"/>
    <hyperlink ref="A2900" r:id="rId7944" xr:uid="{00000000-0004-0000-0000-0000851F0000}"/>
    <hyperlink ref="C2900" r:id="rId7945" xr:uid="{00000000-0004-0000-0000-0000861F0000}"/>
    <hyperlink ref="D2900" r:id="rId7946" xr:uid="{00000000-0004-0000-0000-0000871F0000}"/>
    <hyperlink ref="A2901" r:id="rId7947" xr:uid="{00000000-0004-0000-0000-0000881F0000}"/>
    <hyperlink ref="C2901" r:id="rId7948" xr:uid="{00000000-0004-0000-0000-0000891F0000}"/>
    <hyperlink ref="D2901" r:id="rId7949" xr:uid="{00000000-0004-0000-0000-00008A1F0000}"/>
    <hyperlink ref="A2902" r:id="rId7950" xr:uid="{00000000-0004-0000-0000-00008B1F0000}"/>
    <hyperlink ref="C2902" r:id="rId7951" xr:uid="{00000000-0004-0000-0000-00008C1F0000}"/>
    <hyperlink ref="D2902" r:id="rId7952" xr:uid="{00000000-0004-0000-0000-00008D1F0000}"/>
    <hyperlink ref="A2903" r:id="rId7953" xr:uid="{00000000-0004-0000-0000-00008E1F0000}"/>
    <hyperlink ref="C2903" r:id="rId7954" xr:uid="{00000000-0004-0000-0000-00008F1F0000}"/>
    <hyperlink ref="D2903" r:id="rId7955" xr:uid="{00000000-0004-0000-0000-0000901F0000}"/>
    <hyperlink ref="A2904" r:id="rId7956" xr:uid="{00000000-0004-0000-0000-0000911F0000}"/>
    <hyperlink ref="C2904" r:id="rId7957" xr:uid="{00000000-0004-0000-0000-0000921F0000}"/>
    <hyperlink ref="D2904" r:id="rId7958" xr:uid="{00000000-0004-0000-0000-0000931F0000}"/>
    <hyperlink ref="A2905" r:id="rId7959" xr:uid="{00000000-0004-0000-0000-0000941F0000}"/>
    <hyperlink ref="C2905" r:id="rId7960" xr:uid="{00000000-0004-0000-0000-0000951F0000}"/>
    <hyperlink ref="D2905" r:id="rId7961" xr:uid="{00000000-0004-0000-0000-0000961F0000}"/>
    <hyperlink ref="A2906" r:id="rId7962" xr:uid="{00000000-0004-0000-0000-0000971F0000}"/>
    <hyperlink ref="C2906" r:id="rId7963" xr:uid="{00000000-0004-0000-0000-0000981F0000}"/>
    <hyperlink ref="D2906" r:id="rId7964" xr:uid="{00000000-0004-0000-0000-0000991F0000}"/>
    <hyperlink ref="A2907" r:id="rId7965" xr:uid="{00000000-0004-0000-0000-00009A1F0000}"/>
    <hyperlink ref="C2907" r:id="rId7966" xr:uid="{00000000-0004-0000-0000-00009B1F0000}"/>
    <hyperlink ref="D2907" r:id="rId7967" xr:uid="{00000000-0004-0000-0000-00009C1F0000}"/>
    <hyperlink ref="E2907" r:id="rId7968" xr:uid="{00000000-0004-0000-0000-00009D1F0000}"/>
    <hyperlink ref="A2908" r:id="rId7969" xr:uid="{00000000-0004-0000-0000-00009E1F0000}"/>
    <hyperlink ref="C2908" r:id="rId7970" xr:uid="{00000000-0004-0000-0000-00009F1F0000}"/>
    <hyperlink ref="D2908" r:id="rId7971" xr:uid="{00000000-0004-0000-0000-0000A01F0000}"/>
    <hyperlink ref="A2909" r:id="rId7972" xr:uid="{00000000-0004-0000-0000-0000A11F0000}"/>
    <hyperlink ref="C2909" r:id="rId7973" xr:uid="{00000000-0004-0000-0000-0000A21F0000}"/>
    <hyperlink ref="D2909" r:id="rId7974" xr:uid="{00000000-0004-0000-0000-0000A31F0000}"/>
    <hyperlink ref="A2910" r:id="rId7975" xr:uid="{00000000-0004-0000-0000-0000A41F0000}"/>
    <hyperlink ref="C2910" r:id="rId7976" xr:uid="{00000000-0004-0000-0000-0000A51F0000}"/>
    <hyperlink ref="D2910" r:id="rId7977" xr:uid="{00000000-0004-0000-0000-0000A61F0000}"/>
    <hyperlink ref="A2911" r:id="rId7978" xr:uid="{00000000-0004-0000-0000-0000A71F0000}"/>
    <hyperlink ref="C2911" r:id="rId7979" xr:uid="{00000000-0004-0000-0000-0000A81F0000}"/>
    <hyperlink ref="D2911" r:id="rId7980" xr:uid="{00000000-0004-0000-0000-0000A91F0000}"/>
    <hyperlink ref="A2912" r:id="rId7981" xr:uid="{00000000-0004-0000-0000-0000AA1F0000}"/>
    <hyperlink ref="C2912" r:id="rId7982" xr:uid="{00000000-0004-0000-0000-0000AB1F0000}"/>
    <hyperlink ref="D2912" r:id="rId7983" xr:uid="{00000000-0004-0000-0000-0000AC1F0000}"/>
    <hyperlink ref="A2913" r:id="rId7984" xr:uid="{00000000-0004-0000-0000-0000AD1F0000}"/>
    <hyperlink ref="C2913" r:id="rId7985" xr:uid="{00000000-0004-0000-0000-0000AE1F0000}"/>
    <hyperlink ref="D2913" r:id="rId7986" xr:uid="{00000000-0004-0000-0000-0000AF1F0000}"/>
    <hyperlink ref="A2914" r:id="rId7987" xr:uid="{00000000-0004-0000-0000-0000B01F0000}"/>
    <hyperlink ref="C2914" r:id="rId7988" xr:uid="{00000000-0004-0000-0000-0000B11F0000}"/>
    <hyperlink ref="D2914" r:id="rId7989" xr:uid="{00000000-0004-0000-0000-0000B21F0000}"/>
    <hyperlink ref="C2915" r:id="rId7990" xr:uid="{00000000-0004-0000-0000-0000B31F0000}"/>
    <hyperlink ref="D2915" r:id="rId7991" xr:uid="{00000000-0004-0000-0000-0000B41F0000}"/>
    <hyperlink ref="A2916" r:id="rId7992" xr:uid="{00000000-0004-0000-0000-0000B51F0000}"/>
    <hyperlink ref="C2916" r:id="rId7993" xr:uid="{00000000-0004-0000-0000-0000B61F0000}"/>
    <hyperlink ref="D2916" r:id="rId7994" xr:uid="{00000000-0004-0000-0000-0000B71F0000}"/>
    <hyperlink ref="A2917" r:id="rId7995" xr:uid="{00000000-0004-0000-0000-0000B81F0000}"/>
    <hyperlink ref="C2917" r:id="rId7996" xr:uid="{00000000-0004-0000-0000-0000B91F0000}"/>
    <hyperlink ref="D2917" r:id="rId7997" xr:uid="{00000000-0004-0000-0000-0000BA1F0000}"/>
    <hyperlink ref="A2918" r:id="rId7998" xr:uid="{00000000-0004-0000-0000-0000BB1F0000}"/>
    <hyperlink ref="C2918" r:id="rId7999" xr:uid="{00000000-0004-0000-0000-0000BC1F0000}"/>
    <hyperlink ref="D2918" r:id="rId8000" xr:uid="{00000000-0004-0000-0000-0000BD1F0000}"/>
    <hyperlink ref="A2919" r:id="rId8001" xr:uid="{00000000-0004-0000-0000-0000BE1F0000}"/>
    <hyperlink ref="C2919" r:id="rId8002" xr:uid="{00000000-0004-0000-0000-0000BF1F0000}"/>
    <hyperlink ref="D2919" r:id="rId8003" xr:uid="{00000000-0004-0000-0000-0000C01F0000}"/>
    <hyperlink ref="A2920" r:id="rId8004" xr:uid="{00000000-0004-0000-0000-0000C11F0000}"/>
    <hyperlink ref="C2920" r:id="rId8005" xr:uid="{00000000-0004-0000-0000-0000C21F0000}"/>
    <hyperlink ref="D2920" r:id="rId8006" xr:uid="{00000000-0004-0000-0000-0000C31F0000}"/>
    <hyperlink ref="A2921" r:id="rId8007" xr:uid="{00000000-0004-0000-0000-0000C41F0000}"/>
    <hyperlink ref="C2921" r:id="rId8008" xr:uid="{00000000-0004-0000-0000-0000C51F0000}"/>
    <hyperlink ref="D2921" r:id="rId8009" xr:uid="{00000000-0004-0000-0000-0000C61F0000}"/>
    <hyperlink ref="A2922" r:id="rId8010" xr:uid="{00000000-0004-0000-0000-0000C71F0000}"/>
    <hyperlink ref="C2922" r:id="rId8011" xr:uid="{00000000-0004-0000-0000-0000C81F0000}"/>
    <hyperlink ref="D2922" r:id="rId8012" xr:uid="{00000000-0004-0000-0000-0000C91F0000}"/>
    <hyperlink ref="A2923" r:id="rId8013" xr:uid="{00000000-0004-0000-0000-0000CA1F0000}"/>
    <hyperlink ref="C2923" r:id="rId8014" xr:uid="{00000000-0004-0000-0000-0000CB1F0000}"/>
    <hyperlink ref="D2923" r:id="rId8015" xr:uid="{00000000-0004-0000-0000-0000CC1F0000}"/>
    <hyperlink ref="C2924" r:id="rId8016" xr:uid="{00000000-0004-0000-0000-0000CD1F0000}"/>
    <hyperlink ref="D2924" r:id="rId8017" xr:uid="{00000000-0004-0000-0000-0000CE1F0000}"/>
    <hyperlink ref="C2925" r:id="rId8018" xr:uid="{00000000-0004-0000-0000-0000CF1F0000}"/>
    <hyperlink ref="D2925" r:id="rId8019" xr:uid="{00000000-0004-0000-0000-0000D01F0000}"/>
    <hyperlink ref="C2926" r:id="rId8020" xr:uid="{00000000-0004-0000-0000-0000D11F0000}"/>
    <hyperlink ref="D2926" r:id="rId8021" xr:uid="{00000000-0004-0000-0000-0000D21F0000}"/>
    <hyperlink ref="A2927" r:id="rId8022" xr:uid="{00000000-0004-0000-0000-0000D31F0000}"/>
    <hyperlink ref="C2927" r:id="rId8023" xr:uid="{00000000-0004-0000-0000-0000D41F0000}"/>
    <hyperlink ref="D2927" r:id="rId8024" xr:uid="{00000000-0004-0000-0000-0000D51F0000}"/>
    <hyperlink ref="A2928" r:id="rId8025" xr:uid="{00000000-0004-0000-0000-0000D61F0000}"/>
    <hyperlink ref="C2928" r:id="rId8026" xr:uid="{00000000-0004-0000-0000-0000D71F0000}"/>
    <hyperlink ref="D2928" r:id="rId8027" xr:uid="{00000000-0004-0000-0000-0000D81F0000}"/>
    <hyperlink ref="A2929" r:id="rId8028" xr:uid="{00000000-0004-0000-0000-0000D91F0000}"/>
    <hyperlink ref="C2929" r:id="rId8029" xr:uid="{00000000-0004-0000-0000-0000DA1F0000}"/>
    <hyperlink ref="D2929" r:id="rId8030" xr:uid="{00000000-0004-0000-0000-0000DB1F0000}"/>
    <hyperlink ref="A2930" r:id="rId8031" xr:uid="{00000000-0004-0000-0000-0000DC1F0000}"/>
    <hyperlink ref="C2930" r:id="rId8032" xr:uid="{00000000-0004-0000-0000-0000DD1F0000}"/>
    <hyperlink ref="D2930" r:id="rId8033" xr:uid="{00000000-0004-0000-0000-0000DE1F0000}"/>
    <hyperlink ref="C2931" r:id="rId8034" xr:uid="{00000000-0004-0000-0000-0000DF1F0000}"/>
    <hyperlink ref="D2931" r:id="rId8035" xr:uid="{00000000-0004-0000-0000-0000E01F0000}"/>
    <hyperlink ref="A2932" r:id="rId8036" xr:uid="{00000000-0004-0000-0000-0000E11F0000}"/>
    <hyperlink ref="A2934" r:id="rId8037" xr:uid="{00000000-0004-0000-0000-0000E21F0000}"/>
    <hyperlink ref="A2935" r:id="rId8038" xr:uid="{00000000-0004-0000-0000-0000E31F0000}"/>
    <hyperlink ref="A2936" r:id="rId8039" xr:uid="{00000000-0004-0000-0000-0000E41F0000}"/>
    <hyperlink ref="A2940" r:id="rId8040" xr:uid="{00000000-0004-0000-0000-0000E51F0000}"/>
    <hyperlink ref="C2940" r:id="rId8041" xr:uid="{00000000-0004-0000-0000-0000E61F0000}"/>
    <hyperlink ref="D2940" r:id="rId8042" xr:uid="{00000000-0004-0000-0000-0000E71F0000}"/>
    <hyperlink ref="A2941" r:id="rId8043" xr:uid="{00000000-0004-0000-0000-0000E81F0000}"/>
    <hyperlink ref="C2941" r:id="rId8044" xr:uid="{00000000-0004-0000-0000-0000E91F0000}"/>
    <hyperlink ref="D2941" r:id="rId8045" xr:uid="{00000000-0004-0000-0000-0000EA1F0000}"/>
    <hyperlink ref="A2942" r:id="rId8046" xr:uid="{00000000-0004-0000-0000-0000EB1F0000}"/>
    <hyperlink ref="C2942" r:id="rId8047" xr:uid="{00000000-0004-0000-0000-0000EC1F0000}"/>
    <hyperlink ref="D2942" r:id="rId8048" xr:uid="{00000000-0004-0000-0000-0000ED1F0000}"/>
    <hyperlink ref="A2943" r:id="rId8049" xr:uid="{00000000-0004-0000-0000-0000EE1F0000}"/>
    <hyperlink ref="C2943" r:id="rId8050" xr:uid="{00000000-0004-0000-0000-0000EF1F0000}"/>
    <hyperlink ref="D2943" r:id="rId8051" xr:uid="{00000000-0004-0000-0000-0000F01F0000}"/>
    <hyperlink ref="C2944" r:id="rId8052" xr:uid="{00000000-0004-0000-0000-0000F11F0000}"/>
    <hyperlink ref="D2944" r:id="rId8053" xr:uid="{00000000-0004-0000-0000-0000F21F0000}"/>
    <hyperlink ref="C2945" r:id="rId8054" xr:uid="{00000000-0004-0000-0000-0000F31F0000}"/>
    <hyperlink ref="D2945" r:id="rId8055" xr:uid="{00000000-0004-0000-0000-0000F41F0000}"/>
    <hyperlink ref="A2946" r:id="rId8056" xr:uid="{00000000-0004-0000-0000-0000F51F0000}"/>
    <hyperlink ref="C2946" r:id="rId8057" xr:uid="{00000000-0004-0000-0000-0000F61F0000}"/>
    <hyperlink ref="D2946" r:id="rId8058" xr:uid="{00000000-0004-0000-0000-0000F71F0000}"/>
    <hyperlink ref="A2947" r:id="rId8059" xr:uid="{00000000-0004-0000-0000-0000F81F0000}"/>
    <hyperlink ref="C2947" r:id="rId8060" xr:uid="{00000000-0004-0000-0000-0000F91F0000}"/>
    <hyperlink ref="D2947" r:id="rId8061" xr:uid="{00000000-0004-0000-0000-0000FA1F0000}"/>
    <hyperlink ref="A2948" r:id="rId8062" xr:uid="{00000000-0004-0000-0000-0000FB1F0000}"/>
    <hyperlink ref="C2948" r:id="rId8063" xr:uid="{00000000-0004-0000-0000-0000FC1F0000}"/>
    <hyperlink ref="D2948" r:id="rId8064" xr:uid="{00000000-0004-0000-0000-0000FD1F0000}"/>
    <hyperlink ref="A2949" r:id="rId8065" xr:uid="{00000000-0004-0000-0000-0000FE1F0000}"/>
    <hyperlink ref="C2949" r:id="rId8066" xr:uid="{00000000-0004-0000-0000-0000FF1F0000}"/>
    <hyperlink ref="D2949" r:id="rId8067" xr:uid="{00000000-0004-0000-0000-000000200000}"/>
    <hyperlink ref="C2953" r:id="rId8068" xr:uid="{00000000-0004-0000-0000-000001200000}"/>
    <hyperlink ref="D2953" r:id="rId8069" xr:uid="{00000000-0004-0000-0000-000002200000}"/>
    <hyperlink ref="A2954" r:id="rId8070" xr:uid="{00000000-0004-0000-0000-000003200000}"/>
    <hyperlink ref="C2954" r:id="rId8071" xr:uid="{00000000-0004-0000-0000-000004200000}"/>
    <hyperlink ref="D2954" r:id="rId8072" xr:uid="{00000000-0004-0000-0000-000005200000}"/>
    <hyperlink ref="A2955" r:id="rId8073" xr:uid="{00000000-0004-0000-0000-000006200000}"/>
    <hyperlink ref="C2955" r:id="rId8074" xr:uid="{00000000-0004-0000-0000-000007200000}"/>
    <hyperlink ref="D2955" r:id="rId8075" xr:uid="{00000000-0004-0000-0000-000008200000}"/>
    <hyperlink ref="E2955" r:id="rId8076" xr:uid="{00000000-0004-0000-0000-000009200000}"/>
    <hyperlink ref="A2956" r:id="rId8077" xr:uid="{00000000-0004-0000-0000-00000A200000}"/>
    <hyperlink ref="C2956" r:id="rId8078" xr:uid="{00000000-0004-0000-0000-00000B200000}"/>
    <hyperlink ref="D2956" r:id="rId8079" xr:uid="{00000000-0004-0000-0000-00000C200000}"/>
    <hyperlink ref="A2957" r:id="rId8080" xr:uid="{00000000-0004-0000-0000-00000D200000}"/>
    <hyperlink ref="C2957" r:id="rId8081" xr:uid="{00000000-0004-0000-0000-00000E200000}"/>
    <hyperlink ref="D2957" r:id="rId8082" xr:uid="{00000000-0004-0000-0000-00000F200000}"/>
    <hyperlink ref="A2958" r:id="rId8083" xr:uid="{00000000-0004-0000-0000-000010200000}"/>
    <hyperlink ref="C2958" r:id="rId8084" xr:uid="{00000000-0004-0000-0000-000011200000}"/>
    <hyperlink ref="D2958" r:id="rId8085" xr:uid="{00000000-0004-0000-0000-000012200000}"/>
    <hyperlink ref="A2959" r:id="rId8086" xr:uid="{00000000-0004-0000-0000-000013200000}"/>
    <hyperlink ref="C2959" r:id="rId8087" xr:uid="{00000000-0004-0000-0000-000014200000}"/>
    <hyperlink ref="D2959" r:id="rId8088" xr:uid="{00000000-0004-0000-0000-000015200000}"/>
    <hyperlink ref="A2960" r:id="rId8089" xr:uid="{00000000-0004-0000-0000-000016200000}"/>
    <hyperlink ref="C2960" r:id="rId8090" xr:uid="{00000000-0004-0000-0000-000017200000}"/>
    <hyperlink ref="D2960" r:id="rId8091" xr:uid="{00000000-0004-0000-0000-000018200000}"/>
    <hyperlink ref="C2961" r:id="rId8092" xr:uid="{00000000-0004-0000-0000-000019200000}"/>
    <hyperlink ref="D2961" r:id="rId8093" xr:uid="{00000000-0004-0000-0000-00001A200000}"/>
    <hyperlink ref="A2962" r:id="rId8094" xr:uid="{00000000-0004-0000-0000-00001B200000}"/>
    <hyperlink ref="C2962" r:id="rId8095" xr:uid="{00000000-0004-0000-0000-00001C200000}"/>
    <hyperlink ref="D2962" r:id="rId8096" xr:uid="{00000000-0004-0000-0000-00001D200000}"/>
    <hyperlink ref="A2963" r:id="rId8097" xr:uid="{00000000-0004-0000-0000-00001E200000}"/>
    <hyperlink ref="C2963" r:id="rId8098" xr:uid="{00000000-0004-0000-0000-00001F200000}"/>
    <hyperlink ref="D2963" r:id="rId8099" xr:uid="{00000000-0004-0000-0000-000020200000}"/>
    <hyperlink ref="A2964" r:id="rId8100" xr:uid="{00000000-0004-0000-0000-000021200000}"/>
    <hyperlink ref="C2964" r:id="rId8101" xr:uid="{00000000-0004-0000-0000-000022200000}"/>
    <hyperlink ref="D2964" r:id="rId8102" xr:uid="{00000000-0004-0000-0000-000023200000}"/>
    <hyperlink ref="A2965" r:id="rId8103" xr:uid="{00000000-0004-0000-0000-000024200000}"/>
    <hyperlink ref="C2965" r:id="rId8104" xr:uid="{00000000-0004-0000-0000-000025200000}"/>
    <hyperlink ref="D2965" r:id="rId8105" xr:uid="{00000000-0004-0000-0000-000026200000}"/>
    <hyperlink ref="A2966" r:id="rId8106" xr:uid="{00000000-0004-0000-0000-000027200000}"/>
    <hyperlink ref="C2966" r:id="rId8107" xr:uid="{00000000-0004-0000-0000-000028200000}"/>
    <hyperlink ref="D2966" r:id="rId8108" xr:uid="{00000000-0004-0000-0000-000029200000}"/>
    <hyperlink ref="A2967" r:id="rId8109" xr:uid="{00000000-0004-0000-0000-00002A200000}"/>
    <hyperlink ref="C2967" r:id="rId8110" xr:uid="{00000000-0004-0000-0000-00002B200000}"/>
    <hyperlink ref="D2967" r:id="rId8111" xr:uid="{00000000-0004-0000-0000-00002C200000}"/>
    <hyperlink ref="A2968" r:id="rId8112" xr:uid="{00000000-0004-0000-0000-00002D200000}"/>
    <hyperlink ref="C2968" r:id="rId8113" xr:uid="{00000000-0004-0000-0000-00002E200000}"/>
    <hyperlink ref="D2968" r:id="rId8114" xr:uid="{00000000-0004-0000-0000-00002F200000}"/>
    <hyperlink ref="A2969" r:id="rId8115" xr:uid="{00000000-0004-0000-0000-000030200000}"/>
    <hyperlink ref="C2969" r:id="rId8116" xr:uid="{00000000-0004-0000-0000-000031200000}"/>
    <hyperlink ref="D2969" r:id="rId8117" xr:uid="{00000000-0004-0000-0000-000032200000}"/>
    <hyperlink ref="A2970" r:id="rId8118" xr:uid="{00000000-0004-0000-0000-000033200000}"/>
    <hyperlink ref="C2970" r:id="rId8119" xr:uid="{00000000-0004-0000-0000-000034200000}"/>
    <hyperlink ref="D2970" r:id="rId8120" xr:uid="{00000000-0004-0000-0000-000035200000}"/>
    <hyperlink ref="A2971" r:id="rId8121" xr:uid="{00000000-0004-0000-0000-000036200000}"/>
    <hyperlink ref="C2971" r:id="rId8122" xr:uid="{00000000-0004-0000-0000-000037200000}"/>
    <hyperlink ref="D2971" r:id="rId8123" xr:uid="{00000000-0004-0000-0000-000038200000}"/>
    <hyperlink ref="A2972" r:id="rId8124" xr:uid="{00000000-0004-0000-0000-000039200000}"/>
    <hyperlink ref="C2972" r:id="rId8125" xr:uid="{00000000-0004-0000-0000-00003A200000}"/>
    <hyperlink ref="D2972" r:id="rId8126" xr:uid="{00000000-0004-0000-0000-00003B200000}"/>
    <hyperlink ref="A2973" r:id="rId8127" xr:uid="{00000000-0004-0000-0000-00003C200000}"/>
    <hyperlink ref="C2973" r:id="rId8128" xr:uid="{00000000-0004-0000-0000-00003D200000}"/>
    <hyperlink ref="D2973" r:id="rId8129" xr:uid="{00000000-0004-0000-0000-00003E200000}"/>
    <hyperlink ref="A2974" r:id="rId8130" xr:uid="{00000000-0004-0000-0000-00003F200000}"/>
    <hyperlink ref="C2974" r:id="rId8131" xr:uid="{00000000-0004-0000-0000-000040200000}"/>
    <hyperlink ref="D2974" r:id="rId8132" xr:uid="{00000000-0004-0000-0000-000041200000}"/>
    <hyperlink ref="A2975" r:id="rId8133" xr:uid="{00000000-0004-0000-0000-000042200000}"/>
    <hyperlink ref="C2975" r:id="rId8134" xr:uid="{00000000-0004-0000-0000-000043200000}"/>
    <hyperlink ref="D2975" r:id="rId8135" xr:uid="{00000000-0004-0000-0000-000044200000}"/>
    <hyperlink ref="A2976" r:id="rId8136" xr:uid="{00000000-0004-0000-0000-000045200000}"/>
    <hyperlink ref="C2976" r:id="rId8137" xr:uid="{00000000-0004-0000-0000-000046200000}"/>
    <hyperlink ref="D2976" r:id="rId8138" xr:uid="{00000000-0004-0000-0000-000047200000}"/>
    <hyperlink ref="E2976" r:id="rId8139" xr:uid="{00000000-0004-0000-0000-000048200000}"/>
    <hyperlink ref="A2977" r:id="rId8140" xr:uid="{00000000-0004-0000-0000-000049200000}"/>
    <hyperlink ref="C2977" r:id="rId8141" xr:uid="{00000000-0004-0000-0000-00004A200000}"/>
    <hyperlink ref="D2977" r:id="rId8142" xr:uid="{00000000-0004-0000-0000-00004B200000}"/>
    <hyperlink ref="A2978" r:id="rId8143" xr:uid="{00000000-0004-0000-0000-00004C200000}"/>
    <hyperlink ref="C2978" r:id="rId8144" xr:uid="{00000000-0004-0000-0000-00004D200000}"/>
    <hyperlink ref="D2978" r:id="rId8145" xr:uid="{00000000-0004-0000-0000-00004E200000}"/>
    <hyperlink ref="A2979" r:id="rId8146" xr:uid="{00000000-0004-0000-0000-00004F200000}"/>
    <hyperlink ref="C2979" r:id="rId8147" xr:uid="{00000000-0004-0000-0000-000050200000}"/>
    <hyperlink ref="D2979" r:id="rId8148" xr:uid="{00000000-0004-0000-0000-000051200000}"/>
    <hyperlink ref="A2980" r:id="rId8149" xr:uid="{00000000-0004-0000-0000-000052200000}"/>
    <hyperlink ref="C2980" r:id="rId8150" xr:uid="{00000000-0004-0000-0000-000053200000}"/>
    <hyperlink ref="D2980" r:id="rId8151" xr:uid="{00000000-0004-0000-0000-000054200000}"/>
    <hyperlink ref="A2981" r:id="rId8152" xr:uid="{00000000-0004-0000-0000-000055200000}"/>
    <hyperlink ref="C2981" r:id="rId8153" xr:uid="{00000000-0004-0000-0000-000056200000}"/>
    <hyperlink ref="D2981" r:id="rId8154" xr:uid="{00000000-0004-0000-0000-000057200000}"/>
    <hyperlink ref="A2982" r:id="rId8155" xr:uid="{00000000-0004-0000-0000-000058200000}"/>
    <hyperlink ref="C2982" r:id="rId8156" xr:uid="{00000000-0004-0000-0000-000059200000}"/>
    <hyperlink ref="D2982" r:id="rId8157" xr:uid="{00000000-0004-0000-0000-00005A200000}"/>
    <hyperlink ref="A2983" r:id="rId8158" xr:uid="{00000000-0004-0000-0000-00005B200000}"/>
    <hyperlink ref="C2983" r:id="rId8159" xr:uid="{00000000-0004-0000-0000-00005C200000}"/>
    <hyperlink ref="D2983" r:id="rId8160" xr:uid="{00000000-0004-0000-0000-00005D200000}"/>
    <hyperlink ref="C2984" r:id="rId8161" xr:uid="{00000000-0004-0000-0000-00005E200000}"/>
    <hyperlink ref="D2984" r:id="rId8162" xr:uid="{00000000-0004-0000-0000-00005F200000}"/>
    <hyperlink ref="A2985" r:id="rId8163" xr:uid="{00000000-0004-0000-0000-000060200000}"/>
    <hyperlink ref="C2985" r:id="rId8164" xr:uid="{00000000-0004-0000-0000-000061200000}"/>
    <hyperlink ref="D2985" r:id="rId8165" xr:uid="{00000000-0004-0000-0000-000062200000}"/>
    <hyperlink ref="A2986" r:id="rId8166" xr:uid="{00000000-0004-0000-0000-000063200000}"/>
    <hyperlink ref="C2986" r:id="rId8167" xr:uid="{00000000-0004-0000-0000-000064200000}"/>
    <hyperlink ref="D2986" r:id="rId8168" xr:uid="{00000000-0004-0000-0000-000065200000}"/>
    <hyperlink ref="C2987" r:id="rId8169" xr:uid="{00000000-0004-0000-0000-000066200000}"/>
    <hyperlink ref="D2987" r:id="rId8170" xr:uid="{00000000-0004-0000-0000-000067200000}"/>
    <hyperlink ref="A2988" r:id="rId8171" xr:uid="{00000000-0004-0000-0000-000068200000}"/>
    <hyperlink ref="C2988" r:id="rId8172" xr:uid="{00000000-0004-0000-0000-000069200000}"/>
    <hyperlink ref="D2988" r:id="rId8173" xr:uid="{00000000-0004-0000-0000-00006A200000}"/>
    <hyperlink ref="A2989" r:id="rId8174" xr:uid="{00000000-0004-0000-0000-00006B200000}"/>
    <hyperlink ref="C2989" r:id="rId8175" xr:uid="{00000000-0004-0000-0000-00006C200000}"/>
    <hyperlink ref="D2989" r:id="rId8176" xr:uid="{00000000-0004-0000-0000-00006D200000}"/>
    <hyperlink ref="A2990" r:id="rId8177" xr:uid="{00000000-0004-0000-0000-00006E200000}"/>
    <hyperlink ref="C2990" r:id="rId8178" xr:uid="{00000000-0004-0000-0000-00006F200000}"/>
    <hyperlink ref="D2990" r:id="rId8179" xr:uid="{00000000-0004-0000-0000-000070200000}"/>
    <hyperlink ref="A2991" r:id="rId8180" xr:uid="{00000000-0004-0000-0000-000071200000}"/>
    <hyperlink ref="C2991" r:id="rId8181" xr:uid="{00000000-0004-0000-0000-000072200000}"/>
    <hyperlink ref="D2991" r:id="rId8182" xr:uid="{00000000-0004-0000-0000-000073200000}"/>
    <hyperlink ref="A2992" r:id="rId8183" xr:uid="{00000000-0004-0000-0000-000074200000}"/>
    <hyperlink ref="C2992" r:id="rId8184" xr:uid="{00000000-0004-0000-0000-000075200000}"/>
    <hyperlink ref="D2992" r:id="rId8185" xr:uid="{00000000-0004-0000-0000-000076200000}"/>
    <hyperlink ref="A2993" r:id="rId8186" xr:uid="{00000000-0004-0000-0000-000077200000}"/>
    <hyperlink ref="C2993" r:id="rId8187" xr:uid="{00000000-0004-0000-0000-000078200000}"/>
    <hyperlink ref="D2993" r:id="rId8188" xr:uid="{00000000-0004-0000-0000-000079200000}"/>
    <hyperlink ref="C2994" r:id="rId8189" xr:uid="{00000000-0004-0000-0000-00007A200000}"/>
    <hyperlink ref="D2994" r:id="rId8190" xr:uid="{00000000-0004-0000-0000-00007B200000}"/>
    <hyperlink ref="C2995" r:id="rId8191" xr:uid="{00000000-0004-0000-0000-00007C200000}"/>
    <hyperlink ref="D2995" r:id="rId8192" xr:uid="{00000000-0004-0000-0000-00007D200000}"/>
    <hyperlink ref="C2996" r:id="rId8193" xr:uid="{00000000-0004-0000-0000-00007E200000}"/>
    <hyperlink ref="D2996" r:id="rId8194" xr:uid="{00000000-0004-0000-0000-00007F200000}"/>
    <hyperlink ref="A2997" r:id="rId8195" xr:uid="{00000000-0004-0000-0000-000080200000}"/>
    <hyperlink ref="C2997" r:id="rId8196" xr:uid="{00000000-0004-0000-0000-000081200000}"/>
    <hyperlink ref="D2997" r:id="rId8197" xr:uid="{00000000-0004-0000-0000-000082200000}"/>
    <hyperlink ref="A2998" r:id="rId8198" xr:uid="{00000000-0004-0000-0000-000083200000}"/>
    <hyperlink ref="C2998" r:id="rId8199" xr:uid="{00000000-0004-0000-0000-000084200000}"/>
    <hyperlink ref="D2998" r:id="rId8200" xr:uid="{00000000-0004-0000-0000-000085200000}"/>
    <hyperlink ref="A2999" r:id="rId8201" xr:uid="{00000000-0004-0000-0000-000086200000}"/>
    <hyperlink ref="C2999" r:id="rId8202" xr:uid="{00000000-0004-0000-0000-000087200000}"/>
    <hyperlink ref="D2999" r:id="rId8203" xr:uid="{00000000-0004-0000-0000-000088200000}"/>
    <hyperlink ref="A3000" r:id="rId8204" xr:uid="{00000000-0004-0000-0000-000089200000}"/>
    <hyperlink ref="C3000" r:id="rId8205" xr:uid="{00000000-0004-0000-0000-00008A200000}"/>
    <hyperlink ref="D3000" r:id="rId8206" xr:uid="{00000000-0004-0000-0000-00008B200000}"/>
    <hyperlink ref="A3001" r:id="rId8207" xr:uid="{00000000-0004-0000-0000-00008C200000}"/>
    <hyperlink ref="C3001" r:id="rId8208" xr:uid="{00000000-0004-0000-0000-00008D200000}"/>
    <hyperlink ref="D3001" r:id="rId8209" xr:uid="{00000000-0004-0000-0000-00008E200000}"/>
    <hyperlink ref="A3002" r:id="rId8210" xr:uid="{00000000-0004-0000-0000-00008F200000}"/>
    <hyperlink ref="C3002" r:id="rId8211" xr:uid="{00000000-0004-0000-0000-000090200000}"/>
    <hyperlink ref="D3002" r:id="rId8212" xr:uid="{00000000-0004-0000-0000-000091200000}"/>
    <hyperlink ref="A3003" r:id="rId8213" xr:uid="{00000000-0004-0000-0000-000092200000}"/>
    <hyperlink ref="C3003" r:id="rId8214" xr:uid="{00000000-0004-0000-0000-000093200000}"/>
    <hyperlink ref="D3003" r:id="rId8215" xr:uid="{00000000-0004-0000-0000-000094200000}"/>
    <hyperlink ref="A3004" r:id="rId8216" xr:uid="{00000000-0004-0000-0000-000095200000}"/>
    <hyperlink ref="A3005" r:id="rId8217" xr:uid="{00000000-0004-0000-0000-000096200000}"/>
    <hyperlink ref="C3005" r:id="rId8218" xr:uid="{00000000-0004-0000-0000-000097200000}"/>
    <hyperlink ref="D3005" r:id="rId8219" xr:uid="{00000000-0004-0000-0000-000098200000}"/>
    <hyperlink ref="A3006" r:id="rId8220" xr:uid="{00000000-0004-0000-0000-000099200000}"/>
    <hyperlink ref="C3006" r:id="rId8221" xr:uid="{00000000-0004-0000-0000-00009A200000}"/>
    <hyperlink ref="D3006" r:id="rId8222" xr:uid="{00000000-0004-0000-0000-00009B200000}"/>
    <hyperlink ref="C3007" r:id="rId8223" xr:uid="{00000000-0004-0000-0000-00009C200000}"/>
    <hyperlink ref="D3007" r:id="rId8224" xr:uid="{00000000-0004-0000-0000-00009D200000}"/>
    <hyperlink ref="E3007" r:id="rId8225" xr:uid="{00000000-0004-0000-0000-00009E200000}"/>
    <hyperlink ref="A3008" r:id="rId8226" xr:uid="{00000000-0004-0000-0000-00009F200000}"/>
    <hyperlink ref="C3008" r:id="rId8227" xr:uid="{00000000-0004-0000-0000-0000A0200000}"/>
    <hyperlink ref="D3008" r:id="rId8228" xr:uid="{00000000-0004-0000-0000-0000A1200000}"/>
    <hyperlink ref="A3009" r:id="rId8229" xr:uid="{00000000-0004-0000-0000-0000A2200000}"/>
    <hyperlink ref="C3009" r:id="rId8230" xr:uid="{00000000-0004-0000-0000-0000A3200000}"/>
    <hyperlink ref="D3009" r:id="rId8231" xr:uid="{00000000-0004-0000-0000-0000A4200000}"/>
    <hyperlink ref="A3010" r:id="rId8232" xr:uid="{00000000-0004-0000-0000-0000A5200000}"/>
    <hyperlink ref="C3010" r:id="rId8233" xr:uid="{00000000-0004-0000-0000-0000A6200000}"/>
    <hyperlink ref="D3010" r:id="rId8234" xr:uid="{00000000-0004-0000-0000-0000A7200000}"/>
    <hyperlink ref="E3010" r:id="rId8235" xr:uid="{00000000-0004-0000-0000-0000A8200000}"/>
    <hyperlink ref="A3011" r:id="rId8236" xr:uid="{00000000-0004-0000-0000-0000A9200000}"/>
    <hyperlink ref="C3011" r:id="rId8237" xr:uid="{00000000-0004-0000-0000-0000AA200000}"/>
    <hyperlink ref="D3011" r:id="rId8238" xr:uid="{00000000-0004-0000-0000-0000AB200000}"/>
    <hyperlink ref="A3012" r:id="rId8239" xr:uid="{00000000-0004-0000-0000-0000AC200000}"/>
    <hyperlink ref="C3012" r:id="rId8240" xr:uid="{00000000-0004-0000-0000-0000AD200000}"/>
    <hyperlink ref="D3012" r:id="rId8241" xr:uid="{00000000-0004-0000-0000-0000AE200000}"/>
    <hyperlink ref="A3013" r:id="rId8242" xr:uid="{00000000-0004-0000-0000-0000AF200000}"/>
    <hyperlink ref="C3013" r:id="rId8243" xr:uid="{00000000-0004-0000-0000-0000B0200000}"/>
    <hyperlink ref="D3013" r:id="rId8244" xr:uid="{00000000-0004-0000-0000-0000B1200000}"/>
    <hyperlink ref="A3014" r:id="rId8245" xr:uid="{00000000-0004-0000-0000-0000B2200000}"/>
    <hyperlink ref="C3014" r:id="rId8246" xr:uid="{00000000-0004-0000-0000-0000B3200000}"/>
    <hyperlink ref="D3014" r:id="rId8247" xr:uid="{00000000-0004-0000-0000-0000B4200000}"/>
    <hyperlink ref="A3015" r:id="rId8248" xr:uid="{00000000-0004-0000-0000-0000B5200000}"/>
    <hyperlink ref="C3015" r:id="rId8249" xr:uid="{00000000-0004-0000-0000-0000B6200000}"/>
    <hyperlink ref="D3015" r:id="rId8250" xr:uid="{00000000-0004-0000-0000-0000B7200000}"/>
    <hyperlink ref="A3016" r:id="rId8251" xr:uid="{00000000-0004-0000-0000-0000B8200000}"/>
    <hyperlink ref="C3016" r:id="rId8252" xr:uid="{00000000-0004-0000-0000-0000B9200000}"/>
    <hyperlink ref="D3016" r:id="rId8253" xr:uid="{00000000-0004-0000-0000-0000BA200000}"/>
    <hyperlink ref="A3017" r:id="rId8254" xr:uid="{00000000-0004-0000-0000-0000BB200000}"/>
    <hyperlink ref="C3017" r:id="rId8255" xr:uid="{00000000-0004-0000-0000-0000BC200000}"/>
    <hyperlink ref="D3017" r:id="rId8256" xr:uid="{00000000-0004-0000-0000-0000BD200000}"/>
    <hyperlink ref="A3018" r:id="rId8257" xr:uid="{00000000-0004-0000-0000-0000BE200000}"/>
    <hyperlink ref="C3018" r:id="rId8258" xr:uid="{00000000-0004-0000-0000-0000BF200000}"/>
    <hyperlink ref="D3018" r:id="rId8259" xr:uid="{00000000-0004-0000-0000-0000C0200000}"/>
    <hyperlink ref="A3019" r:id="rId8260" xr:uid="{00000000-0004-0000-0000-0000C1200000}"/>
    <hyperlink ref="C3019" r:id="rId8261" xr:uid="{00000000-0004-0000-0000-0000C2200000}"/>
    <hyperlink ref="A3020" r:id="rId8262" xr:uid="{00000000-0004-0000-0000-0000C3200000}"/>
    <hyperlink ref="A3021" r:id="rId8263" xr:uid="{00000000-0004-0000-0000-0000C4200000}"/>
    <hyperlink ref="C3021" r:id="rId8264" xr:uid="{00000000-0004-0000-0000-0000C5200000}"/>
    <hyperlink ref="D3021" r:id="rId8265" xr:uid="{00000000-0004-0000-0000-0000C6200000}"/>
    <hyperlink ref="A3022" r:id="rId8266" xr:uid="{00000000-0004-0000-0000-0000C7200000}"/>
    <hyperlink ref="C3022" r:id="rId8267" xr:uid="{00000000-0004-0000-0000-0000C8200000}"/>
    <hyperlink ref="D3022" r:id="rId8268" xr:uid="{00000000-0004-0000-0000-0000C9200000}"/>
    <hyperlink ref="A3023" r:id="rId8269" xr:uid="{00000000-0004-0000-0000-0000CA200000}"/>
    <hyperlink ref="C3023" r:id="rId8270" xr:uid="{00000000-0004-0000-0000-0000CB200000}"/>
    <hyperlink ref="D3023" r:id="rId8271" xr:uid="{00000000-0004-0000-0000-0000CC200000}"/>
    <hyperlink ref="A3024" r:id="rId8272" xr:uid="{00000000-0004-0000-0000-0000CD200000}"/>
    <hyperlink ref="C3024" r:id="rId8273" xr:uid="{00000000-0004-0000-0000-0000CE200000}"/>
    <hyperlink ref="D3024" r:id="rId8274" xr:uid="{00000000-0004-0000-0000-0000CF200000}"/>
    <hyperlink ref="C3025" r:id="rId8275" xr:uid="{00000000-0004-0000-0000-0000D0200000}"/>
    <hyperlink ref="D3025" r:id="rId8276" xr:uid="{00000000-0004-0000-0000-0000D1200000}"/>
    <hyperlink ref="A3026" r:id="rId8277" xr:uid="{00000000-0004-0000-0000-0000D2200000}"/>
    <hyperlink ref="C3026" r:id="rId8278" xr:uid="{00000000-0004-0000-0000-0000D3200000}"/>
    <hyperlink ref="D3026" r:id="rId8279" xr:uid="{00000000-0004-0000-0000-0000D4200000}"/>
    <hyperlink ref="A3027" r:id="rId8280" xr:uid="{00000000-0004-0000-0000-0000D5200000}"/>
    <hyperlink ref="C3027" r:id="rId8281" xr:uid="{00000000-0004-0000-0000-0000D6200000}"/>
    <hyperlink ref="D3027" r:id="rId8282" xr:uid="{00000000-0004-0000-0000-0000D7200000}"/>
    <hyperlink ref="A3028" r:id="rId8283" xr:uid="{00000000-0004-0000-0000-0000D8200000}"/>
    <hyperlink ref="C3028" r:id="rId8284" xr:uid="{00000000-0004-0000-0000-0000D9200000}"/>
    <hyperlink ref="D3028" r:id="rId8285" xr:uid="{00000000-0004-0000-0000-0000DA200000}"/>
    <hyperlink ref="A3029" r:id="rId8286" xr:uid="{00000000-0004-0000-0000-0000DB200000}"/>
    <hyperlink ref="C3029" r:id="rId8287" xr:uid="{00000000-0004-0000-0000-0000DC200000}"/>
    <hyperlink ref="D3029" r:id="rId8288" xr:uid="{00000000-0004-0000-0000-0000DD200000}"/>
    <hyperlink ref="A3030" r:id="rId8289" xr:uid="{00000000-0004-0000-0000-0000DE200000}"/>
    <hyperlink ref="C3030" r:id="rId8290" xr:uid="{00000000-0004-0000-0000-0000DF200000}"/>
    <hyperlink ref="D3030" r:id="rId8291" xr:uid="{00000000-0004-0000-0000-0000E0200000}"/>
    <hyperlink ref="A3031" r:id="rId8292" xr:uid="{00000000-0004-0000-0000-0000E1200000}"/>
    <hyperlink ref="C3031" r:id="rId8293" xr:uid="{00000000-0004-0000-0000-0000E2200000}"/>
    <hyperlink ref="D3031" r:id="rId8294" xr:uid="{00000000-0004-0000-0000-0000E3200000}"/>
    <hyperlink ref="A3032" r:id="rId8295" xr:uid="{00000000-0004-0000-0000-0000E4200000}"/>
    <hyperlink ref="C3032" r:id="rId8296" xr:uid="{00000000-0004-0000-0000-0000E5200000}"/>
    <hyperlink ref="D3032" r:id="rId8297" xr:uid="{00000000-0004-0000-0000-0000E6200000}"/>
    <hyperlink ref="A3033" r:id="rId8298" xr:uid="{00000000-0004-0000-0000-0000E7200000}"/>
    <hyperlink ref="C3033" r:id="rId8299" xr:uid="{00000000-0004-0000-0000-0000E8200000}"/>
    <hyperlink ref="D3033" r:id="rId8300" xr:uid="{00000000-0004-0000-0000-0000E9200000}"/>
    <hyperlink ref="A3039" r:id="rId8301" xr:uid="{00000000-0004-0000-0000-0000EA200000}"/>
    <hyperlink ref="A3040" r:id="rId8302" xr:uid="{00000000-0004-0000-0000-0000EB200000}"/>
    <hyperlink ref="A3041" r:id="rId8303" xr:uid="{00000000-0004-0000-0000-0000EC200000}"/>
    <hyperlink ref="A3044" r:id="rId8304" xr:uid="{00000000-0004-0000-0000-0000ED200000}"/>
    <hyperlink ref="C3044" r:id="rId8305" xr:uid="{00000000-0004-0000-0000-0000EE200000}"/>
    <hyperlink ref="D3044" r:id="rId8306" xr:uid="{00000000-0004-0000-0000-0000EF200000}"/>
    <hyperlink ref="A3045" r:id="rId8307" xr:uid="{00000000-0004-0000-0000-0000F0200000}"/>
    <hyperlink ref="C3045" r:id="rId8308" xr:uid="{00000000-0004-0000-0000-0000F1200000}"/>
    <hyperlink ref="D3045" r:id="rId8309" xr:uid="{00000000-0004-0000-0000-0000F2200000}"/>
    <hyperlink ref="A3046" r:id="rId8310" xr:uid="{00000000-0004-0000-0000-0000F3200000}"/>
    <hyperlink ref="C3046" r:id="rId8311" xr:uid="{00000000-0004-0000-0000-0000F4200000}"/>
    <hyperlink ref="D3046" r:id="rId8312" xr:uid="{00000000-0004-0000-0000-0000F5200000}"/>
    <hyperlink ref="E3046" r:id="rId8313" xr:uid="{00000000-0004-0000-0000-0000F6200000}"/>
    <hyperlink ref="A3047" r:id="rId8314" xr:uid="{00000000-0004-0000-0000-0000F7200000}"/>
    <hyperlink ref="C3047" r:id="rId8315" xr:uid="{00000000-0004-0000-0000-0000F8200000}"/>
    <hyperlink ref="D3047" r:id="rId8316" xr:uid="{00000000-0004-0000-0000-0000F9200000}"/>
    <hyperlink ref="A3048" r:id="rId8317" xr:uid="{00000000-0004-0000-0000-0000FA200000}"/>
    <hyperlink ref="C3048" r:id="rId8318" xr:uid="{00000000-0004-0000-0000-0000FB200000}"/>
    <hyperlink ref="D3048" r:id="rId8319" xr:uid="{00000000-0004-0000-0000-0000FC200000}"/>
    <hyperlink ref="C3049" r:id="rId8320" xr:uid="{00000000-0004-0000-0000-0000FD200000}"/>
    <hyperlink ref="D3049" r:id="rId8321" xr:uid="{00000000-0004-0000-0000-0000FE200000}"/>
    <hyperlink ref="A3050" r:id="rId8322" xr:uid="{00000000-0004-0000-0000-0000FF200000}"/>
    <hyperlink ref="C3050" r:id="rId8323" xr:uid="{00000000-0004-0000-0000-000000210000}"/>
    <hyperlink ref="D3050" r:id="rId8324" xr:uid="{00000000-0004-0000-0000-000001210000}"/>
    <hyperlink ref="A3051" r:id="rId8325" xr:uid="{00000000-0004-0000-0000-000002210000}"/>
    <hyperlink ref="C3051" r:id="rId8326" xr:uid="{00000000-0004-0000-0000-000003210000}"/>
    <hyperlink ref="D3051" r:id="rId8327" xr:uid="{00000000-0004-0000-0000-000004210000}"/>
    <hyperlink ref="C3052" r:id="rId8328" xr:uid="{00000000-0004-0000-0000-000005210000}"/>
    <hyperlink ref="D3052" r:id="rId8329" xr:uid="{00000000-0004-0000-0000-000006210000}"/>
    <hyperlink ref="A3053" r:id="rId8330" xr:uid="{00000000-0004-0000-0000-000007210000}"/>
    <hyperlink ref="C3053" r:id="rId8331" xr:uid="{00000000-0004-0000-0000-000008210000}"/>
    <hyperlink ref="D3053" r:id="rId8332" xr:uid="{00000000-0004-0000-0000-000009210000}"/>
    <hyperlink ref="A3054" r:id="rId8333" xr:uid="{00000000-0004-0000-0000-00000A210000}"/>
    <hyperlink ref="C3054" r:id="rId8334" xr:uid="{00000000-0004-0000-0000-00000B210000}"/>
    <hyperlink ref="D3054" r:id="rId8335" xr:uid="{00000000-0004-0000-0000-00000C210000}"/>
    <hyperlink ref="A3055" r:id="rId8336" xr:uid="{00000000-0004-0000-0000-00000D210000}"/>
    <hyperlink ref="C3055" r:id="rId8337" xr:uid="{00000000-0004-0000-0000-00000E210000}"/>
    <hyperlink ref="D3055" r:id="rId8338" xr:uid="{00000000-0004-0000-0000-00000F210000}"/>
    <hyperlink ref="A3056" r:id="rId8339" xr:uid="{00000000-0004-0000-0000-000010210000}"/>
    <hyperlink ref="C3056" r:id="rId8340" xr:uid="{00000000-0004-0000-0000-000011210000}"/>
    <hyperlink ref="D3056" r:id="rId8341" xr:uid="{00000000-0004-0000-0000-000012210000}"/>
    <hyperlink ref="A3057" r:id="rId8342" xr:uid="{00000000-0004-0000-0000-000013210000}"/>
    <hyperlink ref="C3057" r:id="rId8343" xr:uid="{00000000-0004-0000-0000-000014210000}"/>
    <hyperlink ref="D3057" r:id="rId8344" xr:uid="{00000000-0004-0000-0000-000015210000}"/>
    <hyperlink ref="A3058" r:id="rId8345" xr:uid="{00000000-0004-0000-0000-000016210000}"/>
    <hyperlink ref="C3058" r:id="rId8346" xr:uid="{00000000-0004-0000-0000-000017210000}"/>
    <hyperlink ref="D3058" r:id="rId8347" xr:uid="{00000000-0004-0000-0000-000018210000}"/>
    <hyperlink ref="A3059" r:id="rId8348" xr:uid="{00000000-0004-0000-0000-000019210000}"/>
    <hyperlink ref="C3059" r:id="rId8349" xr:uid="{00000000-0004-0000-0000-00001A210000}"/>
    <hyperlink ref="D3059" r:id="rId8350" xr:uid="{00000000-0004-0000-0000-00001B210000}"/>
    <hyperlink ref="A3060" r:id="rId8351" xr:uid="{00000000-0004-0000-0000-00001C210000}"/>
    <hyperlink ref="C3060" r:id="rId8352" xr:uid="{00000000-0004-0000-0000-00001D210000}"/>
    <hyperlink ref="D3060" r:id="rId8353" xr:uid="{00000000-0004-0000-0000-00001E210000}"/>
    <hyperlink ref="A3061" r:id="rId8354" xr:uid="{00000000-0004-0000-0000-00001F210000}"/>
    <hyperlink ref="C3061" r:id="rId8355" xr:uid="{00000000-0004-0000-0000-000020210000}"/>
    <hyperlink ref="D3061" r:id="rId8356" xr:uid="{00000000-0004-0000-0000-000021210000}"/>
    <hyperlink ref="A3062" r:id="rId8357" xr:uid="{00000000-0004-0000-0000-000022210000}"/>
    <hyperlink ref="C3062" r:id="rId8358" xr:uid="{00000000-0004-0000-0000-000023210000}"/>
    <hyperlink ref="D3062" r:id="rId8359" xr:uid="{00000000-0004-0000-0000-000024210000}"/>
    <hyperlink ref="A3063" r:id="rId8360" xr:uid="{00000000-0004-0000-0000-000025210000}"/>
    <hyperlink ref="C3063" r:id="rId8361" xr:uid="{00000000-0004-0000-0000-000026210000}"/>
    <hyperlink ref="D3063" r:id="rId8362" xr:uid="{00000000-0004-0000-0000-000027210000}"/>
    <hyperlink ref="A3064" r:id="rId8363" xr:uid="{00000000-0004-0000-0000-000028210000}"/>
    <hyperlink ref="C3064" r:id="rId8364" xr:uid="{00000000-0004-0000-0000-000029210000}"/>
    <hyperlink ref="D3064" r:id="rId8365" xr:uid="{00000000-0004-0000-0000-00002A210000}"/>
    <hyperlink ref="A3065" r:id="rId8366" xr:uid="{00000000-0004-0000-0000-00002B210000}"/>
    <hyperlink ref="A3066" r:id="rId8367" xr:uid="{00000000-0004-0000-0000-00002C210000}"/>
    <hyperlink ref="C3066" r:id="rId8368" xr:uid="{00000000-0004-0000-0000-00002D210000}"/>
    <hyperlink ref="D3066" r:id="rId8369" xr:uid="{00000000-0004-0000-0000-00002E210000}"/>
    <hyperlink ref="A3067" r:id="rId8370" xr:uid="{00000000-0004-0000-0000-00002F210000}"/>
    <hyperlink ref="C3067" r:id="rId8371" xr:uid="{00000000-0004-0000-0000-000030210000}"/>
    <hyperlink ref="D3067" r:id="rId8372" xr:uid="{00000000-0004-0000-0000-000031210000}"/>
    <hyperlink ref="A3068" r:id="rId8373" xr:uid="{00000000-0004-0000-0000-000032210000}"/>
    <hyperlink ref="C3068" r:id="rId8374" xr:uid="{00000000-0004-0000-0000-000033210000}"/>
    <hyperlink ref="D3068" r:id="rId8375" xr:uid="{00000000-0004-0000-0000-000034210000}"/>
    <hyperlink ref="A3069" r:id="rId8376" xr:uid="{00000000-0004-0000-0000-000035210000}"/>
    <hyperlink ref="C3069" r:id="rId8377" xr:uid="{00000000-0004-0000-0000-000036210000}"/>
    <hyperlink ref="D3069" r:id="rId8378" xr:uid="{00000000-0004-0000-0000-000037210000}"/>
    <hyperlink ref="A3070" r:id="rId8379" xr:uid="{00000000-0004-0000-0000-000038210000}"/>
    <hyperlink ref="C3070" r:id="rId8380" xr:uid="{00000000-0004-0000-0000-000039210000}"/>
    <hyperlink ref="D3070" r:id="rId8381" xr:uid="{00000000-0004-0000-0000-00003A210000}"/>
    <hyperlink ref="A3071" r:id="rId8382" xr:uid="{00000000-0004-0000-0000-00003B210000}"/>
    <hyperlink ref="C3071" r:id="rId8383" xr:uid="{00000000-0004-0000-0000-00003C210000}"/>
    <hyperlink ref="D3071" r:id="rId8384" xr:uid="{00000000-0004-0000-0000-00003D210000}"/>
    <hyperlink ref="A3072" r:id="rId8385" xr:uid="{00000000-0004-0000-0000-00003E210000}"/>
    <hyperlink ref="C3072" r:id="rId8386" xr:uid="{00000000-0004-0000-0000-00003F210000}"/>
    <hyperlink ref="D3072" r:id="rId8387" xr:uid="{00000000-0004-0000-0000-000040210000}"/>
    <hyperlink ref="C3073" r:id="rId8388" xr:uid="{00000000-0004-0000-0000-000041210000}"/>
    <hyperlink ref="A3074" r:id="rId8389" xr:uid="{00000000-0004-0000-0000-000042210000}"/>
    <hyperlink ref="C3074" r:id="rId8390" xr:uid="{00000000-0004-0000-0000-000043210000}"/>
    <hyperlink ref="D3074" r:id="rId8391" xr:uid="{00000000-0004-0000-0000-000044210000}"/>
    <hyperlink ref="C3075" r:id="rId8392" xr:uid="{00000000-0004-0000-0000-000045210000}"/>
    <hyperlink ref="D3075" r:id="rId8393" xr:uid="{00000000-0004-0000-0000-000046210000}"/>
    <hyperlink ref="A3076" r:id="rId8394" xr:uid="{00000000-0004-0000-0000-000047210000}"/>
    <hyperlink ref="C3076" r:id="rId8395" xr:uid="{00000000-0004-0000-0000-000048210000}"/>
    <hyperlink ref="D3076" r:id="rId8396" xr:uid="{00000000-0004-0000-0000-000049210000}"/>
    <hyperlink ref="A3077" r:id="rId8397" xr:uid="{00000000-0004-0000-0000-00004A210000}"/>
    <hyperlink ref="C3077" r:id="rId8398" xr:uid="{00000000-0004-0000-0000-00004B210000}"/>
    <hyperlink ref="D3077" r:id="rId8399" xr:uid="{00000000-0004-0000-0000-00004C210000}"/>
    <hyperlink ref="A3078" r:id="rId8400" xr:uid="{00000000-0004-0000-0000-00004D210000}"/>
    <hyperlink ref="C3078" r:id="rId8401" xr:uid="{00000000-0004-0000-0000-00004E210000}"/>
    <hyperlink ref="D3078" r:id="rId8402" xr:uid="{00000000-0004-0000-0000-00004F210000}"/>
    <hyperlink ref="A3079" r:id="rId8403" xr:uid="{00000000-0004-0000-0000-000050210000}"/>
    <hyperlink ref="C3079" r:id="rId8404" xr:uid="{00000000-0004-0000-0000-000051210000}"/>
    <hyperlink ref="D3079" r:id="rId8405" xr:uid="{00000000-0004-0000-0000-000052210000}"/>
    <hyperlink ref="A3080" r:id="rId8406" xr:uid="{00000000-0004-0000-0000-000053210000}"/>
    <hyperlink ref="C3080" r:id="rId8407" xr:uid="{00000000-0004-0000-0000-000054210000}"/>
    <hyperlink ref="D3080" r:id="rId8408" xr:uid="{00000000-0004-0000-0000-000055210000}"/>
    <hyperlink ref="A3081" r:id="rId8409" xr:uid="{00000000-0004-0000-0000-000056210000}"/>
    <hyperlink ref="C3081" r:id="rId8410" xr:uid="{00000000-0004-0000-0000-000057210000}"/>
    <hyperlink ref="D3081" r:id="rId8411" xr:uid="{00000000-0004-0000-0000-000058210000}"/>
    <hyperlink ref="A3082" r:id="rId8412" xr:uid="{00000000-0004-0000-0000-000059210000}"/>
    <hyperlink ref="C3082" r:id="rId8413" xr:uid="{00000000-0004-0000-0000-00005A210000}"/>
    <hyperlink ref="D3082" r:id="rId8414" xr:uid="{00000000-0004-0000-0000-00005B210000}"/>
    <hyperlink ref="A3083" r:id="rId8415" xr:uid="{00000000-0004-0000-0000-00005C210000}"/>
    <hyperlink ref="C3083" r:id="rId8416" xr:uid="{00000000-0004-0000-0000-00005D210000}"/>
    <hyperlink ref="D3083" r:id="rId8417" xr:uid="{00000000-0004-0000-0000-00005E210000}"/>
    <hyperlink ref="A3084" r:id="rId8418" xr:uid="{00000000-0004-0000-0000-00005F210000}"/>
    <hyperlink ref="C3084" r:id="rId8419" xr:uid="{00000000-0004-0000-0000-000060210000}"/>
    <hyperlink ref="D3084" r:id="rId8420" xr:uid="{00000000-0004-0000-0000-000061210000}"/>
    <hyperlink ref="A3085" r:id="rId8421" xr:uid="{00000000-0004-0000-0000-000062210000}"/>
    <hyperlink ref="A3086" r:id="rId8422" xr:uid="{00000000-0004-0000-0000-000063210000}"/>
    <hyperlink ref="A3090" r:id="rId8423" xr:uid="{00000000-0004-0000-0000-000064210000}"/>
    <hyperlink ref="C3090" r:id="rId8424" xr:uid="{00000000-0004-0000-0000-000065210000}"/>
    <hyperlink ref="D3090" r:id="rId8425" xr:uid="{00000000-0004-0000-0000-000066210000}"/>
    <hyperlink ref="A3091" r:id="rId8426" xr:uid="{00000000-0004-0000-0000-000067210000}"/>
    <hyperlink ref="C3091" r:id="rId8427" xr:uid="{00000000-0004-0000-0000-000068210000}"/>
    <hyperlink ref="D3091" r:id="rId8428" xr:uid="{00000000-0004-0000-0000-000069210000}"/>
    <hyperlink ref="A3092" r:id="rId8429" xr:uid="{00000000-0004-0000-0000-00006A210000}"/>
    <hyperlink ref="C3092" r:id="rId8430" xr:uid="{00000000-0004-0000-0000-00006B210000}"/>
    <hyperlink ref="D3092" r:id="rId8431" xr:uid="{00000000-0004-0000-0000-00006C210000}"/>
    <hyperlink ref="A3093" r:id="rId8432" xr:uid="{00000000-0004-0000-0000-00006D210000}"/>
    <hyperlink ref="C3093" r:id="rId8433" xr:uid="{00000000-0004-0000-0000-00006E210000}"/>
    <hyperlink ref="D3093" r:id="rId8434" xr:uid="{00000000-0004-0000-0000-00006F210000}"/>
    <hyperlink ref="A3094" r:id="rId8435" xr:uid="{00000000-0004-0000-0000-000070210000}"/>
    <hyperlink ref="C3094" r:id="rId8436" xr:uid="{00000000-0004-0000-0000-000071210000}"/>
    <hyperlink ref="D3094" r:id="rId8437" xr:uid="{00000000-0004-0000-0000-000072210000}"/>
    <hyperlink ref="A3095" r:id="rId8438" xr:uid="{00000000-0004-0000-0000-000073210000}"/>
    <hyperlink ref="C3095" r:id="rId8439" xr:uid="{00000000-0004-0000-0000-000074210000}"/>
    <hyperlink ref="D3095" r:id="rId8440" xr:uid="{00000000-0004-0000-0000-000075210000}"/>
    <hyperlink ref="A3096" r:id="rId8441" xr:uid="{00000000-0004-0000-0000-000076210000}"/>
    <hyperlink ref="C3096" r:id="rId8442" xr:uid="{00000000-0004-0000-0000-000077210000}"/>
    <hyperlink ref="D3096" r:id="rId8443" xr:uid="{00000000-0004-0000-0000-000078210000}"/>
    <hyperlink ref="C3097" r:id="rId8444" xr:uid="{00000000-0004-0000-0000-000079210000}"/>
    <hyperlink ref="D3097" r:id="rId8445" xr:uid="{00000000-0004-0000-0000-00007A210000}"/>
    <hyperlink ref="A3098" r:id="rId8446" xr:uid="{00000000-0004-0000-0000-00007B210000}"/>
    <hyperlink ref="C3098" r:id="rId8447" xr:uid="{00000000-0004-0000-0000-00007C210000}"/>
    <hyperlink ref="D3098" r:id="rId8448" xr:uid="{00000000-0004-0000-0000-00007D210000}"/>
    <hyperlink ref="A3099" r:id="rId8449" xr:uid="{00000000-0004-0000-0000-00007E210000}"/>
    <hyperlink ref="C3099" r:id="rId8450" xr:uid="{00000000-0004-0000-0000-00007F210000}"/>
    <hyperlink ref="D3099" r:id="rId8451" xr:uid="{00000000-0004-0000-0000-000080210000}"/>
    <hyperlink ref="A3100" r:id="rId8452" xr:uid="{00000000-0004-0000-0000-000081210000}"/>
    <hyperlink ref="C3100" r:id="rId8453" xr:uid="{00000000-0004-0000-0000-000082210000}"/>
    <hyperlink ref="D3100" r:id="rId8454" xr:uid="{00000000-0004-0000-0000-000083210000}"/>
    <hyperlink ref="A3101" r:id="rId8455" xr:uid="{00000000-0004-0000-0000-000084210000}"/>
    <hyperlink ref="C3101" r:id="rId8456" xr:uid="{00000000-0004-0000-0000-000085210000}"/>
    <hyperlink ref="D3101" r:id="rId8457" xr:uid="{00000000-0004-0000-0000-000086210000}"/>
    <hyperlink ref="A3102" r:id="rId8458" xr:uid="{00000000-0004-0000-0000-000087210000}"/>
    <hyperlink ref="C3102" r:id="rId8459" xr:uid="{00000000-0004-0000-0000-000088210000}"/>
    <hyperlink ref="D3102" r:id="rId8460" xr:uid="{00000000-0004-0000-0000-000089210000}"/>
    <hyperlink ref="A3103" r:id="rId8461" xr:uid="{00000000-0004-0000-0000-00008A210000}"/>
    <hyperlink ref="C3103" r:id="rId8462" xr:uid="{00000000-0004-0000-0000-00008B210000}"/>
    <hyperlink ref="D3103" r:id="rId8463" xr:uid="{00000000-0004-0000-0000-00008C210000}"/>
    <hyperlink ref="A3104" r:id="rId8464" xr:uid="{00000000-0004-0000-0000-00008D210000}"/>
    <hyperlink ref="C3104" r:id="rId8465" xr:uid="{00000000-0004-0000-0000-00008E210000}"/>
    <hyperlink ref="D3104" r:id="rId8466" xr:uid="{00000000-0004-0000-0000-00008F210000}"/>
    <hyperlink ref="A3105" r:id="rId8467" xr:uid="{00000000-0004-0000-0000-000090210000}"/>
    <hyperlink ref="C3105" r:id="rId8468" xr:uid="{00000000-0004-0000-0000-000091210000}"/>
    <hyperlink ref="D3105" r:id="rId8469" xr:uid="{00000000-0004-0000-0000-000092210000}"/>
    <hyperlink ref="C3106" r:id="rId8470" xr:uid="{00000000-0004-0000-0000-000093210000}"/>
    <hyperlink ref="D3106" r:id="rId8471" xr:uid="{00000000-0004-0000-0000-000094210000}"/>
    <hyperlink ref="A3107" r:id="rId8472" xr:uid="{00000000-0004-0000-0000-000095210000}"/>
    <hyperlink ref="C3107" r:id="rId8473" xr:uid="{00000000-0004-0000-0000-000096210000}"/>
    <hyperlink ref="D3107" r:id="rId8474" xr:uid="{00000000-0004-0000-0000-000097210000}"/>
    <hyperlink ref="A3108" r:id="rId8475" xr:uid="{00000000-0004-0000-0000-000098210000}"/>
    <hyperlink ref="C3108" r:id="rId8476" xr:uid="{00000000-0004-0000-0000-000099210000}"/>
    <hyperlink ref="D3108" r:id="rId8477" xr:uid="{00000000-0004-0000-0000-00009A210000}"/>
    <hyperlink ref="A3109" r:id="rId8478" xr:uid="{00000000-0004-0000-0000-00009B210000}"/>
    <hyperlink ref="C3109" r:id="rId8479" xr:uid="{00000000-0004-0000-0000-00009C210000}"/>
    <hyperlink ref="D3109" r:id="rId8480" xr:uid="{00000000-0004-0000-0000-00009D210000}"/>
    <hyperlink ref="A3110" r:id="rId8481" xr:uid="{00000000-0004-0000-0000-00009E210000}"/>
    <hyperlink ref="C3110" r:id="rId8482" xr:uid="{00000000-0004-0000-0000-00009F210000}"/>
    <hyperlink ref="D3110" r:id="rId8483" xr:uid="{00000000-0004-0000-0000-0000A0210000}"/>
    <hyperlink ref="A3111" r:id="rId8484" xr:uid="{00000000-0004-0000-0000-0000A1210000}"/>
    <hyperlink ref="C3111" r:id="rId8485" xr:uid="{00000000-0004-0000-0000-0000A2210000}"/>
    <hyperlink ref="D3111" r:id="rId8486" xr:uid="{00000000-0004-0000-0000-0000A3210000}"/>
    <hyperlink ref="A3112" r:id="rId8487" xr:uid="{00000000-0004-0000-0000-0000A4210000}"/>
    <hyperlink ref="C3112" r:id="rId8488" xr:uid="{00000000-0004-0000-0000-0000A5210000}"/>
    <hyperlink ref="D3112" r:id="rId8489" xr:uid="{00000000-0004-0000-0000-0000A6210000}"/>
    <hyperlink ref="A3113" r:id="rId8490" xr:uid="{00000000-0004-0000-0000-0000A7210000}"/>
    <hyperlink ref="C3113" r:id="rId8491" xr:uid="{00000000-0004-0000-0000-0000A8210000}"/>
    <hyperlink ref="D3113" r:id="rId8492" xr:uid="{00000000-0004-0000-0000-0000A9210000}"/>
    <hyperlink ref="A3114" r:id="rId8493" xr:uid="{00000000-0004-0000-0000-0000AA210000}"/>
    <hyperlink ref="C3114" r:id="rId8494" xr:uid="{00000000-0004-0000-0000-0000AB210000}"/>
    <hyperlink ref="D3114" r:id="rId8495" xr:uid="{00000000-0004-0000-0000-0000AC210000}"/>
    <hyperlink ref="A3115" r:id="rId8496" xr:uid="{00000000-0004-0000-0000-0000AD210000}"/>
    <hyperlink ref="C3115" r:id="rId8497" xr:uid="{00000000-0004-0000-0000-0000AE210000}"/>
    <hyperlink ref="D3115" r:id="rId8498" xr:uid="{00000000-0004-0000-0000-0000AF210000}"/>
    <hyperlink ref="A3116" r:id="rId8499" xr:uid="{00000000-0004-0000-0000-0000B0210000}"/>
    <hyperlink ref="C3116" r:id="rId8500" xr:uid="{00000000-0004-0000-0000-0000B1210000}"/>
    <hyperlink ref="D3116" r:id="rId8501" xr:uid="{00000000-0004-0000-0000-0000B2210000}"/>
    <hyperlink ref="A3117" r:id="rId8502" xr:uid="{00000000-0004-0000-0000-0000B3210000}"/>
    <hyperlink ref="C3117" r:id="rId8503" xr:uid="{00000000-0004-0000-0000-0000B4210000}"/>
    <hyperlink ref="D3117" r:id="rId8504" xr:uid="{00000000-0004-0000-0000-0000B5210000}"/>
    <hyperlink ref="A3118" r:id="rId8505" xr:uid="{00000000-0004-0000-0000-0000B6210000}"/>
    <hyperlink ref="C3118" r:id="rId8506" xr:uid="{00000000-0004-0000-0000-0000B7210000}"/>
    <hyperlink ref="D3118" r:id="rId8507" xr:uid="{00000000-0004-0000-0000-0000B8210000}"/>
    <hyperlink ref="A3119" r:id="rId8508" xr:uid="{00000000-0004-0000-0000-0000B9210000}"/>
    <hyperlink ref="C3119" r:id="rId8509" xr:uid="{00000000-0004-0000-0000-0000BA210000}"/>
    <hyperlink ref="D3119" r:id="rId8510" xr:uid="{00000000-0004-0000-0000-0000BB210000}"/>
    <hyperlink ref="A3120" r:id="rId8511" xr:uid="{00000000-0004-0000-0000-0000BC210000}"/>
    <hyperlink ref="C3120" r:id="rId8512" xr:uid="{00000000-0004-0000-0000-0000BD210000}"/>
    <hyperlink ref="D3120" r:id="rId8513" xr:uid="{00000000-0004-0000-0000-0000BE210000}"/>
    <hyperlink ref="A3121" r:id="rId8514" xr:uid="{00000000-0004-0000-0000-0000BF210000}"/>
    <hyperlink ref="C3121" r:id="rId8515" xr:uid="{00000000-0004-0000-0000-0000C0210000}"/>
    <hyperlink ref="D3121" r:id="rId8516" xr:uid="{00000000-0004-0000-0000-0000C1210000}"/>
    <hyperlink ref="C3122" r:id="rId8517" xr:uid="{00000000-0004-0000-0000-0000C2210000}"/>
    <hyperlink ref="D3122" r:id="rId8518" xr:uid="{00000000-0004-0000-0000-0000C3210000}"/>
    <hyperlink ref="A3123" r:id="rId8519" xr:uid="{00000000-0004-0000-0000-0000C4210000}"/>
    <hyperlink ref="C3123" r:id="rId8520" xr:uid="{00000000-0004-0000-0000-0000C5210000}"/>
    <hyperlink ref="D3123" r:id="rId8521" xr:uid="{00000000-0004-0000-0000-0000C6210000}"/>
    <hyperlink ref="A3124" r:id="rId8522" xr:uid="{00000000-0004-0000-0000-0000C7210000}"/>
    <hyperlink ref="C3124" r:id="rId8523" xr:uid="{00000000-0004-0000-0000-0000C8210000}"/>
    <hyperlink ref="D3124" r:id="rId8524" xr:uid="{00000000-0004-0000-0000-0000C9210000}"/>
    <hyperlink ref="A3125" r:id="rId8525" xr:uid="{00000000-0004-0000-0000-0000CA210000}"/>
    <hyperlink ref="C3125" r:id="rId8526" xr:uid="{00000000-0004-0000-0000-0000CB210000}"/>
    <hyperlink ref="D3125" r:id="rId8527" xr:uid="{00000000-0004-0000-0000-0000CC210000}"/>
    <hyperlink ref="A3126" r:id="rId8528" xr:uid="{00000000-0004-0000-0000-0000CD210000}"/>
    <hyperlink ref="C3126" r:id="rId8529" xr:uid="{00000000-0004-0000-0000-0000CE210000}"/>
    <hyperlink ref="D3126" r:id="rId8530" xr:uid="{00000000-0004-0000-0000-0000CF210000}"/>
    <hyperlink ref="A3127" r:id="rId8531" xr:uid="{00000000-0004-0000-0000-0000D0210000}"/>
    <hyperlink ref="C3127" r:id="rId8532" xr:uid="{00000000-0004-0000-0000-0000D1210000}"/>
    <hyperlink ref="D3127" r:id="rId8533" xr:uid="{00000000-0004-0000-0000-0000D2210000}"/>
    <hyperlink ref="A3128" r:id="rId8534" xr:uid="{00000000-0004-0000-0000-0000D3210000}"/>
    <hyperlink ref="C3128" r:id="rId8535" xr:uid="{00000000-0004-0000-0000-0000D4210000}"/>
    <hyperlink ref="D3128" r:id="rId8536" xr:uid="{00000000-0004-0000-0000-0000D5210000}"/>
    <hyperlink ref="A3129" r:id="rId8537" xr:uid="{00000000-0004-0000-0000-0000D6210000}"/>
    <hyperlink ref="C3129" r:id="rId8538" xr:uid="{00000000-0004-0000-0000-0000D7210000}"/>
    <hyperlink ref="D3129" r:id="rId8539" xr:uid="{00000000-0004-0000-0000-0000D8210000}"/>
    <hyperlink ref="A3130" r:id="rId8540" xr:uid="{00000000-0004-0000-0000-0000D9210000}"/>
    <hyperlink ref="C3130" r:id="rId8541" xr:uid="{00000000-0004-0000-0000-0000DA210000}"/>
    <hyperlink ref="D3130" r:id="rId8542" xr:uid="{00000000-0004-0000-0000-0000DB210000}"/>
    <hyperlink ref="A3131" r:id="rId8543" xr:uid="{00000000-0004-0000-0000-0000DC210000}"/>
    <hyperlink ref="C3131" r:id="rId8544" xr:uid="{00000000-0004-0000-0000-0000DD210000}"/>
    <hyperlink ref="D3131" r:id="rId8545" xr:uid="{00000000-0004-0000-0000-0000DE210000}"/>
    <hyperlink ref="A3132" r:id="rId8546" xr:uid="{00000000-0004-0000-0000-0000DF210000}"/>
    <hyperlink ref="C3132" r:id="rId8547" xr:uid="{00000000-0004-0000-0000-0000E0210000}"/>
    <hyperlink ref="D3132" r:id="rId8548" xr:uid="{00000000-0004-0000-0000-0000E1210000}"/>
    <hyperlink ref="A3133" r:id="rId8549" xr:uid="{00000000-0004-0000-0000-0000E2210000}"/>
    <hyperlink ref="C3133" r:id="rId8550" xr:uid="{00000000-0004-0000-0000-0000E3210000}"/>
    <hyperlink ref="D3133" r:id="rId8551" xr:uid="{00000000-0004-0000-0000-0000E4210000}"/>
    <hyperlink ref="A3134" r:id="rId8552" xr:uid="{00000000-0004-0000-0000-0000E5210000}"/>
    <hyperlink ref="C3134" r:id="rId8553" xr:uid="{00000000-0004-0000-0000-0000E6210000}"/>
    <hyperlink ref="D3134" r:id="rId8554" xr:uid="{00000000-0004-0000-0000-0000E7210000}"/>
    <hyperlink ref="A3135" r:id="rId8555" xr:uid="{00000000-0004-0000-0000-0000E8210000}"/>
    <hyperlink ref="C3135" r:id="rId8556" xr:uid="{00000000-0004-0000-0000-0000E9210000}"/>
    <hyperlink ref="D3135" r:id="rId8557" xr:uid="{00000000-0004-0000-0000-0000EA210000}"/>
    <hyperlink ref="C3136" r:id="rId8558" xr:uid="{00000000-0004-0000-0000-0000EB210000}"/>
    <hyperlink ref="D3136" r:id="rId8559" xr:uid="{00000000-0004-0000-0000-0000EC210000}"/>
    <hyperlink ref="C3137" r:id="rId8560" xr:uid="{00000000-0004-0000-0000-0000ED210000}"/>
    <hyperlink ref="D3137" r:id="rId8561" xr:uid="{00000000-0004-0000-0000-0000EE210000}"/>
    <hyperlink ref="A3138" r:id="rId8562" xr:uid="{00000000-0004-0000-0000-0000EF210000}"/>
    <hyperlink ref="C3138" r:id="rId8563" xr:uid="{00000000-0004-0000-0000-0000F0210000}"/>
    <hyperlink ref="D3138" r:id="rId8564" xr:uid="{00000000-0004-0000-0000-0000F1210000}"/>
    <hyperlink ref="A3139" r:id="rId8565" xr:uid="{00000000-0004-0000-0000-0000F2210000}"/>
    <hyperlink ref="C3139" r:id="rId8566" xr:uid="{00000000-0004-0000-0000-0000F3210000}"/>
    <hyperlink ref="D3139" r:id="rId8567" xr:uid="{00000000-0004-0000-0000-0000F4210000}"/>
    <hyperlink ref="A3140" r:id="rId8568" xr:uid="{00000000-0004-0000-0000-0000F5210000}"/>
    <hyperlink ref="C3140" r:id="rId8569" xr:uid="{00000000-0004-0000-0000-0000F6210000}"/>
    <hyperlink ref="D3140" r:id="rId8570" xr:uid="{00000000-0004-0000-0000-0000F7210000}"/>
    <hyperlink ref="A3141" r:id="rId8571" xr:uid="{00000000-0004-0000-0000-0000F8210000}"/>
    <hyperlink ref="C3141" r:id="rId8572" xr:uid="{00000000-0004-0000-0000-0000F9210000}"/>
    <hyperlink ref="D3141" r:id="rId8573" xr:uid="{00000000-0004-0000-0000-0000FA210000}"/>
    <hyperlink ref="A3142" r:id="rId8574" xr:uid="{00000000-0004-0000-0000-0000FB210000}"/>
    <hyperlink ref="C3142" r:id="rId8575" xr:uid="{00000000-0004-0000-0000-0000FC210000}"/>
    <hyperlink ref="D3142" r:id="rId8576" xr:uid="{00000000-0004-0000-0000-0000FD210000}"/>
    <hyperlink ref="A3143" r:id="rId8577" xr:uid="{00000000-0004-0000-0000-0000FE210000}"/>
    <hyperlink ref="C3143" r:id="rId8578" xr:uid="{00000000-0004-0000-0000-0000FF210000}"/>
    <hyperlink ref="D3143" r:id="rId8579" xr:uid="{00000000-0004-0000-0000-000000220000}"/>
    <hyperlink ref="C3144" r:id="rId8580" xr:uid="{00000000-0004-0000-0000-000001220000}"/>
    <hyperlink ref="D3144" r:id="rId8581" xr:uid="{00000000-0004-0000-0000-000002220000}"/>
    <hyperlink ref="A3145" r:id="rId8582" xr:uid="{00000000-0004-0000-0000-000003220000}"/>
    <hyperlink ref="C3145" r:id="rId8583" xr:uid="{00000000-0004-0000-0000-000004220000}"/>
    <hyperlink ref="D3145" r:id="rId8584" location="/overview/" xr:uid="{00000000-0004-0000-0000-000005220000}"/>
    <hyperlink ref="A3146" r:id="rId8585" xr:uid="{00000000-0004-0000-0000-000006220000}"/>
    <hyperlink ref="C3146" r:id="rId8586" xr:uid="{00000000-0004-0000-0000-000007220000}"/>
    <hyperlink ref="D3146" r:id="rId8587" xr:uid="{00000000-0004-0000-0000-000008220000}"/>
    <hyperlink ref="A3147" r:id="rId8588" xr:uid="{00000000-0004-0000-0000-000009220000}"/>
    <hyperlink ref="A3148" r:id="rId8589" xr:uid="{00000000-0004-0000-0000-00000A220000}"/>
    <hyperlink ref="C3148" r:id="rId8590" xr:uid="{00000000-0004-0000-0000-00000B220000}"/>
    <hyperlink ref="D3148" r:id="rId8591" xr:uid="{00000000-0004-0000-0000-00000C220000}"/>
    <hyperlink ref="A3149" r:id="rId8592" xr:uid="{00000000-0004-0000-0000-00000D220000}"/>
    <hyperlink ref="C3149" r:id="rId8593" xr:uid="{00000000-0004-0000-0000-00000E220000}"/>
    <hyperlink ref="D3149" r:id="rId8594" xr:uid="{00000000-0004-0000-0000-00000F220000}"/>
    <hyperlink ref="A3150" r:id="rId8595" xr:uid="{00000000-0004-0000-0000-000010220000}"/>
    <hyperlink ref="C3150" r:id="rId8596" xr:uid="{00000000-0004-0000-0000-000011220000}"/>
    <hyperlink ref="D3150" r:id="rId8597" xr:uid="{00000000-0004-0000-0000-000012220000}"/>
    <hyperlink ref="A3151" r:id="rId8598" xr:uid="{00000000-0004-0000-0000-000013220000}"/>
    <hyperlink ref="C3151" r:id="rId8599" xr:uid="{00000000-0004-0000-0000-000014220000}"/>
    <hyperlink ref="D3151" r:id="rId8600" xr:uid="{00000000-0004-0000-0000-000015220000}"/>
    <hyperlink ref="A3152" r:id="rId8601" xr:uid="{00000000-0004-0000-0000-000016220000}"/>
    <hyperlink ref="C3152" r:id="rId8602" xr:uid="{00000000-0004-0000-0000-000017220000}"/>
    <hyperlink ref="D3152" r:id="rId8603" xr:uid="{00000000-0004-0000-0000-000018220000}"/>
    <hyperlink ref="A3153" r:id="rId8604" xr:uid="{00000000-0004-0000-0000-000019220000}"/>
    <hyperlink ref="C3153" r:id="rId8605" xr:uid="{00000000-0004-0000-0000-00001A220000}"/>
    <hyperlink ref="D3153" r:id="rId8606" xr:uid="{00000000-0004-0000-0000-00001B220000}"/>
    <hyperlink ref="A3154" r:id="rId8607" xr:uid="{00000000-0004-0000-0000-00001C220000}"/>
    <hyperlink ref="C3154" r:id="rId8608" xr:uid="{00000000-0004-0000-0000-00001D220000}"/>
    <hyperlink ref="D3154" r:id="rId8609" xr:uid="{00000000-0004-0000-0000-00001E220000}"/>
    <hyperlink ref="A3155" r:id="rId8610" xr:uid="{00000000-0004-0000-0000-00001F220000}"/>
    <hyperlink ref="C3155" r:id="rId8611" xr:uid="{00000000-0004-0000-0000-000020220000}"/>
    <hyperlink ref="D3155" r:id="rId8612" xr:uid="{00000000-0004-0000-0000-000021220000}"/>
    <hyperlink ref="A3156" r:id="rId8613" xr:uid="{00000000-0004-0000-0000-000022220000}"/>
    <hyperlink ref="C3156" r:id="rId8614" xr:uid="{00000000-0004-0000-0000-000023220000}"/>
    <hyperlink ref="D3156" r:id="rId8615" xr:uid="{00000000-0004-0000-0000-000024220000}"/>
    <hyperlink ref="A3157" r:id="rId8616" xr:uid="{00000000-0004-0000-0000-000025220000}"/>
    <hyperlink ref="C3157" r:id="rId8617" xr:uid="{00000000-0004-0000-0000-000026220000}"/>
    <hyperlink ref="D3157" r:id="rId8618" xr:uid="{00000000-0004-0000-0000-000027220000}"/>
    <hyperlink ref="A3158" r:id="rId8619" xr:uid="{00000000-0004-0000-0000-000028220000}"/>
    <hyperlink ref="C3158" r:id="rId8620" xr:uid="{00000000-0004-0000-0000-000029220000}"/>
    <hyperlink ref="D3158" r:id="rId8621" xr:uid="{00000000-0004-0000-0000-00002A220000}"/>
    <hyperlink ref="A3159" r:id="rId8622" xr:uid="{00000000-0004-0000-0000-00002B220000}"/>
    <hyperlink ref="C3159" r:id="rId8623" xr:uid="{00000000-0004-0000-0000-00002C220000}"/>
    <hyperlink ref="D3159" r:id="rId8624" xr:uid="{00000000-0004-0000-0000-00002D220000}"/>
    <hyperlink ref="A3160" r:id="rId8625" xr:uid="{00000000-0004-0000-0000-00002E220000}"/>
    <hyperlink ref="C3160" r:id="rId8626" xr:uid="{00000000-0004-0000-0000-00002F220000}"/>
    <hyperlink ref="D3160" r:id="rId8627" xr:uid="{00000000-0004-0000-0000-000030220000}"/>
    <hyperlink ref="A3161" r:id="rId8628" xr:uid="{00000000-0004-0000-0000-000031220000}"/>
    <hyperlink ref="C3161" r:id="rId8629" xr:uid="{00000000-0004-0000-0000-000032220000}"/>
    <hyperlink ref="D3161" r:id="rId8630" xr:uid="{00000000-0004-0000-0000-000033220000}"/>
    <hyperlink ref="A3162" r:id="rId8631" xr:uid="{00000000-0004-0000-0000-000034220000}"/>
    <hyperlink ref="C3162" r:id="rId8632" xr:uid="{00000000-0004-0000-0000-000035220000}"/>
    <hyperlink ref="D3162" r:id="rId8633" xr:uid="{00000000-0004-0000-0000-000036220000}"/>
    <hyperlink ref="A3163" r:id="rId8634" xr:uid="{00000000-0004-0000-0000-000037220000}"/>
    <hyperlink ref="C3163" r:id="rId8635" xr:uid="{00000000-0004-0000-0000-000038220000}"/>
    <hyperlink ref="D3163" r:id="rId8636" xr:uid="{00000000-0004-0000-0000-000039220000}"/>
    <hyperlink ref="A3164" r:id="rId8637" xr:uid="{00000000-0004-0000-0000-00003A220000}"/>
    <hyperlink ref="C3164" r:id="rId8638" xr:uid="{00000000-0004-0000-0000-00003B220000}"/>
    <hyperlink ref="D3164" r:id="rId8639" xr:uid="{00000000-0004-0000-0000-00003C220000}"/>
    <hyperlink ref="E3164" r:id="rId8640" xr:uid="{00000000-0004-0000-0000-00003D220000}"/>
    <hyperlink ref="A3165" r:id="rId8641" xr:uid="{00000000-0004-0000-0000-00003E220000}"/>
    <hyperlink ref="C3165" r:id="rId8642" xr:uid="{00000000-0004-0000-0000-00003F220000}"/>
    <hyperlink ref="D3165" r:id="rId8643" xr:uid="{00000000-0004-0000-0000-000040220000}"/>
    <hyperlink ref="A3166" r:id="rId8644" xr:uid="{00000000-0004-0000-0000-000041220000}"/>
    <hyperlink ref="C3166" r:id="rId8645" xr:uid="{00000000-0004-0000-0000-000042220000}"/>
    <hyperlink ref="D3166" r:id="rId8646" xr:uid="{00000000-0004-0000-0000-000043220000}"/>
    <hyperlink ref="A3167" r:id="rId8647" xr:uid="{00000000-0004-0000-0000-000044220000}"/>
    <hyperlink ref="C3167" r:id="rId8648" xr:uid="{00000000-0004-0000-0000-000045220000}"/>
    <hyperlink ref="D3167" r:id="rId8649" xr:uid="{00000000-0004-0000-0000-000046220000}"/>
    <hyperlink ref="A3168" r:id="rId8650" xr:uid="{00000000-0004-0000-0000-000047220000}"/>
    <hyperlink ref="C3168" r:id="rId8651" xr:uid="{00000000-0004-0000-0000-000048220000}"/>
    <hyperlink ref="D3168" r:id="rId8652" xr:uid="{00000000-0004-0000-0000-000049220000}"/>
    <hyperlink ref="A3169" r:id="rId8653" xr:uid="{00000000-0004-0000-0000-00004A220000}"/>
    <hyperlink ref="C3169" r:id="rId8654" xr:uid="{00000000-0004-0000-0000-00004B220000}"/>
    <hyperlink ref="D3169" r:id="rId8655" xr:uid="{00000000-0004-0000-0000-00004C220000}"/>
    <hyperlink ref="A3170" r:id="rId8656" xr:uid="{00000000-0004-0000-0000-00004D220000}"/>
    <hyperlink ref="C3170" r:id="rId8657" xr:uid="{00000000-0004-0000-0000-00004E220000}"/>
    <hyperlink ref="D3170" r:id="rId8658" xr:uid="{00000000-0004-0000-0000-00004F220000}"/>
    <hyperlink ref="A3171" r:id="rId8659" xr:uid="{00000000-0004-0000-0000-000050220000}"/>
    <hyperlink ref="C3171" r:id="rId8660" xr:uid="{00000000-0004-0000-0000-000051220000}"/>
    <hyperlink ref="D3171" r:id="rId8661" xr:uid="{00000000-0004-0000-0000-000052220000}"/>
    <hyperlink ref="C3172" r:id="rId8662" xr:uid="{00000000-0004-0000-0000-000053220000}"/>
    <hyperlink ref="D3172" r:id="rId8663" xr:uid="{00000000-0004-0000-0000-000054220000}"/>
    <hyperlink ref="A3173" r:id="rId8664" xr:uid="{00000000-0004-0000-0000-000055220000}"/>
    <hyperlink ref="C3173" r:id="rId8665" xr:uid="{00000000-0004-0000-0000-000056220000}"/>
    <hyperlink ref="D3173" r:id="rId8666" xr:uid="{00000000-0004-0000-0000-000057220000}"/>
    <hyperlink ref="A3174" r:id="rId8667" xr:uid="{00000000-0004-0000-0000-000058220000}"/>
    <hyperlink ref="C3174" r:id="rId8668" xr:uid="{00000000-0004-0000-0000-000059220000}"/>
    <hyperlink ref="D3174" r:id="rId8669" xr:uid="{00000000-0004-0000-0000-00005A220000}"/>
    <hyperlink ref="C3175" r:id="rId8670" xr:uid="{00000000-0004-0000-0000-00005B220000}"/>
    <hyperlink ref="D3175" r:id="rId8671" xr:uid="{00000000-0004-0000-0000-00005C220000}"/>
    <hyperlink ref="C3176" r:id="rId8672" xr:uid="{00000000-0004-0000-0000-00005D220000}"/>
    <hyperlink ref="D3176" r:id="rId8673" xr:uid="{00000000-0004-0000-0000-00005E220000}"/>
    <hyperlink ref="A3177" r:id="rId8674" xr:uid="{00000000-0004-0000-0000-00005F220000}"/>
    <hyperlink ref="C3177" r:id="rId8675" xr:uid="{00000000-0004-0000-0000-000060220000}"/>
    <hyperlink ref="D3177" r:id="rId8676" xr:uid="{00000000-0004-0000-0000-000061220000}"/>
    <hyperlink ref="A3178" r:id="rId8677" xr:uid="{00000000-0004-0000-0000-000062220000}"/>
    <hyperlink ref="C3178" r:id="rId8678" xr:uid="{00000000-0004-0000-0000-000063220000}"/>
    <hyperlink ref="D3178" r:id="rId8679" xr:uid="{00000000-0004-0000-0000-000064220000}"/>
    <hyperlink ref="A3179" r:id="rId8680" xr:uid="{00000000-0004-0000-0000-000065220000}"/>
    <hyperlink ref="C3179" r:id="rId8681" xr:uid="{00000000-0004-0000-0000-000066220000}"/>
    <hyperlink ref="D3179" r:id="rId8682" xr:uid="{00000000-0004-0000-0000-000067220000}"/>
    <hyperlink ref="A3180" r:id="rId8683" xr:uid="{00000000-0004-0000-0000-000068220000}"/>
    <hyperlink ref="C3180" r:id="rId8684" xr:uid="{00000000-0004-0000-0000-000069220000}"/>
    <hyperlink ref="D3180" r:id="rId8685" xr:uid="{00000000-0004-0000-0000-00006A220000}"/>
    <hyperlink ref="A3181" r:id="rId8686" xr:uid="{00000000-0004-0000-0000-00006B220000}"/>
    <hyperlink ref="C3181" r:id="rId8687" xr:uid="{00000000-0004-0000-0000-00006C220000}"/>
    <hyperlink ref="D3181" r:id="rId8688" xr:uid="{00000000-0004-0000-0000-00006D220000}"/>
    <hyperlink ref="A3182" r:id="rId8689" xr:uid="{00000000-0004-0000-0000-00006E220000}"/>
    <hyperlink ref="C3182" r:id="rId8690" xr:uid="{00000000-0004-0000-0000-00006F220000}"/>
    <hyperlink ref="D3182" r:id="rId8691" xr:uid="{00000000-0004-0000-0000-000070220000}"/>
    <hyperlink ref="A3183" r:id="rId8692" xr:uid="{00000000-0004-0000-0000-000071220000}"/>
    <hyperlink ref="C3183" r:id="rId8693" xr:uid="{00000000-0004-0000-0000-000072220000}"/>
    <hyperlink ref="D3183" r:id="rId8694" xr:uid="{00000000-0004-0000-0000-000073220000}"/>
    <hyperlink ref="A3184" r:id="rId8695" xr:uid="{00000000-0004-0000-0000-000074220000}"/>
    <hyperlink ref="C3184" r:id="rId8696" xr:uid="{00000000-0004-0000-0000-000075220000}"/>
    <hyperlink ref="D3184" r:id="rId8697" xr:uid="{00000000-0004-0000-0000-000076220000}"/>
    <hyperlink ref="C3185" r:id="rId8698" xr:uid="{00000000-0004-0000-0000-000077220000}"/>
    <hyperlink ref="D3185" r:id="rId8699" xr:uid="{00000000-0004-0000-0000-000078220000}"/>
    <hyperlink ref="C3186" r:id="rId8700" xr:uid="{00000000-0004-0000-0000-000079220000}"/>
    <hyperlink ref="D3186" r:id="rId8701" xr:uid="{00000000-0004-0000-0000-00007A220000}"/>
    <hyperlink ref="A3187" r:id="rId8702" xr:uid="{00000000-0004-0000-0000-00007B220000}"/>
    <hyperlink ref="C3187" r:id="rId8703" xr:uid="{00000000-0004-0000-0000-00007C220000}"/>
    <hyperlink ref="D3187" r:id="rId8704" xr:uid="{00000000-0004-0000-0000-00007D220000}"/>
    <hyperlink ref="A3188" r:id="rId8705" xr:uid="{00000000-0004-0000-0000-00007E220000}"/>
    <hyperlink ref="C3188" r:id="rId8706" xr:uid="{00000000-0004-0000-0000-00007F220000}"/>
    <hyperlink ref="D3188" r:id="rId8707" xr:uid="{00000000-0004-0000-0000-000080220000}"/>
    <hyperlink ref="A3189" r:id="rId8708" xr:uid="{00000000-0004-0000-0000-000081220000}"/>
    <hyperlink ref="C3189" r:id="rId8709" xr:uid="{00000000-0004-0000-0000-000082220000}"/>
    <hyperlink ref="D3189" r:id="rId8710" xr:uid="{00000000-0004-0000-0000-000083220000}"/>
    <hyperlink ref="A3190" r:id="rId8711" xr:uid="{00000000-0004-0000-0000-000084220000}"/>
    <hyperlink ref="C3190" r:id="rId8712" xr:uid="{00000000-0004-0000-0000-000085220000}"/>
    <hyperlink ref="D3190" r:id="rId8713" xr:uid="{00000000-0004-0000-0000-000086220000}"/>
    <hyperlink ref="A3191" r:id="rId8714" xr:uid="{00000000-0004-0000-0000-000087220000}"/>
    <hyperlink ref="C3191" r:id="rId8715" xr:uid="{00000000-0004-0000-0000-000088220000}"/>
    <hyperlink ref="D3191" r:id="rId8716" xr:uid="{00000000-0004-0000-0000-000089220000}"/>
    <hyperlink ref="C3192" r:id="rId8717" xr:uid="{00000000-0004-0000-0000-00008A220000}"/>
    <hyperlink ref="D3192" r:id="rId8718" xr:uid="{00000000-0004-0000-0000-00008B220000}"/>
    <hyperlink ref="A3193" r:id="rId8719" xr:uid="{00000000-0004-0000-0000-00008C220000}"/>
    <hyperlink ref="C3193" r:id="rId8720" xr:uid="{00000000-0004-0000-0000-00008D220000}"/>
    <hyperlink ref="D3193" r:id="rId8721" xr:uid="{00000000-0004-0000-0000-00008E220000}"/>
    <hyperlink ref="A3194" r:id="rId8722" xr:uid="{00000000-0004-0000-0000-00008F220000}"/>
    <hyperlink ref="C3194" r:id="rId8723" xr:uid="{00000000-0004-0000-0000-000090220000}"/>
    <hyperlink ref="D3194" r:id="rId8724" location="/overview/" xr:uid="{00000000-0004-0000-0000-000091220000}"/>
    <hyperlink ref="A3195" r:id="rId8725" xr:uid="{00000000-0004-0000-0000-000092220000}"/>
    <hyperlink ref="C3195" r:id="rId8726" xr:uid="{00000000-0004-0000-0000-000093220000}"/>
    <hyperlink ref="D3195" r:id="rId8727" xr:uid="{00000000-0004-0000-0000-000094220000}"/>
    <hyperlink ref="C3196" r:id="rId8728" xr:uid="{00000000-0004-0000-0000-000095220000}"/>
    <hyperlink ref="D3196" r:id="rId8729" xr:uid="{00000000-0004-0000-0000-000096220000}"/>
    <hyperlink ref="C3197" r:id="rId8730" xr:uid="{00000000-0004-0000-0000-000097220000}"/>
    <hyperlink ref="D3197" r:id="rId8731" xr:uid="{00000000-0004-0000-0000-000098220000}"/>
    <hyperlink ref="C3198" r:id="rId8732" xr:uid="{00000000-0004-0000-0000-000099220000}"/>
    <hyperlink ref="D3198" r:id="rId8733" xr:uid="{00000000-0004-0000-0000-00009A220000}"/>
    <hyperlink ref="C3199" r:id="rId8734" xr:uid="{00000000-0004-0000-0000-00009B220000}"/>
    <hyperlink ref="D3199" r:id="rId8735" xr:uid="{00000000-0004-0000-0000-00009C220000}"/>
    <hyperlink ref="A3200" r:id="rId8736" xr:uid="{00000000-0004-0000-0000-00009D220000}"/>
    <hyperlink ref="C3200" r:id="rId8737" xr:uid="{00000000-0004-0000-0000-00009E220000}"/>
    <hyperlink ref="D3200" r:id="rId8738" xr:uid="{00000000-0004-0000-0000-00009F220000}"/>
    <hyperlink ref="C3201" r:id="rId8739" xr:uid="{00000000-0004-0000-0000-0000A0220000}"/>
    <hyperlink ref="D3201" r:id="rId8740" xr:uid="{00000000-0004-0000-0000-0000A1220000}"/>
    <hyperlink ref="A3202" r:id="rId8741" xr:uid="{00000000-0004-0000-0000-0000A2220000}"/>
    <hyperlink ref="C3202" r:id="rId8742" xr:uid="{00000000-0004-0000-0000-0000A3220000}"/>
    <hyperlink ref="D3202" r:id="rId8743" xr:uid="{00000000-0004-0000-0000-0000A4220000}"/>
    <hyperlink ref="E3202" r:id="rId8744" xr:uid="{00000000-0004-0000-0000-0000A5220000}"/>
    <hyperlink ref="A3203" r:id="rId8745" xr:uid="{00000000-0004-0000-0000-0000A6220000}"/>
    <hyperlink ref="C3203" r:id="rId8746" xr:uid="{00000000-0004-0000-0000-0000A7220000}"/>
    <hyperlink ref="D3203" r:id="rId8747" xr:uid="{00000000-0004-0000-0000-0000A8220000}"/>
    <hyperlink ref="A3204" r:id="rId8748" xr:uid="{00000000-0004-0000-0000-0000A9220000}"/>
    <hyperlink ref="C3204" r:id="rId8749" location=":~:text=Det%20%C3%A4r%20ocks%C3%A5,ner%20vid%20bordet." xr:uid="{00000000-0004-0000-0000-0000AA220000}"/>
    <hyperlink ref="D3204" r:id="rId8750" xr:uid="{00000000-0004-0000-0000-0000AB220000}"/>
    <hyperlink ref="A3205" r:id="rId8751" xr:uid="{00000000-0004-0000-0000-0000AC220000}"/>
    <hyperlink ref="C3205" r:id="rId8752" xr:uid="{00000000-0004-0000-0000-0000AD220000}"/>
    <hyperlink ref="D3205" r:id="rId8753" xr:uid="{00000000-0004-0000-0000-0000AE220000}"/>
    <hyperlink ref="A3206" r:id="rId8754" xr:uid="{00000000-0004-0000-0000-0000AF220000}"/>
    <hyperlink ref="C3206" r:id="rId8755" xr:uid="{00000000-0004-0000-0000-0000B0220000}"/>
    <hyperlink ref="D3206" r:id="rId8756" xr:uid="{00000000-0004-0000-0000-0000B1220000}"/>
    <hyperlink ref="A3207" r:id="rId8757" xr:uid="{00000000-0004-0000-0000-0000B2220000}"/>
    <hyperlink ref="C3207" r:id="rId8758" xr:uid="{00000000-0004-0000-0000-0000B3220000}"/>
    <hyperlink ref="D3207" r:id="rId8759" xr:uid="{00000000-0004-0000-0000-0000B4220000}"/>
    <hyperlink ref="A3208" r:id="rId8760" xr:uid="{00000000-0004-0000-0000-0000B5220000}"/>
    <hyperlink ref="C3208" r:id="rId8761" xr:uid="{00000000-0004-0000-0000-0000B6220000}"/>
    <hyperlink ref="D3208" r:id="rId8762" xr:uid="{00000000-0004-0000-0000-0000B7220000}"/>
    <hyperlink ref="A3209" r:id="rId8763" xr:uid="{00000000-0004-0000-0000-0000B8220000}"/>
    <hyperlink ref="C3209" r:id="rId8764" xr:uid="{00000000-0004-0000-0000-0000B9220000}"/>
    <hyperlink ref="D3209" r:id="rId8765" xr:uid="{00000000-0004-0000-0000-0000BA220000}"/>
    <hyperlink ref="A3210" r:id="rId8766" xr:uid="{00000000-0004-0000-0000-0000BB220000}"/>
    <hyperlink ref="C3210" r:id="rId8767" xr:uid="{00000000-0004-0000-0000-0000BC220000}"/>
    <hyperlink ref="D3210" r:id="rId8768" xr:uid="{00000000-0004-0000-0000-0000BD220000}"/>
    <hyperlink ref="A3211" r:id="rId8769" xr:uid="{00000000-0004-0000-0000-0000BE220000}"/>
    <hyperlink ref="C3211" r:id="rId8770" xr:uid="{00000000-0004-0000-0000-0000BF220000}"/>
    <hyperlink ref="D3211" r:id="rId8771" xr:uid="{00000000-0004-0000-0000-0000C0220000}"/>
    <hyperlink ref="A3212" r:id="rId8772" xr:uid="{00000000-0004-0000-0000-0000C1220000}"/>
    <hyperlink ref="C3212" r:id="rId8773" xr:uid="{00000000-0004-0000-0000-0000C2220000}"/>
    <hyperlink ref="D3212" r:id="rId8774" xr:uid="{00000000-0004-0000-0000-0000C3220000}"/>
    <hyperlink ref="A3213" r:id="rId8775" xr:uid="{00000000-0004-0000-0000-0000C4220000}"/>
    <hyperlink ref="C3213" r:id="rId8776" xr:uid="{00000000-0004-0000-0000-0000C5220000}"/>
    <hyperlink ref="D3213" r:id="rId8777" xr:uid="{00000000-0004-0000-0000-0000C6220000}"/>
    <hyperlink ref="A3214" r:id="rId8778" xr:uid="{00000000-0004-0000-0000-0000C7220000}"/>
    <hyperlink ref="C3214" r:id="rId8779" xr:uid="{00000000-0004-0000-0000-0000C8220000}"/>
    <hyperlink ref="D3214" r:id="rId8780" xr:uid="{00000000-0004-0000-0000-0000C9220000}"/>
    <hyperlink ref="A3215" r:id="rId8781" xr:uid="{00000000-0004-0000-0000-0000CA220000}"/>
    <hyperlink ref="C3215" r:id="rId8782" xr:uid="{00000000-0004-0000-0000-0000CB220000}"/>
    <hyperlink ref="D3215" r:id="rId8783" xr:uid="{00000000-0004-0000-0000-0000CC220000}"/>
    <hyperlink ref="A3216" r:id="rId8784" xr:uid="{00000000-0004-0000-0000-0000CD220000}"/>
    <hyperlink ref="C3216" r:id="rId8785" xr:uid="{00000000-0004-0000-0000-0000CE220000}"/>
    <hyperlink ref="D3216" r:id="rId8786" xr:uid="{00000000-0004-0000-0000-0000CF220000}"/>
    <hyperlink ref="A3217" r:id="rId8787" xr:uid="{00000000-0004-0000-0000-0000D0220000}"/>
    <hyperlink ref="C3217" r:id="rId8788" xr:uid="{00000000-0004-0000-0000-0000D1220000}"/>
    <hyperlink ref="D3217" r:id="rId8789" xr:uid="{00000000-0004-0000-0000-0000D2220000}"/>
    <hyperlink ref="A3218" r:id="rId8790" xr:uid="{00000000-0004-0000-0000-0000D3220000}"/>
    <hyperlink ref="C3218" r:id="rId8791" xr:uid="{00000000-0004-0000-0000-0000D4220000}"/>
    <hyperlink ref="D3218" r:id="rId8792" xr:uid="{00000000-0004-0000-0000-0000D5220000}"/>
    <hyperlink ref="A3219" r:id="rId8793" xr:uid="{00000000-0004-0000-0000-0000D6220000}"/>
    <hyperlink ref="C3219" r:id="rId8794" xr:uid="{00000000-0004-0000-0000-0000D7220000}"/>
    <hyperlink ref="D3219" r:id="rId8795" xr:uid="{00000000-0004-0000-0000-0000D8220000}"/>
    <hyperlink ref="C3220" r:id="rId8796" xr:uid="{00000000-0004-0000-0000-0000D9220000}"/>
    <hyperlink ref="D3220" r:id="rId8797" xr:uid="{00000000-0004-0000-0000-0000DA220000}"/>
    <hyperlink ref="C3221" r:id="rId8798" xr:uid="{00000000-0004-0000-0000-0000DB220000}"/>
    <hyperlink ref="D3221" r:id="rId8799" xr:uid="{00000000-0004-0000-0000-0000DC220000}"/>
    <hyperlink ref="A3222" r:id="rId8800" xr:uid="{00000000-0004-0000-0000-0000DD220000}"/>
    <hyperlink ref="C3222" r:id="rId8801" xr:uid="{00000000-0004-0000-0000-0000DE220000}"/>
    <hyperlink ref="D3222" r:id="rId8802" xr:uid="{00000000-0004-0000-0000-0000DF220000}"/>
    <hyperlink ref="A3223" r:id="rId8803" xr:uid="{00000000-0004-0000-0000-0000E0220000}"/>
    <hyperlink ref="C3223" r:id="rId8804" xr:uid="{00000000-0004-0000-0000-0000E1220000}"/>
    <hyperlink ref="D3223" r:id="rId8805" xr:uid="{00000000-0004-0000-0000-0000E2220000}"/>
    <hyperlink ref="C3224" r:id="rId8806" xr:uid="{00000000-0004-0000-0000-0000E3220000}"/>
    <hyperlink ref="D3224" r:id="rId8807" xr:uid="{00000000-0004-0000-0000-0000E4220000}"/>
    <hyperlink ref="A3228" r:id="rId8808" xr:uid="{00000000-0004-0000-0000-0000E5220000}"/>
    <hyperlink ref="C3228" r:id="rId8809" xr:uid="{00000000-0004-0000-0000-0000E6220000}"/>
    <hyperlink ref="D3228" r:id="rId8810" xr:uid="{00000000-0004-0000-0000-0000E7220000}"/>
    <hyperlink ref="C3229" r:id="rId8811" xr:uid="{00000000-0004-0000-0000-0000E8220000}"/>
    <hyperlink ref="A3230" r:id="rId8812" xr:uid="{00000000-0004-0000-0000-0000E9220000}"/>
    <hyperlink ref="C3230" r:id="rId8813" xr:uid="{00000000-0004-0000-0000-0000EA220000}"/>
    <hyperlink ref="D3230" r:id="rId8814" xr:uid="{00000000-0004-0000-0000-0000EB220000}"/>
    <hyperlink ref="A3231" r:id="rId8815" xr:uid="{00000000-0004-0000-0000-0000EC220000}"/>
    <hyperlink ref="C3231" r:id="rId8816" xr:uid="{00000000-0004-0000-0000-0000ED220000}"/>
    <hyperlink ref="D3231" r:id="rId8817" xr:uid="{00000000-0004-0000-0000-0000EE220000}"/>
    <hyperlink ref="C3232" r:id="rId8818" xr:uid="{00000000-0004-0000-0000-0000EF220000}"/>
    <hyperlink ref="D3232" r:id="rId8819" xr:uid="{00000000-0004-0000-0000-0000F0220000}"/>
    <hyperlink ref="A3233" r:id="rId8820" xr:uid="{00000000-0004-0000-0000-0000F1220000}"/>
    <hyperlink ref="C3233" r:id="rId8821" xr:uid="{00000000-0004-0000-0000-0000F2220000}"/>
    <hyperlink ref="D3233" r:id="rId8822" xr:uid="{00000000-0004-0000-0000-0000F3220000}"/>
    <hyperlink ref="A3234" r:id="rId8823" xr:uid="{00000000-0004-0000-0000-0000F4220000}"/>
    <hyperlink ref="C3234" r:id="rId8824" xr:uid="{00000000-0004-0000-0000-0000F5220000}"/>
    <hyperlink ref="D3234" r:id="rId8825" xr:uid="{00000000-0004-0000-0000-0000F6220000}"/>
    <hyperlink ref="A3235" r:id="rId8826" xr:uid="{00000000-0004-0000-0000-0000F7220000}"/>
    <hyperlink ref="C3235" r:id="rId8827" xr:uid="{00000000-0004-0000-0000-0000F8220000}"/>
    <hyperlink ref="D3235" r:id="rId8828" xr:uid="{00000000-0004-0000-0000-0000F9220000}"/>
    <hyperlink ref="A3236" r:id="rId8829" xr:uid="{00000000-0004-0000-0000-0000FA220000}"/>
    <hyperlink ref="C3236" r:id="rId8830" xr:uid="{00000000-0004-0000-0000-0000FB220000}"/>
    <hyperlink ref="D3236" r:id="rId8831" xr:uid="{00000000-0004-0000-0000-0000FC220000}"/>
    <hyperlink ref="A3237" r:id="rId8832" xr:uid="{00000000-0004-0000-0000-0000FD220000}"/>
    <hyperlink ref="C3237" r:id="rId8833" xr:uid="{00000000-0004-0000-0000-0000FE220000}"/>
    <hyperlink ref="D3237" r:id="rId8834" xr:uid="{00000000-0004-0000-0000-0000FF220000}"/>
    <hyperlink ref="A3238" r:id="rId8835" xr:uid="{00000000-0004-0000-0000-000000230000}"/>
    <hyperlink ref="C3238" r:id="rId8836" xr:uid="{00000000-0004-0000-0000-000001230000}"/>
    <hyperlink ref="D3238" r:id="rId8837" xr:uid="{00000000-0004-0000-0000-000002230000}"/>
    <hyperlink ref="A3239" r:id="rId8838" xr:uid="{00000000-0004-0000-0000-000003230000}"/>
    <hyperlink ref="C3239" r:id="rId8839" xr:uid="{00000000-0004-0000-0000-000004230000}"/>
    <hyperlink ref="D3239" r:id="rId8840" xr:uid="{00000000-0004-0000-0000-000005230000}"/>
    <hyperlink ref="A3240" r:id="rId8841" xr:uid="{00000000-0004-0000-0000-000006230000}"/>
    <hyperlink ref="C3240" r:id="rId8842" xr:uid="{00000000-0004-0000-0000-000007230000}"/>
    <hyperlink ref="D3240" r:id="rId8843" xr:uid="{00000000-0004-0000-0000-000008230000}"/>
    <hyperlink ref="A3241" r:id="rId8844" xr:uid="{00000000-0004-0000-0000-000009230000}"/>
    <hyperlink ref="C3241" r:id="rId8845" xr:uid="{00000000-0004-0000-0000-00000A230000}"/>
    <hyperlink ref="D3241" r:id="rId8846" xr:uid="{00000000-0004-0000-0000-00000B230000}"/>
    <hyperlink ref="A3242" r:id="rId8847" xr:uid="{00000000-0004-0000-0000-00000C230000}"/>
    <hyperlink ref="C3242" r:id="rId8848" xr:uid="{00000000-0004-0000-0000-00000D230000}"/>
    <hyperlink ref="D3242" r:id="rId8849" xr:uid="{00000000-0004-0000-0000-00000E230000}"/>
    <hyperlink ref="A3243" r:id="rId8850" xr:uid="{00000000-0004-0000-0000-00000F230000}"/>
    <hyperlink ref="C3243" r:id="rId8851" location="c52531" xr:uid="{00000000-0004-0000-0000-000010230000}"/>
    <hyperlink ref="D3243" r:id="rId8852" xr:uid="{00000000-0004-0000-0000-000011230000}"/>
    <hyperlink ref="A3244" r:id="rId8853" xr:uid="{00000000-0004-0000-0000-000012230000}"/>
    <hyperlink ref="C3244" r:id="rId8854" location="c52530" xr:uid="{00000000-0004-0000-0000-000013230000}"/>
    <hyperlink ref="D3244" r:id="rId8855" xr:uid="{00000000-0004-0000-0000-000014230000}"/>
    <hyperlink ref="A3245" r:id="rId8856" xr:uid="{00000000-0004-0000-0000-000015230000}"/>
    <hyperlink ref="C3245" r:id="rId8857" xr:uid="{00000000-0004-0000-0000-000016230000}"/>
    <hyperlink ref="D3245" r:id="rId8858" xr:uid="{00000000-0004-0000-0000-000017230000}"/>
    <hyperlink ref="A3246" r:id="rId8859" xr:uid="{00000000-0004-0000-0000-000018230000}"/>
    <hyperlink ref="C3246" r:id="rId8860" xr:uid="{00000000-0004-0000-0000-000019230000}"/>
    <hyperlink ref="D3246" r:id="rId8861" xr:uid="{00000000-0004-0000-0000-00001A230000}"/>
    <hyperlink ref="A3247" r:id="rId8862" xr:uid="{00000000-0004-0000-0000-00001B230000}"/>
    <hyperlink ref="C3247" r:id="rId8863" xr:uid="{00000000-0004-0000-0000-00001C230000}"/>
    <hyperlink ref="D3247" r:id="rId8864" xr:uid="{00000000-0004-0000-0000-00001D230000}"/>
    <hyperlink ref="A3248" r:id="rId8865" xr:uid="{00000000-0004-0000-0000-00001E230000}"/>
    <hyperlink ref="C3248" r:id="rId8866" xr:uid="{00000000-0004-0000-0000-00001F230000}"/>
    <hyperlink ref="D3248" r:id="rId8867" xr:uid="{00000000-0004-0000-0000-000020230000}"/>
    <hyperlink ref="A3251" r:id="rId8868" xr:uid="{00000000-0004-0000-0000-000021230000}"/>
    <hyperlink ref="C3251" r:id="rId8869" xr:uid="{00000000-0004-0000-0000-000022230000}"/>
    <hyperlink ref="D3251" r:id="rId8870" xr:uid="{00000000-0004-0000-0000-000023230000}"/>
    <hyperlink ref="A3252" r:id="rId8871" xr:uid="{00000000-0004-0000-0000-000024230000}"/>
    <hyperlink ref="C3252" r:id="rId8872" xr:uid="{00000000-0004-0000-0000-000025230000}"/>
    <hyperlink ref="D3252" r:id="rId8873" location="!/" xr:uid="{00000000-0004-0000-0000-000026230000}"/>
    <hyperlink ref="A3253" r:id="rId8874" xr:uid="{00000000-0004-0000-0000-000027230000}"/>
    <hyperlink ref="C3253" r:id="rId8875" xr:uid="{00000000-0004-0000-0000-000028230000}"/>
    <hyperlink ref="A3254" r:id="rId8876" xr:uid="{00000000-0004-0000-0000-000029230000}"/>
    <hyperlink ref="C3254" r:id="rId8877" xr:uid="{00000000-0004-0000-0000-00002A230000}"/>
    <hyperlink ref="D3254" r:id="rId8878" xr:uid="{00000000-0004-0000-0000-00002B230000}"/>
    <hyperlink ref="A3255" r:id="rId8879" xr:uid="{00000000-0004-0000-0000-00002C230000}"/>
    <hyperlink ref="C3255" r:id="rId8880" xr:uid="{00000000-0004-0000-0000-00002D230000}"/>
    <hyperlink ref="D3255" r:id="rId8881" xr:uid="{00000000-0004-0000-0000-00002E230000}"/>
    <hyperlink ref="A3256" r:id="rId8882" xr:uid="{00000000-0004-0000-0000-00002F230000}"/>
    <hyperlink ref="C3256" r:id="rId8883" xr:uid="{00000000-0004-0000-0000-000030230000}"/>
    <hyperlink ref="D3256" r:id="rId8884" xr:uid="{00000000-0004-0000-0000-000031230000}"/>
    <hyperlink ref="A3257" r:id="rId8885" xr:uid="{00000000-0004-0000-0000-000032230000}"/>
    <hyperlink ref="A3258" r:id="rId8886" xr:uid="{00000000-0004-0000-0000-000033230000}"/>
    <hyperlink ref="C3258" r:id="rId8887" xr:uid="{00000000-0004-0000-0000-000034230000}"/>
    <hyperlink ref="D3258" r:id="rId8888" xr:uid="{00000000-0004-0000-0000-000035230000}"/>
    <hyperlink ref="A3259" r:id="rId8889" xr:uid="{00000000-0004-0000-0000-000036230000}"/>
    <hyperlink ref="C3259" r:id="rId8890" xr:uid="{00000000-0004-0000-0000-000037230000}"/>
    <hyperlink ref="A3260" r:id="rId8891" xr:uid="{00000000-0004-0000-0000-000038230000}"/>
    <hyperlink ref="C3260" r:id="rId8892" xr:uid="{00000000-0004-0000-0000-000039230000}"/>
    <hyperlink ref="A3261" r:id="rId8893" xr:uid="{00000000-0004-0000-0000-00003A230000}"/>
    <hyperlink ref="C3261" r:id="rId8894" xr:uid="{00000000-0004-0000-0000-00003B230000}"/>
    <hyperlink ref="A3262" r:id="rId8895" xr:uid="{00000000-0004-0000-0000-00003C230000}"/>
    <hyperlink ref="C3262" r:id="rId8896" xr:uid="{00000000-0004-0000-0000-00003D230000}"/>
    <hyperlink ref="A3263" r:id="rId8897" xr:uid="{00000000-0004-0000-0000-00003E230000}"/>
    <hyperlink ref="C3263" r:id="rId8898" xr:uid="{00000000-0004-0000-0000-00003F230000}"/>
    <hyperlink ref="D3263" r:id="rId8899" xr:uid="{00000000-0004-0000-0000-000040230000}"/>
    <hyperlink ref="C3264" r:id="rId8900" xr:uid="{00000000-0004-0000-0000-000041230000}"/>
    <hyperlink ref="D3264" r:id="rId8901" xr:uid="{00000000-0004-0000-0000-000042230000}"/>
    <hyperlink ref="C3265" r:id="rId8902" xr:uid="{00000000-0004-0000-0000-000043230000}"/>
    <hyperlink ref="D3265" r:id="rId8903" xr:uid="{00000000-0004-0000-0000-000044230000}"/>
    <hyperlink ref="A3267" r:id="rId8904" xr:uid="{00000000-0004-0000-0000-000045230000}"/>
    <hyperlink ref="C3267" r:id="rId8905" xr:uid="{00000000-0004-0000-0000-000046230000}"/>
    <hyperlink ref="D3267" r:id="rId8906" xr:uid="{00000000-0004-0000-0000-000047230000}"/>
    <hyperlink ref="A3268" r:id="rId8907" xr:uid="{00000000-0004-0000-0000-000048230000}"/>
    <hyperlink ref="C3268" r:id="rId8908" xr:uid="{00000000-0004-0000-0000-000049230000}"/>
    <hyperlink ref="D3268" r:id="rId8909" xr:uid="{00000000-0004-0000-0000-00004A230000}"/>
    <hyperlink ref="A3269" r:id="rId8910" xr:uid="{00000000-0004-0000-0000-00004B230000}"/>
    <hyperlink ref="C3269" r:id="rId8911" xr:uid="{00000000-0004-0000-0000-00004C230000}"/>
    <hyperlink ref="D3269" r:id="rId8912" xr:uid="{00000000-0004-0000-0000-00004D230000}"/>
    <hyperlink ref="A3270" r:id="rId8913" xr:uid="{00000000-0004-0000-0000-00004E230000}"/>
    <hyperlink ref="C3270" r:id="rId8914" xr:uid="{00000000-0004-0000-0000-00004F230000}"/>
    <hyperlink ref="D3270" r:id="rId8915" xr:uid="{00000000-0004-0000-0000-000050230000}"/>
    <hyperlink ref="C3271" r:id="rId8916" xr:uid="{00000000-0004-0000-0000-000051230000}"/>
    <hyperlink ref="D3271" r:id="rId8917" xr:uid="{00000000-0004-0000-0000-000052230000}"/>
    <hyperlink ref="C3272" r:id="rId8918" xr:uid="{00000000-0004-0000-0000-000053230000}"/>
    <hyperlink ref="D3272" r:id="rId8919" xr:uid="{00000000-0004-0000-0000-000054230000}"/>
    <hyperlink ref="A3273" r:id="rId8920" xr:uid="{00000000-0004-0000-0000-000055230000}"/>
    <hyperlink ref="C3273" r:id="rId8921" xr:uid="{00000000-0004-0000-0000-000056230000}"/>
    <hyperlink ref="D3273" r:id="rId8922" xr:uid="{00000000-0004-0000-0000-000057230000}"/>
    <hyperlink ref="A3274" r:id="rId8923" xr:uid="{00000000-0004-0000-0000-000058230000}"/>
    <hyperlink ref="C3274" r:id="rId8924" xr:uid="{00000000-0004-0000-0000-000059230000}"/>
    <hyperlink ref="D3274" r:id="rId8925" xr:uid="{00000000-0004-0000-0000-00005A230000}"/>
    <hyperlink ref="A3275" r:id="rId8926" xr:uid="{00000000-0004-0000-0000-00005B230000}"/>
    <hyperlink ref="C3275" r:id="rId8927" xr:uid="{00000000-0004-0000-0000-00005C230000}"/>
    <hyperlink ref="D3275" r:id="rId8928" xr:uid="{00000000-0004-0000-0000-00005D230000}"/>
    <hyperlink ref="A3276" r:id="rId8929" xr:uid="{00000000-0004-0000-0000-00005E230000}"/>
    <hyperlink ref="C3276" r:id="rId8930" xr:uid="{00000000-0004-0000-0000-00005F230000}"/>
    <hyperlink ref="D3276" r:id="rId8931" xr:uid="{00000000-0004-0000-0000-000060230000}"/>
    <hyperlink ref="A3277" r:id="rId8932" xr:uid="{00000000-0004-0000-0000-000061230000}"/>
    <hyperlink ref="C3277" r:id="rId8933" xr:uid="{00000000-0004-0000-0000-000062230000}"/>
    <hyperlink ref="D3277" r:id="rId8934" xr:uid="{00000000-0004-0000-0000-000063230000}"/>
    <hyperlink ref="A3278" r:id="rId8935" xr:uid="{00000000-0004-0000-0000-000064230000}"/>
    <hyperlink ref="C3278" r:id="rId8936" xr:uid="{00000000-0004-0000-0000-000065230000}"/>
    <hyperlink ref="D3278" r:id="rId8937" xr:uid="{00000000-0004-0000-0000-000066230000}"/>
    <hyperlink ref="A3279" r:id="rId8938" xr:uid="{00000000-0004-0000-0000-000067230000}"/>
    <hyperlink ref="C3279" r:id="rId8939" xr:uid="{00000000-0004-0000-0000-000068230000}"/>
    <hyperlink ref="D3279" r:id="rId8940" xr:uid="{00000000-0004-0000-0000-000069230000}"/>
    <hyperlink ref="A3280" r:id="rId8941" xr:uid="{00000000-0004-0000-0000-00006A230000}"/>
    <hyperlink ref="C3280" r:id="rId8942" xr:uid="{00000000-0004-0000-0000-00006B230000}"/>
    <hyperlink ref="D3280" r:id="rId8943" xr:uid="{00000000-0004-0000-0000-00006C230000}"/>
    <hyperlink ref="A3281" r:id="rId8944" xr:uid="{00000000-0004-0000-0000-00006D230000}"/>
    <hyperlink ref="C3281" r:id="rId8945" xr:uid="{00000000-0004-0000-0000-00006E230000}"/>
    <hyperlink ref="D3281" r:id="rId8946" xr:uid="{00000000-0004-0000-0000-00006F230000}"/>
    <hyperlink ref="A3282" r:id="rId8947" xr:uid="{00000000-0004-0000-0000-000070230000}"/>
    <hyperlink ref="C3282" r:id="rId8948" xr:uid="{00000000-0004-0000-0000-000071230000}"/>
    <hyperlink ref="D3282" r:id="rId8949" xr:uid="{00000000-0004-0000-0000-000072230000}"/>
    <hyperlink ref="C3283" r:id="rId8950" xr:uid="{00000000-0004-0000-0000-000073230000}"/>
    <hyperlink ref="D3283" r:id="rId8951" xr:uid="{00000000-0004-0000-0000-000074230000}"/>
    <hyperlink ref="A3284" r:id="rId8952" xr:uid="{00000000-0004-0000-0000-000075230000}"/>
    <hyperlink ref="C3284" r:id="rId8953" xr:uid="{00000000-0004-0000-0000-000076230000}"/>
    <hyperlink ref="D3284" r:id="rId8954" xr:uid="{00000000-0004-0000-0000-000077230000}"/>
    <hyperlink ref="A3285" r:id="rId8955" xr:uid="{00000000-0004-0000-0000-000078230000}"/>
    <hyperlink ref="C3285" r:id="rId8956" xr:uid="{00000000-0004-0000-0000-000079230000}"/>
    <hyperlink ref="D3285" r:id="rId8957" xr:uid="{00000000-0004-0000-0000-00007A230000}"/>
    <hyperlink ref="A3286" r:id="rId8958" xr:uid="{00000000-0004-0000-0000-00007B230000}"/>
    <hyperlink ref="C3286" r:id="rId8959" xr:uid="{00000000-0004-0000-0000-00007C230000}"/>
    <hyperlink ref="D3286" r:id="rId8960" xr:uid="{00000000-0004-0000-0000-00007D230000}"/>
    <hyperlink ref="A3287" r:id="rId8961" xr:uid="{00000000-0004-0000-0000-00007E230000}"/>
    <hyperlink ref="A3288" r:id="rId8962" xr:uid="{00000000-0004-0000-0000-00007F230000}"/>
    <hyperlink ref="C3288" r:id="rId8963" xr:uid="{00000000-0004-0000-0000-000080230000}"/>
    <hyperlink ref="D3288" r:id="rId8964" xr:uid="{00000000-0004-0000-0000-000081230000}"/>
    <hyperlink ref="A3289" r:id="rId8965" xr:uid="{00000000-0004-0000-0000-000082230000}"/>
    <hyperlink ref="C3289" r:id="rId8966" xr:uid="{00000000-0004-0000-0000-000083230000}"/>
    <hyperlink ref="D3289" r:id="rId8967" xr:uid="{00000000-0004-0000-0000-000084230000}"/>
    <hyperlink ref="A3290" r:id="rId8968" xr:uid="{00000000-0004-0000-0000-000085230000}"/>
    <hyperlink ref="C3290" r:id="rId8969" xr:uid="{00000000-0004-0000-0000-000086230000}"/>
    <hyperlink ref="D3290" r:id="rId8970" xr:uid="{00000000-0004-0000-0000-000087230000}"/>
    <hyperlink ref="A3291" r:id="rId8971" xr:uid="{00000000-0004-0000-0000-000088230000}"/>
    <hyperlink ref="C3291" r:id="rId8972" xr:uid="{00000000-0004-0000-0000-000089230000}"/>
    <hyperlink ref="D3291" r:id="rId8973" xr:uid="{00000000-0004-0000-0000-00008A230000}"/>
    <hyperlink ref="A3292" r:id="rId8974" xr:uid="{00000000-0004-0000-0000-00008B230000}"/>
    <hyperlink ref="C3292" r:id="rId8975" xr:uid="{00000000-0004-0000-0000-00008C230000}"/>
    <hyperlink ref="D3292" r:id="rId8976" xr:uid="{00000000-0004-0000-0000-00008D230000}"/>
    <hyperlink ref="A3293" r:id="rId8977" xr:uid="{00000000-0004-0000-0000-00008E230000}"/>
    <hyperlink ref="C3293" r:id="rId8978" xr:uid="{00000000-0004-0000-0000-00008F230000}"/>
    <hyperlink ref="D3293" r:id="rId8979" xr:uid="{00000000-0004-0000-0000-000090230000}"/>
    <hyperlink ref="A3294" r:id="rId8980" xr:uid="{00000000-0004-0000-0000-000091230000}"/>
    <hyperlink ref="C3294" r:id="rId8981" xr:uid="{00000000-0004-0000-0000-000092230000}"/>
    <hyperlink ref="D3294" r:id="rId8982" xr:uid="{00000000-0004-0000-0000-000093230000}"/>
    <hyperlink ref="C3295" r:id="rId8983" xr:uid="{00000000-0004-0000-0000-000094230000}"/>
    <hyperlink ref="D3295" r:id="rId8984" xr:uid="{00000000-0004-0000-0000-000095230000}"/>
    <hyperlink ref="A3296" r:id="rId8985" xr:uid="{00000000-0004-0000-0000-000096230000}"/>
    <hyperlink ref="C3296" r:id="rId8986" xr:uid="{00000000-0004-0000-0000-000097230000}"/>
    <hyperlink ref="D3296" r:id="rId8987" xr:uid="{00000000-0004-0000-0000-000098230000}"/>
    <hyperlink ref="C3297" r:id="rId8988" xr:uid="{00000000-0004-0000-0000-000099230000}"/>
    <hyperlink ref="D3297" r:id="rId8989" xr:uid="{00000000-0004-0000-0000-00009A230000}"/>
    <hyperlink ref="C3298" r:id="rId8990" xr:uid="{00000000-0004-0000-0000-00009B230000}"/>
    <hyperlink ref="D3298" r:id="rId8991" xr:uid="{00000000-0004-0000-0000-00009C230000}"/>
    <hyperlink ref="C3299" r:id="rId8992" xr:uid="{00000000-0004-0000-0000-00009D230000}"/>
    <hyperlink ref="D3299" r:id="rId8993" xr:uid="{00000000-0004-0000-0000-00009E230000}"/>
    <hyperlink ref="C3300" r:id="rId8994" xr:uid="{00000000-0004-0000-0000-00009F230000}"/>
    <hyperlink ref="D3300" r:id="rId8995" xr:uid="{00000000-0004-0000-0000-0000A0230000}"/>
    <hyperlink ref="C3301" r:id="rId8996" xr:uid="{00000000-0004-0000-0000-0000A1230000}"/>
    <hyperlink ref="D3301" r:id="rId8997" xr:uid="{00000000-0004-0000-0000-0000A2230000}"/>
    <hyperlink ref="A3302" r:id="rId8998" xr:uid="{00000000-0004-0000-0000-0000A3230000}"/>
    <hyperlink ref="C3302" r:id="rId8999" xr:uid="{00000000-0004-0000-0000-0000A4230000}"/>
    <hyperlink ref="D3302" r:id="rId9000" xr:uid="{00000000-0004-0000-0000-0000A5230000}"/>
    <hyperlink ref="A3303" r:id="rId9001" xr:uid="{00000000-0004-0000-0000-0000A6230000}"/>
    <hyperlink ref="C3303" r:id="rId9002" xr:uid="{00000000-0004-0000-0000-0000A7230000}"/>
    <hyperlink ref="D3303" r:id="rId9003" xr:uid="{00000000-0004-0000-0000-0000A8230000}"/>
    <hyperlink ref="C3304" r:id="rId9004" xr:uid="{00000000-0004-0000-0000-0000A9230000}"/>
    <hyperlink ref="D3304" r:id="rId9005" xr:uid="{00000000-0004-0000-0000-0000AA230000}"/>
    <hyperlink ref="C3305" r:id="rId9006" xr:uid="{00000000-0004-0000-0000-0000AB230000}"/>
    <hyperlink ref="D3305" r:id="rId9007" xr:uid="{00000000-0004-0000-0000-0000AC230000}"/>
    <hyperlink ref="A3306" r:id="rId9008" xr:uid="{00000000-0004-0000-0000-0000AD230000}"/>
    <hyperlink ref="C3306" r:id="rId9009" xr:uid="{00000000-0004-0000-0000-0000AE230000}"/>
    <hyperlink ref="D3306" r:id="rId9010" xr:uid="{00000000-0004-0000-0000-0000AF230000}"/>
    <hyperlink ref="C3307" r:id="rId9011" xr:uid="{00000000-0004-0000-0000-0000B0230000}"/>
    <hyperlink ref="D3307" r:id="rId9012" xr:uid="{00000000-0004-0000-0000-0000B1230000}"/>
    <hyperlink ref="A3308" r:id="rId9013" xr:uid="{00000000-0004-0000-0000-0000B2230000}"/>
    <hyperlink ref="C3308" r:id="rId9014" xr:uid="{00000000-0004-0000-0000-0000B3230000}"/>
    <hyperlink ref="D3308" r:id="rId9015" xr:uid="{00000000-0004-0000-0000-0000B4230000}"/>
    <hyperlink ref="C3309" r:id="rId9016" xr:uid="{00000000-0004-0000-0000-0000B5230000}"/>
    <hyperlink ref="D3309" r:id="rId9017" xr:uid="{00000000-0004-0000-0000-0000B6230000}"/>
    <hyperlink ref="A3310" r:id="rId9018" xr:uid="{00000000-0004-0000-0000-0000B7230000}"/>
    <hyperlink ref="C3310" r:id="rId9019" xr:uid="{00000000-0004-0000-0000-0000B8230000}"/>
    <hyperlink ref="D3310" r:id="rId9020" xr:uid="{00000000-0004-0000-0000-0000B9230000}"/>
    <hyperlink ref="A3311" r:id="rId9021" xr:uid="{00000000-0004-0000-0000-0000BA230000}"/>
    <hyperlink ref="C3311" r:id="rId9022" xr:uid="{00000000-0004-0000-0000-0000BB230000}"/>
    <hyperlink ref="D3311" r:id="rId9023" xr:uid="{00000000-0004-0000-0000-0000BC230000}"/>
    <hyperlink ref="A3312" r:id="rId9024" xr:uid="{00000000-0004-0000-0000-0000BD230000}"/>
    <hyperlink ref="C3312" r:id="rId9025" xr:uid="{00000000-0004-0000-0000-0000BE230000}"/>
    <hyperlink ref="D3312" r:id="rId9026" xr:uid="{00000000-0004-0000-0000-0000BF230000}"/>
    <hyperlink ref="A3313" r:id="rId9027" xr:uid="{00000000-0004-0000-0000-0000C0230000}"/>
    <hyperlink ref="C3313" r:id="rId9028" xr:uid="{00000000-0004-0000-0000-0000C1230000}"/>
    <hyperlink ref="D3313" r:id="rId9029" xr:uid="{00000000-0004-0000-0000-0000C2230000}"/>
    <hyperlink ref="A3314" r:id="rId9030" xr:uid="{00000000-0004-0000-0000-0000C3230000}"/>
    <hyperlink ref="C3314" r:id="rId9031" xr:uid="{00000000-0004-0000-0000-0000C4230000}"/>
    <hyperlink ref="D3314" r:id="rId9032" xr:uid="{00000000-0004-0000-0000-0000C5230000}"/>
    <hyperlink ref="A3315" r:id="rId9033" xr:uid="{00000000-0004-0000-0000-0000C6230000}"/>
    <hyperlink ref="C3315" r:id="rId9034" xr:uid="{00000000-0004-0000-0000-0000C7230000}"/>
    <hyperlink ref="D3315" r:id="rId9035" xr:uid="{00000000-0004-0000-0000-0000C8230000}"/>
    <hyperlink ref="A3316" r:id="rId9036" xr:uid="{00000000-0004-0000-0000-0000C9230000}"/>
    <hyperlink ref="C3316" r:id="rId9037" xr:uid="{00000000-0004-0000-0000-0000CA230000}"/>
    <hyperlink ref="D3316" r:id="rId9038" xr:uid="{00000000-0004-0000-0000-0000CB230000}"/>
    <hyperlink ref="A3317" r:id="rId9039" xr:uid="{00000000-0004-0000-0000-0000CC230000}"/>
    <hyperlink ref="C3317" r:id="rId9040" xr:uid="{00000000-0004-0000-0000-0000CD230000}"/>
    <hyperlink ref="D3317" r:id="rId9041" xr:uid="{00000000-0004-0000-0000-0000CE230000}"/>
    <hyperlink ref="A3318" r:id="rId9042" xr:uid="{00000000-0004-0000-0000-0000CF230000}"/>
    <hyperlink ref="C3318" r:id="rId9043" xr:uid="{00000000-0004-0000-0000-0000D0230000}"/>
    <hyperlink ref="D3318" r:id="rId9044" xr:uid="{00000000-0004-0000-0000-0000D1230000}"/>
    <hyperlink ref="A3319" r:id="rId9045" xr:uid="{00000000-0004-0000-0000-0000D2230000}"/>
    <hyperlink ref="C3319" r:id="rId9046" xr:uid="{00000000-0004-0000-0000-0000D3230000}"/>
    <hyperlink ref="D3319" r:id="rId9047" xr:uid="{00000000-0004-0000-0000-0000D4230000}"/>
    <hyperlink ref="A3320" r:id="rId9048" xr:uid="{00000000-0004-0000-0000-0000D5230000}"/>
    <hyperlink ref="C3320" r:id="rId9049" xr:uid="{00000000-0004-0000-0000-0000D6230000}"/>
    <hyperlink ref="D3320" r:id="rId9050" xr:uid="{00000000-0004-0000-0000-0000D7230000}"/>
    <hyperlink ref="A3321" r:id="rId9051" xr:uid="{00000000-0004-0000-0000-0000D8230000}"/>
    <hyperlink ref="C3321" r:id="rId9052" xr:uid="{00000000-0004-0000-0000-0000D9230000}"/>
    <hyperlink ref="D3321" r:id="rId9053" xr:uid="{00000000-0004-0000-0000-0000DA230000}"/>
    <hyperlink ref="A3322" r:id="rId9054" xr:uid="{00000000-0004-0000-0000-0000DB230000}"/>
    <hyperlink ref="C3322" r:id="rId9055" xr:uid="{00000000-0004-0000-0000-0000DC230000}"/>
    <hyperlink ref="D3322" r:id="rId9056" xr:uid="{00000000-0004-0000-0000-0000DD230000}"/>
    <hyperlink ref="A3323" r:id="rId9057" xr:uid="{00000000-0004-0000-0000-0000DE230000}"/>
    <hyperlink ref="C3323" r:id="rId9058" xr:uid="{00000000-0004-0000-0000-0000DF230000}"/>
    <hyperlink ref="D3323" r:id="rId9059" xr:uid="{00000000-0004-0000-0000-0000E0230000}"/>
    <hyperlink ref="A3324" r:id="rId9060" xr:uid="{00000000-0004-0000-0000-0000E1230000}"/>
    <hyperlink ref="C3324" r:id="rId9061" xr:uid="{00000000-0004-0000-0000-0000E2230000}"/>
    <hyperlink ref="D3324" r:id="rId9062" xr:uid="{00000000-0004-0000-0000-0000E3230000}"/>
    <hyperlink ref="A3325" r:id="rId9063" xr:uid="{00000000-0004-0000-0000-0000E4230000}"/>
    <hyperlink ref="C3325" r:id="rId9064" xr:uid="{00000000-0004-0000-0000-0000E5230000}"/>
    <hyperlink ref="D3325" r:id="rId9065" xr:uid="{00000000-0004-0000-0000-0000E6230000}"/>
    <hyperlink ref="A3326" r:id="rId9066" xr:uid="{00000000-0004-0000-0000-0000E7230000}"/>
    <hyperlink ref="C3326" r:id="rId9067" xr:uid="{00000000-0004-0000-0000-0000E8230000}"/>
    <hyperlink ref="D3326" r:id="rId9068" xr:uid="{00000000-0004-0000-0000-0000E9230000}"/>
    <hyperlink ref="A3327" r:id="rId9069" xr:uid="{00000000-0004-0000-0000-0000EA230000}"/>
    <hyperlink ref="C3327" r:id="rId9070" xr:uid="{00000000-0004-0000-0000-0000EB230000}"/>
    <hyperlink ref="D3327" r:id="rId9071" xr:uid="{00000000-0004-0000-0000-0000EC230000}"/>
    <hyperlink ref="A3328" r:id="rId9072" xr:uid="{00000000-0004-0000-0000-0000ED230000}"/>
    <hyperlink ref="C3328" r:id="rId9073" xr:uid="{00000000-0004-0000-0000-0000EE230000}"/>
    <hyperlink ref="D3328" r:id="rId9074" xr:uid="{00000000-0004-0000-0000-0000EF230000}"/>
    <hyperlink ref="A3329" r:id="rId9075" xr:uid="{00000000-0004-0000-0000-0000F0230000}"/>
    <hyperlink ref="C3329" r:id="rId9076" xr:uid="{00000000-0004-0000-0000-0000F1230000}"/>
    <hyperlink ref="D3329" r:id="rId9077" xr:uid="{00000000-0004-0000-0000-0000F2230000}"/>
    <hyperlink ref="A3330" r:id="rId9078" xr:uid="{00000000-0004-0000-0000-0000F3230000}"/>
    <hyperlink ref="C3330" r:id="rId9079" xr:uid="{00000000-0004-0000-0000-0000F4230000}"/>
    <hyperlink ref="D3330" r:id="rId9080" xr:uid="{00000000-0004-0000-0000-0000F5230000}"/>
    <hyperlink ref="A3331" r:id="rId9081" xr:uid="{00000000-0004-0000-0000-0000F6230000}"/>
    <hyperlink ref="C3331" r:id="rId9082" xr:uid="{00000000-0004-0000-0000-0000F7230000}"/>
    <hyperlink ref="D3331" r:id="rId9083" xr:uid="{00000000-0004-0000-0000-0000F8230000}"/>
    <hyperlink ref="C3332" r:id="rId9084" xr:uid="{00000000-0004-0000-0000-0000F9230000}"/>
    <hyperlink ref="D3332" r:id="rId9085" xr:uid="{00000000-0004-0000-0000-0000FA230000}"/>
    <hyperlink ref="A3333" r:id="rId9086" xr:uid="{00000000-0004-0000-0000-0000FB230000}"/>
    <hyperlink ref="C3333" r:id="rId9087" xr:uid="{00000000-0004-0000-0000-0000FC230000}"/>
    <hyperlink ref="D3333" r:id="rId9088" xr:uid="{00000000-0004-0000-0000-0000FD230000}"/>
    <hyperlink ref="A3334" r:id="rId9089" xr:uid="{00000000-0004-0000-0000-0000FE230000}"/>
    <hyperlink ref="C3334" r:id="rId9090" xr:uid="{00000000-0004-0000-0000-0000FF230000}"/>
    <hyperlink ref="D3334" r:id="rId9091" xr:uid="{00000000-0004-0000-0000-000000240000}"/>
    <hyperlink ref="A3335" r:id="rId9092" xr:uid="{00000000-0004-0000-0000-000001240000}"/>
    <hyperlink ref="C3335" r:id="rId9093" xr:uid="{00000000-0004-0000-0000-000002240000}"/>
    <hyperlink ref="D3335" r:id="rId9094" xr:uid="{00000000-0004-0000-0000-000003240000}"/>
    <hyperlink ref="A3336" r:id="rId9095" xr:uid="{00000000-0004-0000-0000-000004240000}"/>
    <hyperlink ref="C3336" r:id="rId9096" xr:uid="{00000000-0004-0000-0000-000005240000}"/>
    <hyperlink ref="D3336" r:id="rId9097" xr:uid="{00000000-0004-0000-0000-000006240000}"/>
    <hyperlink ref="A3337" r:id="rId9098" xr:uid="{00000000-0004-0000-0000-000007240000}"/>
    <hyperlink ref="C3337" r:id="rId9099" xr:uid="{00000000-0004-0000-0000-000008240000}"/>
    <hyperlink ref="D3337" r:id="rId9100" xr:uid="{00000000-0004-0000-0000-000009240000}"/>
    <hyperlink ref="A3338" r:id="rId9101" xr:uid="{00000000-0004-0000-0000-00000A240000}"/>
    <hyperlink ref="C3338" r:id="rId9102" xr:uid="{00000000-0004-0000-0000-00000B240000}"/>
    <hyperlink ref="D3338" r:id="rId9103" xr:uid="{00000000-0004-0000-0000-00000C240000}"/>
    <hyperlink ref="A3339" r:id="rId9104" xr:uid="{00000000-0004-0000-0000-00000D240000}"/>
    <hyperlink ref="C3339" r:id="rId9105" xr:uid="{00000000-0004-0000-0000-00000E240000}"/>
    <hyperlink ref="D3339" r:id="rId9106" xr:uid="{00000000-0004-0000-0000-00000F240000}"/>
    <hyperlink ref="C3340" r:id="rId9107" xr:uid="{00000000-0004-0000-0000-000010240000}"/>
    <hyperlink ref="D3340" r:id="rId9108" xr:uid="{00000000-0004-0000-0000-000011240000}"/>
    <hyperlink ref="A3341" r:id="rId9109" xr:uid="{00000000-0004-0000-0000-000012240000}"/>
    <hyperlink ref="C3341" r:id="rId9110" xr:uid="{00000000-0004-0000-0000-000013240000}"/>
    <hyperlink ref="D3341" r:id="rId9111" xr:uid="{00000000-0004-0000-0000-000014240000}"/>
    <hyperlink ref="A3342" r:id="rId9112" xr:uid="{00000000-0004-0000-0000-000015240000}"/>
    <hyperlink ref="C3342" r:id="rId9113" xr:uid="{00000000-0004-0000-0000-000016240000}"/>
    <hyperlink ref="D3342" r:id="rId9114" xr:uid="{00000000-0004-0000-0000-000017240000}"/>
    <hyperlink ref="A3343" r:id="rId9115" xr:uid="{00000000-0004-0000-0000-000018240000}"/>
    <hyperlink ref="C3343" r:id="rId9116" xr:uid="{00000000-0004-0000-0000-000019240000}"/>
    <hyperlink ref="D3343" r:id="rId9117" xr:uid="{00000000-0004-0000-0000-00001A240000}"/>
    <hyperlink ref="A3344" r:id="rId9118" xr:uid="{00000000-0004-0000-0000-00001B240000}"/>
    <hyperlink ref="C3344" r:id="rId9119" xr:uid="{00000000-0004-0000-0000-00001C240000}"/>
    <hyperlink ref="D3344" r:id="rId9120" xr:uid="{00000000-0004-0000-0000-00001D240000}"/>
    <hyperlink ref="A3345" r:id="rId9121" xr:uid="{00000000-0004-0000-0000-00001E240000}"/>
    <hyperlink ref="C3345" r:id="rId9122" xr:uid="{00000000-0004-0000-0000-00001F240000}"/>
    <hyperlink ref="D3345" r:id="rId9123" xr:uid="{00000000-0004-0000-0000-000020240000}"/>
    <hyperlink ref="E3345" r:id="rId9124" xr:uid="{00000000-0004-0000-0000-000021240000}"/>
    <hyperlink ref="A3346" r:id="rId9125" xr:uid="{00000000-0004-0000-0000-000022240000}"/>
    <hyperlink ref="C3346" r:id="rId9126" xr:uid="{00000000-0004-0000-0000-000023240000}"/>
    <hyperlink ref="D3346" r:id="rId9127" xr:uid="{00000000-0004-0000-0000-000024240000}"/>
    <hyperlink ref="A3347" r:id="rId9128" xr:uid="{00000000-0004-0000-0000-000025240000}"/>
    <hyperlink ref="C3347" r:id="rId9129" xr:uid="{00000000-0004-0000-0000-000026240000}"/>
    <hyperlink ref="D3347" r:id="rId9130" xr:uid="{00000000-0004-0000-0000-000027240000}"/>
    <hyperlink ref="A3348" r:id="rId9131" xr:uid="{00000000-0004-0000-0000-000028240000}"/>
    <hyperlink ref="C3348" r:id="rId9132" xr:uid="{00000000-0004-0000-0000-000029240000}"/>
    <hyperlink ref="D3348" r:id="rId9133" xr:uid="{00000000-0004-0000-0000-00002A240000}"/>
    <hyperlink ref="A3349" r:id="rId9134" xr:uid="{00000000-0004-0000-0000-00002B240000}"/>
    <hyperlink ref="C3349" r:id="rId9135" xr:uid="{00000000-0004-0000-0000-00002C240000}"/>
    <hyperlink ref="D3349" r:id="rId9136" xr:uid="{00000000-0004-0000-0000-00002D240000}"/>
    <hyperlink ref="C3350" r:id="rId9137" xr:uid="{00000000-0004-0000-0000-00002E240000}"/>
    <hyperlink ref="D3350" r:id="rId9138" xr:uid="{00000000-0004-0000-0000-00002F240000}"/>
    <hyperlink ref="C3351" r:id="rId9139" xr:uid="{00000000-0004-0000-0000-000030240000}"/>
    <hyperlink ref="D3351" r:id="rId9140" xr:uid="{00000000-0004-0000-0000-000031240000}"/>
    <hyperlink ref="A3352" r:id="rId9141" xr:uid="{00000000-0004-0000-0000-000032240000}"/>
    <hyperlink ref="C3352" r:id="rId9142" xr:uid="{00000000-0004-0000-0000-000033240000}"/>
    <hyperlink ref="D3352" r:id="rId9143" xr:uid="{00000000-0004-0000-0000-000034240000}"/>
    <hyperlink ref="A3353" r:id="rId9144" xr:uid="{00000000-0004-0000-0000-000035240000}"/>
    <hyperlink ref="C3353" r:id="rId9145" xr:uid="{00000000-0004-0000-0000-000036240000}"/>
    <hyperlink ref="D3353" r:id="rId9146" xr:uid="{00000000-0004-0000-0000-000037240000}"/>
    <hyperlink ref="A3354" r:id="rId9147" xr:uid="{00000000-0004-0000-0000-000038240000}"/>
    <hyperlink ref="C3354" r:id="rId9148" xr:uid="{00000000-0004-0000-0000-000039240000}"/>
    <hyperlink ref="D3354" r:id="rId9149" xr:uid="{00000000-0004-0000-0000-00003A240000}"/>
    <hyperlink ref="A3355" r:id="rId9150" xr:uid="{00000000-0004-0000-0000-00003B240000}"/>
    <hyperlink ref="C3355" r:id="rId9151" xr:uid="{00000000-0004-0000-0000-00003C240000}"/>
    <hyperlink ref="D3355" r:id="rId9152" xr:uid="{00000000-0004-0000-0000-00003D240000}"/>
    <hyperlink ref="A3356" r:id="rId9153" xr:uid="{00000000-0004-0000-0000-00003E240000}"/>
    <hyperlink ref="C3356" r:id="rId9154" xr:uid="{00000000-0004-0000-0000-00003F240000}"/>
    <hyperlink ref="D3356" r:id="rId9155" xr:uid="{00000000-0004-0000-0000-000040240000}"/>
    <hyperlink ref="A3357" r:id="rId9156" xr:uid="{00000000-0004-0000-0000-000041240000}"/>
    <hyperlink ref="C3357" r:id="rId9157" xr:uid="{00000000-0004-0000-0000-000042240000}"/>
    <hyperlink ref="D3357" r:id="rId9158" xr:uid="{00000000-0004-0000-0000-000043240000}"/>
    <hyperlink ref="A3358" r:id="rId9159" xr:uid="{00000000-0004-0000-0000-000044240000}"/>
    <hyperlink ref="C3358" r:id="rId9160" xr:uid="{00000000-0004-0000-0000-000045240000}"/>
    <hyperlink ref="D3358" r:id="rId9161" xr:uid="{00000000-0004-0000-0000-000046240000}"/>
    <hyperlink ref="A3359" r:id="rId9162" xr:uid="{00000000-0004-0000-0000-000047240000}"/>
    <hyperlink ref="C3359" r:id="rId9163" xr:uid="{00000000-0004-0000-0000-000048240000}"/>
    <hyperlink ref="D3359" r:id="rId9164" xr:uid="{00000000-0004-0000-0000-000049240000}"/>
    <hyperlink ref="A3360" r:id="rId9165" xr:uid="{00000000-0004-0000-0000-00004A240000}"/>
    <hyperlink ref="C3360" r:id="rId9166" xr:uid="{00000000-0004-0000-0000-00004B240000}"/>
    <hyperlink ref="D3360" r:id="rId9167" xr:uid="{00000000-0004-0000-0000-00004C240000}"/>
    <hyperlink ref="A3361" r:id="rId9168" xr:uid="{00000000-0004-0000-0000-00004D240000}"/>
    <hyperlink ref="C3361" r:id="rId9169" xr:uid="{00000000-0004-0000-0000-00004E240000}"/>
    <hyperlink ref="D3361" r:id="rId9170" xr:uid="{00000000-0004-0000-0000-00004F240000}"/>
    <hyperlink ref="A3362" r:id="rId9171" xr:uid="{00000000-0004-0000-0000-000050240000}"/>
    <hyperlink ref="C3362" r:id="rId9172" xr:uid="{00000000-0004-0000-0000-000051240000}"/>
    <hyperlink ref="D3362" r:id="rId9173" xr:uid="{00000000-0004-0000-0000-000052240000}"/>
    <hyperlink ref="A3363" r:id="rId9174" xr:uid="{00000000-0004-0000-0000-000053240000}"/>
    <hyperlink ref="C3363" r:id="rId9175" xr:uid="{00000000-0004-0000-0000-000054240000}"/>
    <hyperlink ref="D3363" r:id="rId9176" xr:uid="{00000000-0004-0000-0000-000055240000}"/>
    <hyperlink ref="A3364" r:id="rId9177" xr:uid="{00000000-0004-0000-0000-000056240000}"/>
    <hyperlink ref="C3364" r:id="rId9178" xr:uid="{00000000-0004-0000-0000-000057240000}"/>
    <hyperlink ref="D3364" r:id="rId9179" xr:uid="{00000000-0004-0000-0000-000058240000}"/>
    <hyperlink ref="A3365" r:id="rId9180" xr:uid="{00000000-0004-0000-0000-000059240000}"/>
    <hyperlink ref="C3365" r:id="rId9181" xr:uid="{00000000-0004-0000-0000-00005A240000}"/>
    <hyperlink ref="D3365" r:id="rId9182" xr:uid="{00000000-0004-0000-0000-00005B240000}"/>
    <hyperlink ref="A3366" r:id="rId9183" xr:uid="{00000000-0004-0000-0000-00005C240000}"/>
    <hyperlink ref="C3366" r:id="rId9184" xr:uid="{00000000-0004-0000-0000-00005D240000}"/>
    <hyperlink ref="D3366" r:id="rId9185" xr:uid="{00000000-0004-0000-0000-00005E240000}"/>
    <hyperlink ref="A3367" r:id="rId9186" xr:uid="{00000000-0004-0000-0000-00005F240000}"/>
    <hyperlink ref="C3367" r:id="rId9187" xr:uid="{00000000-0004-0000-0000-000060240000}"/>
    <hyperlink ref="D3367" r:id="rId9188" xr:uid="{00000000-0004-0000-0000-000061240000}"/>
    <hyperlink ref="A3368" r:id="rId9189" xr:uid="{00000000-0004-0000-0000-000062240000}"/>
    <hyperlink ref="C3368" r:id="rId9190" xr:uid="{00000000-0004-0000-0000-000063240000}"/>
    <hyperlink ref="D3368" r:id="rId9191" xr:uid="{00000000-0004-0000-0000-000064240000}"/>
    <hyperlink ref="A3369" r:id="rId9192" xr:uid="{00000000-0004-0000-0000-000065240000}"/>
    <hyperlink ref="C3369" r:id="rId9193" xr:uid="{00000000-0004-0000-0000-000066240000}"/>
    <hyperlink ref="D3369" r:id="rId9194" xr:uid="{00000000-0004-0000-0000-000067240000}"/>
    <hyperlink ref="A3370" r:id="rId9195" xr:uid="{00000000-0004-0000-0000-000068240000}"/>
    <hyperlink ref="C3370" r:id="rId9196" xr:uid="{00000000-0004-0000-0000-000069240000}"/>
    <hyperlink ref="D3370" r:id="rId9197" xr:uid="{00000000-0004-0000-0000-00006A240000}"/>
    <hyperlink ref="A3371" r:id="rId9198" xr:uid="{00000000-0004-0000-0000-00006B240000}"/>
    <hyperlink ref="C3371" r:id="rId9199" xr:uid="{00000000-0004-0000-0000-00006C240000}"/>
    <hyperlink ref="D3371" r:id="rId9200" xr:uid="{00000000-0004-0000-0000-00006D240000}"/>
    <hyperlink ref="A3372" r:id="rId9201" xr:uid="{00000000-0004-0000-0000-00006E240000}"/>
    <hyperlink ref="C3372" r:id="rId9202" xr:uid="{00000000-0004-0000-0000-00006F240000}"/>
    <hyperlink ref="D3372" r:id="rId9203" xr:uid="{00000000-0004-0000-0000-000070240000}"/>
    <hyperlink ref="A3373" r:id="rId9204" xr:uid="{00000000-0004-0000-0000-000071240000}"/>
    <hyperlink ref="C3373" r:id="rId9205" xr:uid="{00000000-0004-0000-0000-000072240000}"/>
    <hyperlink ref="D3373" r:id="rId9206" xr:uid="{00000000-0004-0000-0000-000073240000}"/>
    <hyperlink ref="A3374" r:id="rId9207" xr:uid="{00000000-0004-0000-0000-000074240000}"/>
    <hyperlink ref="C3374" r:id="rId9208" xr:uid="{00000000-0004-0000-0000-000075240000}"/>
    <hyperlink ref="D3374" r:id="rId9209" xr:uid="{00000000-0004-0000-0000-000076240000}"/>
    <hyperlink ref="A3375" r:id="rId9210" xr:uid="{00000000-0004-0000-0000-000077240000}"/>
    <hyperlink ref="C3375" r:id="rId9211" xr:uid="{00000000-0004-0000-0000-000078240000}"/>
    <hyperlink ref="D3375" r:id="rId9212" xr:uid="{00000000-0004-0000-0000-000079240000}"/>
    <hyperlink ref="A3376" r:id="rId9213" xr:uid="{00000000-0004-0000-0000-00007A240000}"/>
    <hyperlink ref="C3376" r:id="rId9214" xr:uid="{00000000-0004-0000-0000-00007B240000}"/>
    <hyperlink ref="D3376" r:id="rId9215" xr:uid="{00000000-0004-0000-0000-00007C240000}"/>
    <hyperlink ref="A3377" r:id="rId9216" xr:uid="{00000000-0004-0000-0000-00007D240000}"/>
    <hyperlink ref="C3377" r:id="rId9217" xr:uid="{00000000-0004-0000-0000-00007E240000}"/>
    <hyperlink ref="D3377" r:id="rId9218" xr:uid="{00000000-0004-0000-0000-00007F240000}"/>
    <hyperlink ref="A3378" r:id="rId9219" xr:uid="{00000000-0004-0000-0000-000080240000}"/>
    <hyperlink ref="C3378" r:id="rId9220" xr:uid="{00000000-0004-0000-0000-000081240000}"/>
    <hyperlink ref="D3378" r:id="rId9221" xr:uid="{00000000-0004-0000-0000-000082240000}"/>
    <hyperlink ref="E3378" r:id="rId9222" xr:uid="{00000000-0004-0000-0000-000083240000}"/>
    <hyperlink ref="A3379" r:id="rId9223" xr:uid="{00000000-0004-0000-0000-000084240000}"/>
    <hyperlink ref="C3379" r:id="rId9224" xr:uid="{00000000-0004-0000-0000-000085240000}"/>
    <hyperlink ref="D3379" r:id="rId9225" xr:uid="{00000000-0004-0000-0000-000086240000}"/>
    <hyperlink ref="A3380" r:id="rId9226" xr:uid="{00000000-0004-0000-0000-000087240000}"/>
    <hyperlink ref="C3380" r:id="rId9227" xr:uid="{00000000-0004-0000-0000-000088240000}"/>
    <hyperlink ref="D3380" r:id="rId9228" xr:uid="{00000000-0004-0000-0000-000089240000}"/>
    <hyperlink ref="A3381" r:id="rId9229" xr:uid="{00000000-0004-0000-0000-00008A240000}"/>
    <hyperlink ref="C3381" r:id="rId9230" xr:uid="{00000000-0004-0000-0000-00008B240000}"/>
    <hyperlink ref="D3381" r:id="rId9231" xr:uid="{00000000-0004-0000-0000-00008C240000}"/>
    <hyperlink ref="A3382" r:id="rId9232" xr:uid="{00000000-0004-0000-0000-00008D240000}"/>
    <hyperlink ref="C3382" r:id="rId9233" xr:uid="{00000000-0004-0000-0000-00008E240000}"/>
    <hyperlink ref="D3382" r:id="rId9234" xr:uid="{00000000-0004-0000-0000-00008F240000}"/>
    <hyperlink ref="A3383" r:id="rId9235" xr:uid="{00000000-0004-0000-0000-000090240000}"/>
    <hyperlink ref="C3383" r:id="rId9236" xr:uid="{00000000-0004-0000-0000-000091240000}"/>
    <hyperlink ref="D3383" r:id="rId9237" xr:uid="{00000000-0004-0000-0000-000092240000}"/>
    <hyperlink ref="A3384" r:id="rId9238" xr:uid="{00000000-0004-0000-0000-000093240000}"/>
    <hyperlink ref="C3384" r:id="rId9239" xr:uid="{00000000-0004-0000-0000-000094240000}"/>
    <hyperlink ref="D3384" r:id="rId9240" xr:uid="{00000000-0004-0000-0000-000095240000}"/>
    <hyperlink ref="A3385" r:id="rId9241" xr:uid="{00000000-0004-0000-0000-000096240000}"/>
    <hyperlink ref="C3385" r:id="rId9242" xr:uid="{00000000-0004-0000-0000-000097240000}"/>
    <hyperlink ref="D3385" r:id="rId9243" xr:uid="{00000000-0004-0000-0000-000098240000}"/>
    <hyperlink ref="C3386" r:id="rId9244" xr:uid="{00000000-0004-0000-0000-000099240000}"/>
    <hyperlink ref="D3386" r:id="rId9245" xr:uid="{00000000-0004-0000-0000-00009A240000}"/>
    <hyperlink ref="A3387" r:id="rId9246" xr:uid="{00000000-0004-0000-0000-00009B240000}"/>
    <hyperlink ref="C3387" r:id="rId9247" xr:uid="{00000000-0004-0000-0000-00009C240000}"/>
    <hyperlink ref="D3387" r:id="rId9248" xr:uid="{00000000-0004-0000-0000-00009D240000}"/>
    <hyperlink ref="A3388" r:id="rId9249" xr:uid="{00000000-0004-0000-0000-00009E240000}"/>
    <hyperlink ref="C3388" r:id="rId9250" xr:uid="{00000000-0004-0000-0000-00009F240000}"/>
    <hyperlink ref="D3388" r:id="rId9251" xr:uid="{00000000-0004-0000-0000-0000A0240000}"/>
    <hyperlink ref="C3389" r:id="rId9252" xr:uid="{00000000-0004-0000-0000-0000A1240000}"/>
    <hyperlink ref="D3389" r:id="rId9253" xr:uid="{00000000-0004-0000-0000-0000A2240000}"/>
    <hyperlink ref="C3390" r:id="rId9254" xr:uid="{00000000-0004-0000-0000-0000A3240000}"/>
    <hyperlink ref="D3390" r:id="rId9255" xr:uid="{00000000-0004-0000-0000-0000A4240000}"/>
    <hyperlink ref="A3391" r:id="rId9256" xr:uid="{00000000-0004-0000-0000-0000A5240000}"/>
    <hyperlink ref="C3391" r:id="rId9257" xr:uid="{00000000-0004-0000-0000-0000A6240000}"/>
    <hyperlink ref="D3391" r:id="rId9258" xr:uid="{00000000-0004-0000-0000-0000A7240000}"/>
    <hyperlink ref="A3392" r:id="rId9259" xr:uid="{00000000-0004-0000-0000-0000A8240000}"/>
    <hyperlink ref="C3392" r:id="rId9260" xr:uid="{00000000-0004-0000-0000-0000A9240000}"/>
    <hyperlink ref="D3392" r:id="rId9261" xr:uid="{00000000-0004-0000-0000-0000AA240000}"/>
    <hyperlink ref="A3393" r:id="rId9262" xr:uid="{00000000-0004-0000-0000-0000AB240000}"/>
    <hyperlink ref="C3393" r:id="rId9263" xr:uid="{00000000-0004-0000-0000-0000AC240000}"/>
    <hyperlink ref="D3393" r:id="rId9264" xr:uid="{00000000-0004-0000-0000-0000AD240000}"/>
    <hyperlink ref="A3394" r:id="rId9265" xr:uid="{00000000-0004-0000-0000-0000AE240000}"/>
    <hyperlink ref="C3394" r:id="rId9266" xr:uid="{00000000-0004-0000-0000-0000AF240000}"/>
    <hyperlink ref="D3394" r:id="rId9267" xr:uid="{00000000-0004-0000-0000-0000B0240000}"/>
    <hyperlink ref="A3395" r:id="rId9268" xr:uid="{00000000-0004-0000-0000-0000B1240000}"/>
    <hyperlink ref="C3395" r:id="rId9269" xr:uid="{00000000-0004-0000-0000-0000B2240000}"/>
    <hyperlink ref="D3395" r:id="rId9270" xr:uid="{00000000-0004-0000-0000-0000B3240000}"/>
    <hyperlink ref="A3396" r:id="rId9271" xr:uid="{00000000-0004-0000-0000-0000B4240000}"/>
    <hyperlink ref="C3396" r:id="rId9272" xr:uid="{00000000-0004-0000-0000-0000B5240000}"/>
    <hyperlink ref="D3396" r:id="rId9273" xr:uid="{00000000-0004-0000-0000-0000B6240000}"/>
    <hyperlink ref="A3397" r:id="rId9274" xr:uid="{00000000-0004-0000-0000-0000B7240000}"/>
    <hyperlink ref="C3397" r:id="rId9275" xr:uid="{00000000-0004-0000-0000-0000B8240000}"/>
    <hyperlink ref="D3397" r:id="rId9276" xr:uid="{00000000-0004-0000-0000-0000B9240000}"/>
    <hyperlink ref="A3398" r:id="rId9277" xr:uid="{00000000-0004-0000-0000-0000BA240000}"/>
    <hyperlink ref="C3398" r:id="rId9278" xr:uid="{00000000-0004-0000-0000-0000BB240000}"/>
    <hyperlink ref="D3398" r:id="rId9279" xr:uid="{00000000-0004-0000-0000-0000BC240000}"/>
    <hyperlink ref="C3399" r:id="rId9280" xr:uid="{00000000-0004-0000-0000-0000BD240000}"/>
    <hyperlink ref="D3399" r:id="rId9281" xr:uid="{00000000-0004-0000-0000-0000BE240000}"/>
    <hyperlink ref="C3400" r:id="rId9282" xr:uid="{00000000-0004-0000-0000-0000BF240000}"/>
    <hyperlink ref="D3400" r:id="rId9283" xr:uid="{00000000-0004-0000-0000-0000C0240000}"/>
    <hyperlink ref="A3401" r:id="rId9284" xr:uid="{00000000-0004-0000-0000-0000C1240000}"/>
    <hyperlink ref="C3401" r:id="rId9285" xr:uid="{00000000-0004-0000-0000-0000C2240000}"/>
    <hyperlink ref="D3401" r:id="rId9286" xr:uid="{00000000-0004-0000-0000-0000C3240000}"/>
    <hyperlink ref="A3402" r:id="rId9287" xr:uid="{00000000-0004-0000-0000-0000C4240000}"/>
    <hyperlink ref="C3402" r:id="rId9288" xr:uid="{00000000-0004-0000-0000-0000C5240000}"/>
    <hyperlink ref="D3402" r:id="rId9289" xr:uid="{00000000-0004-0000-0000-0000C6240000}"/>
    <hyperlink ref="A3403" r:id="rId9290" xr:uid="{00000000-0004-0000-0000-0000C7240000}"/>
    <hyperlink ref="C3403" r:id="rId9291" xr:uid="{00000000-0004-0000-0000-0000C8240000}"/>
    <hyperlink ref="D3403" r:id="rId9292" xr:uid="{00000000-0004-0000-0000-0000C9240000}"/>
    <hyperlink ref="A3404" r:id="rId9293" xr:uid="{00000000-0004-0000-0000-0000CA240000}"/>
    <hyperlink ref="C3404" r:id="rId9294" xr:uid="{00000000-0004-0000-0000-0000CB240000}"/>
    <hyperlink ref="D3404" r:id="rId9295" xr:uid="{00000000-0004-0000-0000-0000CC240000}"/>
    <hyperlink ref="A3405" r:id="rId9296" xr:uid="{00000000-0004-0000-0000-0000CD240000}"/>
    <hyperlink ref="C3405" r:id="rId9297" xr:uid="{00000000-0004-0000-0000-0000CE240000}"/>
    <hyperlink ref="D3405" r:id="rId9298" xr:uid="{00000000-0004-0000-0000-0000CF240000}"/>
    <hyperlink ref="C3406" r:id="rId9299" xr:uid="{00000000-0004-0000-0000-0000D0240000}"/>
    <hyperlink ref="D3406" r:id="rId9300" xr:uid="{00000000-0004-0000-0000-0000D1240000}"/>
    <hyperlink ref="C3407" r:id="rId9301" xr:uid="{00000000-0004-0000-0000-0000D2240000}"/>
    <hyperlink ref="D3407" r:id="rId9302" xr:uid="{00000000-0004-0000-0000-0000D3240000}"/>
    <hyperlink ref="A3408" r:id="rId9303" xr:uid="{00000000-0004-0000-0000-0000D4240000}"/>
    <hyperlink ref="C3408" r:id="rId9304" xr:uid="{00000000-0004-0000-0000-0000D5240000}"/>
    <hyperlink ref="D3408" r:id="rId9305" xr:uid="{00000000-0004-0000-0000-0000D6240000}"/>
    <hyperlink ref="A3409" r:id="rId9306" xr:uid="{00000000-0004-0000-0000-0000D7240000}"/>
    <hyperlink ref="C3409" r:id="rId9307" xr:uid="{00000000-0004-0000-0000-0000D8240000}"/>
    <hyperlink ref="D3409" r:id="rId9308" xr:uid="{00000000-0004-0000-0000-0000D9240000}"/>
    <hyperlink ref="A3410" r:id="rId9309" xr:uid="{00000000-0004-0000-0000-0000DA240000}"/>
    <hyperlink ref="C3410" r:id="rId9310" xr:uid="{00000000-0004-0000-0000-0000DB240000}"/>
    <hyperlink ref="D3410" r:id="rId9311" xr:uid="{00000000-0004-0000-0000-0000DC240000}"/>
    <hyperlink ref="A3411" r:id="rId9312" xr:uid="{00000000-0004-0000-0000-0000DD240000}"/>
    <hyperlink ref="C3411" r:id="rId9313" xr:uid="{00000000-0004-0000-0000-0000DE240000}"/>
    <hyperlink ref="D3411" r:id="rId9314" xr:uid="{00000000-0004-0000-0000-0000DF240000}"/>
    <hyperlink ref="A3412" r:id="rId9315" xr:uid="{00000000-0004-0000-0000-0000E0240000}"/>
    <hyperlink ref="C3412" r:id="rId9316" xr:uid="{00000000-0004-0000-0000-0000E1240000}"/>
    <hyperlink ref="D3412" r:id="rId9317" xr:uid="{00000000-0004-0000-0000-0000E2240000}"/>
    <hyperlink ref="A3413" r:id="rId9318" xr:uid="{00000000-0004-0000-0000-0000E3240000}"/>
    <hyperlink ref="C3413" r:id="rId9319" xr:uid="{00000000-0004-0000-0000-0000E4240000}"/>
    <hyperlink ref="D3413" r:id="rId9320" xr:uid="{00000000-0004-0000-0000-0000E5240000}"/>
    <hyperlink ref="A3414" r:id="rId9321" xr:uid="{00000000-0004-0000-0000-0000E6240000}"/>
    <hyperlink ref="C3414" r:id="rId9322" xr:uid="{00000000-0004-0000-0000-0000E7240000}"/>
    <hyperlink ref="D3414" r:id="rId9323" xr:uid="{00000000-0004-0000-0000-0000E8240000}"/>
    <hyperlink ref="A3415" r:id="rId9324" xr:uid="{00000000-0004-0000-0000-0000E9240000}"/>
    <hyperlink ref="C3415" r:id="rId9325" xr:uid="{00000000-0004-0000-0000-0000EA240000}"/>
    <hyperlink ref="D3415" r:id="rId9326" xr:uid="{00000000-0004-0000-0000-0000EB240000}"/>
    <hyperlink ref="A3416" r:id="rId9327" xr:uid="{00000000-0004-0000-0000-0000EC240000}"/>
    <hyperlink ref="C3416" r:id="rId9328" xr:uid="{00000000-0004-0000-0000-0000ED240000}"/>
    <hyperlink ref="D3416" r:id="rId9329" xr:uid="{00000000-0004-0000-0000-0000EE240000}"/>
    <hyperlink ref="A3417" r:id="rId9330" xr:uid="{00000000-0004-0000-0000-0000EF240000}"/>
    <hyperlink ref="C3417" r:id="rId9331" xr:uid="{00000000-0004-0000-0000-0000F0240000}"/>
    <hyperlink ref="D3417" r:id="rId9332" xr:uid="{00000000-0004-0000-0000-0000F1240000}"/>
    <hyperlink ref="A3418" r:id="rId9333" xr:uid="{00000000-0004-0000-0000-0000F2240000}"/>
    <hyperlink ref="C3418" r:id="rId9334" xr:uid="{00000000-0004-0000-0000-0000F3240000}"/>
    <hyperlink ref="D3418" r:id="rId9335" xr:uid="{00000000-0004-0000-0000-0000F4240000}"/>
    <hyperlink ref="C3419" r:id="rId9336" xr:uid="{00000000-0004-0000-0000-0000F5240000}"/>
    <hyperlink ref="D3419" r:id="rId9337" xr:uid="{00000000-0004-0000-0000-0000F6240000}"/>
    <hyperlink ref="C3420" r:id="rId9338" xr:uid="{00000000-0004-0000-0000-0000F7240000}"/>
    <hyperlink ref="D3420" r:id="rId9339" xr:uid="{00000000-0004-0000-0000-0000F8240000}"/>
    <hyperlink ref="A3421" r:id="rId9340" xr:uid="{00000000-0004-0000-0000-0000F9240000}"/>
    <hyperlink ref="C3421" r:id="rId9341" xr:uid="{00000000-0004-0000-0000-0000FA240000}"/>
    <hyperlink ref="D3421" r:id="rId9342" xr:uid="{00000000-0004-0000-0000-0000FB240000}"/>
    <hyperlink ref="A3422" r:id="rId9343" xr:uid="{00000000-0004-0000-0000-0000FC240000}"/>
    <hyperlink ref="C3422" r:id="rId9344" xr:uid="{00000000-0004-0000-0000-0000FD240000}"/>
    <hyperlink ref="D3422" r:id="rId9345" xr:uid="{00000000-0004-0000-0000-0000FE240000}"/>
    <hyperlink ref="A3423" r:id="rId9346" xr:uid="{00000000-0004-0000-0000-0000FF240000}"/>
    <hyperlink ref="C3423" r:id="rId9347" xr:uid="{00000000-0004-0000-0000-000000250000}"/>
    <hyperlink ref="D3423" r:id="rId9348" xr:uid="{00000000-0004-0000-0000-000001250000}"/>
    <hyperlink ref="A3424" r:id="rId9349" xr:uid="{00000000-0004-0000-0000-000002250000}"/>
    <hyperlink ref="C3424" r:id="rId9350" xr:uid="{00000000-0004-0000-0000-000003250000}"/>
    <hyperlink ref="D3424" r:id="rId9351" xr:uid="{00000000-0004-0000-0000-000004250000}"/>
    <hyperlink ref="D3425" r:id="rId9352" xr:uid="{00000000-0004-0000-0000-000005250000}"/>
    <hyperlink ref="C3426" r:id="rId9353" xr:uid="{00000000-0004-0000-0000-000006250000}"/>
    <hyperlink ref="D3426" r:id="rId9354" xr:uid="{00000000-0004-0000-0000-000007250000}"/>
    <hyperlink ref="A3427" r:id="rId9355" xr:uid="{00000000-0004-0000-0000-000008250000}"/>
    <hyperlink ref="C3427" r:id="rId9356" xr:uid="{00000000-0004-0000-0000-000009250000}"/>
    <hyperlink ref="D3427" r:id="rId9357" xr:uid="{00000000-0004-0000-0000-00000A250000}"/>
    <hyperlink ref="A3428" r:id="rId9358" xr:uid="{00000000-0004-0000-0000-00000B250000}"/>
    <hyperlink ref="C3428" r:id="rId9359" xr:uid="{00000000-0004-0000-0000-00000C250000}"/>
    <hyperlink ref="D3428" r:id="rId9360" xr:uid="{00000000-0004-0000-0000-00000D250000}"/>
    <hyperlink ref="A3429" r:id="rId9361" xr:uid="{00000000-0004-0000-0000-00000E250000}"/>
    <hyperlink ref="C3429" r:id="rId9362" xr:uid="{00000000-0004-0000-0000-00000F250000}"/>
    <hyperlink ref="D3429" r:id="rId9363" xr:uid="{00000000-0004-0000-0000-000010250000}"/>
    <hyperlink ref="A3430" r:id="rId9364" xr:uid="{00000000-0004-0000-0000-000011250000}"/>
    <hyperlink ref="C3430" r:id="rId9365" xr:uid="{00000000-0004-0000-0000-000012250000}"/>
    <hyperlink ref="D3430" r:id="rId9366" xr:uid="{00000000-0004-0000-0000-000013250000}"/>
    <hyperlink ref="A3431" r:id="rId9367" xr:uid="{00000000-0004-0000-0000-000014250000}"/>
    <hyperlink ref="C3431" r:id="rId9368" xr:uid="{00000000-0004-0000-0000-000015250000}"/>
    <hyperlink ref="D3431" r:id="rId9369" xr:uid="{00000000-0004-0000-0000-000016250000}"/>
    <hyperlink ref="A3432" r:id="rId9370" xr:uid="{00000000-0004-0000-0000-000017250000}"/>
    <hyperlink ref="C3432" r:id="rId9371" xr:uid="{00000000-0004-0000-0000-000018250000}"/>
    <hyperlink ref="D3432" r:id="rId9372" xr:uid="{00000000-0004-0000-0000-000019250000}"/>
    <hyperlink ref="A3433" r:id="rId9373" xr:uid="{00000000-0004-0000-0000-00001A250000}"/>
    <hyperlink ref="C3433" r:id="rId9374" xr:uid="{00000000-0004-0000-0000-00001B250000}"/>
    <hyperlink ref="D3433" r:id="rId9375" xr:uid="{00000000-0004-0000-0000-00001C250000}"/>
    <hyperlink ref="A3434" r:id="rId9376" xr:uid="{00000000-0004-0000-0000-00001D250000}"/>
    <hyperlink ref="C3434" r:id="rId9377" xr:uid="{00000000-0004-0000-0000-00001E250000}"/>
    <hyperlink ref="D3434" r:id="rId9378" xr:uid="{00000000-0004-0000-0000-00001F250000}"/>
    <hyperlink ref="A3435" r:id="rId9379" xr:uid="{00000000-0004-0000-0000-000020250000}"/>
    <hyperlink ref="C3435" r:id="rId9380" xr:uid="{00000000-0004-0000-0000-000021250000}"/>
    <hyperlink ref="D3435" r:id="rId9381" xr:uid="{00000000-0004-0000-0000-000022250000}"/>
    <hyperlink ref="C3436" r:id="rId9382" xr:uid="{00000000-0004-0000-0000-000023250000}"/>
    <hyperlink ref="D3436" r:id="rId9383" xr:uid="{00000000-0004-0000-0000-000024250000}"/>
    <hyperlink ref="A3437" r:id="rId9384" xr:uid="{00000000-0004-0000-0000-000025250000}"/>
    <hyperlink ref="C3437" r:id="rId9385" xr:uid="{00000000-0004-0000-0000-000026250000}"/>
    <hyperlink ref="D3437" r:id="rId9386" xr:uid="{00000000-0004-0000-0000-000027250000}"/>
    <hyperlink ref="E3437" r:id="rId9387" xr:uid="{00000000-0004-0000-0000-000028250000}"/>
    <hyperlink ref="A3438" r:id="rId9388" xr:uid="{00000000-0004-0000-0000-000029250000}"/>
    <hyperlink ref="C3438" r:id="rId9389" xr:uid="{00000000-0004-0000-0000-00002A250000}"/>
    <hyperlink ref="D3438" r:id="rId9390" xr:uid="{00000000-0004-0000-0000-00002B250000}"/>
    <hyperlink ref="A3439" r:id="rId9391" xr:uid="{00000000-0004-0000-0000-00002C250000}"/>
    <hyperlink ref="C3439" r:id="rId9392" xr:uid="{00000000-0004-0000-0000-00002D250000}"/>
    <hyperlink ref="D3439" r:id="rId9393" xr:uid="{00000000-0004-0000-0000-00002E250000}"/>
    <hyperlink ref="A3440" r:id="rId9394" xr:uid="{00000000-0004-0000-0000-00002F250000}"/>
    <hyperlink ref="C3440" r:id="rId9395" xr:uid="{00000000-0004-0000-0000-000030250000}"/>
    <hyperlink ref="D3440" r:id="rId9396" xr:uid="{00000000-0004-0000-0000-000031250000}"/>
    <hyperlink ref="A3441" r:id="rId9397" xr:uid="{00000000-0004-0000-0000-000032250000}"/>
    <hyperlink ref="C3441" r:id="rId9398" xr:uid="{00000000-0004-0000-0000-000033250000}"/>
    <hyperlink ref="D3441" r:id="rId9399" xr:uid="{00000000-0004-0000-0000-000034250000}"/>
    <hyperlink ref="A3442" r:id="rId9400" xr:uid="{00000000-0004-0000-0000-000035250000}"/>
    <hyperlink ref="C3442" r:id="rId9401" xr:uid="{00000000-0004-0000-0000-000036250000}"/>
    <hyperlink ref="D3442" r:id="rId9402" xr:uid="{00000000-0004-0000-0000-000037250000}"/>
    <hyperlink ref="A3443" r:id="rId9403" xr:uid="{00000000-0004-0000-0000-000038250000}"/>
    <hyperlink ref="C3443" r:id="rId9404" xr:uid="{00000000-0004-0000-0000-000039250000}"/>
    <hyperlink ref="D3443" r:id="rId9405" xr:uid="{00000000-0004-0000-0000-00003A250000}"/>
    <hyperlink ref="A3444" r:id="rId9406" xr:uid="{00000000-0004-0000-0000-00003B250000}"/>
    <hyperlink ref="C3444" r:id="rId9407" xr:uid="{00000000-0004-0000-0000-00003C250000}"/>
    <hyperlink ref="D3444" r:id="rId9408" xr:uid="{00000000-0004-0000-0000-00003D250000}"/>
    <hyperlink ref="C3445" r:id="rId9409" xr:uid="{00000000-0004-0000-0000-00003E250000}"/>
    <hyperlink ref="D3445" r:id="rId9410" xr:uid="{00000000-0004-0000-0000-00003F250000}"/>
    <hyperlink ref="A3446" r:id="rId9411" xr:uid="{00000000-0004-0000-0000-000040250000}"/>
    <hyperlink ref="C3446" r:id="rId9412" xr:uid="{00000000-0004-0000-0000-000041250000}"/>
    <hyperlink ref="D3446" r:id="rId9413" xr:uid="{00000000-0004-0000-0000-000042250000}"/>
    <hyperlink ref="A3447" r:id="rId9414" xr:uid="{00000000-0004-0000-0000-000043250000}"/>
    <hyperlink ref="C3447" r:id="rId9415" xr:uid="{00000000-0004-0000-0000-000044250000}"/>
    <hyperlink ref="D3447" r:id="rId9416" xr:uid="{00000000-0004-0000-0000-000045250000}"/>
    <hyperlink ref="A3448" r:id="rId9417" xr:uid="{00000000-0004-0000-0000-000046250000}"/>
    <hyperlink ref="C3448" r:id="rId9418" xr:uid="{00000000-0004-0000-0000-000047250000}"/>
    <hyperlink ref="D3448" r:id="rId9419" xr:uid="{00000000-0004-0000-0000-000048250000}"/>
    <hyperlink ref="A3449" r:id="rId9420" xr:uid="{00000000-0004-0000-0000-000049250000}"/>
    <hyperlink ref="C3449" r:id="rId9421" xr:uid="{00000000-0004-0000-0000-00004A250000}"/>
    <hyperlink ref="D3449" r:id="rId9422" xr:uid="{00000000-0004-0000-0000-00004B250000}"/>
    <hyperlink ref="A3450" r:id="rId9423" xr:uid="{00000000-0004-0000-0000-00004C250000}"/>
    <hyperlink ref="C3450" r:id="rId9424" xr:uid="{00000000-0004-0000-0000-00004D250000}"/>
    <hyperlink ref="D3450" r:id="rId9425" xr:uid="{00000000-0004-0000-0000-00004E250000}"/>
    <hyperlink ref="A3451" r:id="rId9426" xr:uid="{00000000-0004-0000-0000-00004F250000}"/>
    <hyperlink ref="C3451" r:id="rId9427" xr:uid="{00000000-0004-0000-0000-000050250000}"/>
    <hyperlink ref="D3451" r:id="rId9428" xr:uid="{00000000-0004-0000-0000-000051250000}"/>
    <hyperlink ref="A3452" r:id="rId9429" xr:uid="{00000000-0004-0000-0000-000052250000}"/>
    <hyperlink ref="C3452" r:id="rId9430" xr:uid="{00000000-0004-0000-0000-000053250000}"/>
    <hyperlink ref="D3452" r:id="rId9431" xr:uid="{00000000-0004-0000-0000-000054250000}"/>
    <hyperlink ref="A3453" r:id="rId9432" xr:uid="{00000000-0004-0000-0000-000055250000}"/>
    <hyperlink ref="C3453" r:id="rId9433" xr:uid="{00000000-0004-0000-0000-000056250000}"/>
    <hyperlink ref="D3453" r:id="rId9434" xr:uid="{00000000-0004-0000-0000-000057250000}"/>
    <hyperlink ref="C3454" r:id="rId9435" xr:uid="{00000000-0004-0000-0000-000058250000}"/>
    <hyperlink ref="D3454" r:id="rId9436" xr:uid="{00000000-0004-0000-0000-000059250000}"/>
    <hyperlink ref="A3455" r:id="rId9437" xr:uid="{00000000-0004-0000-0000-00005A250000}"/>
    <hyperlink ref="C3455" r:id="rId9438" xr:uid="{00000000-0004-0000-0000-00005B250000}"/>
    <hyperlink ref="D3455" r:id="rId9439" xr:uid="{00000000-0004-0000-0000-00005C250000}"/>
    <hyperlink ref="A3456" r:id="rId9440" xr:uid="{00000000-0004-0000-0000-00005D250000}"/>
    <hyperlink ref="C3456" r:id="rId9441" xr:uid="{00000000-0004-0000-0000-00005E250000}"/>
    <hyperlink ref="D3456" r:id="rId9442" location=":~:text=Hajper%20f%C3%B6r%20betting%20och%20casino%20online" xr:uid="{00000000-0004-0000-0000-00005F250000}"/>
    <hyperlink ref="C3457" r:id="rId9443" xr:uid="{00000000-0004-0000-0000-000060250000}"/>
    <hyperlink ref="D3457" r:id="rId9444" xr:uid="{00000000-0004-0000-0000-000061250000}"/>
    <hyperlink ref="A3458" r:id="rId9445" xr:uid="{00000000-0004-0000-0000-000062250000}"/>
    <hyperlink ref="C3458" r:id="rId9446" xr:uid="{00000000-0004-0000-0000-000063250000}"/>
    <hyperlink ref="D3458" r:id="rId9447" xr:uid="{00000000-0004-0000-0000-000064250000}"/>
    <hyperlink ref="A3459" r:id="rId9448" xr:uid="{00000000-0004-0000-0000-000065250000}"/>
    <hyperlink ref="C3459" r:id="rId9449" xr:uid="{00000000-0004-0000-0000-000066250000}"/>
    <hyperlink ref="D3459" r:id="rId9450" xr:uid="{00000000-0004-0000-0000-000067250000}"/>
    <hyperlink ref="A3460" r:id="rId9451" xr:uid="{00000000-0004-0000-0000-000068250000}"/>
    <hyperlink ref="C3460" r:id="rId9452" xr:uid="{00000000-0004-0000-0000-000069250000}"/>
    <hyperlink ref="D3460" r:id="rId9453" xr:uid="{00000000-0004-0000-0000-00006A250000}"/>
    <hyperlink ref="A3461" r:id="rId9454" xr:uid="{00000000-0004-0000-0000-00006B250000}"/>
    <hyperlink ref="C3461" r:id="rId9455" xr:uid="{00000000-0004-0000-0000-00006C250000}"/>
    <hyperlink ref="D3461" r:id="rId9456" xr:uid="{00000000-0004-0000-0000-00006D250000}"/>
    <hyperlink ref="E3461" r:id="rId9457" xr:uid="{00000000-0004-0000-0000-00006E250000}"/>
    <hyperlink ref="A3462" r:id="rId9458" xr:uid="{00000000-0004-0000-0000-00006F250000}"/>
    <hyperlink ref="C3462" r:id="rId9459" xr:uid="{00000000-0004-0000-0000-000070250000}"/>
    <hyperlink ref="D3462" r:id="rId9460" xr:uid="{00000000-0004-0000-0000-000071250000}"/>
    <hyperlink ref="A3463" r:id="rId9461" xr:uid="{00000000-0004-0000-0000-000072250000}"/>
    <hyperlink ref="C3463" r:id="rId9462" xr:uid="{00000000-0004-0000-0000-000073250000}"/>
    <hyperlink ref="D3463" r:id="rId9463" xr:uid="{00000000-0004-0000-0000-000074250000}"/>
    <hyperlink ref="A3464" r:id="rId9464" xr:uid="{00000000-0004-0000-0000-000075250000}"/>
    <hyperlink ref="C3464" r:id="rId9465" xr:uid="{00000000-0004-0000-0000-000076250000}"/>
    <hyperlink ref="D3464" r:id="rId9466" xr:uid="{00000000-0004-0000-0000-000077250000}"/>
    <hyperlink ref="A3465" r:id="rId9467" xr:uid="{00000000-0004-0000-0000-000078250000}"/>
    <hyperlink ref="C3465" r:id="rId9468" xr:uid="{00000000-0004-0000-0000-000079250000}"/>
    <hyperlink ref="D3465" r:id="rId9469" xr:uid="{00000000-0004-0000-0000-00007A250000}"/>
    <hyperlink ref="A3466" r:id="rId9470" xr:uid="{00000000-0004-0000-0000-00007B250000}"/>
    <hyperlink ref="C3466" r:id="rId9471" xr:uid="{00000000-0004-0000-0000-00007C250000}"/>
    <hyperlink ref="D3466" r:id="rId9472" xr:uid="{00000000-0004-0000-0000-00007D250000}"/>
    <hyperlink ref="C3467" r:id="rId9473" xr:uid="{00000000-0004-0000-0000-00007E250000}"/>
    <hyperlink ref="D3467" r:id="rId9474" xr:uid="{00000000-0004-0000-0000-00007F250000}"/>
    <hyperlink ref="A3468" r:id="rId9475" xr:uid="{00000000-0004-0000-0000-000080250000}"/>
    <hyperlink ref="C3468" r:id="rId9476" xr:uid="{00000000-0004-0000-0000-000081250000}"/>
    <hyperlink ref="D3468" r:id="rId9477" xr:uid="{00000000-0004-0000-0000-000082250000}"/>
    <hyperlink ref="A3469" r:id="rId9478" xr:uid="{00000000-0004-0000-0000-000083250000}"/>
    <hyperlink ref="C3469" r:id="rId9479" xr:uid="{00000000-0004-0000-0000-000084250000}"/>
    <hyperlink ref="D3469" r:id="rId9480" xr:uid="{00000000-0004-0000-0000-000085250000}"/>
    <hyperlink ref="A3470" r:id="rId9481" xr:uid="{00000000-0004-0000-0000-000086250000}"/>
    <hyperlink ref="C3470" r:id="rId9482" xr:uid="{00000000-0004-0000-0000-000087250000}"/>
    <hyperlink ref="D3470" r:id="rId9483" xr:uid="{00000000-0004-0000-0000-000088250000}"/>
    <hyperlink ref="A3471" r:id="rId9484" xr:uid="{00000000-0004-0000-0000-000089250000}"/>
    <hyperlink ref="C3471" r:id="rId9485" xr:uid="{00000000-0004-0000-0000-00008A250000}"/>
    <hyperlink ref="D3471" r:id="rId9486" xr:uid="{00000000-0004-0000-0000-00008B250000}"/>
    <hyperlink ref="A3472" r:id="rId9487" xr:uid="{00000000-0004-0000-0000-00008C250000}"/>
    <hyperlink ref="C3472" r:id="rId9488" xr:uid="{00000000-0004-0000-0000-00008D250000}"/>
    <hyperlink ref="D3472" r:id="rId9489" xr:uid="{00000000-0004-0000-0000-00008E250000}"/>
    <hyperlink ref="A3473" r:id="rId9490" xr:uid="{00000000-0004-0000-0000-00008F250000}"/>
    <hyperlink ref="C3473" r:id="rId9491" xr:uid="{00000000-0004-0000-0000-000090250000}"/>
    <hyperlink ref="D3473" r:id="rId9492" xr:uid="{00000000-0004-0000-0000-000091250000}"/>
    <hyperlink ref="A3474" r:id="rId9493" xr:uid="{00000000-0004-0000-0000-000092250000}"/>
    <hyperlink ref="C3474" r:id="rId9494" xr:uid="{00000000-0004-0000-0000-000093250000}"/>
    <hyperlink ref="D3474" r:id="rId9495" xr:uid="{00000000-0004-0000-0000-000094250000}"/>
    <hyperlink ref="A3475" r:id="rId9496" xr:uid="{00000000-0004-0000-0000-000095250000}"/>
    <hyperlink ref="C3475" r:id="rId9497" xr:uid="{00000000-0004-0000-0000-000096250000}"/>
    <hyperlink ref="D3475" r:id="rId9498" xr:uid="{00000000-0004-0000-0000-000097250000}"/>
    <hyperlink ref="A3476" r:id="rId9499" xr:uid="{00000000-0004-0000-0000-000098250000}"/>
    <hyperlink ref="C3476" r:id="rId9500" xr:uid="{00000000-0004-0000-0000-000099250000}"/>
    <hyperlink ref="D3476" r:id="rId9501" xr:uid="{00000000-0004-0000-0000-00009A250000}"/>
    <hyperlink ref="A3477" r:id="rId9502" xr:uid="{00000000-0004-0000-0000-00009B250000}"/>
    <hyperlink ref="C3477" r:id="rId9503" xr:uid="{00000000-0004-0000-0000-00009C250000}"/>
    <hyperlink ref="D3477" r:id="rId9504" xr:uid="{00000000-0004-0000-0000-00009D250000}"/>
    <hyperlink ref="A3478" r:id="rId9505" xr:uid="{00000000-0004-0000-0000-00009E250000}"/>
    <hyperlink ref="C3478" r:id="rId9506" xr:uid="{00000000-0004-0000-0000-00009F250000}"/>
    <hyperlink ref="D3478" r:id="rId9507" xr:uid="{00000000-0004-0000-0000-0000A0250000}"/>
    <hyperlink ref="C3479" r:id="rId9508" xr:uid="{00000000-0004-0000-0000-0000A1250000}"/>
    <hyperlink ref="D3479" r:id="rId9509" xr:uid="{00000000-0004-0000-0000-0000A2250000}"/>
    <hyperlink ref="A3480" r:id="rId9510" xr:uid="{00000000-0004-0000-0000-0000A3250000}"/>
    <hyperlink ref="C3480" r:id="rId9511" xr:uid="{00000000-0004-0000-0000-0000A4250000}"/>
    <hyperlink ref="D3480" r:id="rId9512" xr:uid="{00000000-0004-0000-0000-0000A5250000}"/>
    <hyperlink ref="A3481" r:id="rId9513" xr:uid="{00000000-0004-0000-0000-0000A6250000}"/>
    <hyperlink ref="C3481" r:id="rId9514" xr:uid="{00000000-0004-0000-0000-0000A7250000}"/>
    <hyperlink ref="D3481" r:id="rId9515" xr:uid="{00000000-0004-0000-0000-0000A8250000}"/>
    <hyperlink ref="E3481" r:id="rId9516" xr:uid="{00000000-0004-0000-0000-0000A9250000}"/>
    <hyperlink ref="A3482" r:id="rId9517" xr:uid="{00000000-0004-0000-0000-0000AA250000}"/>
    <hyperlink ref="C3482" r:id="rId9518" xr:uid="{00000000-0004-0000-0000-0000AB250000}"/>
    <hyperlink ref="D3482" r:id="rId9519" xr:uid="{00000000-0004-0000-0000-0000AC250000}"/>
    <hyperlink ref="A3483" r:id="rId9520" xr:uid="{00000000-0004-0000-0000-0000AD250000}"/>
    <hyperlink ref="C3483" r:id="rId9521" xr:uid="{00000000-0004-0000-0000-0000AE250000}"/>
    <hyperlink ref="D3483" r:id="rId9522" xr:uid="{00000000-0004-0000-0000-0000AF250000}"/>
    <hyperlink ref="A3484" r:id="rId9523" xr:uid="{00000000-0004-0000-0000-0000B0250000}"/>
    <hyperlink ref="C3484" r:id="rId9524" xr:uid="{00000000-0004-0000-0000-0000B1250000}"/>
    <hyperlink ref="D3484" r:id="rId9525" xr:uid="{00000000-0004-0000-0000-0000B2250000}"/>
    <hyperlink ref="A3485" r:id="rId9526" xr:uid="{00000000-0004-0000-0000-0000B3250000}"/>
    <hyperlink ref="C3485" r:id="rId9527" xr:uid="{00000000-0004-0000-0000-0000B4250000}"/>
    <hyperlink ref="D3485" r:id="rId9528" xr:uid="{00000000-0004-0000-0000-0000B5250000}"/>
    <hyperlink ref="A3486" r:id="rId9529" xr:uid="{00000000-0004-0000-0000-0000B6250000}"/>
    <hyperlink ref="C3486" r:id="rId9530" xr:uid="{00000000-0004-0000-0000-0000B7250000}"/>
    <hyperlink ref="D3486" r:id="rId9531" xr:uid="{00000000-0004-0000-0000-0000B8250000}"/>
    <hyperlink ref="A3487" r:id="rId9532" xr:uid="{00000000-0004-0000-0000-0000B9250000}"/>
    <hyperlink ref="C3487" r:id="rId9533" xr:uid="{00000000-0004-0000-0000-0000BA250000}"/>
    <hyperlink ref="D3487" r:id="rId9534" xr:uid="{00000000-0004-0000-0000-0000BB250000}"/>
    <hyperlink ref="A3488" r:id="rId9535" xr:uid="{00000000-0004-0000-0000-0000BC250000}"/>
    <hyperlink ref="C3488" r:id="rId9536" xr:uid="{00000000-0004-0000-0000-0000BD250000}"/>
    <hyperlink ref="D3488" r:id="rId9537" xr:uid="{00000000-0004-0000-0000-0000BE250000}"/>
    <hyperlink ref="A3489" r:id="rId9538" xr:uid="{00000000-0004-0000-0000-0000BF250000}"/>
    <hyperlink ref="C3489" r:id="rId9539" xr:uid="{00000000-0004-0000-0000-0000C0250000}"/>
    <hyperlink ref="D3489" r:id="rId9540" xr:uid="{00000000-0004-0000-0000-0000C1250000}"/>
    <hyperlink ref="C3490" r:id="rId9541" xr:uid="{00000000-0004-0000-0000-0000C2250000}"/>
    <hyperlink ref="D3490" r:id="rId9542" xr:uid="{00000000-0004-0000-0000-0000C3250000}"/>
    <hyperlink ref="A3491" r:id="rId9543" xr:uid="{00000000-0004-0000-0000-0000C4250000}"/>
    <hyperlink ref="C3491" r:id="rId9544" xr:uid="{00000000-0004-0000-0000-0000C5250000}"/>
    <hyperlink ref="D3491" r:id="rId9545" xr:uid="{00000000-0004-0000-0000-0000C6250000}"/>
    <hyperlink ref="C3492" r:id="rId9546" xr:uid="{00000000-0004-0000-0000-0000C7250000}"/>
    <hyperlink ref="D3492" r:id="rId9547" xr:uid="{00000000-0004-0000-0000-0000C8250000}"/>
    <hyperlink ref="A3493" r:id="rId9548" xr:uid="{00000000-0004-0000-0000-0000C9250000}"/>
    <hyperlink ref="C3493" r:id="rId9549" xr:uid="{00000000-0004-0000-0000-0000CA250000}"/>
    <hyperlink ref="D3493" r:id="rId9550" xr:uid="{00000000-0004-0000-0000-0000CB250000}"/>
    <hyperlink ref="A3494" r:id="rId9551" xr:uid="{00000000-0004-0000-0000-0000CC250000}"/>
    <hyperlink ref="C3494" r:id="rId9552" xr:uid="{00000000-0004-0000-0000-0000CD250000}"/>
    <hyperlink ref="D3494" r:id="rId9553" xr:uid="{00000000-0004-0000-0000-0000CE250000}"/>
    <hyperlink ref="A3495" r:id="rId9554" xr:uid="{00000000-0004-0000-0000-0000CF250000}"/>
    <hyperlink ref="C3495" r:id="rId9555" xr:uid="{00000000-0004-0000-0000-0000D0250000}"/>
    <hyperlink ref="D3495" r:id="rId9556" xr:uid="{00000000-0004-0000-0000-0000D1250000}"/>
    <hyperlink ref="A3496" r:id="rId9557" xr:uid="{00000000-0004-0000-0000-0000D2250000}"/>
    <hyperlink ref="C3496" r:id="rId9558" xr:uid="{00000000-0004-0000-0000-0000D3250000}"/>
    <hyperlink ref="D3496" r:id="rId9559" xr:uid="{00000000-0004-0000-0000-0000D4250000}"/>
    <hyperlink ref="A3497" r:id="rId9560" xr:uid="{00000000-0004-0000-0000-0000D5250000}"/>
    <hyperlink ref="C3497" r:id="rId9561" xr:uid="{00000000-0004-0000-0000-0000D6250000}"/>
    <hyperlink ref="D3497" r:id="rId9562" xr:uid="{00000000-0004-0000-0000-0000D7250000}"/>
    <hyperlink ref="A3498" r:id="rId9563" xr:uid="{00000000-0004-0000-0000-0000D8250000}"/>
    <hyperlink ref="C3498" r:id="rId9564" xr:uid="{00000000-0004-0000-0000-0000D9250000}"/>
    <hyperlink ref="D3498" r:id="rId9565" xr:uid="{00000000-0004-0000-0000-0000DA250000}"/>
    <hyperlink ref="A3499" r:id="rId9566" xr:uid="{00000000-0004-0000-0000-0000DB250000}"/>
    <hyperlink ref="C3499" r:id="rId9567" xr:uid="{00000000-0004-0000-0000-0000DC250000}"/>
    <hyperlink ref="D3499" r:id="rId9568" xr:uid="{00000000-0004-0000-0000-0000DD250000}"/>
    <hyperlink ref="A3500" r:id="rId9569" xr:uid="{00000000-0004-0000-0000-0000DE250000}"/>
    <hyperlink ref="C3500" r:id="rId9570" xr:uid="{00000000-0004-0000-0000-0000DF250000}"/>
    <hyperlink ref="D3500" r:id="rId9571" xr:uid="{00000000-0004-0000-0000-0000E0250000}"/>
    <hyperlink ref="A3501" r:id="rId9572" xr:uid="{00000000-0004-0000-0000-0000E1250000}"/>
    <hyperlink ref="C3501" r:id="rId9573" xr:uid="{00000000-0004-0000-0000-0000E2250000}"/>
    <hyperlink ref="D3501" r:id="rId9574" xr:uid="{00000000-0004-0000-0000-0000E3250000}"/>
    <hyperlink ref="A3502" r:id="rId9575" xr:uid="{00000000-0004-0000-0000-0000E4250000}"/>
    <hyperlink ref="C3502" r:id="rId9576" xr:uid="{00000000-0004-0000-0000-0000E5250000}"/>
    <hyperlink ref="A3503" r:id="rId9577" xr:uid="{00000000-0004-0000-0000-0000E6250000}"/>
    <hyperlink ref="C3503" r:id="rId9578" xr:uid="{00000000-0004-0000-0000-0000E7250000}"/>
    <hyperlink ref="D3503" r:id="rId9579" xr:uid="{00000000-0004-0000-0000-0000E8250000}"/>
    <hyperlink ref="A3504" r:id="rId9580" xr:uid="{00000000-0004-0000-0000-0000E9250000}"/>
    <hyperlink ref="C3504" r:id="rId9581" xr:uid="{00000000-0004-0000-0000-0000EA250000}"/>
    <hyperlink ref="D3504" r:id="rId9582" xr:uid="{00000000-0004-0000-0000-0000EB250000}"/>
    <hyperlink ref="A3505" r:id="rId9583" xr:uid="{00000000-0004-0000-0000-0000EC250000}"/>
    <hyperlink ref="C3505" r:id="rId9584" xr:uid="{00000000-0004-0000-0000-0000ED250000}"/>
    <hyperlink ref="D3505" r:id="rId9585" xr:uid="{00000000-0004-0000-0000-0000EE250000}"/>
    <hyperlink ref="A3506" r:id="rId9586" xr:uid="{00000000-0004-0000-0000-0000EF250000}"/>
    <hyperlink ref="C3506" r:id="rId9587" xr:uid="{00000000-0004-0000-0000-0000F0250000}"/>
    <hyperlink ref="D3506" r:id="rId9588" xr:uid="{00000000-0004-0000-0000-0000F1250000}"/>
    <hyperlink ref="A3507" r:id="rId9589" xr:uid="{00000000-0004-0000-0000-0000F2250000}"/>
    <hyperlink ref="C3507" r:id="rId9590" xr:uid="{00000000-0004-0000-0000-0000F3250000}"/>
    <hyperlink ref="D3507" r:id="rId9591" xr:uid="{00000000-0004-0000-0000-0000F4250000}"/>
    <hyperlink ref="A3508" r:id="rId9592" xr:uid="{00000000-0004-0000-0000-0000F5250000}"/>
    <hyperlink ref="C3508" r:id="rId9593" xr:uid="{00000000-0004-0000-0000-0000F6250000}"/>
    <hyperlink ref="D3508" r:id="rId9594" xr:uid="{00000000-0004-0000-0000-0000F7250000}"/>
    <hyperlink ref="A3509" r:id="rId9595" xr:uid="{00000000-0004-0000-0000-0000F8250000}"/>
    <hyperlink ref="C3509" r:id="rId9596" xr:uid="{00000000-0004-0000-0000-0000F9250000}"/>
    <hyperlink ref="D3509" r:id="rId9597" xr:uid="{00000000-0004-0000-0000-0000FA250000}"/>
    <hyperlink ref="A3510" r:id="rId9598" xr:uid="{00000000-0004-0000-0000-0000FB250000}"/>
    <hyperlink ref="C3510" r:id="rId9599" xr:uid="{00000000-0004-0000-0000-0000FC250000}"/>
    <hyperlink ref="D3510" r:id="rId9600" xr:uid="{00000000-0004-0000-0000-0000FD250000}"/>
    <hyperlink ref="A3511" r:id="rId9601" xr:uid="{00000000-0004-0000-0000-0000FE250000}"/>
    <hyperlink ref="C3511" r:id="rId9602" xr:uid="{00000000-0004-0000-0000-0000FF250000}"/>
    <hyperlink ref="D3511" r:id="rId9603" xr:uid="{00000000-0004-0000-0000-000000260000}"/>
    <hyperlink ref="A3512" r:id="rId9604" xr:uid="{00000000-0004-0000-0000-000001260000}"/>
    <hyperlink ref="C3512" r:id="rId9605" xr:uid="{00000000-0004-0000-0000-000002260000}"/>
    <hyperlink ref="D3512" r:id="rId9606" xr:uid="{00000000-0004-0000-0000-000003260000}"/>
    <hyperlink ref="C3513" r:id="rId9607" xr:uid="{00000000-0004-0000-0000-000004260000}"/>
    <hyperlink ref="D3513" r:id="rId9608" xr:uid="{00000000-0004-0000-0000-000005260000}"/>
    <hyperlink ref="C3514" r:id="rId9609" xr:uid="{00000000-0004-0000-0000-000006260000}"/>
    <hyperlink ref="D3514" r:id="rId9610" xr:uid="{00000000-0004-0000-0000-000007260000}"/>
    <hyperlink ref="A3515" r:id="rId9611" xr:uid="{00000000-0004-0000-0000-000008260000}"/>
    <hyperlink ref="C3515" r:id="rId9612" xr:uid="{00000000-0004-0000-0000-000009260000}"/>
    <hyperlink ref="D3515" r:id="rId9613" xr:uid="{00000000-0004-0000-0000-00000A260000}"/>
    <hyperlink ref="A3516" r:id="rId9614" xr:uid="{00000000-0004-0000-0000-00000B260000}"/>
    <hyperlink ref="C3516" r:id="rId9615" xr:uid="{00000000-0004-0000-0000-00000C260000}"/>
    <hyperlink ref="D3516" r:id="rId9616" xr:uid="{00000000-0004-0000-0000-00000D260000}"/>
    <hyperlink ref="A3517" r:id="rId9617" xr:uid="{00000000-0004-0000-0000-00000E260000}"/>
    <hyperlink ref="C3517" r:id="rId9618" xr:uid="{00000000-0004-0000-0000-00000F260000}"/>
    <hyperlink ref="D3517" r:id="rId9619" xr:uid="{00000000-0004-0000-0000-000010260000}"/>
    <hyperlink ref="A3518" r:id="rId9620" xr:uid="{00000000-0004-0000-0000-000011260000}"/>
    <hyperlink ref="C3518" r:id="rId9621" xr:uid="{00000000-0004-0000-0000-000012260000}"/>
    <hyperlink ref="D3518" r:id="rId9622" xr:uid="{00000000-0004-0000-0000-000013260000}"/>
    <hyperlink ref="A3519" r:id="rId9623" xr:uid="{00000000-0004-0000-0000-000014260000}"/>
    <hyperlink ref="C3519" r:id="rId9624" xr:uid="{00000000-0004-0000-0000-000015260000}"/>
    <hyperlink ref="D3519" r:id="rId9625" xr:uid="{00000000-0004-0000-0000-000016260000}"/>
    <hyperlink ref="A3520" r:id="rId9626" xr:uid="{00000000-0004-0000-0000-000017260000}"/>
    <hyperlink ref="C3520" r:id="rId9627" xr:uid="{00000000-0004-0000-0000-000018260000}"/>
    <hyperlink ref="D3520" r:id="rId9628" xr:uid="{00000000-0004-0000-0000-000019260000}"/>
    <hyperlink ref="A3521" r:id="rId9629" xr:uid="{00000000-0004-0000-0000-00001A260000}"/>
    <hyperlink ref="C3521" r:id="rId9630" xr:uid="{00000000-0004-0000-0000-00001B260000}"/>
    <hyperlink ref="D3521" r:id="rId9631" xr:uid="{00000000-0004-0000-0000-00001C260000}"/>
    <hyperlink ref="A3522" r:id="rId9632" xr:uid="{00000000-0004-0000-0000-00001D260000}"/>
    <hyperlink ref="C3522" r:id="rId9633" xr:uid="{00000000-0004-0000-0000-00001E260000}"/>
    <hyperlink ref="D3522" r:id="rId9634" xr:uid="{00000000-0004-0000-0000-00001F260000}"/>
    <hyperlink ref="C3523" r:id="rId9635" xr:uid="{00000000-0004-0000-0000-000020260000}"/>
    <hyperlink ref="D3523" r:id="rId9636" xr:uid="{00000000-0004-0000-0000-000021260000}"/>
    <hyperlink ref="C3524" r:id="rId9637" xr:uid="{00000000-0004-0000-0000-000022260000}"/>
    <hyperlink ref="D3524" r:id="rId9638" xr:uid="{00000000-0004-0000-0000-000023260000}"/>
    <hyperlink ref="A3525" r:id="rId9639" xr:uid="{00000000-0004-0000-0000-000024260000}"/>
    <hyperlink ref="C3525" r:id="rId9640" xr:uid="{00000000-0004-0000-0000-000025260000}"/>
    <hyperlink ref="D3525" r:id="rId9641" xr:uid="{00000000-0004-0000-0000-000026260000}"/>
    <hyperlink ref="A3526" r:id="rId9642" xr:uid="{00000000-0004-0000-0000-000027260000}"/>
    <hyperlink ref="C3526" r:id="rId9643" xr:uid="{00000000-0004-0000-0000-000028260000}"/>
    <hyperlink ref="D3526" r:id="rId9644" xr:uid="{00000000-0004-0000-0000-000029260000}"/>
    <hyperlink ref="A3527" r:id="rId9645" xr:uid="{00000000-0004-0000-0000-00002A260000}"/>
    <hyperlink ref="C3527" r:id="rId9646" xr:uid="{00000000-0004-0000-0000-00002B260000}"/>
    <hyperlink ref="D3527" r:id="rId9647" xr:uid="{00000000-0004-0000-0000-00002C260000}"/>
    <hyperlink ref="A3528" r:id="rId9648" xr:uid="{00000000-0004-0000-0000-00002D260000}"/>
    <hyperlink ref="C3528" r:id="rId9649" xr:uid="{00000000-0004-0000-0000-00002E260000}"/>
    <hyperlink ref="D3528" r:id="rId9650" xr:uid="{00000000-0004-0000-0000-00002F260000}"/>
    <hyperlink ref="A3529" r:id="rId9651" xr:uid="{00000000-0004-0000-0000-000030260000}"/>
    <hyperlink ref="C3529" r:id="rId9652" xr:uid="{00000000-0004-0000-0000-000031260000}"/>
    <hyperlink ref="D3529" r:id="rId9653" xr:uid="{00000000-0004-0000-0000-000032260000}"/>
    <hyperlink ref="A3530" r:id="rId9654" xr:uid="{00000000-0004-0000-0000-000033260000}"/>
    <hyperlink ref="C3530" r:id="rId9655" xr:uid="{00000000-0004-0000-0000-000034260000}"/>
    <hyperlink ref="D3530" r:id="rId9656" xr:uid="{00000000-0004-0000-0000-000035260000}"/>
    <hyperlink ref="A3531" r:id="rId9657" xr:uid="{00000000-0004-0000-0000-000036260000}"/>
    <hyperlink ref="C3531" r:id="rId9658" xr:uid="{00000000-0004-0000-0000-000037260000}"/>
    <hyperlink ref="D3531" r:id="rId9659" xr:uid="{00000000-0004-0000-0000-000038260000}"/>
    <hyperlink ref="A3532" r:id="rId9660" xr:uid="{00000000-0004-0000-0000-000039260000}"/>
    <hyperlink ref="C3532" r:id="rId9661" xr:uid="{00000000-0004-0000-0000-00003A260000}"/>
    <hyperlink ref="D3532" r:id="rId9662" xr:uid="{00000000-0004-0000-0000-00003B260000}"/>
    <hyperlink ref="A3533" r:id="rId9663" xr:uid="{00000000-0004-0000-0000-00003C260000}"/>
    <hyperlink ref="C3533" r:id="rId9664" xr:uid="{00000000-0004-0000-0000-00003D260000}"/>
    <hyperlink ref="D3533" r:id="rId9665" xr:uid="{00000000-0004-0000-0000-00003E260000}"/>
    <hyperlink ref="A3534" r:id="rId9666" xr:uid="{00000000-0004-0000-0000-00003F260000}"/>
    <hyperlink ref="C3534" r:id="rId9667" xr:uid="{00000000-0004-0000-0000-000040260000}"/>
    <hyperlink ref="D3534" r:id="rId9668" xr:uid="{00000000-0004-0000-0000-000041260000}"/>
    <hyperlink ref="A3535" r:id="rId9669" xr:uid="{00000000-0004-0000-0000-000042260000}"/>
    <hyperlink ref="C3535" r:id="rId9670" xr:uid="{00000000-0004-0000-0000-000043260000}"/>
    <hyperlink ref="D3535" r:id="rId9671" xr:uid="{00000000-0004-0000-0000-000044260000}"/>
    <hyperlink ref="A3536" r:id="rId9672" xr:uid="{00000000-0004-0000-0000-000045260000}"/>
    <hyperlink ref="C3536" r:id="rId9673" xr:uid="{00000000-0004-0000-0000-000046260000}"/>
    <hyperlink ref="D3536" r:id="rId9674" xr:uid="{00000000-0004-0000-0000-000047260000}"/>
    <hyperlink ref="A3537" r:id="rId9675" xr:uid="{00000000-0004-0000-0000-000048260000}"/>
    <hyperlink ref="C3537" r:id="rId9676" xr:uid="{00000000-0004-0000-0000-000049260000}"/>
    <hyperlink ref="D3537" r:id="rId9677" xr:uid="{00000000-0004-0000-0000-00004A260000}"/>
    <hyperlink ref="A3538" r:id="rId9678" xr:uid="{00000000-0004-0000-0000-00004B260000}"/>
    <hyperlink ref="C3538" r:id="rId9679" xr:uid="{00000000-0004-0000-0000-00004C260000}"/>
    <hyperlink ref="D3538" r:id="rId9680" xr:uid="{00000000-0004-0000-0000-00004D260000}"/>
    <hyperlink ref="A3539" r:id="rId9681" xr:uid="{00000000-0004-0000-0000-00004E260000}"/>
    <hyperlink ref="C3539" r:id="rId9682" xr:uid="{00000000-0004-0000-0000-00004F260000}"/>
    <hyperlink ref="D3539" r:id="rId9683" xr:uid="{00000000-0004-0000-0000-000050260000}"/>
    <hyperlink ref="A3540" r:id="rId9684" xr:uid="{00000000-0004-0000-0000-000051260000}"/>
    <hyperlink ref="C3540" r:id="rId9685" xr:uid="{00000000-0004-0000-0000-000052260000}"/>
    <hyperlink ref="D3540" r:id="rId9686" xr:uid="{00000000-0004-0000-0000-000053260000}"/>
    <hyperlink ref="A3541" r:id="rId9687" xr:uid="{00000000-0004-0000-0000-000054260000}"/>
    <hyperlink ref="C3541" r:id="rId9688" xr:uid="{00000000-0004-0000-0000-000055260000}"/>
    <hyperlink ref="D3541" r:id="rId9689" xr:uid="{00000000-0004-0000-0000-000056260000}"/>
    <hyperlink ref="C3542" r:id="rId9690" xr:uid="{00000000-0004-0000-0000-000057260000}"/>
    <hyperlink ref="D3542" r:id="rId9691" xr:uid="{00000000-0004-0000-0000-000058260000}"/>
    <hyperlink ref="A3543" r:id="rId9692" xr:uid="{00000000-0004-0000-0000-000059260000}"/>
    <hyperlink ref="C3543" r:id="rId9693" xr:uid="{00000000-0004-0000-0000-00005A260000}"/>
    <hyperlink ref="D3543" r:id="rId9694" location=":~:text=Mr%20Vegas%20wager%20free%20welcome%20offer" xr:uid="{00000000-0004-0000-0000-00005B260000}"/>
    <hyperlink ref="A3544" r:id="rId9695" xr:uid="{00000000-0004-0000-0000-00005C260000}"/>
    <hyperlink ref="C3544" r:id="rId9696" xr:uid="{00000000-0004-0000-0000-00005D260000}"/>
    <hyperlink ref="D3544" r:id="rId9697" xr:uid="{00000000-0004-0000-0000-00005E260000}"/>
    <hyperlink ref="A3545" r:id="rId9698" xr:uid="{00000000-0004-0000-0000-00005F260000}"/>
    <hyperlink ref="C3545" r:id="rId9699" xr:uid="{00000000-0004-0000-0000-000060260000}"/>
    <hyperlink ref="D3545" r:id="rId9700" xr:uid="{00000000-0004-0000-0000-000061260000}"/>
    <hyperlink ref="A3546" r:id="rId9701" xr:uid="{00000000-0004-0000-0000-000062260000}"/>
    <hyperlink ref="C3546" r:id="rId9702" xr:uid="{00000000-0004-0000-0000-000063260000}"/>
    <hyperlink ref="D3546" r:id="rId9703" xr:uid="{00000000-0004-0000-0000-000064260000}"/>
    <hyperlink ref="A3547" r:id="rId9704" xr:uid="{00000000-0004-0000-0000-000065260000}"/>
    <hyperlink ref="C3547" r:id="rId9705" xr:uid="{00000000-0004-0000-0000-000066260000}"/>
    <hyperlink ref="D3547" r:id="rId9706" xr:uid="{00000000-0004-0000-0000-000067260000}"/>
    <hyperlink ref="A3548" r:id="rId9707" xr:uid="{00000000-0004-0000-0000-000068260000}"/>
    <hyperlink ref="C3548" r:id="rId9708" xr:uid="{00000000-0004-0000-0000-000069260000}"/>
    <hyperlink ref="D3548" r:id="rId9709" xr:uid="{00000000-0004-0000-0000-00006A260000}"/>
    <hyperlink ref="C3549" r:id="rId9710" xr:uid="{00000000-0004-0000-0000-00006B260000}"/>
    <hyperlink ref="D3549" r:id="rId9711" xr:uid="{00000000-0004-0000-0000-00006C260000}"/>
    <hyperlink ref="A3550" r:id="rId9712" xr:uid="{00000000-0004-0000-0000-00006D260000}"/>
    <hyperlink ref="C3550" r:id="rId9713" xr:uid="{00000000-0004-0000-0000-00006E260000}"/>
    <hyperlink ref="D3550" r:id="rId9714" xr:uid="{00000000-0004-0000-0000-00006F260000}"/>
    <hyperlink ref="A3551" r:id="rId9715" xr:uid="{00000000-0004-0000-0000-000070260000}"/>
    <hyperlink ref="C3551" r:id="rId9716" xr:uid="{00000000-0004-0000-0000-000071260000}"/>
    <hyperlink ref="D3551" r:id="rId9717" xr:uid="{00000000-0004-0000-0000-000072260000}"/>
    <hyperlink ref="A3552" r:id="rId9718" xr:uid="{00000000-0004-0000-0000-000073260000}"/>
    <hyperlink ref="C3552" r:id="rId9719" xr:uid="{00000000-0004-0000-0000-000074260000}"/>
    <hyperlink ref="D3552" r:id="rId9720" xr:uid="{00000000-0004-0000-0000-000075260000}"/>
    <hyperlink ref="A3553" r:id="rId9721" xr:uid="{00000000-0004-0000-0000-000076260000}"/>
    <hyperlink ref="C3553" r:id="rId9722" xr:uid="{00000000-0004-0000-0000-000077260000}"/>
    <hyperlink ref="D3553" r:id="rId9723" xr:uid="{00000000-0004-0000-0000-000078260000}"/>
    <hyperlink ref="A3554" r:id="rId9724" xr:uid="{00000000-0004-0000-0000-000079260000}"/>
    <hyperlink ref="C3554" r:id="rId9725" xr:uid="{00000000-0004-0000-0000-00007A260000}"/>
    <hyperlink ref="D3554" r:id="rId9726" xr:uid="{00000000-0004-0000-0000-00007B260000}"/>
    <hyperlink ref="A3555" r:id="rId9727" xr:uid="{00000000-0004-0000-0000-00007C260000}"/>
    <hyperlink ref="C3555" r:id="rId9728" xr:uid="{00000000-0004-0000-0000-00007D260000}"/>
    <hyperlink ref="D3555" r:id="rId9729" xr:uid="{00000000-0004-0000-0000-00007E260000}"/>
    <hyperlink ref="A3556" r:id="rId9730" xr:uid="{00000000-0004-0000-0000-00007F260000}"/>
    <hyperlink ref="C3556" r:id="rId9731" xr:uid="{00000000-0004-0000-0000-000080260000}"/>
    <hyperlink ref="D3556" r:id="rId9732" xr:uid="{00000000-0004-0000-0000-000081260000}"/>
    <hyperlink ref="A3557" r:id="rId9733" xr:uid="{00000000-0004-0000-0000-000082260000}"/>
    <hyperlink ref="C3557" r:id="rId9734" xr:uid="{00000000-0004-0000-0000-000083260000}"/>
    <hyperlink ref="D3557" r:id="rId9735" xr:uid="{00000000-0004-0000-0000-000084260000}"/>
    <hyperlink ref="A3558" r:id="rId9736" xr:uid="{00000000-0004-0000-0000-000085260000}"/>
    <hyperlink ref="C3558" r:id="rId9737" xr:uid="{00000000-0004-0000-0000-000086260000}"/>
    <hyperlink ref="D3558" r:id="rId9738" xr:uid="{00000000-0004-0000-0000-000087260000}"/>
    <hyperlink ref="A3559" r:id="rId9739" xr:uid="{00000000-0004-0000-0000-000088260000}"/>
    <hyperlink ref="C3559" r:id="rId9740" xr:uid="{00000000-0004-0000-0000-000089260000}"/>
    <hyperlink ref="D3559" r:id="rId9741" xr:uid="{00000000-0004-0000-0000-00008A260000}"/>
    <hyperlink ref="A3560" r:id="rId9742" xr:uid="{00000000-0004-0000-0000-00008B260000}"/>
    <hyperlink ref="C3560" r:id="rId9743" xr:uid="{00000000-0004-0000-0000-00008C260000}"/>
    <hyperlink ref="D3560" r:id="rId9744" xr:uid="{00000000-0004-0000-0000-00008D260000}"/>
    <hyperlink ref="A3561" r:id="rId9745" xr:uid="{00000000-0004-0000-0000-00008E260000}"/>
    <hyperlink ref="C3561" r:id="rId9746" xr:uid="{00000000-0004-0000-0000-00008F260000}"/>
    <hyperlink ref="D3561" r:id="rId9747" xr:uid="{00000000-0004-0000-0000-000090260000}"/>
    <hyperlink ref="A3562" r:id="rId9748" xr:uid="{00000000-0004-0000-0000-000091260000}"/>
    <hyperlink ref="C3562" r:id="rId9749" xr:uid="{00000000-0004-0000-0000-000092260000}"/>
    <hyperlink ref="D3562" r:id="rId9750" xr:uid="{00000000-0004-0000-0000-000093260000}"/>
    <hyperlink ref="A3563" r:id="rId9751" xr:uid="{00000000-0004-0000-0000-000094260000}"/>
    <hyperlink ref="C3563" r:id="rId9752" xr:uid="{00000000-0004-0000-0000-000095260000}"/>
    <hyperlink ref="D3563" r:id="rId9753" xr:uid="{00000000-0004-0000-0000-000096260000}"/>
    <hyperlink ref="A3564" r:id="rId9754" xr:uid="{00000000-0004-0000-0000-000097260000}"/>
    <hyperlink ref="C3564" r:id="rId9755" xr:uid="{00000000-0004-0000-0000-000098260000}"/>
    <hyperlink ref="D3564" r:id="rId9756" xr:uid="{00000000-0004-0000-0000-000099260000}"/>
    <hyperlink ref="A3565" r:id="rId9757" xr:uid="{00000000-0004-0000-0000-00009A260000}"/>
    <hyperlink ref="C3565" r:id="rId9758" xr:uid="{00000000-0004-0000-0000-00009B260000}"/>
    <hyperlink ref="D3565" r:id="rId9759" xr:uid="{00000000-0004-0000-0000-00009C260000}"/>
    <hyperlink ref="A3566" r:id="rId9760" xr:uid="{00000000-0004-0000-0000-00009D260000}"/>
    <hyperlink ref="C3566" r:id="rId9761" xr:uid="{00000000-0004-0000-0000-00009E260000}"/>
    <hyperlink ref="D3566" r:id="rId9762" xr:uid="{00000000-0004-0000-0000-00009F260000}"/>
    <hyperlink ref="A3567" r:id="rId9763" xr:uid="{00000000-0004-0000-0000-0000A0260000}"/>
    <hyperlink ref="C3567" r:id="rId9764" xr:uid="{00000000-0004-0000-0000-0000A1260000}"/>
    <hyperlink ref="D3567" r:id="rId9765" xr:uid="{00000000-0004-0000-0000-0000A2260000}"/>
    <hyperlink ref="A3568" r:id="rId9766" xr:uid="{00000000-0004-0000-0000-0000A3260000}"/>
    <hyperlink ref="C3568" r:id="rId9767" xr:uid="{00000000-0004-0000-0000-0000A4260000}"/>
    <hyperlink ref="D3568" r:id="rId9768" xr:uid="{00000000-0004-0000-0000-0000A5260000}"/>
    <hyperlink ref="A3569" r:id="rId9769" xr:uid="{00000000-0004-0000-0000-0000A6260000}"/>
    <hyperlink ref="C3569" r:id="rId9770" xr:uid="{00000000-0004-0000-0000-0000A7260000}"/>
    <hyperlink ref="D3569" r:id="rId9771" xr:uid="{00000000-0004-0000-0000-0000A8260000}"/>
    <hyperlink ref="A3570" r:id="rId9772" xr:uid="{00000000-0004-0000-0000-0000A9260000}"/>
    <hyperlink ref="C3570" r:id="rId9773" xr:uid="{00000000-0004-0000-0000-0000AA260000}"/>
    <hyperlink ref="D3570" r:id="rId9774" xr:uid="{00000000-0004-0000-0000-0000AB260000}"/>
    <hyperlink ref="E3570" r:id="rId9775" xr:uid="{00000000-0004-0000-0000-0000AC260000}"/>
    <hyperlink ref="A3571" r:id="rId9776" xr:uid="{00000000-0004-0000-0000-0000AD260000}"/>
    <hyperlink ref="C3571" r:id="rId9777" xr:uid="{00000000-0004-0000-0000-0000AE260000}"/>
    <hyperlink ref="D3571" r:id="rId9778" xr:uid="{00000000-0004-0000-0000-0000AF260000}"/>
    <hyperlink ref="A3572" r:id="rId9779" xr:uid="{00000000-0004-0000-0000-0000B0260000}"/>
    <hyperlink ref="C3572" r:id="rId9780" xr:uid="{00000000-0004-0000-0000-0000B1260000}"/>
    <hyperlink ref="D3572" r:id="rId9781" xr:uid="{00000000-0004-0000-0000-0000B2260000}"/>
    <hyperlink ref="A3573" r:id="rId9782" xr:uid="{00000000-0004-0000-0000-0000B3260000}"/>
    <hyperlink ref="C3573" r:id="rId9783" xr:uid="{00000000-0004-0000-0000-0000B4260000}"/>
    <hyperlink ref="D3573" r:id="rId9784" xr:uid="{00000000-0004-0000-0000-0000B5260000}"/>
    <hyperlink ref="A3574" r:id="rId9785" xr:uid="{00000000-0004-0000-0000-0000B6260000}"/>
    <hyperlink ref="C3574" r:id="rId9786" xr:uid="{00000000-0004-0000-0000-0000B7260000}"/>
    <hyperlink ref="D3574" r:id="rId9787" xr:uid="{00000000-0004-0000-0000-0000B8260000}"/>
    <hyperlink ref="A3575" r:id="rId9788" xr:uid="{00000000-0004-0000-0000-0000B9260000}"/>
    <hyperlink ref="C3575" r:id="rId9789" xr:uid="{00000000-0004-0000-0000-0000BA260000}"/>
    <hyperlink ref="D3575" r:id="rId9790" xr:uid="{00000000-0004-0000-0000-0000BB260000}"/>
    <hyperlink ref="A3576" r:id="rId9791" xr:uid="{00000000-0004-0000-0000-0000BC260000}"/>
    <hyperlink ref="C3576" r:id="rId9792" xr:uid="{00000000-0004-0000-0000-0000BD260000}"/>
    <hyperlink ref="D3576" r:id="rId9793" xr:uid="{00000000-0004-0000-0000-0000BE260000}"/>
    <hyperlink ref="A3577" r:id="rId9794" xr:uid="{00000000-0004-0000-0000-0000BF260000}"/>
    <hyperlink ref="C3577" r:id="rId9795" xr:uid="{00000000-0004-0000-0000-0000C0260000}"/>
    <hyperlink ref="D3577" r:id="rId9796" xr:uid="{00000000-0004-0000-0000-0000C1260000}"/>
    <hyperlink ref="C3578" r:id="rId9797" xr:uid="{00000000-0004-0000-0000-0000C2260000}"/>
    <hyperlink ref="D3578" r:id="rId9798" xr:uid="{00000000-0004-0000-0000-0000C3260000}"/>
    <hyperlink ref="A3579" r:id="rId9799" xr:uid="{00000000-0004-0000-0000-0000C4260000}"/>
    <hyperlink ref="C3579" r:id="rId9800" xr:uid="{00000000-0004-0000-0000-0000C5260000}"/>
    <hyperlink ref="D3579" r:id="rId9801" xr:uid="{00000000-0004-0000-0000-0000C6260000}"/>
    <hyperlink ref="A3580" r:id="rId9802" xr:uid="{00000000-0004-0000-0000-0000C7260000}"/>
    <hyperlink ref="C3580" r:id="rId9803" xr:uid="{00000000-0004-0000-0000-0000C8260000}"/>
    <hyperlink ref="D3580" r:id="rId9804" xr:uid="{00000000-0004-0000-0000-0000C9260000}"/>
    <hyperlink ref="C3581" r:id="rId9805" xr:uid="{00000000-0004-0000-0000-0000CA260000}"/>
    <hyperlink ref="D3581" r:id="rId9806" xr:uid="{00000000-0004-0000-0000-0000CB260000}"/>
    <hyperlink ref="C3582" r:id="rId9807" xr:uid="{00000000-0004-0000-0000-0000CC260000}"/>
    <hyperlink ref="D3582" r:id="rId9808" xr:uid="{00000000-0004-0000-0000-0000CD260000}"/>
    <hyperlink ref="A3583" r:id="rId9809" xr:uid="{00000000-0004-0000-0000-0000CE260000}"/>
    <hyperlink ref="C3583" r:id="rId9810" xr:uid="{00000000-0004-0000-0000-0000CF260000}"/>
    <hyperlink ref="D3583" r:id="rId9811" xr:uid="{00000000-0004-0000-0000-0000D0260000}"/>
    <hyperlink ref="A3584" r:id="rId9812" xr:uid="{00000000-0004-0000-0000-0000D1260000}"/>
    <hyperlink ref="C3584" r:id="rId9813" xr:uid="{00000000-0004-0000-0000-0000D2260000}"/>
    <hyperlink ref="D3584" r:id="rId9814" xr:uid="{00000000-0004-0000-0000-0000D3260000}"/>
    <hyperlink ref="A3585" r:id="rId9815" xr:uid="{00000000-0004-0000-0000-0000D4260000}"/>
    <hyperlink ref="C3585" r:id="rId9816" xr:uid="{00000000-0004-0000-0000-0000D5260000}"/>
    <hyperlink ref="D3585" r:id="rId9817" xr:uid="{00000000-0004-0000-0000-0000D6260000}"/>
    <hyperlink ref="A3586" r:id="rId9818" xr:uid="{00000000-0004-0000-0000-0000D7260000}"/>
    <hyperlink ref="C3586" r:id="rId9819" xr:uid="{00000000-0004-0000-0000-0000D8260000}"/>
    <hyperlink ref="D3586" r:id="rId9820" xr:uid="{00000000-0004-0000-0000-0000D9260000}"/>
    <hyperlink ref="A3587" r:id="rId9821" xr:uid="{00000000-0004-0000-0000-0000DA260000}"/>
    <hyperlink ref="C3587" r:id="rId9822" xr:uid="{00000000-0004-0000-0000-0000DB260000}"/>
    <hyperlink ref="D3587" r:id="rId9823" xr:uid="{00000000-0004-0000-0000-0000DC260000}"/>
    <hyperlink ref="A3588" r:id="rId9824" xr:uid="{00000000-0004-0000-0000-0000DD260000}"/>
    <hyperlink ref="C3588" r:id="rId9825" xr:uid="{00000000-0004-0000-0000-0000DE260000}"/>
    <hyperlink ref="D3588" r:id="rId9826" xr:uid="{00000000-0004-0000-0000-0000DF260000}"/>
    <hyperlink ref="A3589" r:id="rId9827" xr:uid="{00000000-0004-0000-0000-0000E0260000}"/>
    <hyperlink ref="C3589" r:id="rId9828" xr:uid="{00000000-0004-0000-0000-0000E1260000}"/>
    <hyperlink ref="D3589" r:id="rId9829" xr:uid="{00000000-0004-0000-0000-0000E2260000}"/>
    <hyperlink ref="C3590" r:id="rId9830" xr:uid="{00000000-0004-0000-0000-0000E3260000}"/>
    <hyperlink ref="D3590" r:id="rId9831" xr:uid="{00000000-0004-0000-0000-0000E4260000}"/>
    <hyperlink ref="C3591" r:id="rId9832" xr:uid="{00000000-0004-0000-0000-0000E5260000}"/>
    <hyperlink ref="D3591" r:id="rId9833" xr:uid="{00000000-0004-0000-0000-0000E6260000}"/>
    <hyperlink ref="A3592" r:id="rId9834" xr:uid="{00000000-0004-0000-0000-0000E7260000}"/>
    <hyperlink ref="C3592" r:id="rId9835" xr:uid="{00000000-0004-0000-0000-0000E8260000}"/>
    <hyperlink ref="D3592" r:id="rId9836" xr:uid="{00000000-0004-0000-0000-0000E9260000}"/>
    <hyperlink ref="A3593" r:id="rId9837" xr:uid="{00000000-0004-0000-0000-0000EA260000}"/>
    <hyperlink ref="C3593" r:id="rId9838" xr:uid="{00000000-0004-0000-0000-0000EB260000}"/>
    <hyperlink ref="D3593" r:id="rId9839" xr:uid="{00000000-0004-0000-0000-0000EC260000}"/>
    <hyperlink ref="A3594" r:id="rId9840" xr:uid="{00000000-0004-0000-0000-0000ED260000}"/>
    <hyperlink ref="C3594" r:id="rId9841" xr:uid="{00000000-0004-0000-0000-0000EE260000}"/>
    <hyperlink ref="D3594" r:id="rId9842" xr:uid="{00000000-0004-0000-0000-0000EF260000}"/>
    <hyperlink ref="A3595" r:id="rId9843" xr:uid="{00000000-0004-0000-0000-0000F0260000}"/>
    <hyperlink ref="C3595" r:id="rId9844" xr:uid="{00000000-0004-0000-0000-0000F1260000}"/>
    <hyperlink ref="D3595" r:id="rId9845" xr:uid="{00000000-0004-0000-0000-0000F2260000}"/>
    <hyperlink ref="C3596" r:id="rId9846" xr:uid="{00000000-0004-0000-0000-0000F3260000}"/>
    <hyperlink ref="D3596" r:id="rId9847" xr:uid="{00000000-0004-0000-0000-0000F4260000}"/>
    <hyperlink ref="A3597" r:id="rId9848" xr:uid="{00000000-0004-0000-0000-0000F5260000}"/>
    <hyperlink ref="C3597" r:id="rId9849" xr:uid="{00000000-0004-0000-0000-0000F6260000}"/>
    <hyperlink ref="D3597" r:id="rId9850" xr:uid="{00000000-0004-0000-0000-0000F7260000}"/>
    <hyperlink ref="A3598" r:id="rId9851" xr:uid="{00000000-0004-0000-0000-0000F8260000}"/>
    <hyperlink ref="C3598" r:id="rId9852" xr:uid="{00000000-0004-0000-0000-0000F9260000}"/>
    <hyperlink ref="D3598" r:id="rId9853" xr:uid="{00000000-0004-0000-0000-0000FA260000}"/>
    <hyperlink ref="A3599" r:id="rId9854" xr:uid="{00000000-0004-0000-0000-0000FB260000}"/>
    <hyperlink ref="C3599" r:id="rId9855" xr:uid="{00000000-0004-0000-0000-0000FC260000}"/>
    <hyperlink ref="D3599" r:id="rId9856" xr:uid="{00000000-0004-0000-0000-0000FD260000}"/>
    <hyperlink ref="A3600" r:id="rId9857" xr:uid="{00000000-0004-0000-0000-0000FE260000}"/>
    <hyperlink ref="C3600" r:id="rId9858" xr:uid="{00000000-0004-0000-0000-0000FF260000}"/>
    <hyperlink ref="D3600" r:id="rId9859" xr:uid="{00000000-0004-0000-0000-000000270000}"/>
    <hyperlink ref="A3601" r:id="rId9860" xr:uid="{00000000-0004-0000-0000-000001270000}"/>
    <hyperlink ref="C3601" r:id="rId9861" xr:uid="{00000000-0004-0000-0000-000002270000}"/>
    <hyperlink ref="D3601" r:id="rId9862" xr:uid="{00000000-0004-0000-0000-000003270000}"/>
    <hyperlink ref="C3602" r:id="rId9863" xr:uid="{00000000-0004-0000-0000-000004270000}"/>
    <hyperlink ref="D3602" r:id="rId9864" xr:uid="{00000000-0004-0000-0000-000005270000}"/>
    <hyperlink ref="C3603" r:id="rId9865" xr:uid="{00000000-0004-0000-0000-000006270000}"/>
    <hyperlink ref="D3603" r:id="rId9866" xr:uid="{00000000-0004-0000-0000-000007270000}"/>
    <hyperlink ref="C3604" r:id="rId9867" xr:uid="{00000000-0004-0000-0000-000008270000}"/>
    <hyperlink ref="D3604" r:id="rId9868" xr:uid="{00000000-0004-0000-0000-000009270000}"/>
    <hyperlink ref="A3605" r:id="rId9869" xr:uid="{00000000-0004-0000-0000-00000A270000}"/>
    <hyperlink ref="C3605" r:id="rId9870" xr:uid="{00000000-0004-0000-0000-00000B270000}"/>
    <hyperlink ref="D3605" r:id="rId9871" xr:uid="{00000000-0004-0000-0000-00000C270000}"/>
    <hyperlink ref="A3606" r:id="rId9872" xr:uid="{00000000-0004-0000-0000-00000D270000}"/>
    <hyperlink ref="C3606" r:id="rId9873" xr:uid="{00000000-0004-0000-0000-00000E270000}"/>
    <hyperlink ref="D3606" r:id="rId9874" xr:uid="{00000000-0004-0000-0000-00000F270000}"/>
    <hyperlink ref="A3607" r:id="rId9875" xr:uid="{00000000-0004-0000-0000-000010270000}"/>
    <hyperlink ref="C3607" r:id="rId9876" xr:uid="{00000000-0004-0000-0000-000011270000}"/>
    <hyperlink ref="D3607" r:id="rId9877" xr:uid="{00000000-0004-0000-0000-000012270000}"/>
    <hyperlink ref="A3608" r:id="rId9878" xr:uid="{00000000-0004-0000-0000-000013270000}"/>
    <hyperlink ref="C3608" r:id="rId9879" xr:uid="{00000000-0004-0000-0000-000014270000}"/>
    <hyperlink ref="D3608" r:id="rId9880" xr:uid="{00000000-0004-0000-0000-000015270000}"/>
    <hyperlink ref="A3609" r:id="rId9881" xr:uid="{00000000-0004-0000-0000-000016270000}"/>
    <hyperlink ref="C3609" r:id="rId9882" xr:uid="{00000000-0004-0000-0000-000017270000}"/>
    <hyperlink ref="D3609" r:id="rId9883" xr:uid="{00000000-0004-0000-0000-000018270000}"/>
    <hyperlink ref="E3609" r:id="rId9884" xr:uid="{00000000-0004-0000-0000-000019270000}"/>
    <hyperlink ref="A3610" r:id="rId9885" xr:uid="{00000000-0004-0000-0000-00001A270000}"/>
    <hyperlink ref="C3610" r:id="rId9886" xr:uid="{00000000-0004-0000-0000-00001B270000}"/>
    <hyperlink ref="D3610" r:id="rId9887" xr:uid="{00000000-0004-0000-0000-00001C270000}"/>
    <hyperlink ref="A3611" r:id="rId9888" xr:uid="{00000000-0004-0000-0000-00001D270000}"/>
    <hyperlink ref="C3611" r:id="rId9889" xr:uid="{00000000-0004-0000-0000-00001E270000}"/>
    <hyperlink ref="D3611" r:id="rId9890" xr:uid="{00000000-0004-0000-0000-00001F270000}"/>
    <hyperlink ref="A3612" r:id="rId9891" xr:uid="{00000000-0004-0000-0000-000020270000}"/>
    <hyperlink ref="C3612" r:id="rId9892" xr:uid="{00000000-0004-0000-0000-000021270000}"/>
    <hyperlink ref="D3612" r:id="rId9893" xr:uid="{00000000-0004-0000-0000-000022270000}"/>
    <hyperlink ref="A3613" r:id="rId9894" xr:uid="{00000000-0004-0000-0000-000023270000}"/>
    <hyperlink ref="C3613" r:id="rId9895" xr:uid="{00000000-0004-0000-0000-000024270000}"/>
    <hyperlink ref="D3613" r:id="rId9896" xr:uid="{00000000-0004-0000-0000-000025270000}"/>
    <hyperlink ref="A3614" r:id="rId9897" xr:uid="{00000000-0004-0000-0000-000026270000}"/>
    <hyperlink ref="C3614" r:id="rId9898" xr:uid="{00000000-0004-0000-0000-000027270000}"/>
    <hyperlink ref="D3614" r:id="rId9899" xr:uid="{00000000-0004-0000-0000-000028270000}"/>
    <hyperlink ref="A3615" r:id="rId9900" xr:uid="{00000000-0004-0000-0000-000029270000}"/>
    <hyperlink ref="C3615" r:id="rId9901" xr:uid="{00000000-0004-0000-0000-00002A270000}"/>
    <hyperlink ref="D3615" r:id="rId9902" xr:uid="{00000000-0004-0000-0000-00002B270000}"/>
    <hyperlink ref="A3616" r:id="rId9903" xr:uid="{00000000-0004-0000-0000-00002C270000}"/>
    <hyperlink ref="C3616" r:id="rId9904" xr:uid="{00000000-0004-0000-0000-00002D270000}"/>
    <hyperlink ref="D3616" r:id="rId9905" xr:uid="{00000000-0004-0000-0000-00002E270000}"/>
    <hyperlink ref="C3617" r:id="rId9906" xr:uid="{00000000-0004-0000-0000-00002F270000}"/>
    <hyperlink ref="D3617" r:id="rId9907" xr:uid="{00000000-0004-0000-0000-000030270000}"/>
    <hyperlink ref="A3618" r:id="rId9908" xr:uid="{00000000-0004-0000-0000-000031270000}"/>
    <hyperlink ref="C3618" r:id="rId9909" xr:uid="{00000000-0004-0000-0000-000032270000}"/>
    <hyperlink ref="D3618" r:id="rId9910" xr:uid="{00000000-0004-0000-0000-000033270000}"/>
    <hyperlink ref="A3619" r:id="rId9911" xr:uid="{00000000-0004-0000-0000-000034270000}"/>
    <hyperlink ref="C3619" r:id="rId9912" xr:uid="{00000000-0004-0000-0000-000035270000}"/>
    <hyperlink ref="D3619" r:id="rId9913" xr:uid="{00000000-0004-0000-0000-000036270000}"/>
    <hyperlink ref="A3620" r:id="rId9914" xr:uid="{00000000-0004-0000-0000-000037270000}"/>
    <hyperlink ref="C3620" r:id="rId9915" xr:uid="{00000000-0004-0000-0000-000038270000}"/>
    <hyperlink ref="D3620" r:id="rId9916" xr:uid="{00000000-0004-0000-0000-000039270000}"/>
    <hyperlink ref="A3621" r:id="rId9917" xr:uid="{00000000-0004-0000-0000-00003A270000}"/>
    <hyperlink ref="C3621" r:id="rId9918" xr:uid="{00000000-0004-0000-0000-00003B270000}"/>
    <hyperlink ref="D3621" r:id="rId9919" xr:uid="{00000000-0004-0000-0000-00003C270000}"/>
    <hyperlink ref="A3622" r:id="rId9920" xr:uid="{00000000-0004-0000-0000-00003D270000}"/>
    <hyperlink ref="C3622" r:id="rId9921" xr:uid="{00000000-0004-0000-0000-00003E270000}"/>
    <hyperlink ref="D3622" r:id="rId9922" xr:uid="{00000000-0004-0000-0000-00003F270000}"/>
    <hyperlink ref="A3623" r:id="rId9923" xr:uid="{00000000-0004-0000-0000-000040270000}"/>
    <hyperlink ref="C3623" r:id="rId9924" xr:uid="{00000000-0004-0000-0000-000041270000}"/>
    <hyperlink ref="D3623" r:id="rId9925" xr:uid="{00000000-0004-0000-0000-000042270000}"/>
    <hyperlink ref="A3624" r:id="rId9926" xr:uid="{00000000-0004-0000-0000-000043270000}"/>
    <hyperlink ref="C3624" r:id="rId9927" xr:uid="{00000000-0004-0000-0000-000044270000}"/>
    <hyperlink ref="D3624" r:id="rId9928" xr:uid="{00000000-0004-0000-0000-000045270000}"/>
    <hyperlink ref="A3625" r:id="rId9929" xr:uid="{00000000-0004-0000-0000-000046270000}"/>
    <hyperlink ref="C3625" r:id="rId9930" xr:uid="{00000000-0004-0000-0000-000047270000}"/>
    <hyperlink ref="D3625" r:id="rId9931" xr:uid="{00000000-0004-0000-0000-000048270000}"/>
    <hyperlink ref="A3626" r:id="rId9932" xr:uid="{00000000-0004-0000-0000-000049270000}"/>
    <hyperlink ref="C3626" r:id="rId9933" xr:uid="{00000000-0004-0000-0000-00004A270000}"/>
    <hyperlink ref="D3626" r:id="rId9934" xr:uid="{00000000-0004-0000-0000-00004B270000}"/>
    <hyperlink ref="A3627" r:id="rId9935" xr:uid="{00000000-0004-0000-0000-00004C270000}"/>
    <hyperlink ref="C3627" r:id="rId9936" xr:uid="{00000000-0004-0000-0000-00004D270000}"/>
    <hyperlink ref="D3627" r:id="rId9937" xr:uid="{00000000-0004-0000-0000-00004E270000}"/>
    <hyperlink ref="A3628" r:id="rId9938" xr:uid="{00000000-0004-0000-0000-00004F270000}"/>
    <hyperlink ref="C3628" r:id="rId9939" xr:uid="{00000000-0004-0000-0000-000050270000}"/>
    <hyperlink ref="D3628" r:id="rId9940" xr:uid="{00000000-0004-0000-0000-000051270000}"/>
    <hyperlink ref="C3629" r:id="rId9941" xr:uid="{00000000-0004-0000-0000-000052270000}"/>
    <hyperlink ref="D3629" r:id="rId9942" xr:uid="{00000000-0004-0000-0000-000053270000}"/>
    <hyperlink ref="A3630" r:id="rId9943" xr:uid="{00000000-0004-0000-0000-000054270000}"/>
    <hyperlink ref="C3630" r:id="rId9944" xr:uid="{00000000-0004-0000-0000-000055270000}"/>
    <hyperlink ref="D3630" r:id="rId9945" xr:uid="{00000000-0004-0000-0000-000056270000}"/>
    <hyperlink ref="A3631" r:id="rId9946" xr:uid="{00000000-0004-0000-0000-000057270000}"/>
    <hyperlink ref="C3631" r:id="rId9947" xr:uid="{00000000-0004-0000-0000-000058270000}"/>
    <hyperlink ref="D3631" r:id="rId9948" xr:uid="{00000000-0004-0000-0000-000059270000}"/>
    <hyperlink ref="A3632" r:id="rId9949" xr:uid="{00000000-0004-0000-0000-00005A270000}"/>
    <hyperlink ref="C3632" r:id="rId9950" xr:uid="{00000000-0004-0000-0000-00005B270000}"/>
    <hyperlink ref="D3632" r:id="rId9951" xr:uid="{00000000-0004-0000-0000-00005C270000}"/>
    <hyperlink ref="C3633" r:id="rId9952" xr:uid="{00000000-0004-0000-0000-00005D270000}"/>
    <hyperlink ref="D3633" r:id="rId9953" xr:uid="{00000000-0004-0000-0000-00005E270000}"/>
    <hyperlink ref="C3634" r:id="rId9954" xr:uid="{00000000-0004-0000-0000-00005F270000}"/>
    <hyperlink ref="D3634" r:id="rId9955" xr:uid="{00000000-0004-0000-0000-000060270000}"/>
    <hyperlink ref="A3635" r:id="rId9956" xr:uid="{00000000-0004-0000-0000-000061270000}"/>
    <hyperlink ref="C3635" r:id="rId9957" xr:uid="{00000000-0004-0000-0000-000062270000}"/>
    <hyperlink ref="D3635" r:id="rId9958" xr:uid="{00000000-0004-0000-0000-000063270000}"/>
    <hyperlink ref="A3636" r:id="rId9959" xr:uid="{00000000-0004-0000-0000-000064270000}"/>
    <hyperlink ref="C3636" r:id="rId9960" xr:uid="{00000000-0004-0000-0000-000065270000}"/>
    <hyperlink ref="D3636" r:id="rId9961" xr:uid="{00000000-0004-0000-0000-000066270000}"/>
    <hyperlink ref="C3637" r:id="rId9962" xr:uid="{00000000-0004-0000-0000-000067270000}"/>
    <hyperlink ref="D3637" r:id="rId9963" xr:uid="{00000000-0004-0000-0000-000068270000}"/>
    <hyperlink ref="C3638" r:id="rId9964" xr:uid="{00000000-0004-0000-0000-000069270000}"/>
    <hyperlink ref="D3638" r:id="rId9965" xr:uid="{00000000-0004-0000-0000-00006A270000}"/>
    <hyperlink ref="A3639" r:id="rId9966" xr:uid="{00000000-0004-0000-0000-00006B270000}"/>
    <hyperlink ref="C3639" r:id="rId9967" xr:uid="{00000000-0004-0000-0000-00006C270000}"/>
    <hyperlink ref="D3639" r:id="rId9968" xr:uid="{00000000-0004-0000-0000-00006D270000}"/>
    <hyperlink ref="A3640" r:id="rId9969" xr:uid="{00000000-0004-0000-0000-00006E270000}"/>
    <hyperlink ref="C3640" r:id="rId9970" xr:uid="{00000000-0004-0000-0000-00006F270000}"/>
    <hyperlink ref="D3640" r:id="rId9971" xr:uid="{00000000-0004-0000-0000-000070270000}"/>
    <hyperlink ref="A3641" r:id="rId9972" xr:uid="{00000000-0004-0000-0000-000071270000}"/>
    <hyperlink ref="C3641" r:id="rId9973" xr:uid="{00000000-0004-0000-0000-000072270000}"/>
    <hyperlink ref="D3641" r:id="rId9974" xr:uid="{00000000-0004-0000-0000-000073270000}"/>
    <hyperlink ref="A3642" r:id="rId9975" xr:uid="{00000000-0004-0000-0000-000074270000}"/>
    <hyperlink ref="C3642" r:id="rId9976" xr:uid="{00000000-0004-0000-0000-000075270000}"/>
    <hyperlink ref="D3642" r:id="rId9977" xr:uid="{00000000-0004-0000-0000-000076270000}"/>
    <hyperlink ref="A3643" r:id="rId9978" xr:uid="{00000000-0004-0000-0000-000077270000}"/>
    <hyperlink ref="C3643" r:id="rId9979" xr:uid="{00000000-0004-0000-0000-000078270000}"/>
    <hyperlink ref="D3643" r:id="rId9980" xr:uid="{00000000-0004-0000-0000-000079270000}"/>
    <hyperlink ref="A3644" r:id="rId9981" xr:uid="{00000000-0004-0000-0000-00007A270000}"/>
    <hyperlink ref="C3644" r:id="rId9982" xr:uid="{00000000-0004-0000-0000-00007B270000}"/>
    <hyperlink ref="D3644" r:id="rId9983" xr:uid="{00000000-0004-0000-0000-00007C270000}"/>
    <hyperlink ref="A3645" r:id="rId9984" xr:uid="{00000000-0004-0000-0000-00007D270000}"/>
    <hyperlink ref="C3645" r:id="rId9985" xr:uid="{00000000-0004-0000-0000-00007E270000}"/>
    <hyperlink ref="D3645" r:id="rId9986" xr:uid="{00000000-0004-0000-0000-00007F270000}"/>
    <hyperlink ref="A3646" r:id="rId9987" xr:uid="{00000000-0004-0000-0000-000080270000}"/>
    <hyperlink ref="C3646" r:id="rId9988" xr:uid="{00000000-0004-0000-0000-000081270000}"/>
    <hyperlink ref="D3646" r:id="rId9989" xr:uid="{00000000-0004-0000-0000-000082270000}"/>
    <hyperlink ref="A3647" r:id="rId9990" xr:uid="{00000000-0004-0000-0000-000083270000}"/>
    <hyperlink ref="C3647" r:id="rId9991" xr:uid="{00000000-0004-0000-0000-000084270000}"/>
    <hyperlink ref="D3647" r:id="rId9992" xr:uid="{00000000-0004-0000-0000-000085270000}"/>
    <hyperlink ref="A3648" r:id="rId9993" xr:uid="{00000000-0004-0000-0000-000086270000}"/>
    <hyperlink ref="C3648" r:id="rId9994" xr:uid="{00000000-0004-0000-0000-000087270000}"/>
    <hyperlink ref="D3648" r:id="rId9995" xr:uid="{00000000-0004-0000-0000-000088270000}"/>
    <hyperlink ref="A3649" r:id="rId9996" xr:uid="{00000000-0004-0000-0000-000089270000}"/>
    <hyperlink ref="C3649" r:id="rId9997" xr:uid="{00000000-0004-0000-0000-00008A270000}"/>
    <hyperlink ref="D3649" r:id="rId9998" xr:uid="{00000000-0004-0000-0000-00008B270000}"/>
    <hyperlink ref="A3650" r:id="rId9999" xr:uid="{00000000-0004-0000-0000-00008C270000}"/>
    <hyperlink ref="C3650" r:id="rId10000" xr:uid="{00000000-0004-0000-0000-00008D270000}"/>
    <hyperlink ref="D3650" r:id="rId10001" xr:uid="{00000000-0004-0000-0000-00008E270000}"/>
    <hyperlink ref="A3651" r:id="rId10002" xr:uid="{00000000-0004-0000-0000-00008F270000}"/>
    <hyperlink ref="C3651" r:id="rId10003" xr:uid="{00000000-0004-0000-0000-000090270000}"/>
    <hyperlink ref="D3651" r:id="rId10004" xr:uid="{00000000-0004-0000-0000-000091270000}"/>
    <hyperlink ref="A3652" r:id="rId10005" xr:uid="{00000000-0004-0000-0000-000092270000}"/>
    <hyperlink ref="C3652" r:id="rId10006" xr:uid="{00000000-0004-0000-0000-000093270000}"/>
    <hyperlink ref="D3652" r:id="rId10007" xr:uid="{00000000-0004-0000-0000-000094270000}"/>
    <hyperlink ref="A3653" r:id="rId10008" xr:uid="{00000000-0004-0000-0000-000095270000}"/>
    <hyperlink ref="D3653" r:id="rId10009" xr:uid="{00000000-0004-0000-0000-000096270000}"/>
    <hyperlink ref="A3654" r:id="rId10010" xr:uid="{00000000-0004-0000-0000-000097270000}"/>
    <hyperlink ref="C3654" r:id="rId10011" xr:uid="{00000000-0004-0000-0000-000098270000}"/>
    <hyperlink ref="D3654" r:id="rId10012" xr:uid="{00000000-0004-0000-0000-000099270000}"/>
    <hyperlink ref="A3655" r:id="rId10013" xr:uid="{00000000-0004-0000-0000-00009A270000}"/>
    <hyperlink ref="C3655" r:id="rId10014" xr:uid="{00000000-0004-0000-0000-00009B270000}"/>
    <hyperlink ref="D3655" r:id="rId10015" xr:uid="{00000000-0004-0000-0000-00009C270000}"/>
    <hyperlink ref="A3656" r:id="rId10016" xr:uid="{00000000-0004-0000-0000-00009D270000}"/>
    <hyperlink ref="C3656" r:id="rId10017" xr:uid="{00000000-0004-0000-0000-00009E270000}"/>
    <hyperlink ref="D3656" r:id="rId10018" xr:uid="{00000000-0004-0000-0000-00009F270000}"/>
    <hyperlink ref="A3657" r:id="rId10019" xr:uid="{00000000-0004-0000-0000-0000A0270000}"/>
    <hyperlink ref="C3657" r:id="rId10020" xr:uid="{00000000-0004-0000-0000-0000A1270000}"/>
    <hyperlink ref="D3657" r:id="rId10021" xr:uid="{00000000-0004-0000-0000-0000A2270000}"/>
    <hyperlink ref="C3658" r:id="rId10022" xr:uid="{00000000-0004-0000-0000-0000A3270000}"/>
    <hyperlink ref="D3658" r:id="rId10023" xr:uid="{00000000-0004-0000-0000-0000A4270000}"/>
    <hyperlink ref="A3659" r:id="rId10024" xr:uid="{00000000-0004-0000-0000-0000A5270000}"/>
    <hyperlink ref="C3659" r:id="rId10025" xr:uid="{00000000-0004-0000-0000-0000A6270000}"/>
    <hyperlink ref="D3659" r:id="rId10026" xr:uid="{00000000-0004-0000-0000-0000A7270000}"/>
    <hyperlink ref="A3660" r:id="rId10027" xr:uid="{00000000-0004-0000-0000-0000A8270000}"/>
    <hyperlink ref="C3660" r:id="rId10028" xr:uid="{00000000-0004-0000-0000-0000A9270000}"/>
    <hyperlink ref="D3660" r:id="rId10029" xr:uid="{00000000-0004-0000-0000-0000AA270000}"/>
    <hyperlink ref="A3661" r:id="rId10030" xr:uid="{00000000-0004-0000-0000-0000AB270000}"/>
    <hyperlink ref="C3661" r:id="rId10031" xr:uid="{00000000-0004-0000-0000-0000AC270000}"/>
    <hyperlink ref="D3661" r:id="rId10032" xr:uid="{00000000-0004-0000-0000-0000AD270000}"/>
    <hyperlink ref="C3662" r:id="rId10033" xr:uid="{00000000-0004-0000-0000-0000AE270000}"/>
    <hyperlink ref="D3662" r:id="rId10034" xr:uid="{00000000-0004-0000-0000-0000AF270000}"/>
    <hyperlink ref="A3663" r:id="rId10035" xr:uid="{00000000-0004-0000-0000-0000B0270000}"/>
    <hyperlink ref="C3663" r:id="rId10036" xr:uid="{00000000-0004-0000-0000-0000B1270000}"/>
    <hyperlink ref="D3663" r:id="rId10037" xr:uid="{00000000-0004-0000-0000-0000B2270000}"/>
    <hyperlink ref="A3664" r:id="rId10038" xr:uid="{00000000-0004-0000-0000-0000B3270000}"/>
    <hyperlink ref="C3664" r:id="rId10039" xr:uid="{00000000-0004-0000-0000-0000B4270000}"/>
    <hyperlink ref="D3664" r:id="rId10040" xr:uid="{00000000-0004-0000-0000-0000B5270000}"/>
    <hyperlink ref="A3665" r:id="rId10041" xr:uid="{00000000-0004-0000-0000-0000B6270000}"/>
    <hyperlink ref="C3665" r:id="rId10042" xr:uid="{00000000-0004-0000-0000-0000B7270000}"/>
    <hyperlink ref="D3665" r:id="rId10043" xr:uid="{00000000-0004-0000-0000-0000B8270000}"/>
    <hyperlink ref="A3666" r:id="rId10044" xr:uid="{00000000-0004-0000-0000-0000B9270000}"/>
    <hyperlink ref="C3666" r:id="rId10045" xr:uid="{00000000-0004-0000-0000-0000BA270000}"/>
    <hyperlink ref="D3666" r:id="rId10046" xr:uid="{00000000-0004-0000-0000-0000BB270000}"/>
    <hyperlink ref="A3667" r:id="rId10047" xr:uid="{00000000-0004-0000-0000-0000BC270000}"/>
    <hyperlink ref="C3667" r:id="rId10048" xr:uid="{00000000-0004-0000-0000-0000BD270000}"/>
    <hyperlink ref="D3667" r:id="rId10049" xr:uid="{00000000-0004-0000-0000-0000BE270000}"/>
    <hyperlink ref="A3668" r:id="rId10050" xr:uid="{00000000-0004-0000-0000-0000BF270000}"/>
    <hyperlink ref="C3668" r:id="rId10051" xr:uid="{00000000-0004-0000-0000-0000C0270000}"/>
    <hyperlink ref="D3668" r:id="rId10052" xr:uid="{00000000-0004-0000-0000-0000C1270000}"/>
    <hyperlink ref="A3669" r:id="rId10053" xr:uid="{00000000-0004-0000-0000-0000C2270000}"/>
    <hyperlink ref="C3669" r:id="rId10054" xr:uid="{00000000-0004-0000-0000-0000C3270000}"/>
    <hyperlink ref="D3669" r:id="rId10055" xr:uid="{00000000-0004-0000-0000-0000C4270000}"/>
    <hyperlink ref="A3670" r:id="rId10056" xr:uid="{00000000-0004-0000-0000-0000C5270000}"/>
    <hyperlink ref="C3670" r:id="rId10057" xr:uid="{00000000-0004-0000-0000-0000C6270000}"/>
    <hyperlink ref="D3670" r:id="rId10058" xr:uid="{00000000-0004-0000-0000-0000C7270000}"/>
    <hyperlink ref="A3671" r:id="rId10059" xr:uid="{00000000-0004-0000-0000-0000C8270000}"/>
    <hyperlink ref="C3671" r:id="rId10060" xr:uid="{00000000-0004-0000-0000-0000C9270000}"/>
    <hyperlink ref="D3671" r:id="rId10061" xr:uid="{00000000-0004-0000-0000-0000CA270000}"/>
    <hyperlink ref="A3672" r:id="rId10062" xr:uid="{00000000-0004-0000-0000-0000CB270000}"/>
    <hyperlink ref="C3672" r:id="rId10063" xr:uid="{00000000-0004-0000-0000-0000CC270000}"/>
    <hyperlink ref="D3672" r:id="rId10064" xr:uid="{00000000-0004-0000-0000-0000CD270000}"/>
    <hyperlink ref="A3673" r:id="rId10065" xr:uid="{00000000-0004-0000-0000-0000CE270000}"/>
    <hyperlink ref="C3673" r:id="rId10066" xr:uid="{00000000-0004-0000-0000-0000CF270000}"/>
    <hyperlink ref="D3673" r:id="rId10067" xr:uid="{00000000-0004-0000-0000-0000D0270000}"/>
    <hyperlink ref="A3674" r:id="rId10068" xr:uid="{00000000-0004-0000-0000-0000D1270000}"/>
    <hyperlink ref="C3674" r:id="rId10069" xr:uid="{00000000-0004-0000-0000-0000D2270000}"/>
    <hyperlink ref="D3674" r:id="rId10070" xr:uid="{00000000-0004-0000-0000-0000D3270000}"/>
    <hyperlink ref="A3675" r:id="rId10071" xr:uid="{00000000-0004-0000-0000-0000D4270000}"/>
    <hyperlink ref="C3675" r:id="rId10072" xr:uid="{00000000-0004-0000-0000-0000D5270000}"/>
    <hyperlink ref="D3675" r:id="rId10073" xr:uid="{00000000-0004-0000-0000-0000D6270000}"/>
    <hyperlink ref="A3676" r:id="rId10074" xr:uid="{00000000-0004-0000-0000-0000D7270000}"/>
    <hyperlink ref="C3676" r:id="rId10075" xr:uid="{00000000-0004-0000-0000-0000D8270000}"/>
    <hyperlink ref="D3676" r:id="rId10076" xr:uid="{00000000-0004-0000-0000-0000D9270000}"/>
    <hyperlink ref="A3677" r:id="rId10077" xr:uid="{00000000-0004-0000-0000-0000DA270000}"/>
    <hyperlink ref="C3677" r:id="rId10078" xr:uid="{00000000-0004-0000-0000-0000DB270000}"/>
    <hyperlink ref="D3677" r:id="rId10079" xr:uid="{00000000-0004-0000-0000-0000DC270000}"/>
    <hyperlink ref="A3678" r:id="rId10080" xr:uid="{00000000-0004-0000-0000-0000DD270000}"/>
    <hyperlink ref="C3678" r:id="rId10081" xr:uid="{00000000-0004-0000-0000-0000DE270000}"/>
    <hyperlink ref="D3678" r:id="rId10082" xr:uid="{00000000-0004-0000-0000-0000DF270000}"/>
    <hyperlink ref="A3679" r:id="rId10083" xr:uid="{00000000-0004-0000-0000-0000E0270000}"/>
    <hyperlink ref="C3679" r:id="rId10084" xr:uid="{00000000-0004-0000-0000-0000E1270000}"/>
    <hyperlink ref="D3679" r:id="rId10085" xr:uid="{00000000-0004-0000-0000-0000E2270000}"/>
    <hyperlink ref="A3680" r:id="rId10086" xr:uid="{00000000-0004-0000-0000-0000E3270000}"/>
    <hyperlink ref="C3680" r:id="rId10087" xr:uid="{00000000-0004-0000-0000-0000E4270000}"/>
    <hyperlink ref="D3680" r:id="rId10088" xr:uid="{00000000-0004-0000-0000-0000E5270000}"/>
    <hyperlink ref="A3681" r:id="rId10089" xr:uid="{00000000-0004-0000-0000-0000E6270000}"/>
    <hyperlink ref="C3681" r:id="rId10090" xr:uid="{00000000-0004-0000-0000-0000E7270000}"/>
    <hyperlink ref="D3681" r:id="rId10091" xr:uid="{00000000-0004-0000-0000-0000E8270000}"/>
    <hyperlink ref="C3682" r:id="rId10092" xr:uid="{00000000-0004-0000-0000-0000E9270000}"/>
    <hyperlink ref="D3682" r:id="rId10093" xr:uid="{00000000-0004-0000-0000-0000EA270000}"/>
    <hyperlink ref="A3683" r:id="rId10094" xr:uid="{00000000-0004-0000-0000-0000EB270000}"/>
    <hyperlink ref="C3683" r:id="rId10095" xr:uid="{00000000-0004-0000-0000-0000EC270000}"/>
    <hyperlink ref="D3683" r:id="rId10096" xr:uid="{00000000-0004-0000-0000-0000ED270000}"/>
    <hyperlink ref="A3684" r:id="rId10097" xr:uid="{00000000-0004-0000-0000-0000EE270000}"/>
    <hyperlink ref="C3684" r:id="rId10098" xr:uid="{00000000-0004-0000-0000-0000EF270000}"/>
    <hyperlink ref="D3684" r:id="rId10099" xr:uid="{00000000-0004-0000-0000-0000F0270000}"/>
    <hyperlink ref="A3685" r:id="rId10100" xr:uid="{00000000-0004-0000-0000-0000F1270000}"/>
    <hyperlink ref="C3685" r:id="rId10101" xr:uid="{00000000-0004-0000-0000-0000F2270000}"/>
    <hyperlink ref="D3685" r:id="rId10102" xr:uid="{00000000-0004-0000-0000-0000F3270000}"/>
    <hyperlink ref="A3686" r:id="rId10103" xr:uid="{00000000-0004-0000-0000-0000F4270000}"/>
    <hyperlink ref="C3686" r:id="rId10104" xr:uid="{00000000-0004-0000-0000-0000F5270000}"/>
    <hyperlink ref="D3686" r:id="rId10105" xr:uid="{00000000-0004-0000-0000-0000F6270000}"/>
    <hyperlink ref="A3687" r:id="rId10106" xr:uid="{00000000-0004-0000-0000-0000F7270000}"/>
    <hyperlink ref="C3687" r:id="rId10107" xr:uid="{00000000-0004-0000-0000-0000F8270000}"/>
    <hyperlink ref="D3687" r:id="rId10108" xr:uid="{00000000-0004-0000-0000-0000F9270000}"/>
    <hyperlink ref="A3688" r:id="rId10109" xr:uid="{00000000-0004-0000-0000-0000FA270000}"/>
    <hyperlink ref="C3688" r:id="rId10110" xr:uid="{00000000-0004-0000-0000-0000FB270000}"/>
    <hyperlink ref="D3688" r:id="rId10111" xr:uid="{00000000-0004-0000-0000-0000FC270000}"/>
    <hyperlink ref="A3689" r:id="rId10112" xr:uid="{00000000-0004-0000-0000-0000FD270000}"/>
    <hyperlink ref="C3689" r:id="rId10113" xr:uid="{00000000-0004-0000-0000-0000FE270000}"/>
    <hyperlink ref="D3689" r:id="rId10114" xr:uid="{00000000-0004-0000-0000-0000FF270000}"/>
    <hyperlink ref="A3690" r:id="rId10115" xr:uid="{00000000-0004-0000-0000-000000280000}"/>
    <hyperlink ref="C3690" r:id="rId10116" xr:uid="{00000000-0004-0000-0000-000001280000}"/>
    <hyperlink ref="D3690" r:id="rId10117" xr:uid="{00000000-0004-0000-0000-000002280000}"/>
    <hyperlink ref="A3691" r:id="rId10118" xr:uid="{00000000-0004-0000-0000-000003280000}"/>
    <hyperlink ref="C3691" r:id="rId10119" xr:uid="{00000000-0004-0000-0000-000004280000}"/>
    <hyperlink ref="D3691" r:id="rId10120" xr:uid="{00000000-0004-0000-0000-000005280000}"/>
    <hyperlink ref="A3692" r:id="rId10121" xr:uid="{00000000-0004-0000-0000-000006280000}"/>
    <hyperlink ref="C3692" r:id="rId10122" xr:uid="{00000000-0004-0000-0000-000007280000}"/>
    <hyperlink ref="D3692" r:id="rId10123" xr:uid="{00000000-0004-0000-0000-000008280000}"/>
    <hyperlink ref="A3693" r:id="rId10124" xr:uid="{00000000-0004-0000-0000-000009280000}"/>
    <hyperlink ref="C3693" r:id="rId10125" xr:uid="{00000000-0004-0000-0000-00000A280000}"/>
    <hyperlink ref="D3693" r:id="rId10126" xr:uid="{00000000-0004-0000-0000-00000B280000}"/>
    <hyperlink ref="A3694" r:id="rId10127" xr:uid="{00000000-0004-0000-0000-00000C280000}"/>
    <hyperlink ref="C3694" r:id="rId10128" xr:uid="{00000000-0004-0000-0000-00000D280000}"/>
    <hyperlink ref="D3694" r:id="rId10129" xr:uid="{00000000-0004-0000-0000-00000E280000}"/>
    <hyperlink ref="A3695" r:id="rId10130" xr:uid="{00000000-0004-0000-0000-00000F280000}"/>
    <hyperlink ref="C3695" r:id="rId10131" xr:uid="{00000000-0004-0000-0000-000010280000}"/>
    <hyperlink ref="D3695" r:id="rId10132" xr:uid="{00000000-0004-0000-0000-000011280000}"/>
    <hyperlink ref="A3696" r:id="rId10133" xr:uid="{00000000-0004-0000-0000-000012280000}"/>
    <hyperlink ref="C3696" r:id="rId10134" xr:uid="{00000000-0004-0000-0000-000013280000}"/>
    <hyperlink ref="D3696" r:id="rId10135" xr:uid="{00000000-0004-0000-0000-000014280000}"/>
    <hyperlink ref="A3697" r:id="rId10136" xr:uid="{00000000-0004-0000-0000-000015280000}"/>
    <hyperlink ref="C3697" r:id="rId10137" xr:uid="{00000000-0004-0000-0000-000016280000}"/>
    <hyperlink ref="D3697" r:id="rId10138" xr:uid="{00000000-0004-0000-0000-000017280000}"/>
    <hyperlink ref="A3698" r:id="rId10139" xr:uid="{00000000-0004-0000-0000-000018280000}"/>
    <hyperlink ref="C3698" r:id="rId10140" xr:uid="{00000000-0004-0000-0000-000019280000}"/>
    <hyperlink ref="D3698" r:id="rId10141" xr:uid="{00000000-0004-0000-0000-00001A280000}"/>
    <hyperlink ref="A3699" r:id="rId10142" xr:uid="{00000000-0004-0000-0000-00001B280000}"/>
    <hyperlink ref="C3699" r:id="rId10143" xr:uid="{00000000-0004-0000-0000-00001C280000}"/>
    <hyperlink ref="D3699" r:id="rId10144" xr:uid="{00000000-0004-0000-0000-00001D280000}"/>
    <hyperlink ref="A3700" r:id="rId10145" xr:uid="{00000000-0004-0000-0000-00001E280000}"/>
    <hyperlink ref="C3700" r:id="rId10146" xr:uid="{00000000-0004-0000-0000-00001F280000}"/>
    <hyperlink ref="D3700" r:id="rId10147" xr:uid="{00000000-0004-0000-0000-000020280000}"/>
    <hyperlink ref="A3701" r:id="rId10148" xr:uid="{00000000-0004-0000-0000-000021280000}"/>
    <hyperlink ref="C3701" r:id="rId10149" xr:uid="{00000000-0004-0000-0000-000022280000}"/>
    <hyperlink ref="D3701" r:id="rId10150" xr:uid="{00000000-0004-0000-0000-000023280000}"/>
    <hyperlink ref="A3702" r:id="rId10151" xr:uid="{00000000-0004-0000-0000-000024280000}"/>
    <hyperlink ref="C3702" r:id="rId10152" xr:uid="{00000000-0004-0000-0000-000025280000}"/>
    <hyperlink ref="D3702" r:id="rId10153" xr:uid="{00000000-0004-0000-0000-000026280000}"/>
    <hyperlink ref="A3703" r:id="rId10154" xr:uid="{00000000-0004-0000-0000-000027280000}"/>
    <hyperlink ref="C3703" r:id="rId10155" xr:uid="{00000000-0004-0000-0000-000028280000}"/>
    <hyperlink ref="D3703" r:id="rId10156" xr:uid="{00000000-0004-0000-0000-000029280000}"/>
    <hyperlink ref="A3704" r:id="rId10157" xr:uid="{00000000-0004-0000-0000-00002A280000}"/>
    <hyperlink ref="C3704" r:id="rId10158" xr:uid="{00000000-0004-0000-0000-00002B280000}"/>
    <hyperlink ref="D3704" r:id="rId10159" xr:uid="{00000000-0004-0000-0000-00002C280000}"/>
    <hyperlink ref="A3705" r:id="rId10160" xr:uid="{00000000-0004-0000-0000-00002D280000}"/>
    <hyperlink ref="C3705" r:id="rId10161" xr:uid="{00000000-0004-0000-0000-00002E280000}"/>
    <hyperlink ref="D3705" r:id="rId10162" xr:uid="{00000000-0004-0000-0000-00002F280000}"/>
    <hyperlink ref="A3706" r:id="rId10163" xr:uid="{00000000-0004-0000-0000-000030280000}"/>
    <hyperlink ref="C3706" r:id="rId10164" xr:uid="{00000000-0004-0000-0000-000031280000}"/>
    <hyperlink ref="D3706" r:id="rId10165" xr:uid="{00000000-0004-0000-0000-000032280000}"/>
    <hyperlink ref="A3707" r:id="rId10166" xr:uid="{00000000-0004-0000-0000-000033280000}"/>
    <hyperlink ref="C3707" r:id="rId10167" xr:uid="{00000000-0004-0000-0000-000034280000}"/>
    <hyperlink ref="D3707" r:id="rId10168" xr:uid="{00000000-0004-0000-0000-000035280000}"/>
    <hyperlink ref="A3708" r:id="rId10169" xr:uid="{00000000-0004-0000-0000-000036280000}"/>
    <hyperlink ref="C3708" r:id="rId10170" xr:uid="{00000000-0004-0000-0000-000037280000}"/>
    <hyperlink ref="D3708" r:id="rId10171" xr:uid="{00000000-0004-0000-0000-000038280000}"/>
    <hyperlink ref="A3709" r:id="rId10172" xr:uid="{00000000-0004-0000-0000-000039280000}"/>
    <hyperlink ref="C3709" r:id="rId10173" xr:uid="{00000000-0004-0000-0000-00003A280000}"/>
    <hyperlink ref="D3709" r:id="rId10174" xr:uid="{00000000-0004-0000-0000-00003B280000}"/>
    <hyperlink ref="A3710" r:id="rId10175" xr:uid="{00000000-0004-0000-0000-00003C280000}"/>
    <hyperlink ref="C3710" r:id="rId10176" xr:uid="{00000000-0004-0000-0000-00003D280000}"/>
    <hyperlink ref="D3710" r:id="rId10177" xr:uid="{00000000-0004-0000-0000-00003E280000}"/>
    <hyperlink ref="A3711" r:id="rId10178" xr:uid="{00000000-0004-0000-0000-00003F280000}"/>
    <hyperlink ref="C3711" r:id="rId10179" xr:uid="{00000000-0004-0000-0000-000040280000}"/>
    <hyperlink ref="D3711" r:id="rId10180" xr:uid="{00000000-0004-0000-0000-000041280000}"/>
    <hyperlink ref="A3712" r:id="rId10181" xr:uid="{00000000-0004-0000-0000-000042280000}"/>
    <hyperlink ref="C3712" r:id="rId10182" xr:uid="{00000000-0004-0000-0000-000043280000}"/>
    <hyperlink ref="D3712" r:id="rId10183" xr:uid="{00000000-0004-0000-0000-000044280000}"/>
    <hyperlink ref="A3713" r:id="rId10184" xr:uid="{00000000-0004-0000-0000-000045280000}"/>
    <hyperlink ref="C3713" r:id="rId10185" xr:uid="{00000000-0004-0000-0000-000046280000}"/>
    <hyperlink ref="D3713" r:id="rId10186" xr:uid="{00000000-0004-0000-0000-000047280000}"/>
    <hyperlink ref="A3714" r:id="rId10187" xr:uid="{00000000-0004-0000-0000-000048280000}"/>
    <hyperlink ref="C3714" r:id="rId10188" xr:uid="{00000000-0004-0000-0000-000049280000}"/>
    <hyperlink ref="D3714" r:id="rId10189" xr:uid="{00000000-0004-0000-0000-00004A280000}"/>
    <hyperlink ref="A3715" r:id="rId10190" xr:uid="{00000000-0004-0000-0000-00004B280000}"/>
    <hyperlink ref="C3715" r:id="rId10191" xr:uid="{00000000-0004-0000-0000-00004C280000}"/>
    <hyperlink ref="D3715" r:id="rId10192" xr:uid="{00000000-0004-0000-0000-00004D280000}"/>
    <hyperlink ref="A3716" r:id="rId10193" xr:uid="{00000000-0004-0000-0000-00004E280000}"/>
    <hyperlink ref="C3716" r:id="rId10194" xr:uid="{00000000-0004-0000-0000-00004F280000}"/>
    <hyperlink ref="D3716" r:id="rId10195" xr:uid="{00000000-0004-0000-0000-000050280000}"/>
    <hyperlink ref="A3717" r:id="rId10196" xr:uid="{00000000-0004-0000-0000-000051280000}"/>
    <hyperlink ref="C3717" r:id="rId10197" xr:uid="{00000000-0004-0000-0000-000052280000}"/>
    <hyperlink ref="D3717" r:id="rId10198" xr:uid="{00000000-0004-0000-0000-000053280000}"/>
    <hyperlink ref="A3718" r:id="rId10199" xr:uid="{00000000-0004-0000-0000-000054280000}"/>
    <hyperlink ref="C3718" r:id="rId10200" xr:uid="{00000000-0004-0000-0000-000055280000}"/>
    <hyperlink ref="D3718" r:id="rId10201" xr:uid="{00000000-0004-0000-0000-000056280000}"/>
    <hyperlink ref="C3719" r:id="rId10202" xr:uid="{00000000-0004-0000-0000-000057280000}"/>
    <hyperlink ref="D3719" r:id="rId10203" xr:uid="{00000000-0004-0000-0000-000058280000}"/>
    <hyperlink ref="C3720" r:id="rId10204" xr:uid="{00000000-0004-0000-0000-000059280000}"/>
    <hyperlink ref="D3720" r:id="rId10205" xr:uid="{00000000-0004-0000-0000-00005A280000}"/>
    <hyperlink ref="A3721" r:id="rId10206" xr:uid="{00000000-0004-0000-0000-00005B280000}"/>
    <hyperlink ref="C3721" r:id="rId10207" xr:uid="{00000000-0004-0000-0000-00005C280000}"/>
    <hyperlink ref="D3721" r:id="rId10208" xr:uid="{00000000-0004-0000-0000-00005D280000}"/>
    <hyperlink ref="A3722" r:id="rId10209" xr:uid="{00000000-0004-0000-0000-00005E280000}"/>
    <hyperlink ref="C3722" r:id="rId10210" xr:uid="{00000000-0004-0000-0000-00005F280000}"/>
    <hyperlink ref="D3722" r:id="rId10211" xr:uid="{00000000-0004-0000-0000-000060280000}"/>
    <hyperlink ref="A3723" r:id="rId10212" xr:uid="{00000000-0004-0000-0000-000061280000}"/>
    <hyperlink ref="C3723" r:id="rId10213" xr:uid="{00000000-0004-0000-0000-000062280000}"/>
    <hyperlink ref="D3723" r:id="rId10214" xr:uid="{00000000-0004-0000-0000-000063280000}"/>
    <hyperlink ref="A3724" r:id="rId10215" xr:uid="{00000000-0004-0000-0000-000064280000}"/>
    <hyperlink ref="C3724" r:id="rId10216" xr:uid="{00000000-0004-0000-0000-000065280000}"/>
    <hyperlink ref="D3724" r:id="rId10217" xr:uid="{00000000-0004-0000-0000-000066280000}"/>
    <hyperlink ref="A3725" r:id="rId10218" xr:uid="{00000000-0004-0000-0000-000067280000}"/>
    <hyperlink ref="C3725" r:id="rId10219" xr:uid="{00000000-0004-0000-0000-000068280000}"/>
    <hyperlink ref="D3725" r:id="rId10220" xr:uid="{00000000-0004-0000-0000-000069280000}"/>
    <hyperlink ref="A3726" r:id="rId10221" xr:uid="{00000000-0004-0000-0000-00006A280000}"/>
    <hyperlink ref="C3726" r:id="rId10222" xr:uid="{00000000-0004-0000-0000-00006B280000}"/>
    <hyperlink ref="D3726" r:id="rId10223" xr:uid="{00000000-0004-0000-0000-00006C280000}"/>
    <hyperlink ref="A3727" r:id="rId10224" xr:uid="{00000000-0004-0000-0000-00006D280000}"/>
    <hyperlink ref="C3727" r:id="rId10225" xr:uid="{00000000-0004-0000-0000-00006E280000}"/>
    <hyperlink ref="D3727" r:id="rId10226" xr:uid="{00000000-0004-0000-0000-00006F280000}"/>
    <hyperlink ref="A3728" r:id="rId10227" xr:uid="{00000000-0004-0000-0000-000070280000}"/>
    <hyperlink ref="C3728" r:id="rId10228" xr:uid="{00000000-0004-0000-0000-000071280000}"/>
    <hyperlink ref="D3728" r:id="rId10229" xr:uid="{00000000-0004-0000-0000-000072280000}"/>
    <hyperlink ref="C3729" r:id="rId10230" xr:uid="{00000000-0004-0000-0000-000073280000}"/>
    <hyperlink ref="D3729" r:id="rId10231" xr:uid="{00000000-0004-0000-0000-000074280000}"/>
    <hyperlink ref="A3730" r:id="rId10232" xr:uid="{00000000-0004-0000-0000-000075280000}"/>
    <hyperlink ref="C3730" r:id="rId10233" xr:uid="{00000000-0004-0000-0000-000076280000}"/>
    <hyperlink ref="D3730" r:id="rId10234" xr:uid="{00000000-0004-0000-0000-000077280000}"/>
    <hyperlink ref="A3731" r:id="rId10235" xr:uid="{00000000-0004-0000-0000-000078280000}"/>
    <hyperlink ref="C3731" r:id="rId10236" xr:uid="{00000000-0004-0000-0000-000079280000}"/>
    <hyperlink ref="D3731" r:id="rId10237" xr:uid="{00000000-0004-0000-0000-00007A280000}"/>
    <hyperlink ref="A3732" r:id="rId10238" xr:uid="{00000000-0004-0000-0000-00007B280000}"/>
    <hyperlink ref="C3732" r:id="rId10239" xr:uid="{00000000-0004-0000-0000-00007C280000}"/>
    <hyperlink ref="D3732" r:id="rId10240" xr:uid="{00000000-0004-0000-0000-00007D280000}"/>
    <hyperlink ref="A3733" r:id="rId10241" xr:uid="{00000000-0004-0000-0000-00007E280000}"/>
    <hyperlink ref="C3733" r:id="rId10242" xr:uid="{00000000-0004-0000-0000-00007F280000}"/>
    <hyperlink ref="D3733" r:id="rId10243" xr:uid="{00000000-0004-0000-0000-000080280000}"/>
    <hyperlink ref="A3734" r:id="rId10244" xr:uid="{00000000-0004-0000-0000-000081280000}"/>
    <hyperlink ref="C3734" r:id="rId10245" xr:uid="{00000000-0004-0000-0000-000082280000}"/>
    <hyperlink ref="D3734" r:id="rId10246" xr:uid="{00000000-0004-0000-0000-000083280000}"/>
    <hyperlink ref="A3735" r:id="rId10247" xr:uid="{00000000-0004-0000-0000-000084280000}"/>
    <hyperlink ref="C3735" r:id="rId10248" xr:uid="{00000000-0004-0000-0000-000085280000}"/>
    <hyperlink ref="D3735" r:id="rId10249" xr:uid="{00000000-0004-0000-0000-000086280000}"/>
    <hyperlink ref="A3736" r:id="rId10250" xr:uid="{00000000-0004-0000-0000-000087280000}"/>
    <hyperlink ref="C3736" r:id="rId10251" xr:uid="{00000000-0004-0000-0000-000088280000}"/>
    <hyperlink ref="D3736" r:id="rId10252" xr:uid="{00000000-0004-0000-0000-000089280000}"/>
    <hyperlink ref="A3737" r:id="rId10253" xr:uid="{00000000-0004-0000-0000-00008A280000}"/>
    <hyperlink ref="C3737" r:id="rId10254" xr:uid="{00000000-0004-0000-0000-00008B280000}"/>
    <hyperlink ref="D3737" r:id="rId10255" xr:uid="{00000000-0004-0000-0000-00008C280000}"/>
    <hyperlink ref="A3738" r:id="rId10256" xr:uid="{00000000-0004-0000-0000-00008D280000}"/>
    <hyperlink ref="C3738" r:id="rId10257" xr:uid="{00000000-0004-0000-0000-00008E280000}"/>
    <hyperlink ref="D3738" r:id="rId10258" xr:uid="{00000000-0004-0000-0000-00008F280000}"/>
    <hyperlink ref="A3739" r:id="rId10259" xr:uid="{00000000-0004-0000-0000-000090280000}"/>
    <hyperlink ref="C3739" r:id="rId10260" xr:uid="{00000000-0004-0000-0000-000091280000}"/>
    <hyperlink ref="D3739" r:id="rId10261" xr:uid="{00000000-0004-0000-0000-000092280000}"/>
    <hyperlink ref="A3740" r:id="rId10262" xr:uid="{00000000-0004-0000-0000-000093280000}"/>
    <hyperlink ref="C3740" r:id="rId10263" xr:uid="{00000000-0004-0000-0000-000094280000}"/>
    <hyperlink ref="D3740" r:id="rId10264" xr:uid="{00000000-0004-0000-0000-000095280000}"/>
    <hyperlink ref="A3741" r:id="rId10265" xr:uid="{00000000-0004-0000-0000-000096280000}"/>
    <hyperlink ref="C3741" r:id="rId10266" xr:uid="{00000000-0004-0000-0000-000097280000}"/>
    <hyperlink ref="D3741" r:id="rId10267" xr:uid="{00000000-0004-0000-0000-000098280000}"/>
    <hyperlink ref="A3742" r:id="rId10268" xr:uid="{00000000-0004-0000-0000-000099280000}"/>
    <hyperlink ref="C3742" r:id="rId10269" xr:uid="{00000000-0004-0000-0000-00009A280000}"/>
    <hyperlink ref="D3742" r:id="rId10270" xr:uid="{00000000-0004-0000-0000-00009B280000}"/>
    <hyperlink ref="A3743" r:id="rId10271" xr:uid="{00000000-0004-0000-0000-00009C280000}"/>
    <hyperlink ref="C3743" r:id="rId10272" xr:uid="{00000000-0004-0000-0000-00009D280000}"/>
    <hyperlink ref="D3743" r:id="rId10273" xr:uid="{00000000-0004-0000-0000-00009E280000}"/>
    <hyperlink ref="A3744" r:id="rId10274" xr:uid="{00000000-0004-0000-0000-00009F280000}"/>
    <hyperlink ref="C3744" r:id="rId10275" xr:uid="{00000000-0004-0000-0000-0000A0280000}"/>
    <hyperlink ref="D3744" r:id="rId10276" xr:uid="{00000000-0004-0000-0000-0000A1280000}"/>
    <hyperlink ref="E3744" r:id="rId10277" xr:uid="{00000000-0004-0000-0000-0000A2280000}"/>
    <hyperlink ref="A3745" r:id="rId10278" xr:uid="{00000000-0004-0000-0000-0000A3280000}"/>
    <hyperlink ref="C3745" r:id="rId10279" xr:uid="{00000000-0004-0000-0000-0000A4280000}"/>
    <hyperlink ref="D3745" r:id="rId10280" xr:uid="{00000000-0004-0000-0000-0000A5280000}"/>
    <hyperlink ref="A3746" r:id="rId10281" xr:uid="{00000000-0004-0000-0000-0000A6280000}"/>
    <hyperlink ref="C3746" r:id="rId10282" xr:uid="{00000000-0004-0000-0000-0000A7280000}"/>
    <hyperlink ref="D3746" r:id="rId10283" xr:uid="{00000000-0004-0000-0000-0000A8280000}"/>
    <hyperlink ref="A3747" r:id="rId10284" xr:uid="{00000000-0004-0000-0000-0000A9280000}"/>
    <hyperlink ref="C3747" r:id="rId10285" xr:uid="{00000000-0004-0000-0000-0000AA280000}"/>
    <hyperlink ref="D3747" r:id="rId10286" xr:uid="{00000000-0004-0000-0000-0000AB280000}"/>
    <hyperlink ref="A3748" r:id="rId10287" xr:uid="{00000000-0004-0000-0000-0000AC280000}"/>
    <hyperlink ref="C3748" r:id="rId10288" xr:uid="{00000000-0004-0000-0000-0000AD280000}"/>
    <hyperlink ref="D3748" r:id="rId10289" xr:uid="{00000000-0004-0000-0000-0000AE280000}"/>
    <hyperlink ref="A3749" r:id="rId10290" xr:uid="{00000000-0004-0000-0000-0000AF280000}"/>
    <hyperlink ref="C3749" r:id="rId10291" xr:uid="{00000000-0004-0000-0000-0000B0280000}"/>
    <hyperlink ref="D3749" r:id="rId10292" xr:uid="{00000000-0004-0000-0000-0000B1280000}"/>
    <hyperlink ref="C3750" r:id="rId10293" xr:uid="{00000000-0004-0000-0000-0000B2280000}"/>
    <hyperlink ref="D3750" r:id="rId10294" xr:uid="{00000000-0004-0000-0000-0000B3280000}"/>
    <hyperlink ref="C3751" r:id="rId10295" xr:uid="{00000000-0004-0000-0000-0000B4280000}"/>
    <hyperlink ref="D3751" r:id="rId10296" xr:uid="{00000000-0004-0000-0000-0000B5280000}"/>
    <hyperlink ref="A3752" r:id="rId10297" xr:uid="{00000000-0004-0000-0000-0000B6280000}"/>
    <hyperlink ref="C3752" r:id="rId10298" xr:uid="{00000000-0004-0000-0000-0000B7280000}"/>
    <hyperlink ref="D3752" r:id="rId10299" xr:uid="{00000000-0004-0000-0000-0000B8280000}"/>
    <hyperlink ref="A3753" r:id="rId10300" xr:uid="{00000000-0004-0000-0000-0000B9280000}"/>
    <hyperlink ref="C3753" r:id="rId10301" xr:uid="{00000000-0004-0000-0000-0000BA280000}"/>
    <hyperlink ref="D3753" r:id="rId10302" xr:uid="{00000000-0004-0000-0000-0000BB280000}"/>
    <hyperlink ref="A3754" r:id="rId10303" xr:uid="{00000000-0004-0000-0000-0000BC280000}"/>
    <hyperlink ref="C3754" r:id="rId10304" xr:uid="{00000000-0004-0000-0000-0000BD280000}"/>
    <hyperlink ref="D3754" r:id="rId10305" xr:uid="{00000000-0004-0000-0000-0000BE280000}"/>
    <hyperlink ref="C3755" r:id="rId10306" xr:uid="{00000000-0004-0000-0000-0000BF280000}"/>
    <hyperlink ref="D3755" r:id="rId10307" xr:uid="{00000000-0004-0000-0000-0000C0280000}"/>
    <hyperlink ref="C3756" r:id="rId10308" xr:uid="{00000000-0004-0000-0000-0000C1280000}"/>
    <hyperlink ref="D3756" r:id="rId10309" xr:uid="{00000000-0004-0000-0000-0000C2280000}"/>
    <hyperlink ref="A3757" r:id="rId10310" xr:uid="{00000000-0004-0000-0000-0000C3280000}"/>
    <hyperlink ref="C3757" r:id="rId10311" xr:uid="{00000000-0004-0000-0000-0000C4280000}"/>
    <hyperlink ref="D3757" r:id="rId10312" xr:uid="{00000000-0004-0000-0000-0000C5280000}"/>
    <hyperlink ref="A3758" r:id="rId10313" xr:uid="{00000000-0004-0000-0000-0000C6280000}"/>
    <hyperlink ref="C3758" r:id="rId10314" xr:uid="{00000000-0004-0000-0000-0000C7280000}"/>
    <hyperlink ref="D3758" r:id="rId10315" xr:uid="{00000000-0004-0000-0000-0000C8280000}"/>
    <hyperlink ref="A3759" r:id="rId10316" xr:uid="{00000000-0004-0000-0000-0000C9280000}"/>
    <hyperlink ref="C3759" r:id="rId10317" xr:uid="{00000000-0004-0000-0000-0000CA280000}"/>
    <hyperlink ref="D3759" r:id="rId10318" xr:uid="{00000000-0004-0000-0000-0000CB280000}"/>
    <hyperlink ref="A3760" r:id="rId10319" xr:uid="{00000000-0004-0000-0000-0000CC280000}"/>
    <hyperlink ref="C3760" r:id="rId10320" xr:uid="{00000000-0004-0000-0000-0000CD280000}"/>
    <hyperlink ref="D3760" r:id="rId10321" xr:uid="{00000000-0004-0000-0000-0000CE280000}"/>
    <hyperlink ref="A3761" r:id="rId10322" xr:uid="{00000000-0004-0000-0000-0000CF280000}"/>
    <hyperlink ref="C3761" r:id="rId10323" xr:uid="{00000000-0004-0000-0000-0000D0280000}"/>
    <hyperlink ref="D3761" r:id="rId10324" xr:uid="{00000000-0004-0000-0000-0000D1280000}"/>
    <hyperlink ref="C3762" r:id="rId10325" xr:uid="{00000000-0004-0000-0000-0000D2280000}"/>
    <hyperlink ref="D3762" r:id="rId10326" xr:uid="{00000000-0004-0000-0000-0000D3280000}"/>
    <hyperlink ref="A3763" r:id="rId10327" xr:uid="{00000000-0004-0000-0000-0000D4280000}"/>
    <hyperlink ref="C3763" r:id="rId10328" xr:uid="{00000000-0004-0000-0000-0000D5280000}"/>
    <hyperlink ref="D3763" r:id="rId10329" xr:uid="{00000000-0004-0000-0000-0000D6280000}"/>
    <hyperlink ref="A3764" r:id="rId10330" xr:uid="{00000000-0004-0000-0000-0000D7280000}"/>
    <hyperlink ref="C3764" r:id="rId10331" xr:uid="{00000000-0004-0000-0000-0000D8280000}"/>
    <hyperlink ref="D3764" r:id="rId10332" xr:uid="{00000000-0004-0000-0000-0000D9280000}"/>
    <hyperlink ref="A3765" r:id="rId10333" xr:uid="{00000000-0004-0000-0000-0000DA280000}"/>
    <hyperlink ref="C3765" r:id="rId10334" xr:uid="{00000000-0004-0000-0000-0000DB280000}"/>
    <hyperlink ref="D3765" r:id="rId10335" xr:uid="{00000000-0004-0000-0000-0000DC280000}"/>
    <hyperlink ref="A3766" r:id="rId10336" xr:uid="{00000000-0004-0000-0000-0000DD280000}"/>
    <hyperlink ref="C3766" r:id="rId10337" xr:uid="{00000000-0004-0000-0000-0000DE280000}"/>
    <hyperlink ref="D3766" r:id="rId10338" xr:uid="{00000000-0004-0000-0000-0000DF280000}"/>
    <hyperlink ref="A3767" r:id="rId10339" xr:uid="{00000000-0004-0000-0000-0000E0280000}"/>
    <hyperlink ref="C3767" r:id="rId10340" xr:uid="{00000000-0004-0000-0000-0000E1280000}"/>
    <hyperlink ref="D3767" r:id="rId10341" xr:uid="{00000000-0004-0000-0000-0000E2280000}"/>
    <hyperlink ref="A3768" r:id="rId10342" xr:uid="{00000000-0004-0000-0000-0000E3280000}"/>
    <hyperlink ref="C3768" r:id="rId10343" xr:uid="{00000000-0004-0000-0000-0000E4280000}"/>
    <hyperlink ref="D3768" r:id="rId10344" xr:uid="{00000000-0004-0000-0000-0000E5280000}"/>
    <hyperlink ref="A3769" r:id="rId10345" xr:uid="{00000000-0004-0000-0000-0000E6280000}"/>
    <hyperlink ref="C3769" r:id="rId10346" xr:uid="{00000000-0004-0000-0000-0000E7280000}"/>
    <hyperlink ref="D3769" r:id="rId10347" xr:uid="{00000000-0004-0000-0000-0000E8280000}"/>
    <hyperlink ref="A3770" r:id="rId10348" xr:uid="{00000000-0004-0000-0000-0000E9280000}"/>
    <hyperlink ref="C3770" r:id="rId10349" xr:uid="{00000000-0004-0000-0000-0000EA280000}"/>
    <hyperlink ref="D3770" r:id="rId10350" xr:uid="{00000000-0004-0000-0000-0000EB280000}"/>
    <hyperlink ref="A3771" r:id="rId10351" xr:uid="{00000000-0004-0000-0000-0000EC280000}"/>
    <hyperlink ref="C3771" r:id="rId10352" xr:uid="{00000000-0004-0000-0000-0000ED280000}"/>
    <hyperlink ref="D3771" r:id="rId10353" xr:uid="{00000000-0004-0000-0000-0000EE280000}"/>
    <hyperlink ref="A3772" r:id="rId10354" xr:uid="{00000000-0004-0000-0000-0000EF280000}"/>
    <hyperlink ref="C3772" r:id="rId10355" xr:uid="{00000000-0004-0000-0000-0000F0280000}"/>
    <hyperlink ref="D3772" r:id="rId10356" xr:uid="{00000000-0004-0000-0000-0000F1280000}"/>
    <hyperlink ref="A3773" r:id="rId10357" xr:uid="{00000000-0004-0000-0000-0000F2280000}"/>
    <hyperlink ref="C3773" r:id="rId10358" xr:uid="{00000000-0004-0000-0000-0000F3280000}"/>
    <hyperlink ref="D3773" r:id="rId10359" xr:uid="{00000000-0004-0000-0000-0000F4280000}"/>
    <hyperlink ref="A3774" r:id="rId10360" xr:uid="{00000000-0004-0000-0000-0000F5280000}"/>
    <hyperlink ref="C3774" r:id="rId10361" xr:uid="{00000000-0004-0000-0000-0000F6280000}"/>
    <hyperlink ref="D3774" r:id="rId10362" xr:uid="{00000000-0004-0000-0000-0000F7280000}"/>
    <hyperlink ref="A3775" r:id="rId10363" xr:uid="{00000000-0004-0000-0000-0000F8280000}"/>
    <hyperlink ref="C3775" r:id="rId10364" xr:uid="{00000000-0004-0000-0000-0000F9280000}"/>
    <hyperlink ref="D3775" r:id="rId10365" xr:uid="{00000000-0004-0000-0000-0000FA280000}"/>
    <hyperlink ref="A3776" r:id="rId10366" xr:uid="{00000000-0004-0000-0000-0000FB280000}"/>
    <hyperlink ref="C3776" r:id="rId10367" xr:uid="{00000000-0004-0000-0000-0000FC280000}"/>
    <hyperlink ref="D3776" r:id="rId10368" xr:uid="{00000000-0004-0000-0000-0000FD280000}"/>
    <hyperlink ref="A3777" r:id="rId10369" xr:uid="{00000000-0004-0000-0000-0000FE280000}"/>
    <hyperlink ref="C3777" r:id="rId10370" xr:uid="{00000000-0004-0000-0000-0000FF280000}"/>
    <hyperlink ref="D3777" r:id="rId10371" xr:uid="{00000000-0004-0000-0000-000000290000}"/>
    <hyperlink ref="A3778" r:id="rId10372" xr:uid="{00000000-0004-0000-0000-000001290000}"/>
    <hyperlink ref="C3778" r:id="rId10373" xr:uid="{00000000-0004-0000-0000-000002290000}"/>
    <hyperlink ref="D3778" r:id="rId10374" xr:uid="{00000000-0004-0000-0000-000003290000}"/>
    <hyperlink ref="A3779" r:id="rId10375" xr:uid="{00000000-0004-0000-0000-000004290000}"/>
    <hyperlink ref="C3779" r:id="rId10376" xr:uid="{00000000-0004-0000-0000-000005290000}"/>
    <hyperlink ref="D3779" r:id="rId10377" xr:uid="{00000000-0004-0000-0000-000006290000}"/>
    <hyperlink ref="A3780" r:id="rId10378" xr:uid="{00000000-0004-0000-0000-000007290000}"/>
    <hyperlink ref="C3780" r:id="rId10379" xr:uid="{00000000-0004-0000-0000-000008290000}"/>
    <hyperlink ref="D3780" r:id="rId10380" location="/overview" xr:uid="{00000000-0004-0000-0000-000009290000}"/>
    <hyperlink ref="A3781" r:id="rId10381" xr:uid="{00000000-0004-0000-0000-00000A290000}"/>
    <hyperlink ref="C3781" r:id="rId10382" xr:uid="{00000000-0004-0000-0000-00000B290000}"/>
    <hyperlink ref="D3781" r:id="rId10383" xr:uid="{00000000-0004-0000-0000-00000C290000}"/>
    <hyperlink ref="A3782" r:id="rId10384" xr:uid="{00000000-0004-0000-0000-00000D290000}"/>
    <hyperlink ref="C3782" r:id="rId10385" xr:uid="{00000000-0004-0000-0000-00000E290000}"/>
    <hyperlink ref="D3782" r:id="rId10386" xr:uid="{00000000-0004-0000-0000-00000F290000}"/>
    <hyperlink ref="A3783" r:id="rId10387" xr:uid="{00000000-0004-0000-0000-000010290000}"/>
    <hyperlink ref="C3783" r:id="rId10388" xr:uid="{00000000-0004-0000-0000-000011290000}"/>
    <hyperlink ref="D3783" r:id="rId10389" xr:uid="{00000000-0004-0000-0000-000012290000}"/>
    <hyperlink ref="A3784" r:id="rId10390" xr:uid="{00000000-0004-0000-0000-000013290000}"/>
    <hyperlink ref="C3784" r:id="rId10391" xr:uid="{00000000-0004-0000-0000-000014290000}"/>
    <hyperlink ref="D3784" r:id="rId10392" xr:uid="{00000000-0004-0000-0000-000015290000}"/>
    <hyperlink ref="A3785" r:id="rId10393" xr:uid="{00000000-0004-0000-0000-000016290000}"/>
    <hyperlink ref="C3785" r:id="rId10394" xr:uid="{00000000-0004-0000-0000-000017290000}"/>
    <hyperlink ref="D3785" r:id="rId10395" xr:uid="{00000000-0004-0000-0000-000018290000}"/>
    <hyperlink ref="A3786" r:id="rId10396" xr:uid="{00000000-0004-0000-0000-000019290000}"/>
    <hyperlink ref="C3786" r:id="rId10397" xr:uid="{00000000-0004-0000-0000-00001A290000}"/>
    <hyperlink ref="D3786" r:id="rId10398" xr:uid="{00000000-0004-0000-0000-00001B290000}"/>
    <hyperlink ref="C3787" r:id="rId10399" xr:uid="{00000000-0004-0000-0000-00001C290000}"/>
    <hyperlink ref="D3787" r:id="rId10400" xr:uid="{00000000-0004-0000-0000-00001D290000}"/>
    <hyperlink ref="A3788" r:id="rId10401" xr:uid="{00000000-0004-0000-0000-00001E290000}"/>
    <hyperlink ref="C3788" r:id="rId10402" xr:uid="{00000000-0004-0000-0000-00001F290000}"/>
    <hyperlink ref="D3788" r:id="rId10403" xr:uid="{00000000-0004-0000-0000-000020290000}"/>
    <hyperlink ref="A3789" r:id="rId10404" xr:uid="{00000000-0004-0000-0000-000021290000}"/>
    <hyperlink ref="C3789" r:id="rId10405" xr:uid="{00000000-0004-0000-0000-000022290000}"/>
    <hyperlink ref="D3789" r:id="rId10406" xr:uid="{00000000-0004-0000-0000-000023290000}"/>
    <hyperlink ref="A3790" r:id="rId10407" xr:uid="{00000000-0004-0000-0000-000024290000}"/>
    <hyperlink ref="C3790" r:id="rId10408" xr:uid="{00000000-0004-0000-0000-000025290000}"/>
    <hyperlink ref="D3790" r:id="rId10409" xr:uid="{00000000-0004-0000-0000-000026290000}"/>
    <hyperlink ref="A3791" r:id="rId10410" xr:uid="{00000000-0004-0000-0000-000027290000}"/>
    <hyperlink ref="C3791" r:id="rId10411" xr:uid="{00000000-0004-0000-0000-000028290000}"/>
    <hyperlink ref="D3791" r:id="rId10412" xr:uid="{00000000-0004-0000-0000-000029290000}"/>
    <hyperlink ref="A3792" r:id="rId10413" xr:uid="{00000000-0004-0000-0000-00002A290000}"/>
    <hyperlink ref="C3792" r:id="rId10414" xr:uid="{00000000-0004-0000-0000-00002B290000}"/>
    <hyperlink ref="D3792" r:id="rId10415" xr:uid="{00000000-0004-0000-0000-00002C290000}"/>
    <hyperlink ref="C3793" r:id="rId10416" xr:uid="{00000000-0004-0000-0000-00002D290000}"/>
    <hyperlink ref="D3793" r:id="rId10417" xr:uid="{00000000-0004-0000-0000-00002E290000}"/>
    <hyperlink ref="A3794" r:id="rId10418" xr:uid="{00000000-0004-0000-0000-00002F290000}"/>
    <hyperlink ref="C3794" r:id="rId10419" xr:uid="{00000000-0004-0000-0000-000030290000}"/>
    <hyperlink ref="D3794" r:id="rId10420" xr:uid="{00000000-0004-0000-0000-000031290000}"/>
    <hyperlink ref="A3795" r:id="rId10421" xr:uid="{00000000-0004-0000-0000-000032290000}"/>
    <hyperlink ref="C3795" r:id="rId10422" xr:uid="{00000000-0004-0000-0000-000033290000}"/>
    <hyperlink ref="D3795" r:id="rId10423" xr:uid="{00000000-0004-0000-0000-000034290000}"/>
    <hyperlink ref="A3796" r:id="rId10424" xr:uid="{00000000-0004-0000-0000-000035290000}"/>
    <hyperlink ref="C3796" r:id="rId10425" xr:uid="{00000000-0004-0000-0000-000036290000}"/>
    <hyperlink ref="D3796" r:id="rId10426" xr:uid="{00000000-0004-0000-0000-000037290000}"/>
    <hyperlink ref="A3797" r:id="rId10427" xr:uid="{00000000-0004-0000-0000-000038290000}"/>
    <hyperlink ref="C3797" r:id="rId10428" xr:uid="{00000000-0004-0000-0000-000039290000}"/>
    <hyperlink ref="D3797" r:id="rId10429" xr:uid="{00000000-0004-0000-0000-00003A290000}"/>
    <hyperlink ref="C3798" r:id="rId10430" xr:uid="{00000000-0004-0000-0000-00003B290000}"/>
    <hyperlink ref="D3798" r:id="rId10431" xr:uid="{00000000-0004-0000-0000-00003C290000}"/>
    <hyperlink ref="A3799" r:id="rId10432" xr:uid="{00000000-0004-0000-0000-00003D290000}"/>
    <hyperlink ref="C3799" r:id="rId10433" xr:uid="{00000000-0004-0000-0000-00003E290000}"/>
    <hyperlink ref="D3799" r:id="rId10434" xr:uid="{00000000-0004-0000-0000-00003F290000}"/>
    <hyperlink ref="A3800" r:id="rId10435" xr:uid="{00000000-0004-0000-0000-000040290000}"/>
    <hyperlink ref="C3800" r:id="rId10436" xr:uid="{00000000-0004-0000-0000-000041290000}"/>
    <hyperlink ref="D3800" r:id="rId10437" xr:uid="{00000000-0004-0000-0000-000042290000}"/>
    <hyperlink ref="A3801" r:id="rId10438" xr:uid="{00000000-0004-0000-0000-000043290000}"/>
    <hyperlink ref="C3801" r:id="rId10439" xr:uid="{00000000-0004-0000-0000-000044290000}"/>
    <hyperlink ref="D3801" r:id="rId10440" xr:uid="{00000000-0004-0000-0000-000045290000}"/>
    <hyperlink ref="A3802" r:id="rId10441" xr:uid="{00000000-0004-0000-0000-000046290000}"/>
    <hyperlink ref="C3802" r:id="rId10442" xr:uid="{00000000-0004-0000-0000-000047290000}"/>
    <hyperlink ref="D3802" r:id="rId10443" xr:uid="{00000000-0004-0000-0000-000048290000}"/>
    <hyperlink ref="A3803" r:id="rId10444" xr:uid="{00000000-0004-0000-0000-000049290000}"/>
    <hyperlink ref="C3803" r:id="rId10445" xr:uid="{00000000-0004-0000-0000-00004A290000}"/>
    <hyperlink ref="D3803" r:id="rId10446" xr:uid="{00000000-0004-0000-0000-00004B290000}"/>
    <hyperlink ref="A3804" r:id="rId10447" xr:uid="{00000000-0004-0000-0000-00004C290000}"/>
    <hyperlink ref="C3804" r:id="rId10448" xr:uid="{00000000-0004-0000-0000-00004D290000}"/>
    <hyperlink ref="D3804" r:id="rId10449" xr:uid="{00000000-0004-0000-0000-00004E290000}"/>
    <hyperlink ref="A3805" r:id="rId10450" xr:uid="{00000000-0004-0000-0000-00004F290000}"/>
    <hyperlink ref="C3805" r:id="rId10451" xr:uid="{00000000-0004-0000-0000-000050290000}"/>
    <hyperlink ref="D3805" r:id="rId10452" xr:uid="{00000000-0004-0000-0000-000051290000}"/>
    <hyperlink ref="A3806" r:id="rId10453" xr:uid="{00000000-0004-0000-0000-000052290000}"/>
    <hyperlink ref="C3806" r:id="rId10454" xr:uid="{00000000-0004-0000-0000-000053290000}"/>
    <hyperlink ref="D3806" r:id="rId10455" xr:uid="{00000000-0004-0000-0000-000054290000}"/>
    <hyperlink ref="A3807" r:id="rId10456" xr:uid="{00000000-0004-0000-0000-000055290000}"/>
    <hyperlink ref="C3807" r:id="rId10457" xr:uid="{00000000-0004-0000-0000-000056290000}"/>
    <hyperlink ref="D3807" r:id="rId10458" xr:uid="{00000000-0004-0000-0000-000057290000}"/>
    <hyperlink ref="A3808" r:id="rId10459" xr:uid="{00000000-0004-0000-0000-000058290000}"/>
    <hyperlink ref="C3808" r:id="rId10460" xr:uid="{00000000-0004-0000-0000-000059290000}"/>
    <hyperlink ref="D3808" r:id="rId10461" xr:uid="{00000000-0004-0000-0000-00005A290000}"/>
    <hyperlink ref="A3809" r:id="rId10462" xr:uid="{00000000-0004-0000-0000-00005B290000}"/>
    <hyperlink ref="C3809" r:id="rId10463" xr:uid="{00000000-0004-0000-0000-00005C290000}"/>
    <hyperlink ref="D3809" r:id="rId10464" xr:uid="{00000000-0004-0000-0000-00005D290000}"/>
    <hyperlink ref="A3810" r:id="rId10465" xr:uid="{00000000-0004-0000-0000-00005E290000}"/>
    <hyperlink ref="C3810" r:id="rId10466" xr:uid="{00000000-0004-0000-0000-00005F290000}"/>
    <hyperlink ref="D3810" r:id="rId10467" xr:uid="{00000000-0004-0000-0000-000060290000}"/>
    <hyperlink ref="A3811" r:id="rId10468" xr:uid="{00000000-0004-0000-0000-000061290000}"/>
    <hyperlink ref="C3811" r:id="rId10469" xr:uid="{00000000-0004-0000-0000-000062290000}"/>
    <hyperlink ref="D3811" r:id="rId10470" xr:uid="{00000000-0004-0000-0000-000063290000}"/>
    <hyperlink ref="A3812" r:id="rId10471" xr:uid="{00000000-0004-0000-0000-000064290000}"/>
    <hyperlink ref="C3812" r:id="rId10472" xr:uid="{00000000-0004-0000-0000-000065290000}"/>
    <hyperlink ref="D3812" r:id="rId10473" xr:uid="{00000000-0004-0000-0000-000066290000}"/>
    <hyperlink ref="A3813" r:id="rId10474" xr:uid="{00000000-0004-0000-0000-000067290000}"/>
    <hyperlink ref="C3813" r:id="rId10475" xr:uid="{00000000-0004-0000-0000-000068290000}"/>
    <hyperlink ref="D3813" r:id="rId10476" xr:uid="{00000000-0004-0000-0000-000069290000}"/>
    <hyperlink ref="A3814" r:id="rId10477" xr:uid="{00000000-0004-0000-0000-00006A290000}"/>
    <hyperlink ref="C3814" r:id="rId10478" xr:uid="{00000000-0004-0000-0000-00006B290000}"/>
    <hyperlink ref="D3814" r:id="rId10479" xr:uid="{00000000-0004-0000-0000-00006C290000}"/>
    <hyperlink ref="C3815" r:id="rId10480" xr:uid="{00000000-0004-0000-0000-00006D290000}"/>
    <hyperlink ref="D3815" r:id="rId10481" xr:uid="{00000000-0004-0000-0000-00006E290000}"/>
    <hyperlink ref="C3816" r:id="rId10482" xr:uid="{00000000-0004-0000-0000-00006F290000}"/>
    <hyperlink ref="D3816" r:id="rId10483" xr:uid="{00000000-0004-0000-0000-000070290000}"/>
    <hyperlink ref="A3817" r:id="rId10484" xr:uid="{00000000-0004-0000-0000-000071290000}"/>
    <hyperlink ref="C3817" r:id="rId10485" xr:uid="{00000000-0004-0000-0000-000072290000}"/>
    <hyperlink ref="D3817" r:id="rId10486" xr:uid="{00000000-0004-0000-0000-000073290000}"/>
    <hyperlink ref="A3818" r:id="rId10487" xr:uid="{00000000-0004-0000-0000-000074290000}"/>
    <hyperlink ref="C3818" r:id="rId10488" xr:uid="{00000000-0004-0000-0000-000075290000}"/>
    <hyperlink ref="D3818" r:id="rId10489" xr:uid="{00000000-0004-0000-0000-000076290000}"/>
    <hyperlink ref="A3819" r:id="rId10490" xr:uid="{00000000-0004-0000-0000-000077290000}"/>
    <hyperlink ref="C3819" r:id="rId10491" xr:uid="{00000000-0004-0000-0000-000078290000}"/>
    <hyperlink ref="D3819" r:id="rId10492" xr:uid="{00000000-0004-0000-0000-000079290000}"/>
    <hyperlink ref="A3820" r:id="rId10493" xr:uid="{00000000-0004-0000-0000-00007A290000}"/>
    <hyperlink ref="C3820" r:id="rId10494" xr:uid="{00000000-0004-0000-0000-00007B290000}"/>
    <hyperlink ref="D3820" r:id="rId10495" xr:uid="{00000000-0004-0000-0000-00007C290000}"/>
    <hyperlink ref="C3821" r:id="rId10496" xr:uid="{00000000-0004-0000-0000-00007D290000}"/>
    <hyperlink ref="D3821" r:id="rId10497" xr:uid="{00000000-0004-0000-0000-00007E290000}"/>
    <hyperlink ref="C3822" r:id="rId10498" xr:uid="{00000000-0004-0000-0000-00007F290000}"/>
    <hyperlink ref="D3822" r:id="rId10499" xr:uid="{00000000-0004-0000-0000-000080290000}"/>
    <hyperlink ref="A3823" r:id="rId10500" xr:uid="{00000000-0004-0000-0000-000081290000}"/>
    <hyperlink ref="C3823" r:id="rId10501" xr:uid="{00000000-0004-0000-0000-000082290000}"/>
    <hyperlink ref="D3823" r:id="rId10502" xr:uid="{00000000-0004-0000-0000-000083290000}"/>
    <hyperlink ref="A3824" r:id="rId10503" xr:uid="{00000000-0004-0000-0000-000084290000}"/>
    <hyperlink ref="C3824" r:id="rId10504" xr:uid="{00000000-0004-0000-0000-000085290000}"/>
    <hyperlink ref="D3824" r:id="rId10505" xr:uid="{00000000-0004-0000-0000-000086290000}"/>
    <hyperlink ref="A3825" r:id="rId10506" xr:uid="{00000000-0004-0000-0000-000087290000}"/>
    <hyperlink ref="C3825" r:id="rId10507" xr:uid="{00000000-0004-0000-0000-000088290000}"/>
    <hyperlink ref="D3825" r:id="rId10508" xr:uid="{00000000-0004-0000-0000-000089290000}"/>
    <hyperlink ref="A3826" r:id="rId10509" xr:uid="{00000000-0004-0000-0000-00008A290000}"/>
    <hyperlink ref="C3826" r:id="rId10510" xr:uid="{00000000-0004-0000-0000-00008B290000}"/>
    <hyperlink ref="D3826" r:id="rId10511" xr:uid="{00000000-0004-0000-0000-00008C290000}"/>
    <hyperlink ref="A3827" r:id="rId10512" xr:uid="{00000000-0004-0000-0000-00008D290000}"/>
    <hyperlink ref="C3827" r:id="rId10513" xr:uid="{00000000-0004-0000-0000-00008E290000}"/>
    <hyperlink ref="D3827" r:id="rId10514" xr:uid="{00000000-0004-0000-0000-00008F290000}"/>
    <hyperlink ref="C3828" r:id="rId10515" xr:uid="{00000000-0004-0000-0000-000090290000}"/>
    <hyperlink ref="D3828" r:id="rId10516" xr:uid="{00000000-0004-0000-0000-000091290000}"/>
    <hyperlink ref="A3829" r:id="rId10517" xr:uid="{00000000-0004-0000-0000-000092290000}"/>
    <hyperlink ref="C3829" r:id="rId10518" xr:uid="{00000000-0004-0000-0000-000093290000}"/>
    <hyperlink ref="D3829" r:id="rId10519" xr:uid="{00000000-0004-0000-0000-000094290000}"/>
    <hyperlink ref="A3830" r:id="rId10520" xr:uid="{00000000-0004-0000-0000-000095290000}"/>
    <hyperlink ref="C3830" r:id="rId10521" xr:uid="{00000000-0004-0000-0000-000096290000}"/>
    <hyperlink ref="D3830" r:id="rId10522" xr:uid="{00000000-0004-0000-0000-000097290000}"/>
    <hyperlink ref="A3831" r:id="rId10523" xr:uid="{00000000-0004-0000-0000-000098290000}"/>
    <hyperlink ref="C3831" r:id="rId10524" xr:uid="{00000000-0004-0000-0000-000099290000}"/>
    <hyperlink ref="D3831" r:id="rId10525" xr:uid="{00000000-0004-0000-0000-00009A290000}"/>
    <hyperlink ref="A3832" r:id="rId10526" xr:uid="{00000000-0004-0000-0000-00009B290000}"/>
    <hyperlink ref="C3832" r:id="rId10527" xr:uid="{00000000-0004-0000-0000-00009C290000}"/>
    <hyperlink ref="D3832" r:id="rId10528" xr:uid="{00000000-0004-0000-0000-00009D290000}"/>
    <hyperlink ref="A3833" r:id="rId10529" xr:uid="{00000000-0004-0000-0000-00009E290000}"/>
    <hyperlink ref="C3833" r:id="rId10530" xr:uid="{00000000-0004-0000-0000-00009F290000}"/>
    <hyperlink ref="D3833" r:id="rId10531" xr:uid="{00000000-0004-0000-0000-0000A0290000}"/>
    <hyperlink ref="A3834" r:id="rId10532" xr:uid="{00000000-0004-0000-0000-0000A1290000}"/>
    <hyperlink ref="C3834" r:id="rId10533" xr:uid="{00000000-0004-0000-0000-0000A2290000}"/>
    <hyperlink ref="D3834" r:id="rId10534" xr:uid="{00000000-0004-0000-0000-0000A3290000}"/>
    <hyperlink ref="A3835" r:id="rId10535" xr:uid="{00000000-0004-0000-0000-0000A4290000}"/>
    <hyperlink ref="C3835" r:id="rId10536" xr:uid="{00000000-0004-0000-0000-0000A5290000}"/>
    <hyperlink ref="D3835" r:id="rId10537" xr:uid="{00000000-0004-0000-0000-0000A6290000}"/>
    <hyperlink ref="A3836" r:id="rId10538" xr:uid="{00000000-0004-0000-0000-0000A7290000}"/>
    <hyperlink ref="C3836" r:id="rId10539" xr:uid="{00000000-0004-0000-0000-0000A8290000}"/>
    <hyperlink ref="D3836" r:id="rId10540" xr:uid="{00000000-0004-0000-0000-0000A9290000}"/>
    <hyperlink ref="A3837" r:id="rId10541" xr:uid="{00000000-0004-0000-0000-0000AA290000}"/>
    <hyperlink ref="C3837" r:id="rId10542" xr:uid="{00000000-0004-0000-0000-0000AB290000}"/>
    <hyperlink ref="D3837" r:id="rId10543" xr:uid="{00000000-0004-0000-0000-0000AC290000}"/>
    <hyperlink ref="E3837" r:id="rId10544" xr:uid="{00000000-0004-0000-0000-0000AD290000}"/>
    <hyperlink ref="A3838" r:id="rId10545" xr:uid="{00000000-0004-0000-0000-0000AE290000}"/>
    <hyperlink ref="C3838" r:id="rId10546" xr:uid="{00000000-0004-0000-0000-0000AF290000}"/>
    <hyperlink ref="D3838" r:id="rId10547" xr:uid="{00000000-0004-0000-0000-0000B0290000}"/>
    <hyperlink ref="A3839" r:id="rId10548" xr:uid="{00000000-0004-0000-0000-0000B1290000}"/>
    <hyperlink ref="C3839" r:id="rId10549" xr:uid="{00000000-0004-0000-0000-0000B2290000}"/>
    <hyperlink ref="D3839" r:id="rId10550" xr:uid="{00000000-0004-0000-0000-0000B3290000}"/>
    <hyperlink ref="A3840" r:id="rId10551" xr:uid="{00000000-0004-0000-0000-0000B4290000}"/>
    <hyperlink ref="C3840" r:id="rId10552" xr:uid="{00000000-0004-0000-0000-0000B5290000}"/>
    <hyperlink ref="D3840" r:id="rId10553" xr:uid="{00000000-0004-0000-0000-0000B6290000}"/>
    <hyperlink ref="A3841" r:id="rId10554" xr:uid="{00000000-0004-0000-0000-0000B7290000}"/>
    <hyperlink ref="C3841" r:id="rId10555" xr:uid="{00000000-0004-0000-0000-0000B8290000}"/>
    <hyperlink ref="D3841" r:id="rId10556" xr:uid="{00000000-0004-0000-0000-0000B9290000}"/>
    <hyperlink ref="A3842" r:id="rId10557" xr:uid="{00000000-0004-0000-0000-0000BA290000}"/>
    <hyperlink ref="C3842" r:id="rId10558" xr:uid="{00000000-0004-0000-0000-0000BB290000}"/>
    <hyperlink ref="D3842" r:id="rId10559" xr:uid="{00000000-0004-0000-0000-0000BC290000}"/>
    <hyperlink ref="C3843" r:id="rId10560" xr:uid="{00000000-0004-0000-0000-0000BD290000}"/>
    <hyperlink ref="D3843" r:id="rId10561" xr:uid="{00000000-0004-0000-0000-0000BE290000}"/>
    <hyperlink ref="A3844" r:id="rId10562" xr:uid="{00000000-0004-0000-0000-0000BF290000}"/>
    <hyperlink ref="C3844" r:id="rId10563" xr:uid="{00000000-0004-0000-0000-0000C0290000}"/>
    <hyperlink ref="D3844" r:id="rId10564" xr:uid="{00000000-0004-0000-0000-0000C1290000}"/>
    <hyperlink ref="A3845" r:id="rId10565" xr:uid="{00000000-0004-0000-0000-0000C2290000}"/>
    <hyperlink ref="C3845" r:id="rId10566" xr:uid="{00000000-0004-0000-0000-0000C3290000}"/>
    <hyperlink ref="D3845" r:id="rId10567" xr:uid="{00000000-0004-0000-0000-0000C4290000}"/>
    <hyperlink ref="A3846" r:id="rId10568" xr:uid="{00000000-0004-0000-0000-0000C5290000}"/>
    <hyperlink ref="C3846" r:id="rId10569" xr:uid="{00000000-0004-0000-0000-0000C6290000}"/>
    <hyperlink ref="D3846" r:id="rId10570" xr:uid="{00000000-0004-0000-0000-0000C7290000}"/>
    <hyperlink ref="C3847" r:id="rId10571" xr:uid="{00000000-0004-0000-0000-0000C8290000}"/>
    <hyperlink ref="D3847" r:id="rId10572" xr:uid="{00000000-0004-0000-0000-0000C9290000}"/>
    <hyperlink ref="A3848" r:id="rId10573" xr:uid="{00000000-0004-0000-0000-0000CA290000}"/>
    <hyperlink ref="C3848" r:id="rId10574" xr:uid="{00000000-0004-0000-0000-0000CB290000}"/>
    <hyperlink ref="D3848" r:id="rId10575" xr:uid="{00000000-0004-0000-0000-0000CC290000}"/>
    <hyperlink ref="A3849" r:id="rId10576" xr:uid="{00000000-0004-0000-0000-0000CD290000}"/>
    <hyperlink ref="C3849" r:id="rId10577" xr:uid="{00000000-0004-0000-0000-0000CE290000}"/>
    <hyperlink ref="D3849" r:id="rId10578" xr:uid="{00000000-0004-0000-0000-0000CF290000}"/>
    <hyperlink ref="A3850" r:id="rId10579" xr:uid="{00000000-0004-0000-0000-0000D0290000}"/>
    <hyperlink ref="C3850" r:id="rId10580" xr:uid="{00000000-0004-0000-0000-0000D1290000}"/>
    <hyperlink ref="D3850" r:id="rId10581" xr:uid="{00000000-0004-0000-0000-0000D2290000}"/>
    <hyperlink ref="A3851" r:id="rId10582" xr:uid="{00000000-0004-0000-0000-0000D3290000}"/>
    <hyperlink ref="C3851" r:id="rId10583" xr:uid="{00000000-0004-0000-0000-0000D4290000}"/>
    <hyperlink ref="D3851" r:id="rId10584" xr:uid="{00000000-0004-0000-0000-0000D5290000}"/>
    <hyperlink ref="A3852" r:id="rId10585" xr:uid="{00000000-0004-0000-0000-0000D6290000}"/>
    <hyperlink ref="C3852" r:id="rId10586" xr:uid="{00000000-0004-0000-0000-0000D7290000}"/>
    <hyperlink ref="D3852" r:id="rId10587" xr:uid="{00000000-0004-0000-0000-0000D8290000}"/>
    <hyperlink ref="A3853" r:id="rId10588" xr:uid="{00000000-0004-0000-0000-0000D9290000}"/>
    <hyperlink ref="C3853" r:id="rId10589" xr:uid="{00000000-0004-0000-0000-0000DA290000}"/>
    <hyperlink ref="D3853" r:id="rId10590" xr:uid="{00000000-0004-0000-0000-0000DB290000}"/>
    <hyperlink ref="A3854" r:id="rId10591" xr:uid="{00000000-0004-0000-0000-0000DC290000}"/>
    <hyperlink ref="C3854" r:id="rId10592" xr:uid="{00000000-0004-0000-0000-0000DD290000}"/>
    <hyperlink ref="D3854" r:id="rId10593" xr:uid="{00000000-0004-0000-0000-0000DE290000}"/>
    <hyperlink ref="A3855" r:id="rId10594" xr:uid="{00000000-0004-0000-0000-0000DF290000}"/>
    <hyperlink ref="C3855" r:id="rId10595" xr:uid="{00000000-0004-0000-0000-0000E0290000}"/>
    <hyperlink ref="D3855" r:id="rId10596" xr:uid="{00000000-0004-0000-0000-0000E1290000}"/>
    <hyperlink ref="A3856" r:id="rId10597" xr:uid="{00000000-0004-0000-0000-0000E2290000}"/>
    <hyperlink ref="C3856" r:id="rId10598" xr:uid="{00000000-0004-0000-0000-0000E3290000}"/>
    <hyperlink ref="D3856" r:id="rId10599" xr:uid="{00000000-0004-0000-0000-0000E4290000}"/>
    <hyperlink ref="A3857" r:id="rId10600" xr:uid="{00000000-0004-0000-0000-0000E5290000}"/>
    <hyperlink ref="C3857" r:id="rId10601" xr:uid="{00000000-0004-0000-0000-0000E6290000}"/>
    <hyperlink ref="D3857" r:id="rId10602" xr:uid="{00000000-0004-0000-0000-0000E7290000}"/>
    <hyperlink ref="A3858" r:id="rId10603" xr:uid="{00000000-0004-0000-0000-0000E8290000}"/>
    <hyperlink ref="C3858" r:id="rId10604" xr:uid="{00000000-0004-0000-0000-0000E9290000}"/>
    <hyperlink ref="D3858" r:id="rId10605" xr:uid="{00000000-0004-0000-0000-0000EA290000}"/>
    <hyperlink ref="A3859" r:id="rId10606" xr:uid="{00000000-0004-0000-0000-0000EB290000}"/>
    <hyperlink ref="C3859" r:id="rId10607" xr:uid="{00000000-0004-0000-0000-0000EC290000}"/>
    <hyperlink ref="D3859" r:id="rId10608" xr:uid="{00000000-0004-0000-0000-0000ED290000}"/>
    <hyperlink ref="A3860" r:id="rId10609" xr:uid="{00000000-0004-0000-0000-0000EE290000}"/>
    <hyperlink ref="C3860" r:id="rId10610" xr:uid="{00000000-0004-0000-0000-0000EF290000}"/>
    <hyperlink ref="D3860" r:id="rId10611" xr:uid="{00000000-0004-0000-0000-0000F0290000}"/>
    <hyperlink ref="A3861" r:id="rId10612" xr:uid="{00000000-0004-0000-0000-0000F1290000}"/>
    <hyperlink ref="C3861" r:id="rId10613" xr:uid="{00000000-0004-0000-0000-0000F2290000}"/>
    <hyperlink ref="D3861" r:id="rId10614" xr:uid="{00000000-0004-0000-0000-0000F3290000}"/>
    <hyperlink ref="A3862" r:id="rId10615" xr:uid="{00000000-0004-0000-0000-0000F4290000}"/>
    <hyperlink ref="C3862" r:id="rId10616" xr:uid="{00000000-0004-0000-0000-0000F5290000}"/>
    <hyperlink ref="D3862" r:id="rId10617" xr:uid="{00000000-0004-0000-0000-0000F6290000}"/>
    <hyperlink ref="A3863" r:id="rId10618" xr:uid="{00000000-0004-0000-0000-0000F7290000}"/>
    <hyperlink ref="C3863" r:id="rId10619" xr:uid="{00000000-0004-0000-0000-0000F8290000}"/>
    <hyperlink ref="D3863" r:id="rId10620" xr:uid="{00000000-0004-0000-0000-0000F9290000}"/>
    <hyperlink ref="A3864" r:id="rId10621" xr:uid="{00000000-0004-0000-0000-0000FA290000}"/>
    <hyperlink ref="C3864" r:id="rId10622" xr:uid="{00000000-0004-0000-0000-0000FB290000}"/>
    <hyperlink ref="D3864" r:id="rId10623" xr:uid="{00000000-0004-0000-0000-0000FC290000}"/>
    <hyperlink ref="A3865" r:id="rId10624" xr:uid="{00000000-0004-0000-0000-0000FD290000}"/>
    <hyperlink ref="C3865" r:id="rId10625" xr:uid="{00000000-0004-0000-0000-0000FE290000}"/>
    <hyperlink ref="D3865" r:id="rId10626" xr:uid="{00000000-0004-0000-0000-0000FF290000}"/>
    <hyperlink ref="A3866" r:id="rId10627" xr:uid="{00000000-0004-0000-0000-0000002A0000}"/>
    <hyperlink ref="C3866" r:id="rId10628" xr:uid="{00000000-0004-0000-0000-0000012A0000}"/>
    <hyperlink ref="D3866" r:id="rId10629" xr:uid="{00000000-0004-0000-0000-0000022A0000}"/>
    <hyperlink ref="A3867" r:id="rId10630" xr:uid="{00000000-0004-0000-0000-0000032A0000}"/>
    <hyperlink ref="C3867" r:id="rId10631" xr:uid="{00000000-0004-0000-0000-0000042A0000}"/>
    <hyperlink ref="D3867" r:id="rId10632" xr:uid="{00000000-0004-0000-0000-0000052A0000}"/>
    <hyperlink ref="A3868" r:id="rId10633" xr:uid="{00000000-0004-0000-0000-0000062A0000}"/>
    <hyperlink ref="C3868" r:id="rId10634" xr:uid="{00000000-0004-0000-0000-0000072A0000}"/>
    <hyperlink ref="D3868" r:id="rId10635" xr:uid="{00000000-0004-0000-0000-0000082A0000}"/>
    <hyperlink ref="A3869" r:id="rId10636" xr:uid="{00000000-0004-0000-0000-0000092A0000}"/>
    <hyperlink ref="C3869" r:id="rId10637" xr:uid="{00000000-0004-0000-0000-00000A2A0000}"/>
    <hyperlink ref="D3869" r:id="rId10638" xr:uid="{00000000-0004-0000-0000-00000B2A0000}"/>
    <hyperlink ref="C3870" r:id="rId10639" xr:uid="{00000000-0004-0000-0000-00000C2A0000}"/>
    <hyperlink ref="D3870" r:id="rId10640" xr:uid="{00000000-0004-0000-0000-00000D2A0000}"/>
    <hyperlink ref="A3871" r:id="rId10641" xr:uid="{00000000-0004-0000-0000-00000E2A0000}"/>
    <hyperlink ref="C3871" r:id="rId10642" xr:uid="{00000000-0004-0000-0000-00000F2A0000}"/>
    <hyperlink ref="D3871" r:id="rId10643" xr:uid="{00000000-0004-0000-0000-0000102A0000}"/>
    <hyperlink ref="A3872" r:id="rId10644" xr:uid="{00000000-0004-0000-0000-0000112A0000}"/>
    <hyperlink ref="C3872" r:id="rId10645" xr:uid="{00000000-0004-0000-0000-0000122A0000}"/>
    <hyperlink ref="D3872" r:id="rId10646" xr:uid="{00000000-0004-0000-0000-0000132A0000}"/>
    <hyperlink ref="A3873" r:id="rId10647" xr:uid="{00000000-0004-0000-0000-0000142A0000}"/>
    <hyperlink ref="C3873" r:id="rId10648" xr:uid="{00000000-0004-0000-0000-0000152A0000}"/>
    <hyperlink ref="D3873" r:id="rId10649" xr:uid="{00000000-0004-0000-0000-0000162A0000}"/>
    <hyperlink ref="A3874" r:id="rId10650" xr:uid="{00000000-0004-0000-0000-0000172A0000}"/>
    <hyperlink ref="C3874" r:id="rId10651" xr:uid="{00000000-0004-0000-0000-0000182A0000}"/>
    <hyperlink ref="D3874" r:id="rId10652" xr:uid="{00000000-0004-0000-0000-0000192A0000}"/>
    <hyperlink ref="A3875" r:id="rId10653" xr:uid="{00000000-0004-0000-0000-00001A2A0000}"/>
    <hyperlink ref="C3875" r:id="rId10654" xr:uid="{00000000-0004-0000-0000-00001B2A0000}"/>
    <hyperlink ref="D3875" r:id="rId10655" xr:uid="{00000000-0004-0000-0000-00001C2A0000}"/>
    <hyperlink ref="A3876" r:id="rId10656" xr:uid="{00000000-0004-0000-0000-00001D2A0000}"/>
    <hyperlink ref="C3876" r:id="rId10657" xr:uid="{00000000-0004-0000-0000-00001E2A0000}"/>
    <hyperlink ref="D3876" r:id="rId10658" xr:uid="{00000000-0004-0000-0000-00001F2A0000}"/>
    <hyperlink ref="A3877" r:id="rId10659" xr:uid="{00000000-0004-0000-0000-0000202A0000}"/>
    <hyperlink ref="C3877" r:id="rId10660" xr:uid="{00000000-0004-0000-0000-0000212A0000}"/>
    <hyperlink ref="D3877" r:id="rId10661" xr:uid="{00000000-0004-0000-0000-0000222A0000}"/>
    <hyperlink ref="A3878" r:id="rId10662" xr:uid="{00000000-0004-0000-0000-0000232A0000}"/>
    <hyperlink ref="C3878" r:id="rId10663" xr:uid="{00000000-0004-0000-0000-0000242A0000}"/>
    <hyperlink ref="D3878" r:id="rId10664" xr:uid="{00000000-0004-0000-0000-0000252A0000}"/>
    <hyperlink ref="A3879" r:id="rId10665" xr:uid="{00000000-0004-0000-0000-0000262A0000}"/>
    <hyperlink ref="C3879" r:id="rId10666" xr:uid="{00000000-0004-0000-0000-0000272A0000}"/>
    <hyperlink ref="D3879" r:id="rId10667" xr:uid="{00000000-0004-0000-0000-0000282A0000}"/>
    <hyperlink ref="A3880" r:id="rId10668" xr:uid="{00000000-0004-0000-0000-0000292A0000}"/>
    <hyperlink ref="C3880" r:id="rId10669" xr:uid="{00000000-0004-0000-0000-00002A2A0000}"/>
    <hyperlink ref="D3880" r:id="rId10670" xr:uid="{00000000-0004-0000-0000-00002B2A0000}"/>
    <hyperlink ref="C3881" r:id="rId10671" xr:uid="{00000000-0004-0000-0000-00002C2A0000}"/>
    <hyperlink ref="D3881" r:id="rId10672" xr:uid="{00000000-0004-0000-0000-00002D2A0000}"/>
    <hyperlink ref="C3882" r:id="rId10673" xr:uid="{00000000-0004-0000-0000-00002E2A0000}"/>
    <hyperlink ref="D3882" r:id="rId10674" xr:uid="{00000000-0004-0000-0000-00002F2A0000}"/>
    <hyperlink ref="C3883" r:id="rId10675" xr:uid="{00000000-0004-0000-0000-0000302A0000}"/>
    <hyperlink ref="D3883" r:id="rId10676" xr:uid="{00000000-0004-0000-0000-0000312A0000}"/>
    <hyperlink ref="C3884" r:id="rId10677" xr:uid="{00000000-0004-0000-0000-0000322A0000}"/>
    <hyperlink ref="D3884" r:id="rId10678" xr:uid="{00000000-0004-0000-0000-0000332A0000}"/>
    <hyperlink ref="A3885" r:id="rId10679" xr:uid="{00000000-0004-0000-0000-0000342A0000}"/>
    <hyperlink ref="C3885" r:id="rId10680" xr:uid="{00000000-0004-0000-0000-0000352A0000}"/>
    <hyperlink ref="D3885" r:id="rId10681" xr:uid="{00000000-0004-0000-0000-0000362A0000}"/>
    <hyperlink ref="A3886" r:id="rId10682" xr:uid="{00000000-0004-0000-0000-0000372A0000}"/>
    <hyperlink ref="C3886" r:id="rId10683" xr:uid="{00000000-0004-0000-0000-0000382A0000}"/>
    <hyperlink ref="D3886" r:id="rId10684" xr:uid="{00000000-0004-0000-0000-0000392A0000}"/>
    <hyperlink ref="C3887" r:id="rId10685" xr:uid="{00000000-0004-0000-0000-00003A2A0000}"/>
    <hyperlink ref="D3887" r:id="rId10686" xr:uid="{00000000-0004-0000-0000-00003B2A0000}"/>
    <hyperlink ref="A3888" r:id="rId10687" xr:uid="{00000000-0004-0000-0000-00003C2A0000}"/>
    <hyperlink ref="C3888" r:id="rId10688" xr:uid="{00000000-0004-0000-0000-00003D2A0000}"/>
    <hyperlink ref="D3888" r:id="rId10689" xr:uid="{00000000-0004-0000-0000-00003E2A0000}"/>
    <hyperlink ref="A3889" r:id="rId10690" xr:uid="{00000000-0004-0000-0000-00003F2A0000}"/>
    <hyperlink ref="C3889" r:id="rId10691" xr:uid="{00000000-0004-0000-0000-0000402A0000}"/>
    <hyperlink ref="D3889" r:id="rId10692" xr:uid="{00000000-0004-0000-0000-0000412A0000}"/>
    <hyperlink ref="C3890" r:id="rId10693" xr:uid="{00000000-0004-0000-0000-0000422A0000}"/>
    <hyperlink ref="D3890" r:id="rId10694" xr:uid="{00000000-0004-0000-0000-0000432A0000}"/>
    <hyperlink ref="A3891" r:id="rId10695" xr:uid="{00000000-0004-0000-0000-0000442A0000}"/>
    <hyperlink ref="C3891" r:id="rId10696" xr:uid="{00000000-0004-0000-0000-0000452A0000}"/>
    <hyperlink ref="D3891" r:id="rId10697" xr:uid="{00000000-0004-0000-0000-0000462A0000}"/>
    <hyperlink ref="A3892" r:id="rId10698" xr:uid="{00000000-0004-0000-0000-0000472A0000}"/>
    <hyperlink ref="C3892" r:id="rId10699" xr:uid="{00000000-0004-0000-0000-0000482A0000}"/>
    <hyperlink ref="D3892" r:id="rId10700" xr:uid="{00000000-0004-0000-0000-0000492A0000}"/>
    <hyperlink ref="C3893" r:id="rId10701" xr:uid="{00000000-0004-0000-0000-00004A2A0000}"/>
    <hyperlink ref="D3893" r:id="rId10702" xr:uid="{00000000-0004-0000-0000-00004B2A0000}"/>
    <hyperlink ref="A3894" r:id="rId10703" xr:uid="{00000000-0004-0000-0000-00004C2A0000}"/>
    <hyperlink ref="C3894" r:id="rId10704" xr:uid="{00000000-0004-0000-0000-00004D2A0000}"/>
    <hyperlink ref="D3894" r:id="rId10705" xr:uid="{00000000-0004-0000-0000-00004E2A0000}"/>
    <hyperlink ref="C3895" r:id="rId10706" xr:uid="{00000000-0004-0000-0000-00004F2A0000}"/>
    <hyperlink ref="D3895" r:id="rId10707" xr:uid="{00000000-0004-0000-0000-0000502A0000}"/>
    <hyperlink ref="A3896" r:id="rId10708" xr:uid="{00000000-0004-0000-0000-0000512A0000}"/>
    <hyperlink ref="C3896" r:id="rId10709" xr:uid="{00000000-0004-0000-0000-0000522A0000}"/>
    <hyperlink ref="D3896" r:id="rId10710" xr:uid="{00000000-0004-0000-0000-0000532A0000}"/>
    <hyperlink ref="A3897" r:id="rId10711" xr:uid="{00000000-0004-0000-0000-0000542A0000}"/>
    <hyperlink ref="C3897" r:id="rId10712" xr:uid="{00000000-0004-0000-0000-0000552A0000}"/>
    <hyperlink ref="D3897" r:id="rId10713" xr:uid="{00000000-0004-0000-0000-0000562A0000}"/>
    <hyperlink ref="A3898" r:id="rId10714" xr:uid="{00000000-0004-0000-0000-0000572A0000}"/>
    <hyperlink ref="C3898" r:id="rId10715" xr:uid="{00000000-0004-0000-0000-0000582A0000}"/>
    <hyperlink ref="D3898" r:id="rId10716" xr:uid="{00000000-0004-0000-0000-0000592A0000}"/>
    <hyperlink ref="A3899" r:id="rId10717" xr:uid="{00000000-0004-0000-0000-00005A2A0000}"/>
    <hyperlink ref="C3899" r:id="rId10718" xr:uid="{00000000-0004-0000-0000-00005B2A0000}"/>
    <hyperlink ref="D3899" r:id="rId10719" xr:uid="{00000000-0004-0000-0000-00005C2A0000}"/>
    <hyperlink ref="A3900" r:id="rId10720" xr:uid="{00000000-0004-0000-0000-00005D2A0000}"/>
    <hyperlink ref="C3900" r:id="rId10721" xr:uid="{00000000-0004-0000-0000-00005E2A0000}"/>
    <hyperlink ref="D3900" r:id="rId10722" xr:uid="{00000000-0004-0000-0000-00005F2A0000}"/>
    <hyperlink ref="A3901" r:id="rId10723" xr:uid="{00000000-0004-0000-0000-0000602A0000}"/>
    <hyperlink ref="C3901" r:id="rId10724" xr:uid="{00000000-0004-0000-0000-0000612A0000}"/>
    <hyperlink ref="D3901" r:id="rId10725" xr:uid="{00000000-0004-0000-0000-0000622A0000}"/>
    <hyperlink ref="A3902" r:id="rId10726" xr:uid="{00000000-0004-0000-0000-0000632A0000}"/>
    <hyperlink ref="C3902" r:id="rId10727" xr:uid="{00000000-0004-0000-0000-0000642A0000}"/>
    <hyperlink ref="D3902" r:id="rId10728" xr:uid="{00000000-0004-0000-0000-0000652A0000}"/>
    <hyperlink ref="E3902" r:id="rId10729" xr:uid="{00000000-0004-0000-0000-0000662A0000}"/>
    <hyperlink ref="A3903" r:id="rId10730" xr:uid="{00000000-0004-0000-0000-0000672A0000}"/>
    <hyperlink ref="C3903" r:id="rId10731" xr:uid="{00000000-0004-0000-0000-0000682A0000}"/>
    <hyperlink ref="D3903" r:id="rId10732" xr:uid="{00000000-0004-0000-0000-0000692A0000}"/>
    <hyperlink ref="A3904" r:id="rId10733" xr:uid="{00000000-0004-0000-0000-00006A2A0000}"/>
    <hyperlink ref="C3904" r:id="rId10734" xr:uid="{00000000-0004-0000-0000-00006B2A0000}"/>
    <hyperlink ref="D3904" r:id="rId10735" xr:uid="{00000000-0004-0000-0000-00006C2A0000}"/>
    <hyperlink ref="A3905" r:id="rId10736" xr:uid="{00000000-0004-0000-0000-00006D2A0000}"/>
    <hyperlink ref="C3905" r:id="rId10737" xr:uid="{00000000-0004-0000-0000-00006E2A0000}"/>
    <hyperlink ref="D3905" r:id="rId10738" xr:uid="{00000000-0004-0000-0000-00006F2A0000}"/>
    <hyperlink ref="A3906" r:id="rId10739" xr:uid="{00000000-0004-0000-0000-0000702A0000}"/>
    <hyperlink ref="C3906" r:id="rId10740" xr:uid="{00000000-0004-0000-0000-0000712A0000}"/>
    <hyperlink ref="D3906" r:id="rId10741" xr:uid="{00000000-0004-0000-0000-0000722A0000}"/>
    <hyperlink ref="A3907" r:id="rId10742" xr:uid="{00000000-0004-0000-0000-0000732A0000}"/>
    <hyperlink ref="C3907" r:id="rId10743" xr:uid="{00000000-0004-0000-0000-0000742A0000}"/>
    <hyperlink ref="D3907" r:id="rId10744" xr:uid="{00000000-0004-0000-0000-0000752A0000}"/>
    <hyperlink ref="C3908" r:id="rId10745" xr:uid="{00000000-0004-0000-0000-0000762A0000}"/>
    <hyperlink ref="D3908" r:id="rId10746" xr:uid="{00000000-0004-0000-0000-0000772A0000}"/>
    <hyperlink ref="A3909" r:id="rId10747" xr:uid="{00000000-0004-0000-0000-0000782A0000}"/>
    <hyperlink ref="C3909" r:id="rId10748" xr:uid="{00000000-0004-0000-0000-0000792A0000}"/>
    <hyperlink ref="D3909" r:id="rId10749" xr:uid="{00000000-0004-0000-0000-00007A2A0000}"/>
    <hyperlink ref="C3910" r:id="rId10750" xr:uid="{00000000-0004-0000-0000-00007B2A0000}"/>
    <hyperlink ref="D3910" r:id="rId10751" xr:uid="{00000000-0004-0000-0000-00007C2A0000}"/>
    <hyperlink ref="C3911" r:id="rId10752" xr:uid="{00000000-0004-0000-0000-00007D2A0000}"/>
    <hyperlink ref="D3911" r:id="rId10753" xr:uid="{00000000-0004-0000-0000-00007E2A0000}"/>
    <hyperlink ref="A3912" r:id="rId10754" xr:uid="{00000000-0004-0000-0000-00007F2A0000}"/>
    <hyperlink ref="C3912" r:id="rId10755" xr:uid="{00000000-0004-0000-0000-0000802A0000}"/>
    <hyperlink ref="D3912" r:id="rId10756" xr:uid="{00000000-0004-0000-0000-0000812A0000}"/>
    <hyperlink ref="A3913" r:id="rId10757" xr:uid="{00000000-0004-0000-0000-0000822A0000}"/>
    <hyperlink ref="C3913" r:id="rId10758" xr:uid="{00000000-0004-0000-0000-0000832A0000}"/>
    <hyperlink ref="D3913" r:id="rId10759" xr:uid="{00000000-0004-0000-0000-0000842A0000}"/>
    <hyperlink ref="A3914" r:id="rId10760" xr:uid="{00000000-0004-0000-0000-0000852A0000}"/>
    <hyperlink ref="C3914" r:id="rId10761" xr:uid="{00000000-0004-0000-0000-0000862A0000}"/>
    <hyperlink ref="D3914" r:id="rId10762" xr:uid="{00000000-0004-0000-0000-0000872A0000}"/>
    <hyperlink ref="A3915" r:id="rId10763" xr:uid="{00000000-0004-0000-0000-0000882A0000}"/>
    <hyperlink ref="C3915" r:id="rId10764" xr:uid="{00000000-0004-0000-0000-0000892A0000}"/>
    <hyperlink ref="D3915" r:id="rId10765" xr:uid="{00000000-0004-0000-0000-00008A2A0000}"/>
    <hyperlink ref="C3916" r:id="rId10766" xr:uid="{00000000-0004-0000-0000-00008B2A0000}"/>
    <hyperlink ref="D3916" r:id="rId10767" xr:uid="{00000000-0004-0000-0000-00008C2A0000}"/>
    <hyperlink ref="C3917" r:id="rId10768" xr:uid="{00000000-0004-0000-0000-00008D2A0000}"/>
    <hyperlink ref="D3917" r:id="rId10769" xr:uid="{00000000-0004-0000-0000-00008E2A0000}"/>
    <hyperlink ref="A3918" r:id="rId10770" xr:uid="{00000000-0004-0000-0000-00008F2A0000}"/>
    <hyperlink ref="C3918" r:id="rId10771" xr:uid="{00000000-0004-0000-0000-0000902A0000}"/>
    <hyperlink ref="D3918" r:id="rId10772" xr:uid="{00000000-0004-0000-0000-0000912A0000}"/>
    <hyperlink ref="A3919" r:id="rId10773" xr:uid="{00000000-0004-0000-0000-0000922A0000}"/>
    <hyperlink ref="C3919" r:id="rId10774" xr:uid="{00000000-0004-0000-0000-0000932A0000}"/>
    <hyperlink ref="D3919" r:id="rId10775" xr:uid="{00000000-0004-0000-0000-0000942A0000}"/>
    <hyperlink ref="A3920" r:id="rId10776" xr:uid="{00000000-0004-0000-0000-0000952A0000}"/>
    <hyperlink ref="C3920" r:id="rId10777" xr:uid="{00000000-0004-0000-0000-0000962A0000}"/>
    <hyperlink ref="D3920" r:id="rId10778" xr:uid="{00000000-0004-0000-0000-0000972A0000}"/>
    <hyperlink ref="A3921" r:id="rId10779" xr:uid="{00000000-0004-0000-0000-0000982A0000}"/>
    <hyperlink ref="C3921" r:id="rId10780" xr:uid="{00000000-0004-0000-0000-0000992A0000}"/>
    <hyperlink ref="D3921" r:id="rId10781" xr:uid="{00000000-0004-0000-0000-00009A2A0000}"/>
    <hyperlink ref="A3922" r:id="rId10782" xr:uid="{00000000-0004-0000-0000-00009B2A0000}"/>
    <hyperlink ref="C3922" r:id="rId10783" xr:uid="{00000000-0004-0000-0000-00009C2A0000}"/>
    <hyperlink ref="D3922" r:id="rId10784" xr:uid="{00000000-0004-0000-0000-00009D2A0000}"/>
    <hyperlink ref="C3923" r:id="rId10785" xr:uid="{00000000-0004-0000-0000-00009E2A0000}"/>
    <hyperlink ref="D3923" r:id="rId10786" xr:uid="{00000000-0004-0000-0000-00009F2A0000}"/>
    <hyperlink ref="A3924" r:id="rId10787" xr:uid="{00000000-0004-0000-0000-0000A02A0000}"/>
    <hyperlink ref="C3924" r:id="rId10788" xr:uid="{00000000-0004-0000-0000-0000A12A0000}"/>
    <hyperlink ref="D3924" r:id="rId10789" xr:uid="{00000000-0004-0000-0000-0000A22A0000}"/>
    <hyperlink ref="A3925" r:id="rId10790" xr:uid="{00000000-0004-0000-0000-0000A32A0000}"/>
    <hyperlink ref="C3925" r:id="rId10791" xr:uid="{00000000-0004-0000-0000-0000A42A0000}"/>
    <hyperlink ref="D3925" r:id="rId10792" xr:uid="{00000000-0004-0000-0000-0000A52A0000}"/>
    <hyperlink ref="A3926" r:id="rId10793" xr:uid="{00000000-0004-0000-0000-0000A62A0000}"/>
    <hyperlink ref="C3926" r:id="rId10794" xr:uid="{00000000-0004-0000-0000-0000A72A0000}"/>
    <hyperlink ref="D3926" r:id="rId10795" xr:uid="{00000000-0004-0000-0000-0000A82A0000}"/>
    <hyperlink ref="C3927" r:id="rId10796" xr:uid="{00000000-0004-0000-0000-0000A92A0000}"/>
    <hyperlink ref="D3927" r:id="rId10797" xr:uid="{00000000-0004-0000-0000-0000AA2A0000}"/>
    <hyperlink ref="A3928" r:id="rId10798" xr:uid="{00000000-0004-0000-0000-0000AB2A0000}"/>
    <hyperlink ref="C3928" r:id="rId10799" xr:uid="{00000000-0004-0000-0000-0000AC2A0000}"/>
    <hyperlink ref="D3928" r:id="rId10800" xr:uid="{00000000-0004-0000-0000-0000AD2A0000}"/>
    <hyperlink ref="A3929" r:id="rId10801" xr:uid="{00000000-0004-0000-0000-0000AE2A0000}"/>
    <hyperlink ref="C3929" r:id="rId10802" xr:uid="{00000000-0004-0000-0000-0000AF2A0000}"/>
    <hyperlink ref="D3929" r:id="rId10803" xr:uid="{00000000-0004-0000-0000-0000B02A0000}"/>
    <hyperlink ref="A3930" r:id="rId10804" xr:uid="{00000000-0004-0000-0000-0000B12A0000}"/>
    <hyperlink ref="C3930" r:id="rId10805" xr:uid="{00000000-0004-0000-0000-0000B22A0000}"/>
    <hyperlink ref="D3930" r:id="rId10806" xr:uid="{00000000-0004-0000-0000-0000B32A0000}"/>
    <hyperlink ref="A3931" r:id="rId10807" xr:uid="{00000000-0004-0000-0000-0000B42A0000}"/>
    <hyperlink ref="C3931" r:id="rId10808" xr:uid="{00000000-0004-0000-0000-0000B52A0000}"/>
    <hyperlink ref="D3931" r:id="rId10809" xr:uid="{00000000-0004-0000-0000-0000B62A0000}"/>
    <hyperlink ref="A3932" r:id="rId10810" xr:uid="{00000000-0004-0000-0000-0000B72A0000}"/>
    <hyperlink ref="C3932" r:id="rId10811" xr:uid="{00000000-0004-0000-0000-0000B82A0000}"/>
    <hyperlink ref="D3932" r:id="rId10812" xr:uid="{00000000-0004-0000-0000-0000B92A0000}"/>
    <hyperlink ref="A3933" r:id="rId10813" xr:uid="{00000000-0004-0000-0000-0000BA2A0000}"/>
    <hyperlink ref="C3933" r:id="rId10814" xr:uid="{00000000-0004-0000-0000-0000BB2A0000}"/>
    <hyperlink ref="D3933" r:id="rId10815" xr:uid="{00000000-0004-0000-0000-0000BC2A0000}"/>
    <hyperlink ref="A3934" r:id="rId10816" xr:uid="{00000000-0004-0000-0000-0000BD2A0000}"/>
    <hyperlink ref="C3934" r:id="rId10817" xr:uid="{00000000-0004-0000-0000-0000BE2A0000}"/>
    <hyperlink ref="D3934" r:id="rId10818" xr:uid="{00000000-0004-0000-0000-0000BF2A0000}"/>
    <hyperlink ref="C3935" r:id="rId10819" xr:uid="{00000000-0004-0000-0000-0000C02A0000}"/>
    <hyperlink ref="D3935" r:id="rId10820" xr:uid="{00000000-0004-0000-0000-0000C12A0000}"/>
    <hyperlink ref="A3936" r:id="rId10821" xr:uid="{00000000-0004-0000-0000-0000C22A0000}"/>
    <hyperlink ref="C3936" r:id="rId10822" xr:uid="{00000000-0004-0000-0000-0000C32A0000}"/>
    <hyperlink ref="D3936" r:id="rId10823" xr:uid="{00000000-0004-0000-0000-0000C42A0000}"/>
    <hyperlink ref="C3937" r:id="rId10824" xr:uid="{00000000-0004-0000-0000-0000C52A0000}"/>
    <hyperlink ref="D3937" r:id="rId10825" xr:uid="{00000000-0004-0000-0000-0000C62A0000}"/>
    <hyperlink ref="C3938" r:id="rId10826" xr:uid="{00000000-0004-0000-0000-0000C72A0000}"/>
    <hyperlink ref="D3938" r:id="rId10827" xr:uid="{00000000-0004-0000-0000-0000C82A0000}"/>
    <hyperlink ref="A3939" r:id="rId10828" xr:uid="{00000000-0004-0000-0000-0000C92A0000}"/>
    <hyperlink ref="C3939" r:id="rId10829" xr:uid="{00000000-0004-0000-0000-0000CA2A0000}"/>
    <hyperlink ref="D3939" r:id="rId10830" xr:uid="{00000000-0004-0000-0000-0000CB2A0000}"/>
    <hyperlink ref="A3940" r:id="rId10831" xr:uid="{00000000-0004-0000-0000-0000CC2A0000}"/>
    <hyperlink ref="C3940" r:id="rId10832" xr:uid="{00000000-0004-0000-0000-0000CD2A0000}"/>
    <hyperlink ref="D3940" r:id="rId10833" xr:uid="{00000000-0004-0000-0000-0000CE2A0000}"/>
    <hyperlink ref="A3941" r:id="rId10834" xr:uid="{00000000-0004-0000-0000-0000CF2A0000}"/>
    <hyperlink ref="C3941" r:id="rId10835" xr:uid="{00000000-0004-0000-0000-0000D02A0000}"/>
    <hyperlink ref="D3941" r:id="rId10836" xr:uid="{00000000-0004-0000-0000-0000D12A0000}"/>
    <hyperlink ref="A3942" r:id="rId10837" xr:uid="{00000000-0004-0000-0000-0000D22A0000}"/>
    <hyperlink ref="C3942" r:id="rId10838" xr:uid="{00000000-0004-0000-0000-0000D32A0000}"/>
    <hyperlink ref="D3942" r:id="rId10839" xr:uid="{00000000-0004-0000-0000-0000D42A0000}"/>
    <hyperlink ref="A3943" r:id="rId10840" xr:uid="{00000000-0004-0000-0000-0000D52A0000}"/>
    <hyperlink ref="C3943" r:id="rId10841" xr:uid="{00000000-0004-0000-0000-0000D62A0000}"/>
    <hyperlink ref="D3943" r:id="rId10842" xr:uid="{00000000-0004-0000-0000-0000D72A0000}"/>
    <hyperlink ref="A3944" r:id="rId10843" xr:uid="{00000000-0004-0000-0000-0000D82A0000}"/>
    <hyperlink ref="C3944" r:id="rId10844" xr:uid="{00000000-0004-0000-0000-0000D92A0000}"/>
    <hyperlink ref="D3944" r:id="rId10845" xr:uid="{00000000-0004-0000-0000-0000DA2A0000}"/>
    <hyperlink ref="A3945" r:id="rId10846" xr:uid="{00000000-0004-0000-0000-0000DB2A0000}"/>
    <hyperlink ref="C3945" r:id="rId10847" xr:uid="{00000000-0004-0000-0000-0000DC2A0000}"/>
    <hyperlink ref="D3945" r:id="rId10848" xr:uid="{00000000-0004-0000-0000-0000DD2A0000}"/>
    <hyperlink ref="A3946" r:id="rId10849" xr:uid="{00000000-0004-0000-0000-0000DE2A0000}"/>
    <hyperlink ref="C3946" r:id="rId10850" xr:uid="{00000000-0004-0000-0000-0000DF2A0000}"/>
    <hyperlink ref="D3946" r:id="rId10851" xr:uid="{00000000-0004-0000-0000-0000E02A0000}"/>
    <hyperlink ref="A3947" r:id="rId10852" xr:uid="{00000000-0004-0000-0000-0000E12A0000}"/>
    <hyperlink ref="C3947" r:id="rId10853" xr:uid="{00000000-0004-0000-0000-0000E22A0000}"/>
    <hyperlink ref="D3947" r:id="rId10854" xr:uid="{00000000-0004-0000-0000-0000E32A0000}"/>
    <hyperlink ref="A3948" r:id="rId10855" xr:uid="{00000000-0004-0000-0000-0000E42A0000}"/>
    <hyperlink ref="C3948" r:id="rId10856" xr:uid="{00000000-0004-0000-0000-0000E52A0000}"/>
    <hyperlink ref="D3948" r:id="rId10857" xr:uid="{00000000-0004-0000-0000-0000E62A0000}"/>
    <hyperlink ref="A3949" r:id="rId10858" xr:uid="{00000000-0004-0000-0000-0000E72A0000}"/>
    <hyperlink ref="C3949" r:id="rId10859" xr:uid="{00000000-0004-0000-0000-0000E82A0000}"/>
    <hyperlink ref="D3949" r:id="rId10860" xr:uid="{00000000-0004-0000-0000-0000E92A0000}"/>
    <hyperlink ref="A3950" r:id="rId10861" xr:uid="{00000000-0004-0000-0000-0000EA2A0000}"/>
    <hyperlink ref="C3950" r:id="rId10862" xr:uid="{00000000-0004-0000-0000-0000EB2A0000}"/>
    <hyperlink ref="D3950" r:id="rId10863" xr:uid="{00000000-0004-0000-0000-0000EC2A0000}"/>
    <hyperlink ref="A3951" r:id="rId10864" xr:uid="{00000000-0004-0000-0000-0000ED2A0000}"/>
    <hyperlink ref="C3951" r:id="rId10865" xr:uid="{00000000-0004-0000-0000-0000EE2A0000}"/>
    <hyperlink ref="D3951" r:id="rId10866" xr:uid="{00000000-0004-0000-0000-0000EF2A0000}"/>
    <hyperlink ref="A3952" r:id="rId10867" xr:uid="{00000000-0004-0000-0000-0000F02A0000}"/>
    <hyperlink ref="C3952" r:id="rId10868" xr:uid="{00000000-0004-0000-0000-0000F12A0000}"/>
    <hyperlink ref="D3952" r:id="rId10869" xr:uid="{00000000-0004-0000-0000-0000F22A0000}"/>
    <hyperlink ref="A3953" r:id="rId10870" xr:uid="{00000000-0004-0000-0000-0000F32A0000}"/>
    <hyperlink ref="C3953" r:id="rId10871" xr:uid="{00000000-0004-0000-0000-0000F42A0000}"/>
    <hyperlink ref="D3953" r:id="rId10872" xr:uid="{00000000-0004-0000-0000-0000F52A0000}"/>
    <hyperlink ref="C3954" r:id="rId10873" xr:uid="{00000000-0004-0000-0000-0000F62A0000}"/>
    <hyperlink ref="D3954" r:id="rId10874" xr:uid="{00000000-0004-0000-0000-0000F72A0000}"/>
    <hyperlink ref="A3955" r:id="rId10875" xr:uid="{00000000-0004-0000-0000-0000F82A0000}"/>
    <hyperlink ref="C3955" r:id="rId10876" xr:uid="{00000000-0004-0000-0000-0000F92A0000}"/>
    <hyperlink ref="D3955" r:id="rId10877" xr:uid="{00000000-0004-0000-0000-0000FA2A0000}"/>
    <hyperlink ref="A3956" r:id="rId10878" xr:uid="{00000000-0004-0000-0000-0000FB2A0000}"/>
    <hyperlink ref="C3956" r:id="rId10879" xr:uid="{00000000-0004-0000-0000-0000FC2A0000}"/>
    <hyperlink ref="D3956" r:id="rId10880" xr:uid="{00000000-0004-0000-0000-0000FD2A0000}"/>
    <hyperlink ref="A3957" r:id="rId10881" xr:uid="{00000000-0004-0000-0000-0000FE2A0000}"/>
    <hyperlink ref="C3957" r:id="rId10882" xr:uid="{00000000-0004-0000-0000-0000FF2A0000}"/>
    <hyperlink ref="D3957" r:id="rId10883" xr:uid="{00000000-0004-0000-0000-0000002B0000}"/>
    <hyperlink ref="C3958" r:id="rId10884" xr:uid="{00000000-0004-0000-0000-0000012B0000}"/>
    <hyperlink ref="D3958" r:id="rId10885" xr:uid="{00000000-0004-0000-0000-0000022B0000}"/>
    <hyperlink ref="A3959" r:id="rId10886" xr:uid="{00000000-0004-0000-0000-0000032B0000}"/>
    <hyperlink ref="C3959" r:id="rId10887" xr:uid="{00000000-0004-0000-0000-0000042B0000}"/>
    <hyperlink ref="D3959" r:id="rId10888" xr:uid="{00000000-0004-0000-0000-0000052B0000}"/>
    <hyperlink ref="A3960" r:id="rId10889" xr:uid="{00000000-0004-0000-0000-0000062B0000}"/>
    <hyperlink ref="C3960" r:id="rId10890" xr:uid="{00000000-0004-0000-0000-0000072B0000}"/>
    <hyperlink ref="D3960" r:id="rId10891" xr:uid="{00000000-0004-0000-0000-0000082B0000}"/>
    <hyperlink ref="C3961" r:id="rId10892" xr:uid="{00000000-0004-0000-0000-0000092B0000}"/>
    <hyperlink ref="D3961" r:id="rId10893" xr:uid="{00000000-0004-0000-0000-00000A2B0000}"/>
    <hyperlink ref="A3962" r:id="rId10894" xr:uid="{00000000-0004-0000-0000-00000B2B0000}"/>
    <hyperlink ref="C3962" r:id="rId10895" xr:uid="{00000000-0004-0000-0000-00000C2B0000}"/>
    <hyperlink ref="D3962" r:id="rId10896" xr:uid="{00000000-0004-0000-0000-00000D2B0000}"/>
    <hyperlink ref="A3963" r:id="rId10897" xr:uid="{00000000-0004-0000-0000-00000E2B0000}"/>
    <hyperlink ref="C3963" r:id="rId10898" xr:uid="{00000000-0004-0000-0000-00000F2B0000}"/>
    <hyperlink ref="D3963" r:id="rId10899" xr:uid="{00000000-0004-0000-0000-0000102B0000}"/>
    <hyperlink ref="A3964" r:id="rId10900" xr:uid="{00000000-0004-0000-0000-0000112B0000}"/>
    <hyperlink ref="C3964" r:id="rId10901" xr:uid="{00000000-0004-0000-0000-0000122B0000}"/>
    <hyperlink ref="D3964" r:id="rId10902" xr:uid="{00000000-0004-0000-0000-0000132B0000}"/>
    <hyperlink ref="C3965" r:id="rId10903" xr:uid="{00000000-0004-0000-0000-0000142B0000}"/>
    <hyperlink ref="D3965" r:id="rId10904" xr:uid="{00000000-0004-0000-0000-0000152B0000}"/>
    <hyperlink ref="C3966" r:id="rId10905" xr:uid="{00000000-0004-0000-0000-0000162B0000}"/>
    <hyperlink ref="D3966" r:id="rId10906" xr:uid="{00000000-0004-0000-0000-0000172B0000}"/>
    <hyperlink ref="A3967" r:id="rId10907" xr:uid="{00000000-0004-0000-0000-0000182B0000}"/>
    <hyperlink ref="C3967" r:id="rId10908" xr:uid="{00000000-0004-0000-0000-0000192B0000}"/>
    <hyperlink ref="D3967" r:id="rId10909" xr:uid="{00000000-0004-0000-0000-00001A2B0000}"/>
    <hyperlink ref="A3968" r:id="rId10910" xr:uid="{00000000-0004-0000-0000-00001B2B0000}"/>
    <hyperlink ref="C3968" r:id="rId10911" xr:uid="{00000000-0004-0000-0000-00001C2B0000}"/>
    <hyperlink ref="D3968" r:id="rId10912" xr:uid="{00000000-0004-0000-0000-00001D2B0000}"/>
    <hyperlink ref="A3969" r:id="rId10913" xr:uid="{00000000-0004-0000-0000-00001E2B0000}"/>
    <hyperlink ref="C3969" r:id="rId10914" xr:uid="{00000000-0004-0000-0000-00001F2B0000}"/>
    <hyperlink ref="D3969" r:id="rId10915" xr:uid="{00000000-0004-0000-0000-0000202B0000}"/>
    <hyperlink ref="A3970" r:id="rId10916" xr:uid="{00000000-0004-0000-0000-0000212B0000}"/>
    <hyperlink ref="C3970" r:id="rId10917" xr:uid="{00000000-0004-0000-0000-0000222B0000}"/>
    <hyperlink ref="D3970" r:id="rId10918" xr:uid="{00000000-0004-0000-0000-0000232B0000}"/>
    <hyperlink ref="A3971" r:id="rId10919" xr:uid="{00000000-0004-0000-0000-0000242B0000}"/>
    <hyperlink ref="C3971" r:id="rId10920" xr:uid="{00000000-0004-0000-0000-0000252B0000}"/>
    <hyperlink ref="D3971" r:id="rId10921" xr:uid="{00000000-0004-0000-0000-0000262B0000}"/>
    <hyperlink ref="A3972" r:id="rId10922" xr:uid="{00000000-0004-0000-0000-0000272B0000}"/>
    <hyperlink ref="C3972" r:id="rId10923" xr:uid="{00000000-0004-0000-0000-0000282B0000}"/>
    <hyperlink ref="D3972" r:id="rId10924" xr:uid="{00000000-0004-0000-0000-0000292B0000}"/>
    <hyperlink ref="A3973" r:id="rId10925" xr:uid="{00000000-0004-0000-0000-00002A2B0000}"/>
    <hyperlink ref="C3973" r:id="rId10926" xr:uid="{00000000-0004-0000-0000-00002B2B0000}"/>
    <hyperlink ref="D3973" r:id="rId10927" xr:uid="{00000000-0004-0000-0000-00002C2B0000}"/>
    <hyperlink ref="A3974" r:id="rId10928" xr:uid="{00000000-0004-0000-0000-00002D2B0000}"/>
    <hyperlink ref="C3974" r:id="rId10929" xr:uid="{00000000-0004-0000-0000-00002E2B0000}"/>
    <hyperlink ref="D3974" r:id="rId10930" xr:uid="{00000000-0004-0000-0000-00002F2B0000}"/>
    <hyperlink ref="A3975" r:id="rId10931" xr:uid="{00000000-0004-0000-0000-0000302B0000}"/>
    <hyperlink ref="C3975" r:id="rId10932" xr:uid="{00000000-0004-0000-0000-0000312B0000}"/>
    <hyperlink ref="D3975" r:id="rId10933" xr:uid="{00000000-0004-0000-0000-0000322B0000}"/>
    <hyperlink ref="A3976" r:id="rId10934" xr:uid="{00000000-0004-0000-0000-0000332B0000}"/>
    <hyperlink ref="C3976" r:id="rId10935" xr:uid="{00000000-0004-0000-0000-0000342B0000}"/>
    <hyperlink ref="D3976" r:id="rId10936" xr:uid="{00000000-0004-0000-0000-0000352B0000}"/>
    <hyperlink ref="A3977" r:id="rId10937" xr:uid="{00000000-0004-0000-0000-0000362B0000}"/>
    <hyperlink ref="C3977" r:id="rId10938" xr:uid="{00000000-0004-0000-0000-0000372B0000}"/>
    <hyperlink ref="D3977" r:id="rId10939" xr:uid="{00000000-0004-0000-0000-0000382B0000}"/>
    <hyperlink ref="A3978" r:id="rId10940" xr:uid="{00000000-0004-0000-0000-0000392B0000}"/>
    <hyperlink ref="C3978" r:id="rId10941" xr:uid="{00000000-0004-0000-0000-00003A2B0000}"/>
    <hyperlink ref="D3978" r:id="rId10942" xr:uid="{00000000-0004-0000-0000-00003B2B0000}"/>
    <hyperlink ref="C3979" r:id="rId10943" xr:uid="{00000000-0004-0000-0000-00003C2B0000}"/>
    <hyperlink ref="D3979" r:id="rId10944" xr:uid="{00000000-0004-0000-0000-00003D2B0000}"/>
    <hyperlink ref="A3980" r:id="rId10945" xr:uid="{00000000-0004-0000-0000-00003E2B0000}"/>
    <hyperlink ref="C3980" r:id="rId10946" xr:uid="{00000000-0004-0000-0000-00003F2B0000}"/>
    <hyperlink ref="D3980" r:id="rId10947" xr:uid="{00000000-0004-0000-0000-0000402B0000}"/>
    <hyperlink ref="C3981" r:id="rId10948" xr:uid="{00000000-0004-0000-0000-0000412B0000}"/>
    <hyperlink ref="D3981" r:id="rId10949" xr:uid="{00000000-0004-0000-0000-0000422B0000}"/>
    <hyperlink ref="A3982" r:id="rId10950" xr:uid="{00000000-0004-0000-0000-0000432B0000}"/>
    <hyperlink ref="C3982" r:id="rId10951" xr:uid="{00000000-0004-0000-0000-0000442B0000}"/>
    <hyperlink ref="D3982" r:id="rId10952" xr:uid="{00000000-0004-0000-0000-0000452B0000}"/>
    <hyperlink ref="E3982" r:id="rId10953" xr:uid="{00000000-0004-0000-0000-0000462B0000}"/>
    <hyperlink ref="A3983" r:id="rId10954" xr:uid="{00000000-0004-0000-0000-0000472B0000}"/>
    <hyperlink ref="C3983" r:id="rId10955" xr:uid="{00000000-0004-0000-0000-0000482B0000}"/>
    <hyperlink ref="D3983" r:id="rId10956" xr:uid="{00000000-0004-0000-0000-0000492B0000}"/>
    <hyperlink ref="A3984" r:id="rId10957" xr:uid="{00000000-0004-0000-0000-00004A2B0000}"/>
    <hyperlink ref="C3984" r:id="rId10958" xr:uid="{00000000-0004-0000-0000-00004B2B0000}"/>
    <hyperlink ref="D3984" r:id="rId10959" xr:uid="{00000000-0004-0000-0000-00004C2B0000}"/>
    <hyperlink ref="A3985" r:id="rId10960" xr:uid="{00000000-0004-0000-0000-00004D2B0000}"/>
    <hyperlink ref="C3985" r:id="rId10961" xr:uid="{00000000-0004-0000-0000-00004E2B0000}"/>
    <hyperlink ref="D3985" r:id="rId10962" xr:uid="{00000000-0004-0000-0000-00004F2B0000}"/>
    <hyperlink ref="A3986" r:id="rId10963" xr:uid="{00000000-0004-0000-0000-0000502B0000}"/>
    <hyperlink ref="C3986" r:id="rId10964" xr:uid="{00000000-0004-0000-0000-0000512B0000}"/>
    <hyperlink ref="D3986" r:id="rId10965" xr:uid="{00000000-0004-0000-0000-0000522B0000}"/>
    <hyperlink ref="A3987" r:id="rId10966" xr:uid="{00000000-0004-0000-0000-0000532B0000}"/>
    <hyperlink ref="C3987" r:id="rId10967" xr:uid="{00000000-0004-0000-0000-0000542B0000}"/>
    <hyperlink ref="D3987" r:id="rId10968" xr:uid="{00000000-0004-0000-0000-0000552B0000}"/>
    <hyperlink ref="A3988" r:id="rId10969" xr:uid="{00000000-0004-0000-0000-0000562B0000}"/>
    <hyperlink ref="C3988" r:id="rId10970" xr:uid="{00000000-0004-0000-0000-0000572B0000}"/>
    <hyperlink ref="D3988" r:id="rId10971" xr:uid="{00000000-0004-0000-0000-0000582B0000}"/>
    <hyperlink ref="A3989" r:id="rId10972" xr:uid="{00000000-0004-0000-0000-0000592B0000}"/>
    <hyperlink ref="C3989" r:id="rId10973" xr:uid="{00000000-0004-0000-0000-00005A2B0000}"/>
    <hyperlink ref="D3989" r:id="rId10974" xr:uid="{00000000-0004-0000-0000-00005B2B0000}"/>
    <hyperlink ref="A3990" r:id="rId10975" xr:uid="{00000000-0004-0000-0000-00005C2B0000}"/>
    <hyperlink ref="C3990" r:id="rId10976" xr:uid="{00000000-0004-0000-0000-00005D2B0000}"/>
    <hyperlink ref="D3990" r:id="rId10977" xr:uid="{00000000-0004-0000-0000-00005E2B0000}"/>
    <hyperlink ref="A3991" r:id="rId10978" xr:uid="{00000000-0004-0000-0000-00005F2B0000}"/>
    <hyperlink ref="C3991" r:id="rId10979" xr:uid="{00000000-0004-0000-0000-0000602B0000}"/>
    <hyperlink ref="D3991" r:id="rId10980" xr:uid="{00000000-0004-0000-0000-0000612B0000}"/>
    <hyperlink ref="A3992" r:id="rId10981" xr:uid="{00000000-0004-0000-0000-0000622B0000}"/>
    <hyperlink ref="C3992" r:id="rId10982" xr:uid="{00000000-0004-0000-0000-0000632B0000}"/>
    <hyperlink ref="D3992" r:id="rId10983" xr:uid="{00000000-0004-0000-0000-0000642B0000}"/>
    <hyperlink ref="A3993" r:id="rId10984" xr:uid="{00000000-0004-0000-0000-0000652B0000}"/>
    <hyperlink ref="C3993" r:id="rId10985" xr:uid="{00000000-0004-0000-0000-0000662B0000}"/>
    <hyperlink ref="D3993" r:id="rId10986" xr:uid="{00000000-0004-0000-0000-0000672B0000}"/>
    <hyperlink ref="A3994" r:id="rId10987" xr:uid="{00000000-0004-0000-0000-0000682B0000}"/>
    <hyperlink ref="C3994" r:id="rId10988" xr:uid="{00000000-0004-0000-0000-0000692B0000}"/>
    <hyperlink ref="D3994" r:id="rId10989" xr:uid="{00000000-0004-0000-0000-00006A2B0000}"/>
    <hyperlink ref="C3995" r:id="rId10990" xr:uid="{00000000-0004-0000-0000-00006B2B0000}"/>
    <hyperlink ref="D3995" r:id="rId10991" xr:uid="{00000000-0004-0000-0000-00006C2B0000}"/>
    <hyperlink ref="A3996" r:id="rId10992" xr:uid="{00000000-0004-0000-0000-00006D2B0000}"/>
    <hyperlink ref="C3996" r:id="rId10993" xr:uid="{00000000-0004-0000-0000-00006E2B0000}"/>
    <hyperlink ref="D3996" r:id="rId10994" xr:uid="{00000000-0004-0000-0000-00006F2B0000}"/>
    <hyperlink ref="A3997" r:id="rId10995" xr:uid="{00000000-0004-0000-0000-0000702B0000}"/>
    <hyperlink ref="C3997" r:id="rId10996" xr:uid="{00000000-0004-0000-0000-0000712B0000}"/>
    <hyperlink ref="D3997" r:id="rId10997" xr:uid="{00000000-0004-0000-0000-0000722B0000}"/>
    <hyperlink ref="A3998" r:id="rId10998" xr:uid="{00000000-0004-0000-0000-0000732B0000}"/>
    <hyperlink ref="C3998" r:id="rId10999" xr:uid="{00000000-0004-0000-0000-0000742B0000}"/>
    <hyperlink ref="D3998" r:id="rId11000" xr:uid="{00000000-0004-0000-0000-0000752B0000}"/>
    <hyperlink ref="A3999" r:id="rId11001" xr:uid="{00000000-0004-0000-0000-0000762B0000}"/>
    <hyperlink ref="C3999" r:id="rId11002" xr:uid="{00000000-0004-0000-0000-0000772B0000}"/>
    <hyperlink ref="D3999" r:id="rId11003" xr:uid="{00000000-0004-0000-0000-0000782B0000}"/>
    <hyperlink ref="A4000" r:id="rId11004" xr:uid="{00000000-0004-0000-0000-0000792B0000}"/>
    <hyperlink ref="C4000" r:id="rId11005" xr:uid="{00000000-0004-0000-0000-00007A2B0000}"/>
    <hyperlink ref="D4000" r:id="rId11006" xr:uid="{00000000-0004-0000-0000-00007B2B0000}"/>
    <hyperlink ref="C4001" r:id="rId11007" xr:uid="{00000000-0004-0000-0000-00007C2B0000}"/>
    <hyperlink ref="D4001" r:id="rId11008" xr:uid="{00000000-0004-0000-0000-00007D2B0000}"/>
    <hyperlink ref="C4002" r:id="rId11009" xr:uid="{00000000-0004-0000-0000-00007E2B0000}"/>
    <hyperlink ref="D4002" r:id="rId11010" xr:uid="{00000000-0004-0000-0000-00007F2B0000}"/>
    <hyperlink ref="A4003" r:id="rId11011" xr:uid="{00000000-0004-0000-0000-0000802B0000}"/>
    <hyperlink ref="C4003" r:id="rId11012" xr:uid="{00000000-0004-0000-0000-0000812B0000}"/>
    <hyperlink ref="D4003" r:id="rId11013" xr:uid="{00000000-0004-0000-0000-0000822B0000}"/>
    <hyperlink ref="A4004" r:id="rId11014" xr:uid="{00000000-0004-0000-0000-0000832B0000}"/>
    <hyperlink ref="C4004" r:id="rId11015" xr:uid="{00000000-0004-0000-0000-0000842B0000}"/>
    <hyperlink ref="D4004" r:id="rId11016" xr:uid="{00000000-0004-0000-0000-0000852B0000}"/>
    <hyperlink ref="A4005" r:id="rId11017" xr:uid="{00000000-0004-0000-0000-0000862B0000}"/>
    <hyperlink ref="C4005" r:id="rId11018" xr:uid="{00000000-0004-0000-0000-0000872B0000}"/>
    <hyperlink ref="D4005" r:id="rId11019" xr:uid="{00000000-0004-0000-0000-0000882B0000}"/>
    <hyperlink ref="E4005" r:id="rId11020" xr:uid="{00000000-0004-0000-0000-0000892B0000}"/>
    <hyperlink ref="A4006" r:id="rId11021" xr:uid="{00000000-0004-0000-0000-00008A2B0000}"/>
    <hyperlink ref="C4006" r:id="rId11022" xr:uid="{00000000-0004-0000-0000-00008B2B0000}"/>
    <hyperlink ref="D4006" r:id="rId11023" xr:uid="{00000000-0004-0000-0000-00008C2B0000}"/>
    <hyperlink ref="A4007" r:id="rId11024" xr:uid="{00000000-0004-0000-0000-00008D2B0000}"/>
    <hyperlink ref="C4007" r:id="rId11025" xr:uid="{00000000-0004-0000-0000-00008E2B0000}"/>
    <hyperlink ref="D4007" r:id="rId11026" xr:uid="{00000000-0004-0000-0000-00008F2B0000}"/>
    <hyperlink ref="A4008" r:id="rId11027" xr:uid="{00000000-0004-0000-0000-0000902B0000}"/>
    <hyperlink ref="C4008" r:id="rId11028" xr:uid="{00000000-0004-0000-0000-0000912B0000}"/>
    <hyperlink ref="D4008" r:id="rId11029" xr:uid="{00000000-0004-0000-0000-0000922B0000}"/>
    <hyperlink ref="A4009" r:id="rId11030" xr:uid="{00000000-0004-0000-0000-0000932B0000}"/>
    <hyperlink ref="C4009" r:id="rId11031" xr:uid="{00000000-0004-0000-0000-0000942B0000}"/>
    <hyperlink ref="D4009" r:id="rId11032" xr:uid="{00000000-0004-0000-0000-0000952B0000}"/>
    <hyperlink ref="A4010" r:id="rId11033" xr:uid="{00000000-0004-0000-0000-0000962B0000}"/>
    <hyperlink ref="C4010" r:id="rId11034" xr:uid="{00000000-0004-0000-0000-0000972B0000}"/>
    <hyperlink ref="D4010" r:id="rId11035" xr:uid="{00000000-0004-0000-0000-0000982B0000}"/>
    <hyperlink ref="A4011" r:id="rId11036" xr:uid="{00000000-0004-0000-0000-0000992B0000}"/>
    <hyperlink ref="C4011" r:id="rId11037" xr:uid="{00000000-0004-0000-0000-00009A2B0000}"/>
    <hyperlink ref="D4011" r:id="rId11038" xr:uid="{00000000-0004-0000-0000-00009B2B0000}"/>
    <hyperlink ref="A4012" r:id="rId11039" xr:uid="{00000000-0004-0000-0000-00009C2B0000}"/>
    <hyperlink ref="C4012" r:id="rId11040" xr:uid="{00000000-0004-0000-0000-00009D2B0000}"/>
    <hyperlink ref="D4012" r:id="rId11041" xr:uid="{00000000-0004-0000-0000-00009E2B0000}"/>
    <hyperlink ref="A4013" r:id="rId11042" xr:uid="{00000000-0004-0000-0000-00009F2B0000}"/>
    <hyperlink ref="C4013" r:id="rId11043" xr:uid="{00000000-0004-0000-0000-0000A02B0000}"/>
    <hyperlink ref="D4013" r:id="rId11044" xr:uid="{00000000-0004-0000-0000-0000A12B0000}"/>
    <hyperlink ref="A4014" r:id="rId11045" xr:uid="{00000000-0004-0000-0000-0000A22B0000}"/>
    <hyperlink ref="C4014" r:id="rId11046" xr:uid="{00000000-0004-0000-0000-0000A32B0000}"/>
    <hyperlink ref="D4014" r:id="rId11047" xr:uid="{00000000-0004-0000-0000-0000A42B0000}"/>
    <hyperlink ref="A4015" r:id="rId11048" xr:uid="{00000000-0004-0000-0000-0000A52B0000}"/>
    <hyperlink ref="C4015" r:id="rId11049" xr:uid="{00000000-0004-0000-0000-0000A62B0000}"/>
    <hyperlink ref="D4015" r:id="rId11050" xr:uid="{00000000-0004-0000-0000-0000A72B0000}"/>
    <hyperlink ref="C4016" r:id="rId11051" xr:uid="{00000000-0004-0000-0000-0000A82B0000}"/>
    <hyperlink ref="D4016" r:id="rId11052" xr:uid="{00000000-0004-0000-0000-0000A92B0000}"/>
    <hyperlink ref="C4017" r:id="rId11053" xr:uid="{00000000-0004-0000-0000-0000AA2B0000}"/>
    <hyperlink ref="D4017" r:id="rId11054" xr:uid="{00000000-0004-0000-0000-0000AB2B0000}"/>
    <hyperlink ref="A4018" r:id="rId11055" xr:uid="{00000000-0004-0000-0000-0000AC2B0000}"/>
    <hyperlink ref="C4018" r:id="rId11056" xr:uid="{00000000-0004-0000-0000-0000AD2B0000}"/>
    <hyperlink ref="D4018" r:id="rId11057" xr:uid="{00000000-0004-0000-0000-0000AE2B0000}"/>
    <hyperlink ref="A4019" r:id="rId11058" xr:uid="{00000000-0004-0000-0000-0000AF2B0000}"/>
    <hyperlink ref="C4019" r:id="rId11059" xr:uid="{00000000-0004-0000-0000-0000B02B0000}"/>
    <hyperlink ref="D4019" r:id="rId11060" xr:uid="{00000000-0004-0000-0000-0000B12B0000}"/>
    <hyperlink ref="A4020" r:id="rId11061" xr:uid="{00000000-0004-0000-0000-0000B22B0000}"/>
    <hyperlink ref="C4020" r:id="rId11062" xr:uid="{00000000-0004-0000-0000-0000B32B0000}"/>
    <hyperlink ref="D4020" r:id="rId11063" xr:uid="{00000000-0004-0000-0000-0000B42B0000}"/>
    <hyperlink ref="C4021" r:id="rId11064" xr:uid="{00000000-0004-0000-0000-0000B52B0000}"/>
    <hyperlink ref="D4021" r:id="rId11065" xr:uid="{00000000-0004-0000-0000-0000B62B0000}"/>
    <hyperlink ref="A4022" r:id="rId11066" xr:uid="{00000000-0004-0000-0000-0000B72B0000}"/>
    <hyperlink ref="C4022" r:id="rId11067" xr:uid="{00000000-0004-0000-0000-0000B82B0000}"/>
    <hyperlink ref="D4022" r:id="rId11068" xr:uid="{00000000-0004-0000-0000-0000B92B0000}"/>
    <hyperlink ref="A4023" r:id="rId11069" xr:uid="{00000000-0004-0000-0000-0000BA2B0000}"/>
    <hyperlink ref="C4023" r:id="rId11070" xr:uid="{00000000-0004-0000-0000-0000BB2B0000}"/>
    <hyperlink ref="D4023" r:id="rId11071" xr:uid="{00000000-0004-0000-0000-0000BC2B0000}"/>
    <hyperlink ref="A4024" r:id="rId11072" xr:uid="{00000000-0004-0000-0000-0000BD2B0000}"/>
    <hyperlink ref="C4024" r:id="rId11073" xr:uid="{00000000-0004-0000-0000-0000BE2B0000}"/>
    <hyperlink ref="D4024" r:id="rId11074" xr:uid="{00000000-0004-0000-0000-0000BF2B0000}"/>
    <hyperlink ref="A4025" r:id="rId11075" xr:uid="{00000000-0004-0000-0000-0000C02B0000}"/>
    <hyperlink ref="C4025" r:id="rId11076" xr:uid="{00000000-0004-0000-0000-0000C12B0000}"/>
    <hyperlink ref="D4025" r:id="rId11077" xr:uid="{00000000-0004-0000-0000-0000C22B0000}"/>
    <hyperlink ref="A4026" r:id="rId11078" xr:uid="{00000000-0004-0000-0000-0000C32B0000}"/>
    <hyperlink ref="C4026" r:id="rId11079" xr:uid="{00000000-0004-0000-0000-0000C42B0000}"/>
    <hyperlink ref="D4026" r:id="rId11080" location="/overview" xr:uid="{00000000-0004-0000-0000-0000C52B0000}"/>
    <hyperlink ref="A4027" r:id="rId11081" xr:uid="{00000000-0004-0000-0000-0000C62B0000}"/>
    <hyperlink ref="C4027" r:id="rId11082" xr:uid="{00000000-0004-0000-0000-0000C72B0000}"/>
    <hyperlink ref="D4027" r:id="rId11083" xr:uid="{00000000-0004-0000-0000-0000C82B0000}"/>
    <hyperlink ref="A4028" r:id="rId11084" xr:uid="{00000000-0004-0000-0000-0000C92B0000}"/>
    <hyperlink ref="C4028" r:id="rId11085" xr:uid="{00000000-0004-0000-0000-0000CA2B0000}"/>
    <hyperlink ref="D4028" r:id="rId11086" xr:uid="{00000000-0004-0000-0000-0000CB2B0000}"/>
    <hyperlink ref="E4028" r:id="rId11087" xr:uid="{00000000-0004-0000-0000-0000CC2B0000}"/>
    <hyperlink ref="A4029" r:id="rId11088" xr:uid="{00000000-0004-0000-0000-0000CD2B0000}"/>
    <hyperlink ref="C4029" r:id="rId11089" xr:uid="{00000000-0004-0000-0000-0000CE2B0000}"/>
    <hyperlink ref="D4029" r:id="rId11090" xr:uid="{00000000-0004-0000-0000-0000CF2B0000}"/>
    <hyperlink ref="A4030" r:id="rId11091" xr:uid="{00000000-0004-0000-0000-0000D02B0000}"/>
    <hyperlink ref="C4030" r:id="rId11092" xr:uid="{00000000-0004-0000-0000-0000D12B0000}"/>
    <hyperlink ref="D4030" r:id="rId11093" xr:uid="{00000000-0004-0000-0000-0000D22B0000}"/>
    <hyperlink ref="A4031" r:id="rId11094" xr:uid="{00000000-0004-0000-0000-0000D32B0000}"/>
    <hyperlink ref="C4031" r:id="rId11095" xr:uid="{00000000-0004-0000-0000-0000D42B0000}"/>
    <hyperlink ref="D4031" r:id="rId11096" xr:uid="{00000000-0004-0000-0000-0000D52B0000}"/>
    <hyperlink ref="A4032" r:id="rId11097" xr:uid="{00000000-0004-0000-0000-0000D62B0000}"/>
    <hyperlink ref="C4032" r:id="rId11098" xr:uid="{00000000-0004-0000-0000-0000D72B0000}"/>
    <hyperlink ref="D4032" r:id="rId11099" xr:uid="{00000000-0004-0000-0000-0000D82B0000}"/>
    <hyperlink ref="A4033" r:id="rId11100" xr:uid="{00000000-0004-0000-0000-0000D92B0000}"/>
    <hyperlink ref="C4033" r:id="rId11101" xr:uid="{00000000-0004-0000-0000-0000DA2B0000}"/>
    <hyperlink ref="D4033" r:id="rId11102" xr:uid="{00000000-0004-0000-0000-0000DB2B0000}"/>
    <hyperlink ref="A4034" r:id="rId11103" xr:uid="{00000000-0004-0000-0000-0000DC2B0000}"/>
    <hyperlink ref="C4034" r:id="rId11104" xr:uid="{00000000-0004-0000-0000-0000DD2B0000}"/>
    <hyperlink ref="D4034" r:id="rId11105" xr:uid="{00000000-0004-0000-0000-0000DE2B0000}"/>
    <hyperlink ref="A4035" r:id="rId11106" xr:uid="{00000000-0004-0000-0000-0000DF2B0000}"/>
    <hyperlink ref="C4035" r:id="rId11107" xr:uid="{00000000-0004-0000-0000-0000E02B0000}"/>
    <hyperlink ref="D4035" r:id="rId11108" xr:uid="{00000000-0004-0000-0000-0000E12B0000}"/>
    <hyperlink ref="A4036" r:id="rId11109" xr:uid="{00000000-0004-0000-0000-0000E22B0000}"/>
    <hyperlink ref="C4036" r:id="rId11110" xr:uid="{00000000-0004-0000-0000-0000E32B0000}"/>
    <hyperlink ref="D4036" r:id="rId11111" xr:uid="{00000000-0004-0000-0000-0000E42B0000}"/>
    <hyperlink ref="A4037" r:id="rId11112" xr:uid="{00000000-0004-0000-0000-0000E52B0000}"/>
    <hyperlink ref="C4037" r:id="rId11113" xr:uid="{00000000-0004-0000-0000-0000E62B0000}"/>
    <hyperlink ref="D4037" r:id="rId11114" xr:uid="{00000000-0004-0000-0000-0000E72B0000}"/>
    <hyperlink ref="A4038" r:id="rId11115" xr:uid="{00000000-0004-0000-0000-0000E82B0000}"/>
    <hyperlink ref="C4038" r:id="rId11116" xr:uid="{00000000-0004-0000-0000-0000E92B0000}"/>
    <hyperlink ref="D4038" r:id="rId11117" xr:uid="{00000000-0004-0000-0000-0000EA2B0000}"/>
    <hyperlink ref="A4039" r:id="rId11118" xr:uid="{00000000-0004-0000-0000-0000EB2B0000}"/>
    <hyperlink ref="C4039" r:id="rId11119" xr:uid="{00000000-0004-0000-0000-0000EC2B0000}"/>
    <hyperlink ref="D4039" r:id="rId11120" xr:uid="{00000000-0004-0000-0000-0000ED2B0000}"/>
    <hyperlink ref="A4040" r:id="rId11121" xr:uid="{00000000-0004-0000-0000-0000EE2B0000}"/>
    <hyperlink ref="C4040" r:id="rId11122" xr:uid="{00000000-0004-0000-0000-0000EF2B0000}"/>
    <hyperlink ref="D4040" r:id="rId11123" xr:uid="{00000000-0004-0000-0000-0000F02B0000}"/>
    <hyperlink ref="C4041" r:id="rId11124" xr:uid="{00000000-0004-0000-0000-0000F12B0000}"/>
    <hyperlink ref="D4041" r:id="rId11125" xr:uid="{00000000-0004-0000-0000-0000F22B0000}"/>
    <hyperlink ref="A4042" r:id="rId11126" xr:uid="{00000000-0004-0000-0000-0000F32B0000}"/>
    <hyperlink ref="C4042" r:id="rId11127" xr:uid="{00000000-0004-0000-0000-0000F42B0000}"/>
    <hyperlink ref="D4042" r:id="rId11128" xr:uid="{00000000-0004-0000-0000-0000F52B0000}"/>
    <hyperlink ref="A4043" r:id="rId11129" xr:uid="{00000000-0004-0000-0000-0000F62B0000}"/>
    <hyperlink ref="C4043" r:id="rId11130" xr:uid="{00000000-0004-0000-0000-0000F72B0000}"/>
    <hyperlink ref="D4043" r:id="rId11131" xr:uid="{00000000-0004-0000-0000-0000F82B0000}"/>
    <hyperlink ref="A4044" r:id="rId11132" xr:uid="{00000000-0004-0000-0000-0000F92B0000}"/>
    <hyperlink ref="C4044" r:id="rId11133" xr:uid="{00000000-0004-0000-0000-0000FA2B0000}"/>
    <hyperlink ref="D4044" r:id="rId11134" xr:uid="{00000000-0004-0000-0000-0000FB2B0000}"/>
    <hyperlink ref="A4045" r:id="rId11135" xr:uid="{00000000-0004-0000-0000-0000FC2B0000}"/>
    <hyperlink ref="C4045" r:id="rId11136" xr:uid="{00000000-0004-0000-0000-0000FD2B0000}"/>
    <hyperlink ref="D4045" r:id="rId11137" xr:uid="{00000000-0004-0000-0000-0000FE2B0000}"/>
    <hyperlink ref="A4046" r:id="rId11138" xr:uid="{00000000-0004-0000-0000-0000FF2B0000}"/>
    <hyperlink ref="C4046" r:id="rId11139" xr:uid="{00000000-0004-0000-0000-0000002C0000}"/>
    <hyperlink ref="D4046" r:id="rId11140" xr:uid="{00000000-0004-0000-0000-0000012C0000}"/>
    <hyperlink ref="A4047" r:id="rId11141" xr:uid="{00000000-0004-0000-0000-0000022C0000}"/>
    <hyperlink ref="C4047" r:id="rId11142" xr:uid="{00000000-0004-0000-0000-0000032C0000}"/>
    <hyperlink ref="D4047" r:id="rId11143" xr:uid="{00000000-0004-0000-0000-0000042C0000}"/>
    <hyperlink ref="C4048" r:id="rId11144" xr:uid="{00000000-0004-0000-0000-0000052C0000}"/>
    <hyperlink ref="D4048" r:id="rId11145" xr:uid="{00000000-0004-0000-0000-0000062C0000}"/>
    <hyperlink ref="A4049" r:id="rId11146" xr:uid="{00000000-0004-0000-0000-0000072C0000}"/>
    <hyperlink ref="C4049" r:id="rId11147" xr:uid="{00000000-0004-0000-0000-0000082C0000}"/>
    <hyperlink ref="D4049" r:id="rId11148" xr:uid="{00000000-0004-0000-0000-0000092C0000}"/>
    <hyperlink ref="E4049" r:id="rId11149" xr:uid="{00000000-0004-0000-0000-00000A2C0000}"/>
    <hyperlink ref="A4050" r:id="rId11150" xr:uid="{00000000-0004-0000-0000-00000B2C0000}"/>
    <hyperlink ref="C4050" r:id="rId11151" xr:uid="{00000000-0004-0000-0000-00000C2C0000}"/>
    <hyperlink ref="D4050" r:id="rId11152" xr:uid="{00000000-0004-0000-0000-00000D2C0000}"/>
    <hyperlink ref="A4051" r:id="rId11153" xr:uid="{00000000-0004-0000-0000-00000E2C0000}"/>
    <hyperlink ref="C4051" r:id="rId11154" xr:uid="{00000000-0004-0000-0000-00000F2C0000}"/>
    <hyperlink ref="D4051" r:id="rId11155" xr:uid="{00000000-0004-0000-0000-0000102C0000}"/>
    <hyperlink ref="A4052" r:id="rId11156" xr:uid="{00000000-0004-0000-0000-0000112C0000}"/>
    <hyperlink ref="C4052" r:id="rId11157" xr:uid="{00000000-0004-0000-0000-0000122C0000}"/>
    <hyperlink ref="D4052" r:id="rId11158" xr:uid="{00000000-0004-0000-0000-0000132C0000}"/>
    <hyperlink ref="A4053" r:id="rId11159" xr:uid="{00000000-0004-0000-0000-0000142C0000}"/>
    <hyperlink ref="C4053" r:id="rId11160" xr:uid="{00000000-0004-0000-0000-0000152C0000}"/>
    <hyperlink ref="D4053" r:id="rId11161" xr:uid="{00000000-0004-0000-0000-0000162C0000}"/>
    <hyperlink ref="A4054" r:id="rId11162" xr:uid="{00000000-0004-0000-0000-0000172C0000}"/>
    <hyperlink ref="C4054" r:id="rId11163" xr:uid="{00000000-0004-0000-0000-0000182C0000}"/>
    <hyperlink ref="D4054" r:id="rId11164" xr:uid="{00000000-0004-0000-0000-0000192C0000}"/>
    <hyperlink ref="A4055" r:id="rId11165" xr:uid="{00000000-0004-0000-0000-00001A2C0000}"/>
    <hyperlink ref="C4055" r:id="rId11166" xr:uid="{00000000-0004-0000-0000-00001B2C0000}"/>
    <hyperlink ref="D4055" r:id="rId11167" xr:uid="{00000000-0004-0000-0000-00001C2C0000}"/>
    <hyperlink ref="A4056" r:id="rId11168" xr:uid="{00000000-0004-0000-0000-00001D2C0000}"/>
    <hyperlink ref="C4056" r:id="rId11169" xr:uid="{00000000-0004-0000-0000-00001E2C0000}"/>
    <hyperlink ref="D4056" r:id="rId11170" xr:uid="{00000000-0004-0000-0000-00001F2C0000}"/>
    <hyperlink ref="E4056" r:id="rId11171" xr:uid="{00000000-0004-0000-0000-0000202C0000}"/>
    <hyperlink ref="A4057" r:id="rId11172" xr:uid="{00000000-0004-0000-0000-0000212C0000}"/>
    <hyperlink ref="C4057" r:id="rId11173" xr:uid="{00000000-0004-0000-0000-0000222C0000}"/>
    <hyperlink ref="D4057" r:id="rId11174" xr:uid="{00000000-0004-0000-0000-0000232C0000}"/>
    <hyperlink ref="A4058" r:id="rId11175" xr:uid="{00000000-0004-0000-0000-0000242C0000}"/>
    <hyperlink ref="C4058" r:id="rId11176" xr:uid="{00000000-0004-0000-0000-0000252C0000}"/>
    <hyperlink ref="D4058" r:id="rId11177" xr:uid="{00000000-0004-0000-0000-0000262C0000}"/>
    <hyperlink ref="A4059" r:id="rId11178" xr:uid="{00000000-0004-0000-0000-0000272C0000}"/>
    <hyperlink ref="C4059" r:id="rId11179" xr:uid="{00000000-0004-0000-0000-0000282C0000}"/>
    <hyperlink ref="D4059" r:id="rId11180" xr:uid="{00000000-0004-0000-0000-0000292C0000}"/>
    <hyperlink ref="A4060" r:id="rId11181" xr:uid="{00000000-0004-0000-0000-00002A2C0000}"/>
    <hyperlink ref="C4060" r:id="rId11182" xr:uid="{00000000-0004-0000-0000-00002B2C0000}"/>
    <hyperlink ref="D4060" r:id="rId11183" xr:uid="{00000000-0004-0000-0000-00002C2C0000}"/>
    <hyperlink ref="A4061" r:id="rId11184" xr:uid="{00000000-0004-0000-0000-00002D2C0000}"/>
    <hyperlink ref="C4061" r:id="rId11185" xr:uid="{00000000-0004-0000-0000-00002E2C0000}"/>
    <hyperlink ref="D4061" r:id="rId11186" xr:uid="{00000000-0004-0000-0000-00002F2C0000}"/>
    <hyperlink ref="A4062" r:id="rId11187" xr:uid="{00000000-0004-0000-0000-0000302C0000}"/>
    <hyperlink ref="C4062" r:id="rId11188" xr:uid="{00000000-0004-0000-0000-0000312C0000}"/>
    <hyperlink ref="D4062" r:id="rId11189" xr:uid="{00000000-0004-0000-0000-0000322C0000}"/>
    <hyperlink ref="A4063" r:id="rId11190" xr:uid="{00000000-0004-0000-0000-0000332C0000}"/>
    <hyperlink ref="C4063" r:id="rId11191" xr:uid="{00000000-0004-0000-0000-0000342C0000}"/>
    <hyperlink ref="D4063" r:id="rId11192" xr:uid="{00000000-0004-0000-0000-0000352C0000}"/>
    <hyperlink ref="A4064" r:id="rId11193" xr:uid="{00000000-0004-0000-0000-0000362C0000}"/>
    <hyperlink ref="C4064" r:id="rId11194" xr:uid="{00000000-0004-0000-0000-0000372C0000}"/>
    <hyperlink ref="A4065" r:id="rId11195" xr:uid="{00000000-0004-0000-0000-0000382C0000}"/>
    <hyperlink ref="C4065" r:id="rId11196" xr:uid="{00000000-0004-0000-0000-0000392C0000}"/>
    <hyperlink ref="D4065" r:id="rId11197" xr:uid="{00000000-0004-0000-0000-00003A2C0000}"/>
    <hyperlink ref="A4066" r:id="rId11198" xr:uid="{00000000-0004-0000-0000-00003B2C0000}"/>
    <hyperlink ref="C4066" r:id="rId11199" xr:uid="{00000000-0004-0000-0000-00003C2C0000}"/>
    <hyperlink ref="D4066" r:id="rId11200" xr:uid="{00000000-0004-0000-0000-00003D2C0000}"/>
    <hyperlink ref="A4067" r:id="rId11201" xr:uid="{00000000-0004-0000-0000-00003E2C0000}"/>
    <hyperlink ref="C4067" r:id="rId11202" xr:uid="{00000000-0004-0000-0000-00003F2C0000}"/>
    <hyperlink ref="D4067" r:id="rId11203" xr:uid="{00000000-0004-0000-0000-0000402C0000}"/>
    <hyperlink ref="A4068" r:id="rId11204" xr:uid="{00000000-0004-0000-0000-0000412C0000}"/>
    <hyperlink ref="C4068" r:id="rId11205" xr:uid="{00000000-0004-0000-0000-0000422C0000}"/>
    <hyperlink ref="D4068" r:id="rId11206" xr:uid="{00000000-0004-0000-0000-0000432C0000}"/>
    <hyperlink ref="A4069" r:id="rId11207" xr:uid="{00000000-0004-0000-0000-0000442C0000}"/>
    <hyperlink ref="C4069" r:id="rId11208" xr:uid="{00000000-0004-0000-0000-0000452C0000}"/>
    <hyperlink ref="D4069" r:id="rId11209" xr:uid="{00000000-0004-0000-0000-0000462C0000}"/>
    <hyperlink ref="E4069" r:id="rId11210" xr:uid="{00000000-0004-0000-0000-0000472C0000}"/>
    <hyperlink ref="A4070" r:id="rId11211" xr:uid="{00000000-0004-0000-0000-0000482C0000}"/>
    <hyperlink ref="C4070" r:id="rId11212" xr:uid="{00000000-0004-0000-0000-0000492C0000}"/>
    <hyperlink ref="D4070" r:id="rId11213" xr:uid="{00000000-0004-0000-0000-00004A2C0000}"/>
    <hyperlink ref="A4071" r:id="rId11214" xr:uid="{00000000-0004-0000-0000-00004B2C0000}"/>
    <hyperlink ref="C4071" r:id="rId11215" xr:uid="{00000000-0004-0000-0000-00004C2C0000}"/>
    <hyperlink ref="D4071" r:id="rId11216" xr:uid="{00000000-0004-0000-0000-00004D2C0000}"/>
    <hyperlink ref="C4072" r:id="rId11217" xr:uid="{00000000-0004-0000-0000-00004E2C0000}"/>
    <hyperlink ref="D4072" r:id="rId11218" xr:uid="{00000000-0004-0000-0000-00004F2C0000}"/>
    <hyperlink ref="A4073" r:id="rId11219" xr:uid="{00000000-0004-0000-0000-0000502C0000}"/>
    <hyperlink ref="D4073" r:id="rId11220" xr:uid="{00000000-0004-0000-0000-0000512C0000}"/>
    <hyperlink ref="A4074" r:id="rId11221" xr:uid="{00000000-0004-0000-0000-0000522C0000}"/>
    <hyperlink ref="C4074" r:id="rId11222" xr:uid="{00000000-0004-0000-0000-0000532C0000}"/>
    <hyperlink ref="D4074" r:id="rId11223" xr:uid="{00000000-0004-0000-0000-0000542C0000}"/>
    <hyperlink ref="A4075" r:id="rId11224" xr:uid="{00000000-0004-0000-0000-0000552C0000}"/>
    <hyperlink ref="C4075" r:id="rId11225" xr:uid="{00000000-0004-0000-0000-0000562C0000}"/>
    <hyperlink ref="D4075" r:id="rId11226" xr:uid="{00000000-0004-0000-0000-0000572C0000}"/>
    <hyperlink ref="A4076" r:id="rId11227" xr:uid="{00000000-0004-0000-0000-0000582C0000}"/>
    <hyperlink ref="C4076" r:id="rId11228" xr:uid="{00000000-0004-0000-0000-0000592C0000}"/>
    <hyperlink ref="D4076" r:id="rId11229" xr:uid="{00000000-0004-0000-0000-00005A2C0000}"/>
    <hyperlink ref="A4077" r:id="rId11230" xr:uid="{00000000-0004-0000-0000-00005B2C0000}"/>
    <hyperlink ref="C4077" r:id="rId11231" xr:uid="{00000000-0004-0000-0000-00005C2C0000}"/>
    <hyperlink ref="D4077" r:id="rId11232" xr:uid="{00000000-0004-0000-0000-00005D2C0000}"/>
    <hyperlink ref="A4078" r:id="rId11233" xr:uid="{00000000-0004-0000-0000-00005E2C0000}"/>
    <hyperlink ref="C4078" r:id="rId11234" xr:uid="{00000000-0004-0000-0000-00005F2C0000}"/>
    <hyperlink ref="D4078" r:id="rId11235" xr:uid="{00000000-0004-0000-0000-0000602C0000}"/>
    <hyperlink ref="E4078" r:id="rId11236" xr:uid="{00000000-0004-0000-0000-0000612C0000}"/>
    <hyperlink ref="A4079" r:id="rId11237" xr:uid="{00000000-0004-0000-0000-0000622C0000}"/>
    <hyperlink ref="D4079" r:id="rId11238" xr:uid="{00000000-0004-0000-0000-0000632C0000}"/>
    <hyperlink ref="A4080" r:id="rId11239" xr:uid="{00000000-0004-0000-0000-0000642C0000}"/>
    <hyperlink ref="C4080" r:id="rId11240" xr:uid="{00000000-0004-0000-0000-0000652C0000}"/>
    <hyperlink ref="D4080" r:id="rId11241" xr:uid="{00000000-0004-0000-0000-0000662C0000}"/>
    <hyperlink ref="A4081" r:id="rId11242" xr:uid="{00000000-0004-0000-0000-0000672C0000}"/>
    <hyperlink ref="C4081" r:id="rId11243" xr:uid="{00000000-0004-0000-0000-0000682C0000}"/>
    <hyperlink ref="D4081" r:id="rId11244" xr:uid="{00000000-0004-0000-0000-0000692C0000}"/>
    <hyperlink ref="A4082" r:id="rId11245" xr:uid="{00000000-0004-0000-0000-00006A2C0000}"/>
    <hyperlink ref="C4082" r:id="rId11246" xr:uid="{00000000-0004-0000-0000-00006B2C0000}"/>
    <hyperlink ref="D4082" r:id="rId11247" xr:uid="{00000000-0004-0000-0000-00006C2C0000}"/>
    <hyperlink ref="A4083" r:id="rId11248" xr:uid="{00000000-0004-0000-0000-00006D2C0000}"/>
    <hyperlink ref="C4083" r:id="rId11249" xr:uid="{00000000-0004-0000-0000-00006E2C0000}"/>
    <hyperlink ref="D4083" r:id="rId11250" xr:uid="{00000000-0004-0000-0000-00006F2C0000}"/>
    <hyperlink ref="A4084" r:id="rId11251" xr:uid="{00000000-0004-0000-0000-0000702C0000}"/>
    <hyperlink ref="C4084" r:id="rId11252" xr:uid="{00000000-0004-0000-0000-0000712C0000}"/>
    <hyperlink ref="D4084" r:id="rId11253" xr:uid="{00000000-0004-0000-0000-0000722C0000}"/>
    <hyperlink ref="A4085" r:id="rId11254" xr:uid="{00000000-0004-0000-0000-0000732C0000}"/>
    <hyperlink ref="C4085" r:id="rId11255" xr:uid="{00000000-0004-0000-0000-0000742C0000}"/>
    <hyperlink ref="D4085" r:id="rId11256" xr:uid="{00000000-0004-0000-0000-0000752C0000}"/>
    <hyperlink ref="E4085" r:id="rId11257" xr:uid="{00000000-0004-0000-0000-0000762C0000}"/>
    <hyperlink ref="A4086" r:id="rId11258" xr:uid="{00000000-0004-0000-0000-0000772C0000}"/>
    <hyperlink ref="C4086" r:id="rId11259" xr:uid="{00000000-0004-0000-0000-0000782C0000}"/>
    <hyperlink ref="D4086" r:id="rId11260" xr:uid="{00000000-0004-0000-0000-0000792C0000}"/>
    <hyperlink ref="A4087" r:id="rId11261" xr:uid="{00000000-0004-0000-0000-00007A2C0000}"/>
    <hyperlink ref="C4087" r:id="rId11262" xr:uid="{00000000-0004-0000-0000-00007B2C0000}"/>
    <hyperlink ref="D4087" r:id="rId11263" xr:uid="{00000000-0004-0000-0000-00007C2C0000}"/>
    <hyperlink ref="A4088" r:id="rId11264" xr:uid="{00000000-0004-0000-0000-00007D2C0000}"/>
    <hyperlink ref="C4088" r:id="rId11265" xr:uid="{00000000-0004-0000-0000-00007E2C0000}"/>
    <hyperlink ref="D4088" r:id="rId11266" xr:uid="{00000000-0004-0000-0000-00007F2C0000}"/>
    <hyperlink ref="A4089" r:id="rId11267" xr:uid="{00000000-0004-0000-0000-0000802C0000}"/>
    <hyperlink ref="C4089" r:id="rId11268" xr:uid="{00000000-0004-0000-0000-0000812C0000}"/>
    <hyperlink ref="D4089" r:id="rId11269" xr:uid="{00000000-0004-0000-0000-0000822C0000}"/>
    <hyperlink ref="A4090" r:id="rId11270" xr:uid="{00000000-0004-0000-0000-0000832C0000}"/>
    <hyperlink ref="C4090" r:id="rId11271" xr:uid="{00000000-0004-0000-0000-0000842C0000}"/>
    <hyperlink ref="D4090" r:id="rId11272" xr:uid="{00000000-0004-0000-0000-0000852C0000}"/>
    <hyperlink ref="A4091" r:id="rId11273" xr:uid="{00000000-0004-0000-0000-0000862C0000}"/>
    <hyperlink ref="C4091" r:id="rId11274" xr:uid="{00000000-0004-0000-0000-0000872C0000}"/>
    <hyperlink ref="D4091" r:id="rId11275" xr:uid="{00000000-0004-0000-0000-0000882C0000}"/>
    <hyperlink ref="A4092" r:id="rId11276" xr:uid="{00000000-0004-0000-0000-0000892C0000}"/>
    <hyperlink ref="C4092" r:id="rId11277" xr:uid="{00000000-0004-0000-0000-00008A2C0000}"/>
    <hyperlink ref="D4092" r:id="rId11278" xr:uid="{00000000-0004-0000-0000-00008B2C0000}"/>
    <hyperlink ref="A4093" r:id="rId11279" xr:uid="{00000000-0004-0000-0000-00008C2C0000}"/>
    <hyperlink ref="C4093" r:id="rId11280" xr:uid="{00000000-0004-0000-0000-00008D2C0000}"/>
    <hyperlink ref="D4093" r:id="rId11281" xr:uid="{00000000-0004-0000-0000-00008E2C0000}"/>
    <hyperlink ref="A4094" r:id="rId11282" xr:uid="{00000000-0004-0000-0000-00008F2C0000}"/>
    <hyperlink ref="C4094" r:id="rId11283" xr:uid="{00000000-0004-0000-0000-0000902C0000}"/>
    <hyperlink ref="D4094" r:id="rId11284" xr:uid="{00000000-0004-0000-0000-0000912C0000}"/>
    <hyperlink ref="A4095" r:id="rId11285" xr:uid="{00000000-0004-0000-0000-0000922C0000}"/>
    <hyperlink ref="C4095" r:id="rId11286" xr:uid="{00000000-0004-0000-0000-0000932C0000}"/>
    <hyperlink ref="D4095" r:id="rId11287" xr:uid="{00000000-0004-0000-0000-0000942C0000}"/>
    <hyperlink ref="A4096" r:id="rId11288" xr:uid="{00000000-0004-0000-0000-0000952C0000}"/>
    <hyperlink ref="C4096" r:id="rId11289" xr:uid="{00000000-0004-0000-0000-0000962C0000}"/>
    <hyperlink ref="D4096" r:id="rId11290" xr:uid="{00000000-0004-0000-0000-0000972C0000}"/>
    <hyperlink ref="A4097" r:id="rId11291" xr:uid="{00000000-0004-0000-0000-0000982C0000}"/>
    <hyperlink ref="C4097" r:id="rId11292" xr:uid="{00000000-0004-0000-0000-0000992C0000}"/>
    <hyperlink ref="D4097" r:id="rId11293" xr:uid="{00000000-0004-0000-0000-00009A2C0000}"/>
    <hyperlink ref="A4098" r:id="rId11294" xr:uid="{00000000-0004-0000-0000-00009B2C0000}"/>
    <hyperlink ref="C4098" r:id="rId11295" xr:uid="{00000000-0004-0000-0000-00009C2C0000}"/>
    <hyperlink ref="D4098" r:id="rId11296" xr:uid="{00000000-0004-0000-0000-00009D2C0000}"/>
    <hyperlink ref="A4099" r:id="rId11297" xr:uid="{00000000-0004-0000-0000-00009E2C0000}"/>
    <hyperlink ref="C4099" r:id="rId11298" xr:uid="{00000000-0004-0000-0000-00009F2C0000}"/>
    <hyperlink ref="D4099" r:id="rId11299" xr:uid="{00000000-0004-0000-0000-0000A02C0000}"/>
    <hyperlink ref="A4100" r:id="rId11300" xr:uid="{00000000-0004-0000-0000-0000A12C0000}"/>
    <hyperlink ref="C4100" r:id="rId11301" xr:uid="{00000000-0004-0000-0000-0000A22C0000}"/>
    <hyperlink ref="D4100" r:id="rId11302" xr:uid="{00000000-0004-0000-0000-0000A32C0000}"/>
    <hyperlink ref="A4101" r:id="rId11303" xr:uid="{00000000-0004-0000-0000-0000A42C0000}"/>
    <hyperlink ref="C4101" r:id="rId11304" xr:uid="{00000000-0004-0000-0000-0000A52C0000}"/>
    <hyperlink ref="D4101" r:id="rId11305" xr:uid="{00000000-0004-0000-0000-0000A62C0000}"/>
    <hyperlink ref="A4102" r:id="rId11306" xr:uid="{00000000-0004-0000-0000-0000A72C0000}"/>
    <hyperlink ref="C4102" r:id="rId11307" xr:uid="{00000000-0004-0000-0000-0000A82C0000}"/>
    <hyperlink ref="D4102" r:id="rId11308" xr:uid="{00000000-0004-0000-0000-0000A92C0000}"/>
    <hyperlink ref="A4103" r:id="rId11309" xr:uid="{00000000-0004-0000-0000-0000AA2C0000}"/>
    <hyperlink ref="C4103" r:id="rId11310" xr:uid="{00000000-0004-0000-0000-0000AB2C0000}"/>
    <hyperlink ref="D4103" r:id="rId11311" xr:uid="{00000000-0004-0000-0000-0000AC2C0000}"/>
    <hyperlink ref="A4104" r:id="rId11312" xr:uid="{00000000-0004-0000-0000-0000AD2C0000}"/>
    <hyperlink ref="C4104" r:id="rId11313" xr:uid="{00000000-0004-0000-0000-0000AE2C0000}"/>
    <hyperlink ref="D4104" r:id="rId11314" xr:uid="{00000000-0004-0000-0000-0000AF2C0000}"/>
    <hyperlink ref="A4105" r:id="rId11315" xr:uid="{00000000-0004-0000-0000-0000B02C0000}"/>
    <hyperlink ref="C4105" r:id="rId11316" xr:uid="{00000000-0004-0000-0000-0000B12C0000}"/>
    <hyperlink ref="D4105" r:id="rId11317" xr:uid="{00000000-0004-0000-0000-0000B22C0000}"/>
    <hyperlink ref="A4106" r:id="rId11318" xr:uid="{00000000-0004-0000-0000-0000B32C0000}"/>
    <hyperlink ref="C4106" r:id="rId11319" xr:uid="{00000000-0004-0000-0000-0000B42C0000}"/>
    <hyperlink ref="D4106" r:id="rId11320" xr:uid="{00000000-0004-0000-0000-0000B52C0000}"/>
    <hyperlink ref="A4107" r:id="rId11321" xr:uid="{00000000-0004-0000-0000-0000B62C0000}"/>
    <hyperlink ref="C4107" r:id="rId11322" xr:uid="{00000000-0004-0000-0000-0000B72C0000}"/>
    <hyperlink ref="D4107" r:id="rId11323" xr:uid="{00000000-0004-0000-0000-0000B82C0000}"/>
    <hyperlink ref="A4108" r:id="rId11324" xr:uid="{00000000-0004-0000-0000-0000B92C0000}"/>
    <hyperlink ref="C4108" r:id="rId11325" xr:uid="{00000000-0004-0000-0000-0000BA2C0000}"/>
    <hyperlink ref="D4108" r:id="rId11326" xr:uid="{00000000-0004-0000-0000-0000BB2C0000}"/>
    <hyperlink ref="A4109" r:id="rId11327" xr:uid="{00000000-0004-0000-0000-0000BC2C0000}"/>
    <hyperlink ref="C4109" r:id="rId11328" xr:uid="{00000000-0004-0000-0000-0000BD2C0000}"/>
    <hyperlink ref="D4109" r:id="rId11329" xr:uid="{00000000-0004-0000-0000-0000BE2C0000}"/>
    <hyperlink ref="A4110" r:id="rId11330" xr:uid="{00000000-0004-0000-0000-0000BF2C0000}"/>
    <hyperlink ref="C4110" r:id="rId11331" xr:uid="{00000000-0004-0000-0000-0000C02C0000}"/>
    <hyperlink ref="D4110" r:id="rId11332" xr:uid="{00000000-0004-0000-0000-0000C12C0000}"/>
    <hyperlink ref="A4111" r:id="rId11333" xr:uid="{00000000-0004-0000-0000-0000C22C0000}"/>
    <hyperlink ref="D4111" r:id="rId11334" xr:uid="{00000000-0004-0000-0000-0000C32C0000}"/>
    <hyperlink ref="A4112" r:id="rId11335" xr:uid="{00000000-0004-0000-0000-0000C42C0000}"/>
    <hyperlink ref="C4112" r:id="rId11336" xr:uid="{00000000-0004-0000-0000-0000C52C0000}"/>
    <hyperlink ref="D4112" r:id="rId11337" xr:uid="{00000000-0004-0000-0000-0000C62C0000}"/>
    <hyperlink ref="A4113" r:id="rId11338" xr:uid="{00000000-0004-0000-0000-0000C72C0000}"/>
    <hyperlink ref="D4113" r:id="rId11339" xr:uid="{00000000-0004-0000-0000-0000C82C0000}"/>
    <hyperlink ref="A4114" r:id="rId11340" xr:uid="{00000000-0004-0000-0000-0000C92C0000}"/>
    <hyperlink ref="C4114" r:id="rId11341" xr:uid="{00000000-0004-0000-0000-0000CA2C0000}"/>
    <hyperlink ref="D4114" r:id="rId11342" xr:uid="{00000000-0004-0000-0000-0000CB2C0000}"/>
    <hyperlink ref="E4114" r:id="rId11343" xr:uid="{00000000-0004-0000-0000-0000CC2C0000}"/>
    <hyperlink ref="A4115" r:id="rId11344" xr:uid="{00000000-0004-0000-0000-0000CD2C0000}"/>
    <hyperlink ref="C4115" r:id="rId11345" xr:uid="{00000000-0004-0000-0000-0000CE2C0000}"/>
    <hyperlink ref="D4115" r:id="rId11346" xr:uid="{00000000-0004-0000-0000-0000CF2C0000}"/>
    <hyperlink ref="A4116" r:id="rId11347" xr:uid="{00000000-0004-0000-0000-0000D02C0000}"/>
    <hyperlink ref="C4116" r:id="rId11348" xr:uid="{00000000-0004-0000-0000-0000D12C0000}"/>
    <hyperlink ref="D4116" r:id="rId11349" xr:uid="{00000000-0004-0000-0000-0000D22C0000}"/>
    <hyperlink ref="A4117" r:id="rId11350" xr:uid="{00000000-0004-0000-0000-0000D32C0000}"/>
    <hyperlink ref="C4117" r:id="rId11351" xr:uid="{00000000-0004-0000-0000-0000D42C0000}"/>
    <hyperlink ref="D4117" r:id="rId11352" xr:uid="{00000000-0004-0000-0000-0000D52C0000}"/>
    <hyperlink ref="A4118" r:id="rId11353" xr:uid="{00000000-0004-0000-0000-0000D62C0000}"/>
    <hyperlink ref="C4118" r:id="rId11354" xr:uid="{00000000-0004-0000-0000-0000D72C0000}"/>
    <hyperlink ref="D4118" r:id="rId11355" xr:uid="{00000000-0004-0000-0000-0000D82C0000}"/>
    <hyperlink ref="A4119" r:id="rId11356" xr:uid="{00000000-0004-0000-0000-0000D92C0000}"/>
    <hyperlink ref="C4119" r:id="rId11357" xr:uid="{00000000-0004-0000-0000-0000DA2C0000}"/>
    <hyperlink ref="D4119" r:id="rId11358" xr:uid="{00000000-0004-0000-0000-0000DB2C0000}"/>
    <hyperlink ref="A4120" r:id="rId11359" xr:uid="{00000000-0004-0000-0000-0000DC2C0000}"/>
    <hyperlink ref="C4120" r:id="rId11360" xr:uid="{00000000-0004-0000-0000-0000DD2C0000}"/>
    <hyperlink ref="D4120" r:id="rId11361" xr:uid="{00000000-0004-0000-0000-0000DE2C0000}"/>
    <hyperlink ref="A4121" r:id="rId11362" xr:uid="{00000000-0004-0000-0000-0000DF2C0000}"/>
    <hyperlink ref="C4121" r:id="rId11363" xr:uid="{00000000-0004-0000-0000-0000E02C0000}"/>
    <hyperlink ref="D4121" r:id="rId11364" xr:uid="{00000000-0004-0000-0000-0000E12C0000}"/>
    <hyperlink ref="A4122" r:id="rId11365" xr:uid="{00000000-0004-0000-0000-0000E22C0000}"/>
    <hyperlink ref="C4122" r:id="rId11366" xr:uid="{00000000-0004-0000-0000-0000E32C0000}"/>
    <hyperlink ref="D4122" r:id="rId11367" xr:uid="{00000000-0004-0000-0000-0000E42C0000}"/>
    <hyperlink ref="A4123" r:id="rId11368" xr:uid="{00000000-0004-0000-0000-0000E52C0000}"/>
    <hyperlink ref="C4123" r:id="rId11369" xr:uid="{00000000-0004-0000-0000-0000E62C0000}"/>
    <hyperlink ref="D4123" r:id="rId11370" xr:uid="{00000000-0004-0000-0000-0000E72C0000}"/>
    <hyperlink ref="A4124" r:id="rId11371" xr:uid="{00000000-0004-0000-0000-0000E82C0000}"/>
    <hyperlink ref="C4124" r:id="rId11372" xr:uid="{00000000-0004-0000-0000-0000E92C0000}"/>
    <hyperlink ref="D4124" r:id="rId11373" xr:uid="{00000000-0004-0000-0000-0000EA2C0000}"/>
    <hyperlink ref="A4125" r:id="rId11374" xr:uid="{00000000-0004-0000-0000-0000EB2C0000}"/>
    <hyperlink ref="D4125" r:id="rId11375" xr:uid="{00000000-0004-0000-0000-0000EC2C0000}"/>
    <hyperlink ref="A4126" r:id="rId11376" xr:uid="{00000000-0004-0000-0000-0000ED2C0000}"/>
    <hyperlink ref="D4126" r:id="rId11377" xr:uid="{00000000-0004-0000-0000-0000EE2C0000}"/>
    <hyperlink ref="A4127" r:id="rId11378" xr:uid="{00000000-0004-0000-0000-0000EF2C0000}"/>
    <hyperlink ref="D4127" r:id="rId11379" xr:uid="{00000000-0004-0000-0000-0000F02C0000}"/>
    <hyperlink ref="A4128" r:id="rId11380" xr:uid="{00000000-0004-0000-0000-0000F12C0000}"/>
    <hyperlink ref="D4128" r:id="rId11381" xr:uid="{00000000-0004-0000-0000-0000F22C0000}"/>
    <hyperlink ref="A4129" r:id="rId11382" xr:uid="{00000000-0004-0000-0000-0000F32C0000}"/>
    <hyperlink ref="D4129" r:id="rId11383" xr:uid="{00000000-0004-0000-0000-0000F42C0000}"/>
    <hyperlink ref="A4130" r:id="rId11384" xr:uid="{00000000-0004-0000-0000-0000F52C0000}"/>
    <hyperlink ref="D4130" r:id="rId11385" xr:uid="{00000000-0004-0000-0000-0000F62C0000}"/>
    <hyperlink ref="A4131" r:id="rId11386" xr:uid="{00000000-0004-0000-0000-0000F72C0000}"/>
    <hyperlink ref="C4131" r:id="rId11387" xr:uid="{00000000-0004-0000-0000-0000F82C0000}"/>
    <hyperlink ref="D4131" r:id="rId11388" xr:uid="{00000000-0004-0000-0000-0000F92C0000}"/>
    <hyperlink ref="A4132" r:id="rId11389" xr:uid="{00000000-0004-0000-0000-0000FA2C0000}"/>
    <hyperlink ref="C4132" r:id="rId11390" xr:uid="{00000000-0004-0000-0000-0000FB2C0000}"/>
    <hyperlink ref="D4132" r:id="rId11391" xr:uid="{00000000-0004-0000-0000-0000FC2C0000}"/>
    <hyperlink ref="A4133" r:id="rId11392" xr:uid="{00000000-0004-0000-0000-0000FD2C0000}"/>
    <hyperlink ref="C4133" r:id="rId11393" xr:uid="{00000000-0004-0000-0000-0000FE2C0000}"/>
    <hyperlink ref="D4133" r:id="rId11394" xr:uid="{00000000-0004-0000-0000-0000FF2C0000}"/>
    <hyperlink ref="A4134" r:id="rId11395" xr:uid="{00000000-0004-0000-0000-0000002D0000}"/>
    <hyperlink ref="C4134" r:id="rId11396" xr:uid="{00000000-0004-0000-0000-0000012D0000}"/>
    <hyperlink ref="D4134" r:id="rId11397" xr:uid="{00000000-0004-0000-0000-0000022D0000}"/>
    <hyperlink ref="A4135" r:id="rId11398" xr:uid="{00000000-0004-0000-0000-0000032D0000}"/>
    <hyperlink ref="D4135" r:id="rId11399" xr:uid="{00000000-0004-0000-0000-0000042D0000}"/>
    <hyperlink ref="A4136" r:id="rId11400" xr:uid="{00000000-0004-0000-0000-0000052D0000}"/>
    <hyperlink ref="D4136" r:id="rId11401" xr:uid="{00000000-0004-0000-0000-0000062D0000}"/>
    <hyperlink ref="A4137" r:id="rId11402" xr:uid="{00000000-0004-0000-0000-0000072D0000}"/>
    <hyperlink ref="C4137" r:id="rId11403" xr:uid="{00000000-0004-0000-0000-0000082D0000}"/>
    <hyperlink ref="D4137" r:id="rId11404" xr:uid="{00000000-0004-0000-0000-0000092D0000}"/>
    <hyperlink ref="A4138" r:id="rId11405" xr:uid="{00000000-0004-0000-0000-00000A2D0000}"/>
    <hyperlink ref="C4138" r:id="rId11406" xr:uid="{00000000-0004-0000-0000-00000B2D0000}"/>
    <hyperlink ref="D4138" r:id="rId11407" xr:uid="{00000000-0004-0000-0000-00000C2D0000}"/>
    <hyperlink ref="A4139" r:id="rId11408" xr:uid="{00000000-0004-0000-0000-00000D2D0000}"/>
    <hyperlink ref="C4139" r:id="rId11409" xr:uid="{00000000-0004-0000-0000-00000E2D0000}"/>
    <hyperlink ref="D4139" r:id="rId11410" xr:uid="{00000000-0004-0000-0000-00000F2D0000}"/>
    <hyperlink ref="A4140" r:id="rId11411" xr:uid="{00000000-0004-0000-0000-0000102D0000}"/>
    <hyperlink ref="C4140" r:id="rId11412" xr:uid="{00000000-0004-0000-0000-0000112D0000}"/>
    <hyperlink ref="D4140" r:id="rId11413" xr:uid="{00000000-0004-0000-0000-0000122D0000}"/>
    <hyperlink ref="A4141" r:id="rId11414" xr:uid="{00000000-0004-0000-0000-0000132D0000}"/>
    <hyperlink ref="C4141" r:id="rId11415" xr:uid="{00000000-0004-0000-0000-0000142D0000}"/>
    <hyperlink ref="D4141" r:id="rId11416" xr:uid="{00000000-0004-0000-0000-0000152D0000}"/>
    <hyperlink ref="A4142" r:id="rId11417" xr:uid="{00000000-0004-0000-0000-0000162D0000}"/>
    <hyperlink ref="C4142" r:id="rId11418" xr:uid="{00000000-0004-0000-0000-0000172D0000}"/>
    <hyperlink ref="D4142" r:id="rId11419" xr:uid="{00000000-0004-0000-0000-0000182D0000}"/>
    <hyperlink ref="A4143" r:id="rId11420" xr:uid="{00000000-0004-0000-0000-0000192D0000}"/>
    <hyperlink ref="C4143" r:id="rId11421" xr:uid="{00000000-0004-0000-0000-00001A2D0000}"/>
    <hyperlink ref="D4143" r:id="rId11422" xr:uid="{00000000-0004-0000-0000-00001B2D0000}"/>
    <hyperlink ref="A4144" r:id="rId11423" xr:uid="{00000000-0004-0000-0000-00001C2D0000}"/>
    <hyperlink ref="C4144" r:id="rId11424" xr:uid="{00000000-0004-0000-0000-00001D2D0000}"/>
    <hyperlink ref="D4144" r:id="rId11425" xr:uid="{00000000-0004-0000-0000-00001E2D0000}"/>
    <hyperlink ref="A4145" r:id="rId11426" xr:uid="{00000000-0004-0000-0000-00001F2D0000}"/>
    <hyperlink ref="C4145" r:id="rId11427" xr:uid="{00000000-0004-0000-0000-0000202D0000}"/>
    <hyperlink ref="D4145" r:id="rId11428" xr:uid="{00000000-0004-0000-0000-0000212D0000}"/>
    <hyperlink ref="E4145" r:id="rId11429" xr:uid="{00000000-0004-0000-0000-0000222D0000}"/>
    <hyperlink ref="A4146" r:id="rId11430" xr:uid="{00000000-0004-0000-0000-0000232D0000}"/>
    <hyperlink ref="C4146" r:id="rId11431" xr:uid="{00000000-0004-0000-0000-0000242D0000}"/>
    <hyperlink ref="D4146" r:id="rId11432" xr:uid="{00000000-0004-0000-0000-0000252D0000}"/>
    <hyperlink ref="A4147" r:id="rId11433" xr:uid="{00000000-0004-0000-0000-0000262D0000}"/>
    <hyperlink ref="C4147" r:id="rId11434" xr:uid="{00000000-0004-0000-0000-0000272D0000}"/>
    <hyperlink ref="D4147" r:id="rId11435" xr:uid="{00000000-0004-0000-0000-0000282D0000}"/>
    <hyperlink ref="A4148" r:id="rId11436" xr:uid="{00000000-0004-0000-0000-0000292D0000}"/>
    <hyperlink ref="C4148" r:id="rId11437" xr:uid="{00000000-0004-0000-0000-00002A2D0000}"/>
    <hyperlink ref="D4148" r:id="rId11438" xr:uid="{00000000-0004-0000-0000-00002B2D0000}"/>
    <hyperlink ref="A4149" r:id="rId11439" xr:uid="{00000000-0004-0000-0000-00002C2D0000}"/>
    <hyperlink ref="C4149" r:id="rId11440" xr:uid="{00000000-0004-0000-0000-00002D2D0000}"/>
    <hyperlink ref="D4149" r:id="rId11441" xr:uid="{00000000-0004-0000-0000-00002E2D0000}"/>
    <hyperlink ref="A4150" r:id="rId11442" xr:uid="{00000000-0004-0000-0000-00002F2D0000}"/>
    <hyperlink ref="C4150" r:id="rId11443" xr:uid="{00000000-0004-0000-0000-0000302D0000}"/>
    <hyperlink ref="D4150" r:id="rId11444" xr:uid="{00000000-0004-0000-0000-0000312D0000}"/>
    <hyperlink ref="A4151" r:id="rId11445" xr:uid="{00000000-0004-0000-0000-0000322D0000}"/>
    <hyperlink ref="C4151" r:id="rId11446" xr:uid="{00000000-0004-0000-0000-0000332D0000}"/>
    <hyperlink ref="D4151" r:id="rId11447" xr:uid="{00000000-0004-0000-0000-0000342D0000}"/>
    <hyperlink ref="A4152" r:id="rId11448" xr:uid="{00000000-0004-0000-0000-0000352D0000}"/>
    <hyperlink ref="C4152" r:id="rId11449" xr:uid="{00000000-0004-0000-0000-0000362D0000}"/>
    <hyperlink ref="D4152" r:id="rId11450" xr:uid="{00000000-0004-0000-0000-0000372D0000}"/>
    <hyperlink ref="A4153" r:id="rId11451" xr:uid="{00000000-0004-0000-0000-0000382D0000}"/>
    <hyperlink ref="C4153" r:id="rId11452" xr:uid="{00000000-0004-0000-0000-0000392D0000}"/>
    <hyperlink ref="D4153" r:id="rId11453" xr:uid="{00000000-0004-0000-0000-00003A2D0000}"/>
    <hyperlink ref="A4154" r:id="rId11454" xr:uid="{00000000-0004-0000-0000-00003B2D0000}"/>
    <hyperlink ref="C4154" r:id="rId11455" xr:uid="{00000000-0004-0000-0000-00003C2D0000}"/>
    <hyperlink ref="D4154" r:id="rId11456" xr:uid="{00000000-0004-0000-0000-00003D2D0000}"/>
    <hyperlink ref="A4155" r:id="rId11457" xr:uid="{00000000-0004-0000-0000-00003E2D0000}"/>
    <hyperlink ref="C4155" r:id="rId11458" xr:uid="{00000000-0004-0000-0000-00003F2D0000}"/>
    <hyperlink ref="D4155" r:id="rId11459" xr:uid="{00000000-0004-0000-0000-0000402D0000}"/>
    <hyperlink ref="A4156" r:id="rId11460" xr:uid="{00000000-0004-0000-0000-0000412D0000}"/>
    <hyperlink ref="C4156" r:id="rId11461" xr:uid="{00000000-0004-0000-0000-0000422D0000}"/>
    <hyperlink ref="D4156" r:id="rId11462" xr:uid="{00000000-0004-0000-0000-0000432D0000}"/>
    <hyperlink ref="A4157" r:id="rId11463" xr:uid="{00000000-0004-0000-0000-0000442D0000}"/>
    <hyperlink ref="C4157" r:id="rId11464" xr:uid="{00000000-0004-0000-0000-0000452D0000}"/>
    <hyperlink ref="D4157" r:id="rId11465" xr:uid="{00000000-0004-0000-0000-0000462D0000}"/>
    <hyperlink ref="A4158" r:id="rId11466" xr:uid="{00000000-0004-0000-0000-0000472D0000}"/>
    <hyperlink ref="C4158" r:id="rId11467" xr:uid="{00000000-0004-0000-0000-0000482D0000}"/>
    <hyperlink ref="D4158" r:id="rId11468" xr:uid="{00000000-0004-0000-0000-0000492D0000}"/>
    <hyperlink ref="C4159" r:id="rId11469" xr:uid="{00000000-0004-0000-0000-00004A2D0000}"/>
    <hyperlink ref="D4159" r:id="rId11470" xr:uid="{00000000-0004-0000-0000-00004B2D0000}"/>
    <hyperlink ref="C4160" r:id="rId11471" xr:uid="{00000000-0004-0000-0000-00004C2D0000}"/>
    <hyperlink ref="D4160" r:id="rId11472" xr:uid="{00000000-0004-0000-0000-00004D2D0000}"/>
    <hyperlink ref="C4161" r:id="rId11473" xr:uid="{00000000-0004-0000-0000-00004E2D0000}"/>
    <hyperlink ref="D4161" r:id="rId11474" xr:uid="{00000000-0004-0000-0000-00004F2D0000}"/>
    <hyperlink ref="E4161" r:id="rId11475" xr:uid="{00000000-0004-0000-0000-0000502D0000}"/>
    <hyperlink ref="C4162" r:id="rId11476" xr:uid="{00000000-0004-0000-0000-0000512D0000}"/>
    <hyperlink ref="D4162" r:id="rId11477" xr:uid="{00000000-0004-0000-0000-0000522D0000}"/>
    <hyperlink ref="C4163" r:id="rId11478" xr:uid="{00000000-0004-0000-0000-0000532D0000}"/>
    <hyperlink ref="D4163" r:id="rId11479" xr:uid="{00000000-0004-0000-0000-0000542D0000}"/>
    <hyperlink ref="E4163" r:id="rId11480" xr:uid="{00000000-0004-0000-0000-0000552D0000}"/>
    <hyperlink ref="C4164" r:id="rId11481" xr:uid="{00000000-0004-0000-0000-0000562D0000}"/>
    <hyperlink ref="D4164" r:id="rId11482" xr:uid="{00000000-0004-0000-0000-0000572D0000}"/>
    <hyperlink ref="C4165" r:id="rId11483" xr:uid="{00000000-0004-0000-0000-0000582D0000}"/>
    <hyperlink ref="D4165" r:id="rId11484" xr:uid="{00000000-0004-0000-0000-0000592D0000}"/>
    <hyperlink ref="C4166" r:id="rId11485" xr:uid="{00000000-0004-0000-0000-00005A2D0000}"/>
    <hyperlink ref="D4166" r:id="rId11486" xr:uid="{00000000-0004-0000-0000-00005B2D0000}"/>
    <hyperlink ref="A4167" r:id="rId11487" xr:uid="{00000000-0004-0000-0000-00005C2D0000}"/>
    <hyperlink ref="C4167" r:id="rId11488" xr:uid="{00000000-0004-0000-0000-00005D2D0000}"/>
    <hyperlink ref="D4167" r:id="rId11489" xr:uid="{00000000-0004-0000-0000-00005E2D0000}"/>
    <hyperlink ref="A4168" r:id="rId11490" xr:uid="{00000000-0004-0000-0000-00005F2D0000}"/>
    <hyperlink ref="C4168" r:id="rId11491" xr:uid="{00000000-0004-0000-0000-0000602D0000}"/>
    <hyperlink ref="D4168" r:id="rId11492" xr:uid="{00000000-0004-0000-0000-0000612D0000}"/>
    <hyperlink ref="A4169" r:id="rId11493" xr:uid="{00000000-0004-0000-0000-0000622D0000}"/>
    <hyperlink ref="C4169" r:id="rId11494" xr:uid="{00000000-0004-0000-0000-0000632D0000}"/>
    <hyperlink ref="D4169" r:id="rId11495" xr:uid="{00000000-0004-0000-0000-0000642D0000}"/>
    <hyperlink ref="A4170" r:id="rId11496" xr:uid="{00000000-0004-0000-0000-0000652D0000}"/>
    <hyperlink ref="C4170" r:id="rId11497" xr:uid="{00000000-0004-0000-0000-0000662D0000}"/>
    <hyperlink ref="D4170" r:id="rId11498" xr:uid="{00000000-0004-0000-0000-0000672D0000}"/>
    <hyperlink ref="A4171" r:id="rId11499" xr:uid="{00000000-0004-0000-0000-0000682D0000}"/>
    <hyperlink ref="C4171" r:id="rId11500" xr:uid="{00000000-0004-0000-0000-0000692D0000}"/>
    <hyperlink ref="D4171" r:id="rId11501" xr:uid="{00000000-0004-0000-0000-00006A2D0000}"/>
    <hyperlink ref="A4172" r:id="rId11502" xr:uid="{00000000-0004-0000-0000-00006B2D0000}"/>
    <hyperlink ref="C4172" r:id="rId11503" xr:uid="{00000000-0004-0000-0000-00006C2D0000}"/>
    <hyperlink ref="D4172" r:id="rId11504" xr:uid="{00000000-0004-0000-0000-00006D2D0000}"/>
    <hyperlink ref="A4173" r:id="rId11505" xr:uid="{00000000-0004-0000-0000-00006E2D0000}"/>
    <hyperlink ref="C4173" r:id="rId11506" xr:uid="{00000000-0004-0000-0000-00006F2D0000}"/>
    <hyperlink ref="D4173" r:id="rId11507" xr:uid="{00000000-0004-0000-0000-0000702D0000}"/>
    <hyperlink ref="A4174" r:id="rId11508" xr:uid="{00000000-0004-0000-0000-0000712D0000}"/>
    <hyperlink ref="C4174" r:id="rId11509" xr:uid="{00000000-0004-0000-0000-0000722D0000}"/>
    <hyperlink ref="D4174" r:id="rId11510" xr:uid="{00000000-0004-0000-0000-0000732D0000}"/>
    <hyperlink ref="A4175" r:id="rId11511" xr:uid="{00000000-0004-0000-0000-0000742D0000}"/>
    <hyperlink ref="C4175" r:id="rId11512" xr:uid="{00000000-0004-0000-0000-0000752D0000}"/>
    <hyperlink ref="D4175" r:id="rId11513" xr:uid="{00000000-0004-0000-0000-0000762D0000}"/>
    <hyperlink ref="A4176" r:id="rId11514" xr:uid="{00000000-0004-0000-0000-0000772D0000}"/>
    <hyperlink ref="C4176" r:id="rId11515" xr:uid="{00000000-0004-0000-0000-0000782D0000}"/>
    <hyperlink ref="D4176" r:id="rId11516" xr:uid="{00000000-0004-0000-0000-0000792D0000}"/>
    <hyperlink ref="E4176" r:id="rId11517" xr:uid="{00000000-0004-0000-0000-00007A2D0000}"/>
    <hyperlink ref="A4177" r:id="rId11518" xr:uid="{00000000-0004-0000-0000-00007B2D0000}"/>
    <hyperlink ref="D4177" r:id="rId11519" xr:uid="{00000000-0004-0000-0000-00007C2D0000}"/>
    <hyperlink ref="A4178" r:id="rId11520" xr:uid="{00000000-0004-0000-0000-00007D2D0000}"/>
    <hyperlink ref="C4178" r:id="rId11521" xr:uid="{00000000-0004-0000-0000-00007E2D0000}"/>
    <hyperlink ref="D4178" r:id="rId11522" xr:uid="{00000000-0004-0000-0000-00007F2D0000}"/>
    <hyperlink ref="A4179" r:id="rId11523" xr:uid="{00000000-0004-0000-0000-0000802D0000}"/>
    <hyperlink ref="C4179" r:id="rId11524" xr:uid="{00000000-0004-0000-0000-0000812D0000}"/>
    <hyperlink ref="D4179" r:id="rId11525" xr:uid="{00000000-0004-0000-0000-0000822D0000}"/>
    <hyperlink ref="A4180" r:id="rId11526" xr:uid="{00000000-0004-0000-0000-0000832D0000}"/>
    <hyperlink ref="C4180" r:id="rId11527" xr:uid="{00000000-0004-0000-0000-0000842D0000}"/>
    <hyperlink ref="D4180" r:id="rId11528" xr:uid="{00000000-0004-0000-0000-0000852D0000}"/>
    <hyperlink ref="A4181" r:id="rId11529" xr:uid="{00000000-0004-0000-0000-0000862D0000}"/>
    <hyperlink ref="C4181" r:id="rId11530" xr:uid="{00000000-0004-0000-0000-0000872D0000}"/>
    <hyperlink ref="D4181" r:id="rId11531" xr:uid="{00000000-0004-0000-0000-0000882D0000}"/>
    <hyperlink ref="A4182" r:id="rId11532" xr:uid="{00000000-0004-0000-0000-0000892D0000}"/>
    <hyperlink ref="C4182" r:id="rId11533" xr:uid="{00000000-0004-0000-0000-00008A2D0000}"/>
    <hyperlink ref="D4182" r:id="rId11534" xr:uid="{00000000-0004-0000-0000-00008B2D0000}"/>
    <hyperlink ref="E4182" r:id="rId11535" xr:uid="{00000000-0004-0000-0000-00008C2D0000}"/>
    <hyperlink ref="A4183" r:id="rId11536" xr:uid="{00000000-0004-0000-0000-00008D2D0000}"/>
    <hyperlink ref="C4183" r:id="rId11537" xr:uid="{00000000-0004-0000-0000-00008E2D0000}"/>
    <hyperlink ref="D4183" r:id="rId11538" xr:uid="{00000000-0004-0000-0000-00008F2D0000}"/>
    <hyperlink ref="E4183" r:id="rId11539" xr:uid="{00000000-0004-0000-0000-0000902D0000}"/>
    <hyperlink ref="A4184" r:id="rId11540" xr:uid="{00000000-0004-0000-0000-0000912D0000}"/>
    <hyperlink ref="C4184" r:id="rId11541" xr:uid="{00000000-0004-0000-0000-0000922D0000}"/>
    <hyperlink ref="D4184" r:id="rId11542" xr:uid="{00000000-0004-0000-0000-0000932D0000}"/>
    <hyperlink ref="A4185" r:id="rId11543" xr:uid="{00000000-0004-0000-0000-0000942D0000}"/>
    <hyperlink ref="C4185" r:id="rId11544" xr:uid="{00000000-0004-0000-0000-0000952D0000}"/>
    <hyperlink ref="D4185" r:id="rId11545" xr:uid="{00000000-0004-0000-0000-0000962D0000}"/>
    <hyperlink ref="A4186" r:id="rId11546" xr:uid="{00000000-0004-0000-0000-0000972D0000}"/>
    <hyperlink ref="C4186" r:id="rId11547" xr:uid="{00000000-0004-0000-0000-0000982D0000}"/>
    <hyperlink ref="D4186" r:id="rId11548" xr:uid="{00000000-0004-0000-0000-0000992D0000}"/>
    <hyperlink ref="A4187" r:id="rId11549" xr:uid="{00000000-0004-0000-0000-00009A2D0000}"/>
    <hyperlink ref="C4187" r:id="rId11550" xr:uid="{00000000-0004-0000-0000-00009B2D0000}"/>
    <hyperlink ref="D4187" r:id="rId11551" xr:uid="{00000000-0004-0000-0000-00009C2D0000}"/>
    <hyperlink ref="A4188" r:id="rId11552" xr:uid="{00000000-0004-0000-0000-00009D2D0000}"/>
    <hyperlink ref="C4188" r:id="rId11553" xr:uid="{00000000-0004-0000-0000-00009E2D0000}"/>
    <hyperlink ref="D4188" r:id="rId11554" xr:uid="{00000000-0004-0000-0000-00009F2D0000}"/>
    <hyperlink ref="E4188" r:id="rId11555" xr:uid="{00000000-0004-0000-0000-0000A02D0000}"/>
    <hyperlink ref="A4189" r:id="rId11556" xr:uid="{00000000-0004-0000-0000-0000A12D0000}"/>
    <hyperlink ref="C4189" r:id="rId11557" xr:uid="{00000000-0004-0000-0000-0000A22D0000}"/>
    <hyperlink ref="D4189" r:id="rId11558" xr:uid="{00000000-0004-0000-0000-0000A32D0000}"/>
    <hyperlink ref="A4190" r:id="rId11559" xr:uid="{00000000-0004-0000-0000-0000A42D0000}"/>
    <hyperlink ref="C4190" r:id="rId11560" xr:uid="{00000000-0004-0000-0000-0000A52D0000}"/>
    <hyperlink ref="D4190" r:id="rId11561" xr:uid="{00000000-0004-0000-0000-0000A62D0000}"/>
    <hyperlink ref="A4191" r:id="rId11562" xr:uid="{00000000-0004-0000-0000-0000A72D0000}"/>
    <hyperlink ref="C4191" r:id="rId11563" xr:uid="{00000000-0004-0000-0000-0000A82D0000}"/>
    <hyperlink ref="D4191" r:id="rId11564" xr:uid="{00000000-0004-0000-0000-0000A92D0000}"/>
    <hyperlink ref="A4192" r:id="rId11565" xr:uid="{00000000-0004-0000-0000-0000AA2D0000}"/>
    <hyperlink ref="C4192" r:id="rId11566" xr:uid="{00000000-0004-0000-0000-0000AB2D0000}"/>
    <hyperlink ref="D4192" r:id="rId11567" xr:uid="{00000000-0004-0000-0000-0000AC2D0000}"/>
    <hyperlink ref="A4193" r:id="rId11568" xr:uid="{00000000-0004-0000-0000-0000AD2D0000}"/>
    <hyperlink ref="C4193" r:id="rId11569" xr:uid="{00000000-0004-0000-0000-0000AE2D0000}"/>
    <hyperlink ref="D4193" r:id="rId11570" xr:uid="{00000000-0004-0000-0000-0000AF2D0000}"/>
    <hyperlink ref="A4194" r:id="rId11571" xr:uid="{00000000-0004-0000-0000-0000B02D0000}"/>
    <hyperlink ref="C4194" r:id="rId11572" xr:uid="{00000000-0004-0000-0000-0000B12D0000}"/>
    <hyperlink ref="D4194" r:id="rId11573" xr:uid="{00000000-0004-0000-0000-0000B22D0000}"/>
    <hyperlink ref="A4195" r:id="rId11574" xr:uid="{00000000-0004-0000-0000-0000B32D0000}"/>
    <hyperlink ref="C4195" r:id="rId11575" xr:uid="{00000000-0004-0000-0000-0000B42D0000}"/>
    <hyperlink ref="D4195" r:id="rId11576" xr:uid="{00000000-0004-0000-0000-0000B52D0000}"/>
    <hyperlink ref="A4196" r:id="rId11577" xr:uid="{00000000-0004-0000-0000-0000B62D0000}"/>
    <hyperlink ref="C4196" r:id="rId11578" xr:uid="{00000000-0004-0000-0000-0000B72D0000}"/>
    <hyperlink ref="D4196" r:id="rId11579" xr:uid="{00000000-0004-0000-0000-0000B82D0000}"/>
    <hyperlink ref="A4197" r:id="rId11580" xr:uid="{00000000-0004-0000-0000-0000B92D0000}"/>
    <hyperlink ref="C4197" r:id="rId11581" xr:uid="{00000000-0004-0000-0000-0000BA2D0000}"/>
    <hyperlink ref="D4197" r:id="rId11582" xr:uid="{00000000-0004-0000-0000-0000BB2D0000}"/>
    <hyperlink ref="A4198" r:id="rId11583" xr:uid="{00000000-0004-0000-0000-0000BC2D0000}"/>
    <hyperlink ref="C4198" r:id="rId11584" xr:uid="{00000000-0004-0000-0000-0000BD2D0000}"/>
    <hyperlink ref="D4198" r:id="rId11585" xr:uid="{00000000-0004-0000-0000-0000BE2D0000}"/>
    <hyperlink ref="A4199" r:id="rId11586" xr:uid="{00000000-0004-0000-0000-0000BF2D0000}"/>
    <hyperlink ref="C4199" r:id="rId11587" xr:uid="{00000000-0004-0000-0000-0000C02D0000}"/>
    <hyperlink ref="D4199" r:id="rId11588" xr:uid="{00000000-0004-0000-0000-0000C12D0000}"/>
    <hyperlink ref="A4200" r:id="rId11589" xr:uid="{00000000-0004-0000-0000-0000C22D0000}"/>
    <hyperlink ref="C4200" r:id="rId11590" xr:uid="{00000000-0004-0000-0000-0000C32D0000}"/>
    <hyperlink ref="D4200" r:id="rId11591" xr:uid="{00000000-0004-0000-0000-0000C42D0000}"/>
    <hyperlink ref="A4201" r:id="rId11592" xr:uid="{00000000-0004-0000-0000-0000C52D0000}"/>
    <hyperlink ref="C4201" r:id="rId11593" xr:uid="{00000000-0004-0000-0000-0000C62D0000}"/>
    <hyperlink ref="D4201" r:id="rId11594" xr:uid="{00000000-0004-0000-0000-0000C72D0000}"/>
    <hyperlink ref="A4202" r:id="rId11595" xr:uid="{00000000-0004-0000-0000-0000C82D0000}"/>
    <hyperlink ref="C4202" r:id="rId11596" xr:uid="{00000000-0004-0000-0000-0000C92D0000}"/>
    <hyperlink ref="D4202" r:id="rId11597" xr:uid="{00000000-0004-0000-0000-0000CA2D0000}"/>
    <hyperlink ref="D4203" r:id="rId11598" xr:uid="{00000000-0004-0000-0000-0000CB2D0000}"/>
    <hyperlink ref="D4204" r:id="rId11599" xr:uid="{00000000-0004-0000-0000-0000CC2D0000}"/>
    <hyperlink ref="D4205" r:id="rId11600" xr:uid="{00000000-0004-0000-0000-0000CD2D0000}"/>
    <hyperlink ref="C4206" r:id="rId11601" xr:uid="{00000000-0004-0000-0000-0000CE2D0000}"/>
    <hyperlink ref="D4206" r:id="rId11602" xr:uid="{00000000-0004-0000-0000-0000CF2D0000}"/>
    <hyperlink ref="A4207" r:id="rId11603" xr:uid="{00000000-0004-0000-0000-0000D02D0000}"/>
    <hyperlink ref="C4207" r:id="rId11604" xr:uid="{00000000-0004-0000-0000-0000D12D0000}"/>
    <hyperlink ref="D4207" r:id="rId11605" xr:uid="{00000000-0004-0000-0000-0000D22D0000}"/>
    <hyperlink ref="A4208" r:id="rId11606" xr:uid="{00000000-0004-0000-0000-0000D32D0000}"/>
    <hyperlink ref="C4208" r:id="rId11607" xr:uid="{00000000-0004-0000-0000-0000D42D0000}"/>
    <hyperlink ref="D4208" r:id="rId11608" xr:uid="{00000000-0004-0000-0000-0000D52D0000}"/>
    <hyperlink ref="A4209" r:id="rId11609" xr:uid="{00000000-0004-0000-0000-0000D62D0000}"/>
    <hyperlink ref="C4209" r:id="rId11610" xr:uid="{00000000-0004-0000-0000-0000D72D0000}"/>
    <hyperlink ref="D4209" r:id="rId11611" xr:uid="{00000000-0004-0000-0000-0000D82D0000}"/>
    <hyperlink ref="A4210" r:id="rId11612" xr:uid="{00000000-0004-0000-0000-0000D92D0000}"/>
    <hyperlink ref="C4210" r:id="rId11613" xr:uid="{00000000-0004-0000-0000-0000DA2D0000}"/>
    <hyperlink ref="D4210" r:id="rId11614" xr:uid="{00000000-0004-0000-0000-0000DB2D0000}"/>
    <hyperlink ref="A4211" r:id="rId11615" xr:uid="{00000000-0004-0000-0000-0000DC2D0000}"/>
    <hyperlink ref="C4211" r:id="rId11616" xr:uid="{00000000-0004-0000-0000-0000DD2D0000}"/>
    <hyperlink ref="D4211" r:id="rId11617" xr:uid="{00000000-0004-0000-0000-0000DE2D0000}"/>
    <hyperlink ref="A4212" r:id="rId11618" xr:uid="{00000000-0004-0000-0000-0000DF2D0000}"/>
    <hyperlink ref="C4212" r:id="rId11619" xr:uid="{00000000-0004-0000-0000-0000E02D0000}"/>
    <hyperlink ref="D4212" r:id="rId11620" xr:uid="{00000000-0004-0000-0000-0000E12D0000}"/>
    <hyperlink ref="C4213" r:id="rId11621" xr:uid="{00000000-0004-0000-0000-0000E22D0000}"/>
    <hyperlink ref="D4213" r:id="rId11622" xr:uid="{00000000-0004-0000-0000-0000E32D0000}"/>
    <hyperlink ref="C4214" r:id="rId11623" xr:uid="{00000000-0004-0000-0000-0000E42D0000}"/>
    <hyperlink ref="D4214" r:id="rId11624" xr:uid="{00000000-0004-0000-0000-0000E52D0000}"/>
    <hyperlink ref="A4215" r:id="rId11625" xr:uid="{00000000-0004-0000-0000-0000E62D0000}"/>
    <hyperlink ref="C4215" r:id="rId11626" xr:uid="{00000000-0004-0000-0000-0000E72D0000}"/>
    <hyperlink ref="D4215" r:id="rId11627" xr:uid="{00000000-0004-0000-0000-0000E82D0000}"/>
    <hyperlink ref="A4216" r:id="rId11628" xr:uid="{00000000-0004-0000-0000-0000E92D0000}"/>
    <hyperlink ref="C4216" r:id="rId11629" xr:uid="{00000000-0004-0000-0000-0000EA2D0000}"/>
    <hyperlink ref="D4216" r:id="rId11630" xr:uid="{00000000-0004-0000-0000-0000EB2D0000}"/>
    <hyperlink ref="A4217" r:id="rId11631" xr:uid="{00000000-0004-0000-0000-0000EC2D0000}"/>
    <hyperlink ref="C4217" r:id="rId11632" xr:uid="{00000000-0004-0000-0000-0000ED2D0000}"/>
    <hyperlink ref="D4217" r:id="rId11633" xr:uid="{00000000-0004-0000-0000-0000EE2D0000}"/>
    <hyperlink ref="A4218" r:id="rId11634" xr:uid="{00000000-0004-0000-0000-0000EF2D0000}"/>
    <hyperlink ref="D4218" r:id="rId11635" xr:uid="{00000000-0004-0000-0000-0000F02D0000}"/>
    <hyperlink ref="A4219" r:id="rId11636" xr:uid="{00000000-0004-0000-0000-0000F12D0000}"/>
    <hyperlink ref="C4219" r:id="rId11637" xr:uid="{00000000-0004-0000-0000-0000F22D0000}"/>
    <hyperlink ref="D4219" r:id="rId11638" xr:uid="{00000000-0004-0000-0000-0000F32D0000}"/>
    <hyperlink ref="A4220" r:id="rId11639" xr:uid="{00000000-0004-0000-0000-0000F42D0000}"/>
    <hyperlink ref="C4220" r:id="rId11640" xr:uid="{00000000-0004-0000-0000-0000F52D0000}"/>
    <hyperlink ref="D4220" r:id="rId11641" xr:uid="{00000000-0004-0000-0000-0000F62D0000}"/>
    <hyperlink ref="A4221" r:id="rId11642" xr:uid="{00000000-0004-0000-0000-0000F72D0000}"/>
    <hyperlink ref="C4221" r:id="rId11643" xr:uid="{00000000-0004-0000-0000-0000F82D0000}"/>
    <hyperlink ref="D4221" r:id="rId11644" xr:uid="{00000000-0004-0000-0000-0000F92D0000}"/>
    <hyperlink ref="A4222" r:id="rId11645" xr:uid="{00000000-0004-0000-0000-0000FA2D0000}"/>
    <hyperlink ref="D4222" r:id="rId11646" xr:uid="{00000000-0004-0000-0000-0000FB2D0000}"/>
    <hyperlink ref="A4223" r:id="rId11647" xr:uid="{00000000-0004-0000-0000-0000FC2D0000}"/>
    <hyperlink ref="D4223" r:id="rId11648" xr:uid="{00000000-0004-0000-0000-0000FD2D0000}"/>
    <hyperlink ref="A4224" r:id="rId11649" xr:uid="{00000000-0004-0000-0000-0000FE2D0000}"/>
    <hyperlink ref="D4224" r:id="rId11650" xr:uid="{00000000-0004-0000-0000-0000FF2D0000}"/>
    <hyperlink ref="A4225" r:id="rId11651" xr:uid="{00000000-0004-0000-0000-0000002E0000}"/>
    <hyperlink ref="D4225" r:id="rId11652" xr:uid="{00000000-0004-0000-0000-0000012E0000}"/>
    <hyperlink ref="A4226" r:id="rId11653" xr:uid="{00000000-0004-0000-0000-0000022E0000}"/>
    <hyperlink ref="C4226" r:id="rId11654" xr:uid="{00000000-0004-0000-0000-0000032E0000}"/>
    <hyperlink ref="D4226" r:id="rId11655" xr:uid="{00000000-0004-0000-0000-0000042E0000}"/>
    <hyperlink ref="A4227" r:id="rId11656" xr:uid="{00000000-0004-0000-0000-0000052E0000}"/>
    <hyperlink ref="C4227" r:id="rId11657" xr:uid="{00000000-0004-0000-0000-0000062E0000}"/>
    <hyperlink ref="D4227" r:id="rId11658" xr:uid="{00000000-0004-0000-0000-0000072E0000}"/>
    <hyperlink ref="A4228" r:id="rId11659" xr:uid="{00000000-0004-0000-0000-0000082E0000}"/>
    <hyperlink ref="C4228" r:id="rId11660" xr:uid="{00000000-0004-0000-0000-0000092E0000}"/>
    <hyperlink ref="D4228" r:id="rId11661" xr:uid="{00000000-0004-0000-0000-00000A2E0000}"/>
    <hyperlink ref="A4229" r:id="rId11662" xr:uid="{00000000-0004-0000-0000-00000B2E0000}"/>
    <hyperlink ref="C4229" r:id="rId11663" xr:uid="{00000000-0004-0000-0000-00000C2E0000}"/>
    <hyperlink ref="D4229" r:id="rId11664" xr:uid="{00000000-0004-0000-0000-00000D2E0000}"/>
    <hyperlink ref="A4230" r:id="rId11665" xr:uid="{00000000-0004-0000-0000-00000E2E0000}"/>
    <hyperlink ref="C4230" r:id="rId11666" xr:uid="{00000000-0004-0000-0000-00000F2E0000}"/>
    <hyperlink ref="D4230" r:id="rId11667" xr:uid="{00000000-0004-0000-0000-0000102E0000}"/>
    <hyperlink ref="A4231" r:id="rId11668" xr:uid="{00000000-0004-0000-0000-0000112E0000}"/>
    <hyperlink ref="C4231" r:id="rId11669" xr:uid="{00000000-0004-0000-0000-0000122E0000}"/>
    <hyperlink ref="D4231" r:id="rId11670" xr:uid="{00000000-0004-0000-0000-0000132E0000}"/>
    <hyperlink ref="A4232" r:id="rId11671" xr:uid="{00000000-0004-0000-0000-0000142E0000}"/>
    <hyperlink ref="C4232" r:id="rId11672" xr:uid="{00000000-0004-0000-0000-0000152E0000}"/>
    <hyperlink ref="D4232" r:id="rId11673" xr:uid="{00000000-0004-0000-0000-0000162E0000}"/>
    <hyperlink ref="A4233" r:id="rId11674" xr:uid="{00000000-0004-0000-0000-0000172E0000}"/>
    <hyperlink ref="C4233" r:id="rId11675" xr:uid="{00000000-0004-0000-0000-0000182E0000}"/>
    <hyperlink ref="D4233" r:id="rId11676" xr:uid="{00000000-0004-0000-0000-0000192E0000}"/>
    <hyperlink ref="A4234" r:id="rId11677" xr:uid="{00000000-0004-0000-0000-00001A2E0000}"/>
    <hyperlink ref="C4234" r:id="rId11678" xr:uid="{00000000-0004-0000-0000-00001B2E0000}"/>
    <hyperlink ref="D4234" r:id="rId11679" xr:uid="{00000000-0004-0000-0000-00001C2E0000}"/>
    <hyperlink ref="A4235" r:id="rId11680" xr:uid="{00000000-0004-0000-0000-00001D2E0000}"/>
    <hyperlink ref="C4235" r:id="rId11681" xr:uid="{00000000-0004-0000-0000-00001E2E0000}"/>
    <hyperlink ref="D4235" r:id="rId11682" xr:uid="{00000000-0004-0000-0000-00001F2E0000}"/>
    <hyperlink ref="A4236" r:id="rId11683" xr:uid="{00000000-0004-0000-0000-0000202E0000}"/>
    <hyperlink ref="C4236" r:id="rId11684" xr:uid="{00000000-0004-0000-0000-0000212E0000}"/>
    <hyperlink ref="D4236" r:id="rId11685" xr:uid="{00000000-0004-0000-0000-0000222E0000}"/>
    <hyperlink ref="A4237" r:id="rId11686" xr:uid="{00000000-0004-0000-0000-0000232E0000}"/>
    <hyperlink ref="C4237" r:id="rId11687" xr:uid="{00000000-0004-0000-0000-0000242E0000}"/>
    <hyperlink ref="D4237" r:id="rId11688" xr:uid="{00000000-0004-0000-0000-0000252E0000}"/>
    <hyperlink ref="A4238" r:id="rId11689" xr:uid="{00000000-0004-0000-0000-0000262E0000}"/>
    <hyperlink ref="C4238" r:id="rId11690" xr:uid="{00000000-0004-0000-0000-0000272E0000}"/>
    <hyperlink ref="D4238" r:id="rId11691" xr:uid="{00000000-0004-0000-0000-0000282E0000}"/>
    <hyperlink ref="A4239" r:id="rId11692" xr:uid="{00000000-0004-0000-0000-0000292E0000}"/>
    <hyperlink ref="C4239" r:id="rId11693" xr:uid="{00000000-0004-0000-0000-00002A2E0000}"/>
    <hyperlink ref="D4239" r:id="rId11694" xr:uid="{00000000-0004-0000-0000-00002B2E0000}"/>
    <hyperlink ref="A4240" r:id="rId11695" xr:uid="{00000000-0004-0000-0000-00002C2E0000}"/>
    <hyperlink ref="C4240" r:id="rId11696" xr:uid="{00000000-0004-0000-0000-00002D2E0000}"/>
    <hyperlink ref="D4240" r:id="rId11697" xr:uid="{00000000-0004-0000-0000-00002E2E0000}"/>
    <hyperlink ref="E4240" r:id="rId11698" xr:uid="{00000000-0004-0000-0000-00002F2E0000}"/>
    <hyperlink ref="A4241" r:id="rId11699" xr:uid="{00000000-0004-0000-0000-0000302E0000}"/>
    <hyperlink ref="C4241" r:id="rId11700" xr:uid="{00000000-0004-0000-0000-0000312E0000}"/>
    <hyperlink ref="D4241" r:id="rId11701" xr:uid="{00000000-0004-0000-0000-0000322E0000}"/>
    <hyperlink ref="A4242" r:id="rId11702" xr:uid="{00000000-0004-0000-0000-0000332E0000}"/>
    <hyperlink ref="C4242" r:id="rId11703" xr:uid="{00000000-0004-0000-0000-0000342E0000}"/>
    <hyperlink ref="D4242" r:id="rId11704" xr:uid="{00000000-0004-0000-0000-0000352E0000}"/>
    <hyperlink ref="A4243" r:id="rId11705" xr:uid="{00000000-0004-0000-0000-0000362E0000}"/>
    <hyperlink ref="C4243" r:id="rId11706" xr:uid="{00000000-0004-0000-0000-0000372E0000}"/>
    <hyperlink ref="D4243" r:id="rId11707" xr:uid="{00000000-0004-0000-0000-0000382E0000}"/>
    <hyperlink ref="A4244" r:id="rId11708" xr:uid="{00000000-0004-0000-0000-0000392E0000}"/>
    <hyperlink ref="C4244" r:id="rId11709" xr:uid="{00000000-0004-0000-0000-00003A2E0000}"/>
    <hyperlink ref="D4244" r:id="rId11710" xr:uid="{00000000-0004-0000-0000-00003B2E0000}"/>
    <hyperlink ref="A4245" r:id="rId11711" xr:uid="{00000000-0004-0000-0000-00003C2E0000}"/>
    <hyperlink ref="C4245" r:id="rId11712" xr:uid="{00000000-0004-0000-0000-00003D2E0000}"/>
    <hyperlink ref="D4245" r:id="rId11713" xr:uid="{00000000-0004-0000-0000-00003E2E0000}"/>
    <hyperlink ref="A4246" r:id="rId11714" xr:uid="{00000000-0004-0000-0000-00003F2E0000}"/>
    <hyperlink ref="C4246" r:id="rId11715" xr:uid="{00000000-0004-0000-0000-0000402E0000}"/>
    <hyperlink ref="D4246" r:id="rId11716" xr:uid="{00000000-0004-0000-0000-0000412E0000}"/>
    <hyperlink ref="E4246" r:id="rId11717" xr:uid="{00000000-0004-0000-0000-0000422E0000}"/>
    <hyperlink ref="A4247" r:id="rId11718" xr:uid="{00000000-0004-0000-0000-0000432E0000}"/>
    <hyperlink ref="C4247" r:id="rId11719" xr:uid="{00000000-0004-0000-0000-0000442E0000}"/>
    <hyperlink ref="D4247" r:id="rId11720" xr:uid="{00000000-0004-0000-0000-0000452E0000}"/>
    <hyperlink ref="A4248" r:id="rId11721" xr:uid="{00000000-0004-0000-0000-0000462E0000}"/>
    <hyperlink ref="C4248" r:id="rId11722" xr:uid="{00000000-0004-0000-0000-0000472E0000}"/>
    <hyperlink ref="D4248" r:id="rId11723" xr:uid="{00000000-0004-0000-0000-0000482E0000}"/>
    <hyperlink ref="A4249" r:id="rId11724" xr:uid="{00000000-0004-0000-0000-0000492E0000}"/>
    <hyperlink ref="C4249" r:id="rId11725" xr:uid="{00000000-0004-0000-0000-00004A2E0000}"/>
    <hyperlink ref="D4249" r:id="rId11726" xr:uid="{00000000-0004-0000-0000-00004B2E0000}"/>
    <hyperlink ref="A4250" r:id="rId11727" xr:uid="{00000000-0004-0000-0000-00004C2E0000}"/>
    <hyperlink ref="C4250" r:id="rId11728" xr:uid="{00000000-0004-0000-0000-00004D2E0000}"/>
    <hyperlink ref="D4250" r:id="rId11729" xr:uid="{00000000-0004-0000-0000-00004E2E0000}"/>
    <hyperlink ref="E4250" r:id="rId11730" xr:uid="{00000000-0004-0000-0000-00004F2E0000}"/>
    <hyperlink ref="A4251" r:id="rId11731" xr:uid="{00000000-0004-0000-0000-0000502E0000}"/>
    <hyperlink ref="C4251" r:id="rId11732" xr:uid="{00000000-0004-0000-0000-0000512E0000}"/>
    <hyperlink ref="D4251" r:id="rId11733" xr:uid="{00000000-0004-0000-0000-0000522E0000}"/>
    <hyperlink ref="A4252" r:id="rId11734" xr:uid="{00000000-0004-0000-0000-0000532E0000}"/>
    <hyperlink ref="C4252" r:id="rId11735" xr:uid="{00000000-0004-0000-0000-0000542E0000}"/>
    <hyperlink ref="D4252" r:id="rId11736" xr:uid="{00000000-0004-0000-0000-0000552E0000}"/>
    <hyperlink ref="A4253" r:id="rId11737" xr:uid="{00000000-0004-0000-0000-0000562E0000}"/>
    <hyperlink ref="C4253" r:id="rId11738" xr:uid="{00000000-0004-0000-0000-0000572E0000}"/>
    <hyperlink ref="D4253" r:id="rId11739" xr:uid="{00000000-0004-0000-0000-0000582E0000}"/>
    <hyperlink ref="A4254" r:id="rId11740" xr:uid="{00000000-0004-0000-0000-0000592E0000}"/>
    <hyperlink ref="C4254" r:id="rId11741" xr:uid="{00000000-0004-0000-0000-00005A2E0000}"/>
    <hyperlink ref="D4254" r:id="rId11742" xr:uid="{00000000-0004-0000-0000-00005B2E0000}"/>
    <hyperlink ref="A4255" r:id="rId11743" xr:uid="{00000000-0004-0000-0000-00005C2E0000}"/>
    <hyperlink ref="C4255" r:id="rId11744" xr:uid="{00000000-0004-0000-0000-00005D2E0000}"/>
    <hyperlink ref="D4255" r:id="rId11745" xr:uid="{00000000-0004-0000-0000-00005E2E0000}"/>
    <hyperlink ref="A4256" r:id="rId11746" xr:uid="{00000000-0004-0000-0000-00005F2E0000}"/>
    <hyperlink ref="C4256" r:id="rId11747" xr:uid="{00000000-0004-0000-0000-0000602E0000}"/>
    <hyperlink ref="D4256" r:id="rId11748" xr:uid="{00000000-0004-0000-0000-0000612E0000}"/>
    <hyperlink ref="A4257" r:id="rId11749" xr:uid="{00000000-0004-0000-0000-0000622E0000}"/>
    <hyperlink ref="C4257" r:id="rId11750" xr:uid="{00000000-0004-0000-0000-0000632E0000}"/>
    <hyperlink ref="D4257" r:id="rId11751" xr:uid="{00000000-0004-0000-0000-0000642E0000}"/>
    <hyperlink ref="A4258" r:id="rId11752" xr:uid="{00000000-0004-0000-0000-0000652E0000}"/>
    <hyperlink ref="C4258" r:id="rId11753" xr:uid="{00000000-0004-0000-0000-0000662E0000}"/>
    <hyperlink ref="D4258" r:id="rId11754" xr:uid="{00000000-0004-0000-0000-0000672E0000}"/>
    <hyperlink ref="A4259" r:id="rId11755" xr:uid="{00000000-0004-0000-0000-0000682E0000}"/>
    <hyperlink ref="C4259" r:id="rId11756" xr:uid="{00000000-0004-0000-0000-0000692E0000}"/>
    <hyperlink ref="D4259" r:id="rId11757" xr:uid="{00000000-0004-0000-0000-00006A2E0000}"/>
    <hyperlink ref="E4259" r:id="rId11758" xr:uid="{00000000-0004-0000-0000-00006B2E0000}"/>
    <hyperlink ref="A4260" r:id="rId11759" xr:uid="{00000000-0004-0000-0000-00006C2E0000}"/>
    <hyperlink ref="C4260" r:id="rId11760" xr:uid="{00000000-0004-0000-0000-00006D2E0000}"/>
    <hyperlink ref="D4260" r:id="rId11761" xr:uid="{00000000-0004-0000-0000-00006E2E0000}"/>
    <hyperlink ref="A4261" r:id="rId11762" xr:uid="{00000000-0004-0000-0000-00006F2E0000}"/>
    <hyperlink ref="C4261" r:id="rId11763" xr:uid="{00000000-0004-0000-0000-0000702E0000}"/>
    <hyperlink ref="D4261" r:id="rId11764" xr:uid="{00000000-0004-0000-0000-0000712E0000}"/>
    <hyperlink ref="E4261" r:id="rId11765" xr:uid="{00000000-0004-0000-0000-0000722E0000}"/>
    <hyperlink ref="A4262" r:id="rId11766" xr:uid="{00000000-0004-0000-0000-0000732E0000}"/>
    <hyperlink ref="C4262" r:id="rId11767" xr:uid="{00000000-0004-0000-0000-0000742E0000}"/>
    <hyperlink ref="D4262" r:id="rId11768" xr:uid="{00000000-0004-0000-0000-0000752E0000}"/>
    <hyperlink ref="A4263" r:id="rId11769" xr:uid="{00000000-0004-0000-0000-0000762E0000}"/>
    <hyperlink ref="C4263" r:id="rId11770" xr:uid="{00000000-0004-0000-0000-0000772E0000}"/>
    <hyperlink ref="D4263" r:id="rId11771" xr:uid="{00000000-0004-0000-0000-0000782E0000}"/>
    <hyperlink ref="A4264" r:id="rId11772" xr:uid="{00000000-0004-0000-0000-0000792E0000}"/>
    <hyperlink ref="C4264" r:id="rId11773" xr:uid="{00000000-0004-0000-0000-00007A2E0000}"/>
    <hyperlink ref="D4264" r:id="rId11774" xr:uid="{00000000-0004-0000-0000-00007B2E0000}"/>
    <hyperlink ref="A4265" r:id="rId11775" xr:uid="{00000000-0004-0000-0000-00007C2E0000}"/>
    <hyperlink ref="C4265" r:id="rId11776" xr:uid="{00000000-0004-0000-0000-00007D2E0000}"/>
    <hyperlink ref="D4265" r:id="rId11777" xr:uid="{00000000-0004-0000-0000-00007E2E0000}"/>
    <hyperlink ref="A4266" r:id="rId11778" xr:uid="{00000000-0004-0000-0000-00007F2E0000}"/>
    <hyperlink ref="C4266" r:id="rId11779" xr:uid="{00000000-0004-0000-0000-0000802E0000}"/>
    <hyperlink ref="D4266" r:id="rId11780" xr:uid="{00000000-0004-0000-0000-0000812E0000}"/>
    <hyperlink ref="A4267" r:id="rId11781" xr:uid="{00000000-0004-0000-0000-0000822E0000}"/>
    <hyperlink ref="C4267" r:id="rId11782" xr:uid="{00000000-0004-0000-0000-0000832E0000}"/>
    <hyperlink ref="D4267" r:id="rId11783" xr:uid="{00000000-0004-0000-0000-0000842E0000}"/>
    <hyperlink ref="A4268" r:id="rId11784" xr:uid="{00000000-0004-0000-0000-0000852E0000}"/>
    <hyperlink ref="C4268" r:id="rId11785" xr:uid="{00000000-0004-0000-0000-0000862E0000}"/>
    <hyperlink ref="D4268" r:id="rId11786" xr:uid="{00000000-0004-0000-0000-0000872E0000}"/>
    <hyperlink ref="A4269" r:id="rId11787" xr:uid="{00000000-0004-0000-0000-0000882E0000}"/>
    <hyperlink ref="C4269" r:id="rId11788" xr:uid="{00000000-0004-0000-0000-0000892E0000}"/>
    <hyperlink ref="D4269" r:id="rId11789" xr:uid="{00000000-0004-0000-0000-00008A2E0000}"/>
    <hyperlink ref="C4270" r:id="rId11790" xr:uid="{00000000-0004-0000-0000-00008B2E0000}"/>
    <hyperlink ref="D4270" r:id="rId11791" xr:uid="{00000000-0004-0000-0000-00008C2E0000}"/>
    <hyperlink ref="A4271" r:id="rId11792" xr:uid="{00000000-0004-0000-0000-00008D2E0000}"/>
    <hyperlink ref="C4271" r:id="rId11793" xr:uid="{00000000-0004-0000-0000-00008E2E0000}"/>
    <hyperlink ref="D4271" r:id="rId11794" xr:uid="{00000000-0004-0000-0000-00008F2E0000}"/>
    <hyperlink ref="A4272" r:id="rId11795" xr:uid="{00000000-0004-0000-0000-0000902E0000}"/>
    <hyperlink ref="C4272" r:id="rId11796" xr:uid="{00000000-0004-0000-0000-0000912E0000}"/>
    <hyperlink ref="D4272" r:id="rId11797" xr:uid="{00000000-0004-0000-0000-0000922E0000}"/>
    <hyperlink ref="A4273" r:id="rId11798" xr:uid="{00000000-0004-0000-0000-0000932E0000}"/>
    <hyperlink ref="C4273" r:id="rId11799" xr:uid="{00000000-0004-0000-0000-0000942E0000}"/>
    <hyperlink ref="D4273" r:id="rId11800" xr:uid="{00000000-0004-0000-0000-0000952E0000}"/>
    <hyperlink ref="A4274" r:id="rId11801" xr:uid="{00000000-0004-0000-0000-0000962E0000}"/>
    <hyperlink ref="C4274" r:id="rId11802" xr:uid="{00000000-0004-0000-0000-0000972E0000}"/>
    <hyperlink ref="D4274" r:id="rId11803" xr:uid="{00000000-0004-0000-0000-0000982E0000}"/>
    <hyperlink ref="E4274" r:id="rId11804" xr:uid="{00000000-0004-0000-0000-0000992E0000}"/>
    <hyperlink ref="A4275" r:id="rId11805" xr:uid="{00000000-0004-0000-0000-00009A2E0000}"/>
    <hyperlink ref="C4275" r:id="rId11806" xr:uid="{00000000-0004-0000-0000-00009B2E0000}"/>
    <hyperlink ref="D4275" r:id="rId11807" xr:uid="{00000000-0004-0000-0000-00009C2E0000}"/>
    <hyperlink ref="A4276" r:id="rId11808" xr:uid="{00000000-0004-0000-0000-00009D2E0000}"/>
    <hyperlink ref="C4276" r:id="rId11809" xr:uid="{00000000-0004-0000-0000-00009E2E0000}"/>
    <hyperlink ref="D4276" r:id="rId11810" xr:uid="{00000000-0004-0000-0000-00009F2E0000}"/>
    <hyperlink ref="A4277" r:id="rId11811" xr:uid="{00000000-0004-0000-0000-0000A02E0000}"/>
    <hyperlink ref="C4277" r:id="rId11812" xr:uid="{00000000-0004-0000-0000-0000A12E0000}"/>
    <hyperlink ref="D4277" r:id="rId11813" xr:uid="{00000000-0004-0000-0000-0000A22E0000}"/>
    <hyperlink ref="D4278" r:id="rId11814" xr:uid="{00000000-0004-0000-0000-0000A32E0000}"/>
    <hyperlink ref="D4279" r:id="rId11815" xr:uid="{00000000-0004-0000-0000-0000A42E0000}"/>
    <hyperlink ref="A4280" r:id="rId11816" xr:uid="{00000000-0004-0000-0000-0000A52E0000}"/>
    <hyperlink ref="C4280" r:id="rId11817" xr:uid="{00000000-0004-0000-0000-0000A62E0000}"/>
    <hyperlink ref="D4280" r:id="rId11818" xr:uid="{00000000-0004-0000-0000-0000A72E0000}"/>
    <hyperlink ref="E4280" r:id="rId11819" xr:uid="{00000000-0004-0000-0000-0000A82E0000}"/>
    <hyperlink ref="A4281" r:id="rId11820" xr:uid="{00000000-0004-0000-0000-0000A92E0000}"/>
    <hyperlink ref="C4281" r:id="rId11821" xr:uid="{00000000-0004-0000-0000-0000AA2E0000}"/>
    <hyperlink ref="D4281" r:id="rId11822" xr:uid="{00000000-0004-0000-0000-0000AB2E0000}"/>
    <hyperlink ref="A4282" r:id="rId11823" xr:uid="{00000000-0004-0000-0000-0000AC2E0000}"/>
    <hyperlink ref="C4282" r:id="rId11824" xr:uid="{00000000-0004-0000-0000-0000AD2E0000}"/>
    <hyperlink ref="D4282" r:id="rId11825" xr:uid="{00000000-0004-0000-0000-0000AE2E0000}"/>
    <hyperlink ref="A4283" r:id="rId11826" xr:uid="{00000000-0004-0000-0000-0000AF2E0000}"/>
    <hyperlink ref="C4283" r:id="rId11827" xr:uid="{00000000-0004-0000-0000-0000B02E0000}"/>
    <hyperlink ref="D4283" r:id="rId11828" xr:uid="{00000000-0004-0000-0000-0000B12E0000}"/>
    <hyperlink ref="A4284" r:id="rId11829" xr:uid="{00000000-0004-0000-0000-0000B22E0000}"/>
    <hyperlink ref="C4284" r:id="rId11830" xr:uid="{00000000-0004-0000-0000-0000B32E0000}"/>
    <hyperlink ref="D4284" r:id="rId11831" xr:uid="{00000000-0004-0000-0000-0000B42E0000}"/>
    <hyperlink ref="E4284" r:id="rId11832" xr:uid="{00000000-0004-0000-0000-0000B52E0000}"/>
    <hyperlink ref="A4285" r:id="rId11833" xr:uid="{00000000-0004-0000-0000-0000B62E0000}"/>
    <hyperlink ref="C4285" r:id="rId11834" xr:uid="{00000000-0004-0000-0000-0000B72E0000}"/>
    <hyperlink ref="D4285" r:id="rId11835" xr:uid="{00000000-0004-0000-0000-0000B82E0000}"/>
    <hyperlink ref="A4286" r:id="rId11836" xr:uid="{00000000-0004-0000-0000-0000B92E0000}"/>
    <hyperlink ref="C4286" r:id="rId11837" xr:uid="{00000000-0004-0000-0000-0000BA2E0000}"/>
    <hyperlink ref="D4286" r:id="rId11838" xr:uid="{00000000-0004-0000-0000-0000BB2E0000}"/>
    <hyperlink ref="C4287" r:id="rId11839" xr:uid="{00000000-0004-0000-0000-0000BC2E0000}"/>
    <hyperlink ref="D4287" r:id="rId11840" xr:uid="{00000000-0004-0000-0000-0000BD2E0000}"/>
    <hyperlink ref="A4288" r:id="rId11841" xr:uid="{00000000-0004-0000-0000-0000BE2E0000}"/>
    <hyperlink ref="C4288" r:id="rId11842" xr:uid="{00000000-0004-0000-0000-0000BF2E0000}"/>
    <hyperlink ref="D4288" r:id="rId11843" xr:uid="{00000000-0004-0000-0000-0000C02E0000}"/>
    <hyperlink ref="A4289" r:id="rId11844" xr:uid="{00000000-0004-0000-0000-0000C12E0000}"/>
    <hyperlink ref="C4289" r:id="rId11845" xr:uid="{00000000-0004-0000-0000-0000C22E0000}"/>
    <hyperlink ref="D4289" r:id="rId11846" xr:uid="{00000000-0004-0000-0000-0000C32E0000}"/>
    <hyperlink ref="A4290" r:id="rId11847" xr:uid="{00000000-0004-0000-0000-0000C42E0000}"/>
    <hyperlink ref="C4290" r:id="rId11848" xr:uid="{00000000-0004-0000-0000-0000C52E0000}"/>
    <hyperlink ref="D4290" r:id="rId11849" xr:uid="{00000000-0004-0000-0000-0000C62E0000}"/>
    <hyperlink ref="A4291" r:id="rId11850" xr:uid="{00000000-0004-0000-0000-0000C72E0000}"/>
    <hyperlink ref="C4291" r:id="rId11851" xr:uid="{00000000-0004-0000-0000-0000C82E0000}"/>
    <hyperlink ref="D4291" r:id="rId11852" xr:uid="{00000000-0004-0000-0000-0000C92E0000}"/>
    <hyperlink ref="A4293" r:id="rId11853" xr:uid="{00000000-0004-0000-0000-0000CA2E0000}"/>
    <hyperlink ref="C4293" r:id="rId11854" xr:uid="{00000000-0004-0000-0000-0000CB2E0000}"/>
    <hyperlink ref="D4293" r:id="rId11855" xr:uid="{00000000-0004-0000-0000-0000CC2E0000}"/>
    <hyperlink ref="A4294" r:id="rId11856" xr:uid="{00000000-0004-0000-0000-0000CD2E0000}"/>
    <hyperlink ref="C4294" r:id="rId11857" xr:uid="{00000000-0004-0000-0000-0000CE2E0000}"/>
    <hyperlink ref="D4294" r:id="rId11858" xr:uid="{00000000-0004-0000-0000-0000CF2E0000}"/>
    <hyperlink ref="A4295" r:id="rId11859" xr:uid="{00000000-0004-0000-0000-0000D02E0000}"/>
    <hyperlink ref="C4295" r:id="rId11860" xr:uid="{00000000-0004-0000-0000-0000D12E0000}"/>
    <hyperlink ref="D4295" r:id="rId11861" xr:uid="{00000000-0004-0000-0000-0000D22E0000}"/>
    <hyperlink ref="A4296" r:id="rId11862" xr:uid="{00000000-0004-0000-0000-0000D32E0000}"/>
    <hyperlink ref="C4296" r:id="rId11863" xr:uid="{00000000-0004-0000-0000-0000D42E0000}"/>
    <hyperlink ref="D4296" r:id="rId11864" xr:uid="{00000000-0004-0000-0000-0000D52E0000}"/>
    <hyperlink ref="A4297" r:id="rId11865" xr:uid="{00000000-0004-0000-0000-0000D62E0000}"/>
    <hyperlink ref="C4297" r:id="rId11866" xr:uid="{00000000-0004-0000-0000-0000D72E0000}"/>
    <hyperlink ref="D4297" r:id="rId11867" xr:uid="{00000000-0004-0000-0000-0000D82E0000}"/>
    <hyperlink ref="A4298" r:id="rId11868" xr:uid="{00000000-0004-0000-0000-0000D92E0000}"/>
    <hyperlink ref="C4298" r:id="rId11869" xr:uid="{00000000-0004-0000-0000-0000DA2E0000}"/>
    <hyperlink ref="D4298" r:id="rId11870" xr:uid="{00000000-0004-0000-0000-0000DB2E0000}"/>
    <hyperlink ref="A4299" r:id="rId11871" xr:uid="{00000000-0004-0000-0000-0000DC2E0000}"/>
    <hyperlink ref="C4299" r:id="rId11872" xr:uid="{00000000-0004-0000-0000-0000DD2E0000}"/>
    <hyperlink ref="D4299" r:id="rId11873" xr:uid="{00000000-0004-0000-0000-0000DE2E0000}"/>
    <hyperlink ref="A4300" r:id="rId11874" xr:uid="{00000000-0004-0000-0000-0000DF2E0000}"/>
    <hyperlink ref="C4300" r:id="rId11875" xr:uid="{00000000-0004-0000-0000-0000E02E0000}"/>
    <hyperlink ref="D4300" r:id="rId11876" xr:uid="{00000000-0004-0000-0000-0000E12E0000}"/>
    <hyperlink ref="A4301" r:id="rId11877" xr:uid="{00000000-0004-0000-0000-0000E22E0000}"/>
    <hyperlink ref="C4301" r:id="rId11878" xr:uid="{00000000-0004-0000-0000-0000E32E0000}"/>
    <hyperlink ref="D4301" r:id="rId11879" xr:uid="{00000000-0004-0000-0000-0000E42E0000}"/>
    <hyperlink ref="A4302" r:id="rId11880" xr:uid="{00000000-0004-0000-0000-0000E52E0000}"/>
    <hyperlink ref="C4302" r:id="rId11881" xr:uid="{00000000-0004-0000-0000-0000E62E0000}"/>
    <hyperlink ref="D4302" r:id="rId11882" xr:uid="{00000000-0004-0000-0000-0000E72E0000}"/>
    <hyperlink ref="A4303" r:id="rId11883" xr:uid="{00000000-0004-0000-0000-0000E82E0000}"/>
    <hyperlink ref="C4303" r:id="rId11884" xr:uid="{00000000-0004-0000-0000-0000E92E0000}"/>
    <hyperlink ref="D4303" r:id="rId11885" xr:uid="{00000000-0004-0000-0000-0000EA2E0000}"/>
    <hyperlink ref="A4304" r:id="rId11886" xr:uid="{00000000-0004-0000-0000-0000EB2E0000}"/>
    <hyperlink ref="C4304" r:id="rId11887" xr:uid="{00000000-0004-0000-0000-0000EC2E0000}"/>
    <hyperlink ref="D4304" r:id="rId11888" xr:uid="{00000000-0004-0000-0000-0000ED2E0000}"/>
    <hyperlink ref="C4305" r:id="rId11889" xr:uid="{00000000-0004-0000-0000-0000EE2E0000}"/>
    <hyperlink ref="D4305" r:id="rId11890" xr:uid="{00000000-0004-0000-0000-0000EF2E0000}"/>
    <hyperlink ref="C4306" r:id="rId11891" xr:uid="{00000000-0004-0000-0000-0000F02E0000}"/>
    <hyperlink ref="D4306" r:id="rId11892" xr:uid="{00000000-0004-0000-0000-0000F12E0000}"/>
    <hyperlink ref="A4307" r:id="rId11893" xr:uid="{00000000-0004-0000-0000-0000F22E0000}"/>
    <hyperlink ref="C4307" r:id="rId11894" xr:uid="{00000000-0004-0000-0000-0000F32E0000}"/>
    <hyperlink ref="D4307" r:id="rId11895" xr:uid="{00000000-0004-0000-0000-0000F42E0000}"/>
    <hyperlink ref="A4308" r:id="rId11896" xr:uid="{00000000-0004-0000-0000-0000F52E0000}"/>
    <hyperlink ref="C4308" r:id="rId11897" xr:uid="{00000000-0004-0000-0000-0000F62E0000}"/>
    <hyperlink ref="D4308" r:id="rId11898" xr:uid="{00000000-0004-0000-0000-0000F72E0000}"/>
    <hyperlink ref="A4309" r:id="rId11899" xr:uid="{00000000-0004-0000-0000-0000F82E0000}"/>
    <hyperlink ref="C4309" r:id="rId11900" xr:uid="{00000000-0004-0000-0000-0000F92E0000}"/>
    <hyperlink ref="D4309" r:id="rId11901" xr:uid="{00000000-0004-0000-0000-0000FA2E0000}"/>
    <hyperlink ref="A4310" r:id="rId11902" xr:uid="{00000000-0004-0000-0000-0000FB2E0000}"/>
    <hyperlink ref="C4310" r:id="rId11903" xr:uid="{00000000-0004-0000-0000-0000FC2E0000}"/>
    <hyperlink ref="D4310" r:id="rId11904" xr:uid="{00000000-0004-0000-0000-0000FD2E0000}"/>
    <hyperlink ref="A4311" r:id="rId11905" xr:uid="{00000000-0004-0000-0000-0000FE2E0000}"/>
    <hyperlink ref="C4311" r:id="rId11906" xr:uid="{00000000-0004-0000-0000-0000FF2E0000}"/>
    <hyperlink ref="D4311" r:id="rId11907" xr:uid="{00000000-0004-0000-0000-0000002F0000}"/>
    <hyperlink ref="A4312" r:id="rId11908" xr:uid="{00000000-0004-0000-0000-0000012F0000}"/>
    <hyperlink ref="C4312" r:id="rId11909" xr:uid="{00000000-0004-0000-0000-0000022F0000}"/>
    <hyperlink ref="D4312" r:id="rId11910" xr:uid="{00000000-0004-0000-0000-0000032F0000}"/>
    <hyperlink ref="A4313" r:id="rId11911" xr:uid="{00000000-0004-0000-0000-0000042F0000}"/>
    <hyperlink ref="C4313" r:id="rId11912" xr:uid="{00000000-0004-0000-0000-0000052F0000}"/>
    <hyperlink ref="D4313" r:id="rId11913" xr:uid="{00000000-0004-0000-0000-0000062F0000}"/>
    <hyperlink ref="A4314" r:id="rId11914" xr:uid="{00000000-0004-0000-0000-0000072F0000}"/>
    <hyperlink ref="C4314" r:id="rId11915" xr:uid="{00000000-0004-0000-0000-0000082F0000}"/>
    <hyperlink ref="D4314" r:id="rId11916" xr:uid="{00000000-0004-0000-0000-0000092F0000}"/>
    <hyperlink ref="A4315" r:id="rId11917" xr:uid="{00000000-0004-0000-0000-00000A2F0000}"/>
    <hyperlink ref="C4315" r:id="rId11918" xr:uid="{00000000-0004-0000-0000-00000B2F0000}"/>
    <hyperlink ref="D4315" r:id="rId11919" xr:uid="{00000000-0004-0000-0000-00000C2F0000}"/>
    <hyperlink ref="A4316" r:id="rId11920" xr:uid="{00000000-0004-0000-0000-00000D2F0000}"/>
    <hyperlink ref="C4316" r:id="rId11921" xr:uid="{00000000-0004-0000-0000-00000E2F0000}"/>
    <hyperlink ref="D4316" r:id="rId11922" xr:uid="{00000000-0004-0000-0000-00000F2F0000}"/>
    <hyperlink ref="A4317" r:id="rId11923" xr:uid="{00000000-0004-0000-0000-0000102F0000}"/>
    <hyperlink ref="C4317" r:id="rId11924" xr:uid="{00000000-0004-0000-0000-0000112F0000}"/>
    <hyperlink ref="D4317" r:id="rId11925" xr:uid="{00000000-0004-0000-0000-0000122F0000}"/>
    <hyperlink ref="A4318" r:id="rId11926" xr:uid="{00000000-0004-0000-0000-0000132F0000}"/>
    <hyperlink ref="C4318" r:id="rId11927" xr:uid="{00000000-0004-0000-0000-0000142F0000}"/>
    <hyperlink ref="D4318" r:id="rId11928" xr:uid="{00000000-0004-0000-0000-0000152F0000}"/>
    <hyperlink ref="A4319" r:id="rId11929" xr:uid="{00000000-0004-0000-0000-0000162F0000}"/>
    <hyperlink ref="C4319" r:id="rId11930" xr:uid="{00000000-0004-0000-0000-0000172F0000}"/>
    <hyperlink ref="D4319" r:id="rId11931" xr:uid="{00000000-0004-0000-0000-0000182F0000}"/>
    <hyperlink ref="A4320" r:id="rId11932" xr:uid="{00000000-0004-0000-0000-0000192F0000}"/>
    <hyperlink ref="C4320" r:id="rId11933" xr:uid="{00000000-0004-0000-0000-00001A2F0000}"/>
    <hyperlink ref="D4320" r:id="rId11934" xr:uid="{00000000-0004-0000-0000-00001B2F0000}"/>
    <hyperlink ref="A4321" r:id="rId11935" xr:uid="{00000000-0004-0000-0000-00001C2F0000}"/>
    <hyperlink ref="C4321" r:id="rId11936" xr:uid="{00000000-0004-0000-0000-00001D2F0000}"/>
    <hyperlink ref="D4321" r:id="rId11937" xr:uid="{00000000-0004-0000-0000-00001E2F0000}"/>
    <hyperlink ref="A4322" r:id="rId11938" xr:uid="{00000000-0004-0000-0000-00001F2F0000}"/>
    <hyperlink ref="C4322" r:id="rId11939" xr:uid="{00000000-0004-0000-0000-0000202F0000}"/>
    <hyperlink ref="D4322" r:id="rId11940" xr:uid="{00000000-0004-0000-0000-0000212F0000}"/>
    <hyperlink ref="A4323" r:id="rId11941" xr:uid="{00000000-0004-0000-0000-0000222F0000}"/>
    <hyperlink ref="C4323" r:id="rId11942" xr:uid="{00000000-0004-0000-0000-0000232F0000}"/>
    <hyperlink ref="D4323" r:id="rId11943" xr:uid="{00000000-0004-0000-0000-0000242F0000}"/>
    <hyperlink ref="A4324" r:id="rId11944" xr:uid="{00000000-0004-0000-0000-0000252F0000}"/>
    <hyperlink ref="C4324" r:id="rId11945" xr:uid="{00000000-0004-0000-0000-0000262F0000}"/>
    <hyperlink ref="D4324" r:id="rId11946" xr:uid="{00000000-0004-0000-0000-0000272F0000}"/>
    <hyperlink ref="A4325" r:id="rId11947" xr:uid="{00000000-0004-0000-0000-0000282F0000}"/>
    <hyperlink ref="C4325" r:id="rId11948" xr:uid="{00000000-0004-0000-0000-0000292F0000}"/>
    <hyperlink ref="D4325" r:id="rId11949" xr:uid="{00000000-0004-0000-0000-00002A2F0000}"/>
    <hyperlink ref="A4326" r:id="rId11950" xr:uid="{00000000-0004-0000-0000-00002B2F0000}"/>
    <hyperlink ref="C4326" r:id="rId11951" xr:uid="{00000000-0004-0000-0000-00002C2F0000}"/>
    <hyperlink ref="D4326" r:id="rId11952" xr:uid="{00000000-0004-0000-0000-00002D2F0000}"/>
    <hyperlink ref="A4327" r:id="rId11953" xr:uid="{00000000-0004-0000-0000-00002E2F0000}"/>
    <hyperlink ref="C4327" r:id="rId11954" xr:uid="{00000000-0004-0000-0000-00002F2F0000}"/>
    <hyperlink ref="D4327" r:id="rId11955" xr:uid="{00000000-0004-0000-0000-0000302F0000}"/>
    <hyperlink ref="A4328" r:id="rId11956" xr:uid="{00000000-0004-0000-0000-0000312F0000}"/>
    <hyperlink ref="C4328" r:id="rId11957" xr:uid="{00000000-0004-0000-0000-0000322F0000}"/>
    <hyperlink ref="D4328" r:id="rId11958" xr:uid="{00000000-0004-0000-0000-0000332F0000}"/>
    <hyperlink ref="A4329" r:id="rId11959" xr:uid="{00000000-0004-0000-0000-0000342F0000}"/>
    <hyperlink ref="C4329" r:id="rId11960" xr:uid="{00000000-0004-0000-0000-0000352F0000}"/>
    <hyperlink ref="D4329" r:id="rId11961" xr:uid="{00000000-0004-0000-0000-0000362F0000}"/>
    <hyperlink ref="A4330" r:id="rId11962" xr:uid="{00000000-0004-0000-0000-0000372F0000}"/>
    <hyperlink ref="C4330" r:id="rId11963" xr:uid="{00000000-0004-0000-0000-0000382F0000}"/>
    <hyperlink ref="D4330" r:id="rId11964" xr:uid="{00000000-0004-0000-0000-0000392F0000}"/>
    <hyperlink ref="A4331" r:id="rId11965" xr:uid="{00000000-0004-0000-0000-00003A2F0000}"/>
    <hyperlink ref="C4331" r:id="rId11966" xr:uid="{00000000-0004-0000-0000-00003B2F0000}"/>
    <hyperlink ref="D4331" r:id="rId11967" xr:uid="{00000000-0004-0000-0000-00003C2F0000}"/>
    <hyperlink ref="C4332" r:id="rId11968" xr:uid="{00000000-0004-0000-0000-00003D2F0000}"/>
    <hyperlink ref="D4332" r:id="rId11969" xr:uid="{00000000-0004-0000-0000-00003E2F0000}"/>
    <hyperlink ref="A4333" r:id="rId11970" xr:uid="{00000000-0004-0000-0000-00003F2F0000}"/>
    <hyperlink ref="C4333" r:id="rId11971" xr:uid="{00000000-0004-0000-0000-0000402F0000}"/>
    <hyperlink ref="D4333" r:id="rId11972" xr:uid="{00000000-0004-0000-0000-0000412F0000}"/>
    <hyperlink ref="A4334" r:id="rId11973" xr:uid="{00000000-0004-0000-0000-0000422F0000}"/>
    <hyperlink ref="C4334" r:id="rId11974" xr:uid="{00000000-0004-0000-0000-0000432F0000}"/>
    <hyperlink ref="D4334" r:id="rId11975" xr:uid="{00000000-0004-0000-0000-0000442F0000}"/>
    <hyperlink ref="A4335" r:id="rId11976" xr:uid="{00000000-0004-0000-0000-0000452F0000}"/>
    <hyperlink ref="C4335" r:id="rId11977" xr:uid="{00000000-0004-0000-0000-0000462F0000}"/>
    <hyperlink ref="D4335" r:id="rId11978" xr:uid="{00000000-0004-0000-0000-0000472F0000}"/>
    <hyperlink ref="A4336" r:id="rId11979" xr:uid="{00000000-0004-0000-0000-0000482F0000}"/>
    <hyperlink ref="C4336" r:id="rId11980" xr:uid="{00000000-0004-0000-0000-0000492F0000}"/>
    <hyperlink ref="D4336" r:id="rId11981" xr:uid="{00000000-0004-0000-0000-00004A2F0000}"/>
    <hyperlink ref="C4337" r:id="rId11982" xr:uid="{00000000-0004-0000-0000-00004B2F0000}"/>
    <hyperlink ref="D4337" r:id="rId11983" xr:uid="{00000000-0004-0000-0000-00004C2F0000}"/>
    <hyperlink ref="A4338" r:id="rId11984" xr:uid="{00000000-0004-0000-0000-00004D2F0000}"/>
    <hyperlink ref="C4338" r:id="rId11985" xr:uid="{00000000-0004-0000-0000-00004E2F0000}"/>
    <hyperlink ref="D4338" r:id="rId11986" xr:uid="{00000000-0004-0000-0000-00004F2F0000}"/>
    <hyperlink ref="C4339" r:id="rId11987" xr:uid="{00000000-0004-0000-0000-0000502F0000}"/>
    <hyperlink ref="D4339" r:id="rId11988" xr:uid="{00000000-0004-0000-0000-0000512F0000}"/>
    <hyperlink ref="C4340" r:id="rId11989" xr:uid="{00000000-0004-0000-0000-0000522F0000}"/>
    <hyperlink ref="D4340" r:id="rId11990" xr:uid="{00000000-0004-0000-0000-0000532F0000}"/>
    <hyperlink ref="A4341" r:id="rId11991" xr:uid="{00000000-0004-0000-0000-0000542F0000}"/>
    <hyperlink ref="C4341" r:id="rId11992" xr:uid="{00000000-0004-0000-0000-0000552F0000}"/>
    <hyperlink ref="D4341" r:id="rId11993" xr:uid="{00000000-0004-0000-0000-0000562F0000}"/>
    <hyperlink ref="C4342" r:id="rId11994" xr:uid="{00000000-0004-0000-0000-0000572F0000}"/>
    <hyperlink ref="D4342" r:id="rId11995" xr:uid="{00000000-0004-0000-0000-0000582F0000}"/>
    <hyperlink ref="C4343" r:id="rId11996" xr:uid="{00000000-0004-0000-0000-0000592F0000}"/>
    <hyperlink ref="D4343" r:id="rId11997" xr:uid="{00000000-0004-0000-0000-00005A2F0000}"/>
    <hyperlink ref="A4344" r:id="rId11998" xr:uid="{00000000-0004-0000-0000-00005B2F0000}"/>
    <hyperlink ref="C4344" r:id="rId11999" xr:uid="{00000000-0004-0000-0000-00005C2F0000}"/>
    <hyperlink ref="D4344" r:id="rId12000" xr:uid="{00000000-0004-0000-0000-00005D2F0000}"/>
    <hyperlink ref="A4345" r:id="rId12001" xr:uid="{00000000-0004-0000-0000-00005E2F0000}"/>
    <hyperlink ref="C4345" r:id="rId12002" xr:uid="{00000000-0004-0000-0000-00005F2F0000}"/>
    <hyperlink ref="D4345" r:id="rId12003" xr:uid="{00000000-0004-0000-0000-0000602F0000}"/>
    <hyperlink ref="A4346" r:id="rId12004" xr:uid="{00000000-0004-0000-0000-0000612F0000}"/>
    <hyperlink ref="C4346" r:id="rId12005" xr:uid="{00000000-0004-0000-0000-0000622F0000}"/>
    <hyperlink ref="D4346" r:id="rId12006" xr:uid="{00000000-0004-0000-0000-0000632F0000}"/>
    <hyperlink ref="A4347" r:id="rId12007" xr:uid="{00000000-0004-0000-0000-0000642F0000}"/>
    <hyperlink ref="C4347" r:id="rId12008" xr:uid="{00000000-0004-0000-0000-0000652F0000}"/>
    <hyperlink ref="D4347" r:id="rId12009" xr:uid="{00000000-0004-0000-0000-0000662F0000}"/>
    <hyperlink ref="A4348" r:id="rId12010" xr:uid="{00000000-0004-0000-0000-0000672F0000}"/>
    <hyperlink ref="C4348" r:id="rId12011" xr:uid="{00000000-0004-0000-0000-0000682F0000}"/>
    <hyperlink ref="D4348" r:id="rId12012" xr:uid="{00000000-0004-0000-0000-0000692F0000}"/>
    <hyperlink ref="A4349" r:id="rId12013" xr:uid="{00000000-0004-0000-0000-00006A2F0000}"/>
    <hyperlink ref="C4349" r:id="rId12014" xr:uid="{00000000-0004-0000-0000-00006B2F0000}"/>
    <hyperlink ref="D4349" r:id="rId12015" xr:uid="{00000000-0004-0000-0000-00006C2F0000}"/>
    <hyperlink ref="A4350" r:id="rId12016" xr:uid="{00000000-0004-0000-0000-00006D2F0000}"/>
    <hyperlink ref="C4350" r:id="rId12017" xr:uid="{00000000-0004-0000-0000-00006E2F0000}"/>
    <hyperlink ref="D4350" r:id="rId12018" xr:uid="{00000000-0004-0000-0000-00006F2F0000}"/>
    <hyperlink ref="A4351" r:id="rId12019" xr:uid="{00000000-0004-0000-0000-0000702F0000}"/>
    <hyperlink ref="C4351" r:id="rId12020" xr:uid="{00000000-0004-0000-0000-0000712F0000}"/>
    <hyperlink ref="D4351" r:id="rId12021" xr:uid="{00000000-0004-0000-0000-0000722F0000}"/>
    <hyperlink ref="A4352" r:id="rId12022" xr:uid="{00000000-0004-0000-0000-0000732F0000}"/>
    <hyperlink ref="C4352" r:id="rId12023" xr:uid="{00000000-0004-0000-0000-0000742F0000}"/>
    <hyperlink ref="D4352" r:id="rId12024" xr:uid="{00000000-0004-0000-0000-0000752F0000}"/>
    <hyperlink ref="A4353" r:id="rId12025" xr:uid="{00000000-0004-0000-0000-0000762F0000}"/>
    <hyperlink ref="C4353" r:id="rId12026" xr:uid="{00000000-0004-0000-0000-0000772F0000}"/>
    <hyperlink ref="D4353" r:id="rId12027" xr:uid="{00000000-0004-0000-0000-0000782F0000}"/>
    <hyperlink ref="C4354" r:id="rId12028" xr:uid="{00000000-0004-0000-0000-0000792F0000}"/>
    <hyperlink ref="D4354" r:id="rId12029" xr:uid="{00000000-0004-0000-0000-00007A2F0000}"/>
    <hyperlink ref="A4355" r:id="rId12030" xr:uid="{00000000-0004-0000-0000-00007B2F0000}"/>
    <hyperlink ref="C4355" r:id="rId12031" xr:uid="{00000000-0004-0000-0000-00007C2F0000}"/>
    <hyperlink ref="D4355" r:id="rId12032" xr:uid="{00000000-0004-0000-0000-00007D2F0000}"/>
    <hyperlink ref="A4356" r:id="rId12033" xr:uid="{00000000-0004-0000-0000-00007E2F0000}"/>
    <hyperlink ref="C4356" r:id="rId12034" xr:uid="{00000000-0004-0000-0000-00007F2F0000}"/>
    <hyperlink ref="D4356" r:id="rId12035" xr:uid="{00000000-0004-0000-0000-0000802F0000}"/>
    <hyperlink ref="C4357" r:id="rId12036" xr:uid="{00000000-0004-0000-0000-0000812F0000}"/>
    <hyperlink ref="D4357" r:id="rId12037" xr:uid="{00000000-0004-0000-0000-0000822F0000}"/>
    <hyperlink ref="A4358" r:id="rId12038" xr:uid="{00000000-0004-0000-0000-0000832F0000}"/>
    <hyperlink ref="C4358" r:id="rId12039" xr:uid="{00000000-0004-0000-0000-0000842F0000}"/>
    <hyperlink ref="D4358" r:id="rId12040" xr:uid="{00000000-0004-0000-0000-0000852F0000}"/>
    <hyperlink ref="C4359" r:id="rId12041" xr:uid="{00000000-0004-0000-0000-0000862F0000}"/>
    <hyperlink ref="D4359" r:id="rId12042" xr:uid="{00000000-0004-0000-0000-0000872F0000}"/>
    <hyperlink ref="C4360" r:id="rId12043" xr:uid="{00000000-0004-0000-0000-0000882F0000}"/>
    <hyperlink ref="D4360" r:id="rId12044" xr:uid="{00000000-0004-0000-0000-0000892F0000}"/>
    <hyperlink ref="C4361" r:id="rId12045" xr:uid="{00000000-0004-0000-0000-00008A2F0000}"/>
    <hyperlink ref="D4361" r:id="rId12046" xr:uid="{00000000-0004-0000-0000-00008B2F0000}"/>
    <hyperlink ref="A4362" r:id="rId12047" xr:uid="{00000000-0004-0000-0000-00008C2F0000}"/>
    <hyperlink ref="C4362" r:id="rId12048" xr:uid="{00000000-0004-0000-0000-00008D2F0000}"/>
    <hyperlink ref="D4362" r:id="rId12049" xr:uid="{00000000-0004-0000-0000-00008E2F0000}"/>
    <hyperlink ref="A4363" r:id="rId12050" xr:uid="{00000000-0004-0000-0000-00008F2F0000}"/>
    <hyperlink ref="C4363" r:id="rId12051" xr:uid="{00000000-0004-0000-0000-0000902F0000}"/>
    <hyperlink ref="D4363" r:id="rId12052" xr:uid="{00000000-0004-0000-0000-0000912F0000}"/>
    <hyperlink ref="A4364" r:id="rId12053" xr:uid="{00000000-0004-0000-0000-0000922F0000}"/>
    <hyperlink ref="C4364" r:id="rId12054" xr:uid="{00000000-0004-0000-0000-0000932F0000}"/>
    <hyperlink ref="D4364" r:id="rId12055" xr:uid="{00000000-0004-0000-0000-0000942F0000}"/>
    <hyperlink ref="C4365" r:id="rId12056" xr:uid="{00000000-0004-0000-0000-0000952F0000}"/>
    <hyperlink ref="D4365" r:id="rId12057" xr:uid="{00000000-0004-0000-0000-0000962F0000}"/>
    <hyperlink ref="E4365" r:id="rId12058" xr:uid="{00000000-0004-0000-0000-0000972F0000}"/>
    <hyperlink ref="A4366" r:id="rId12059" xr:uid="{00000000-0004-0000-0000-0000982F0000}"/>
    <hyperlink ref="C4366" r:id="rId12060" xr:uid="{00000000-0004-0000-0000-0000992F0000}"/>
    <hyperlink ref="D4366" r:id="rId12061" xr:uid="{00000000-0004-0000-0000-00009A2F0000}"/>
    <hyperlink ref="A4367" r:id="rId12062" xr:uid="{00000000-0004-0000-0000-00009B2F0000}"/>
    <hyperlink ref="C4367" r:id="rId12063" xr:uid="{00000000-0004-0000-0000-00009C2F0000}"/>
    <hyperlink ref="D4367" r:id="rId12064" xr:uid="{00000000-0004-0000-0000-00009D2F0000}"/>
    <hyperlink ref="A4368" r:id="rId12065" xr:uid="{00000000-0004-0000-0000-00009E2F0000}"/>
    <hyperlink ref="A4369" r:id="rId12066" xr:uid="{00000000-0004-0000-0000-00009F2F0000}"/>
    <hyperlink ref="C4369" r:id="rId12067" xr:uid="{00000000-0004-0000-0000-0000A02F0000}"/>
    <hyperlink ref="D4369" r:id="rId12068" xr:uid="{00000000-0004-0000-0000-0000A12F0000}"/>
    <hyperlink ref="A4370" r:id="rId12069" xr:uid="{00000000-0004-0000-0000-0000A22F0000}"/>
    <hyperlink ref="C4370" r:id="rId12070" xr:uid="{00000000-0004-0000-0000-0000A32F0000}"/>
    <hyperlink ref="D4370" r:id="rId12071" xr:uid="{00000000-0004-0000-0000-0000A42F0000}"/>
    <hyperlink ref="A4371" r:id="rId12072" xr:uid="{00000000-0004-0000-0000-0000A52F0000}"/>
    <hyperlink ref="C4371" r:id="rId12073" xr:uid="{00000000-0004-0000-0000-0000A62F0000}"/>
    <hyperlink ref="D4371" r:id="rId12074" xr:uid="{00000000-0004-0000-0000-0000A72F0000}"/>
    <hyperlink ref="C4372" r:id="rId12075" xr:uid="{00000000-0004-0000-0000-0000A82F0000}"/>
    <hyperlink ref="D4372" r:id="rId12076" xr:uid="{00000000-0004-0000-0000-0000A92F0000}"/>
    <hyperlink ref="A4373" r:id="rId12077" xr:uid="{00000000-0004-0000-0000-0000AA2F0000}"/>
    <hyperlink ref="C4373" r:id="rId12078" xr:uid="{00000000-0004-0000-0000-0000AB2F0000}"/>
    <hyperlink ref="D4373" r:id="rId12079" xr:uid="{00000000-0004-0000-0000-0000AC2F0000}"/>
    <hyperlink ref="A4374" r:id="rId12080" xr:uid="{00000000-0004-0000-0000-0000AD2F0000}"/>
    <hyperlink ref="C4374" r:id="rId12081" xr:uid="{00000000-0004-0000-0000-0000AE2F0000}"/>
    <hyperlink ref="D4374" r:id="rId12082" xr:uid="{00000000-0004-0000-0000-0000AF2F0000}"/>
    <hyperlink ref="A4375" r:id="rId12083" xr:uid="{00000000-0004-0000-0000-0000B02F0000}"/>
    <hyperlink ref="C4375" r:id="rId12084" xr:uid="{00000000-0004-0000-0000-0000B12F0000}"/>
    <hyperlink ref="D4375" r:id="rId12085" xr:uid="{00000000-0004-0000-0000-0000B22F0000}"/>
    <hyperlink ref="A4376" r:id="rId12086" xr:uid="{00000000-0004-0000-0000-0000B32F0000}"/>
    <hyperlink ref="C4376" r:id="rId12087" xr:uid="{00000000-0004-0000-0000-0000B42F0000}"/>
    <hyperlink ref="D4376" r:id="rId12088" xr:uid="{00000000-0004-0000-0000-0000B52F0000}"/>
    <hyperlink ref="A4377" r:id="rId12089" xr:uid="{00000000-0004-0000-0000-0000B62F0000}"/>
    <hyperlink ref="C4377" r:id="rId12090" xr:uid="{00000000-0004-0000-0000-0000B72F0000}"/>
    <hyperlink ref="D4377" r:id="rId12091" xr:uid="{00000000-0004-0000-0000-0000B82F0000}"/>
    <hyperlink ref="A4378" r:id="rId12092" xr:uid="{00000000-0004-0000-0000-0000B92F0000}"/>
    <hyperlink ref="C4378" r:id="rId12093" xr:uid="{00000000-0004-0000-0000-0000BA2F0000}"/>
    <hyperlink ref="D4378" r:id="rId12094" xr:uid="{00000000-0004-0000-0000-0000BB2F0000}"/>
    <hyperlink ref="A4379" r:id="rId12095" xr:uid="{00000000-0004-0000-0000-0000BC2F0000}"/>
    <hyperlink ref="C4379" r:id="rId12096" xr:uid="{00000000-0004-0000-0000-0000BD2F0000}"/>
    <hyperlink ref="D4379" r:id="rId12097" xr:uid="{00000000-0004-0000-0000-0000BE2F0000}"/>
    <hyperlink ref="A4380" r:id="rId12098" xr:uid="{00000000-0004-0000-0000-0000BF2F0000}"/>
    <hyperlink ref="C4380" r:id="rId12099" xr:uid="{00000000-0004-0000-0000-0000C02F0000}"/>
    <hyperlink ref="D4380" r:id="rId12100" xr:uid="{00000000-0004-0000-0000-0000C12F0000}"/>
    <hyperlink ref="A4381" r:id="rId12101" xr:uid="{00000000-0004-0000-0000-0000C22F0000}"/>
    <hyperlink ref="C4381" r:id="rId12102" xr:uid="{00000000-0004-0000-0000-0000C32F0000}"/>
    <hyperlink ref="D4381" r:id="rId12103" xr:uid="{00000000-0004-0000-0000-0000C42F0000}"/>
    <hyperlink ref="A4382" r:id="rId12104" xr:uid="{00000000-0004-0000-0000-0000C52F0000}"/>
    <hyperlink ref="C4382" r:id="rId12105" xr:uid="{00000000-0004-0000-0000-0000C62F0000}"/>
    <hyperlink ref="D4382" r:id="rId12106" xr:uid="{00000000-0004-0000-0000-0000C72F0000}"/>
    <hyperlink ref="C4383" r:id="rId12107" xr:uid="{00000000-0004-0000-0000-0000C82F0000}"/>
    <hyperlink ref="C4384" r:id="rId12108" xr:uid="{00000000-0004-0000-0000-0000C92F0000}"/>
    <hyperlink ref="A4385" r:id="rId12109" xr:uid="{00000000-0004-0000-0000-0000CA2F0000}"/>
    <hyperlink ref="C4385" r:id="rId12110" xr:uid="{00000000-0004-0000-0000-0000CB2F0000}"/>
    <hyperlink ref="D4385" r:id="rId12111" xr:uid="{00000000-0004-0000-0000-0000CC2F0000}"/>
    <hyperlink ref="A4386" r:id="rId12112" xr:uid="{00000000-0004-0000-0000-0000CD2F0000}"/>
    <hyperlink ref="C4386" r:id="rId12113" xr:uid="{00000000-0004-0000-0000-0000CE2F0000}"/>
    <hyperlink ref="D4386" r:id="rId12114" xr:uid="{00000000-0004-0000-0000-0000CF2F0000}"/>
    <hyperlink ref="A4387" r:id="rId12115" xr:uid="{00000000-0004-0000-0000-0000D02F0000}"/>
    <hyperlink ref="C4387" r:id="rId12116" xr:uid="{00000000-0004-0000-0000-0000D12F0000}"/>
    <hyperlink ref="A4388" r:id="rId12117" xr:uid="{00000000-0004-0000-0000-0000D22F0000}"/>
    <hyperlink ref="C4388" r:id="rId12118" xr:uid="{00000000-0004-0000-0000-0000D32F0000}"/>
    <hyperlink ref="D4388" r:id="rId12119" xr:uid="{00000000-0004-0000-0000-0000D42F0000}"/>
    <hyperlink ref="A4389" r:id="rId12120" xr:uid="{00000000-0004-0000-0000-0000D52F0000}"/>
    <hyperlink ref="C4389" r:id="rId12121" xr:uid="{00000000-0004-0000-0000-0000D62F0000}"/>
    <hyperlink ref="D4389" r:id="rId12122" xr:uid="{00000000-0004-0000-0000-0000D72F0000}"/>
    <hyperlink ref="A4390" r:id="rId12123" xr:uid="{00000000-0004-0000-0000-0000D82F0000}"/>
    <hyperlink ref="C4390" r:id="rId12124" xr:uid="{00000000-0004-0000-0000-0000D92F0000}"/>
    <hyperlink ref="D4390" r:id="rId12125" xr:uid="{00000000-0004-0000-0000-0000DA2F0000}"/>
    <hyperlink ref="C4391" r:id="rId12126" xr:uid="{00000000-0004-0000-0000-0000DB2F0000}"/>
    <hyperlink ref="D4391" r:id="rId12127" xr:uid="{00000000-0004-0000-0000-0000DC2F0000}"/>
    <hyperlink ref="A4392" r:id="rId12128" xr:uid="{00000000-0004-0000-0000-0000DD2F0000}"/>
    <hyperlink ref="C4392" r:id="rId12129" xr:uid="{00000000-0004-0000-0000-0000DE2F0000}"/>
    <hyperlink ref="D4392" r:id="rId12130" xr:uid="{00000000-0004-0000-0000-0000DF2F0000}"/>
    <hyperlink ref="C4393" r:id="rId12131" xr:uid="{00000000-0004-0000-0000-0000E02F0000}"/>
    <hyperlink ref="D4393" r:id="rId12132" xr:uid="{00000000-0004-0000-0000-0000E12F0000}"/>
    <hyperlink ref="A4394" r:id="rId12133" xr:uid="{00000000-0004-0000-0000-0000E22F0000}"/>
    <hyperlink ref="C4394" r:id="rId12134" xr:uid="{00000000-0004-0000-0000-0000E32F0000}"/>
    <hyperlink ref="D4394" r:id="rId12135" xr:uid="{00000000-0004-0000-0000-0000E42F0000}"/>
    <hyperlink ref="A4395" r:id="rId12136" xr:uid="{00000000-0004-0000-0000-0000E52F0000}"/>
    <hyperlink ref="C4395" r:id="rId12137" xr:uid="{00000000-0004-0000-0000-0000E62F0000}"/>
    <hyperlink ref="D4395" r:id="rId12138" xr:uid="{00000000-0004-0000-0000-0000E72F0000}"/>
    <hyperlink ref="C4396" r:id="rId12139" xr:uid="{00000000-0004-0000-0000-0000E82F0000}"/>
    <hyperlink ref="D4396" r:id="rId12140" xr:uid="{00000000-0004-0000-0000-0000E92F0000}"/>
    <hyperlink ref="C4397" r:id="rId12141" xr:uid="{00000000-0004-0000-0000-0000EA2F0000}"/>
    <hyperlink ref="D4397" r:id="rId12142" xr:uid="{00000000-0004-0000-0000-0000EB2F0000}"/>
    <hyperlink ref="A4398" r:id="rId12143" xr:uid="{00000000-0004-0000-0000-0000EC2F0000}"/>
    <hyperlink ref="C4398" r:id="rId12144" xr:uid="{00000000-0004-0000-0000-0000ED2F0000}"/>
    <hyperlink ref="D4398" r:id="rId12145" xr:uid="{00000000-0004-0000-0000-0000EE2F0000}"/>
    <hyperlink ref="A4399" r:id="rId12146" xr:uid="{00000000-0004-0000-0000-0000EF2F0000}"/>
    <hyperlink ref="C4399" r:id="rId12147" xr:uid="{00000000-0004-0000-0000-0000F02F0000}"/>
    <hyperlink ref="D4399" r:id="rId12148" xr:uid="{00000000-0004-0000-0000-0000F12F0000}"/>
    <hyperlink ref="A4400" r:id="rId12149" xr:uid="{00000000-0004-0000-0000-0000F22F0000}"/>
    <hyperlink ref="C4400" r:id="rId12150" xr:uid="{00000000-0004-0000-0000-0000F32F0000}"/>
    <hyperlink ref="D4400" r:id="rId12151" xr:uid="{00000000-0004-0000-0000-0000F42F0000}"/>
    <hyperlink ref="A4401" r:id="rId12152" xr:uid="{00000000-0004-0000-0000-0000F52F0000}"/>
    <hyperlink ref="C4401" r:id="rId12153" xr:uid="{00000000-0004-0000-0000-0000F62F0000}"/>
    <hyperlink ref="D4401" r:id="rId12154" xr:uid="{00000000-0004-0000-0000-0000F72F0000}"/>
    <hyperlink ref="A4402" r:id="rId12155" xr:uid="{00000000-0004-0000-0000-0000F82F0000}"/>
    <hyperlink ref="C4402" r:id="rId12156" xr:uid="{00000000-0004-0000-0000-0000F92F0000}"/>
    <hyperlink ref="D4402" r:id="rId12157" xr:uid="{00000000-0004-0000-0000-0000FA2F0000}"/>
    <hyperlink ref="A4403" r:id="rId12158" xr:uid="{00000000-0004-0000-0000-0000FB2F0000}"/>
    <hyperlink ref="C4403" r:id="rId12159" xr:uid="{00000000-0004-0000-0000-0000FC2F0000}"/>
    <hyperlink ref="D4403" r:id="rId12160" xr:uid="{00000000-0004-0000-0000-0000FD2F0000}"/>
    <hyperlink ref="A4404" r:id="rId12161" xr:uid="{00000000-0004-0000-0000-0000FE2F0000}"/>
    <hyperlink ref="C4404" r:id="rId12162" xr:uid="{00000000-0004-0000-0000-0000FF2F0000}"/>
    <hyperlink ref="D4404" r:id="rId12163" xr:uid="{00000000-0004-0000-0000-000000300000}"/>
    <hyperlink ref="C4405" r:id="rId12164" xr:uid="{00000000-0004-0000-0000-000001300000}"/>
    <hyperlink ref="D4405" r:id="rId12165" xr:uid="{00000000-0004-0000-0000-000002300000}"/>
    <hyperlink ref="C4406" r:id="rId12166" xr:uid="{00000000-0004-0000-0000-000003300000}"/>
    <hyperlink ref="D4406" r:id="rId12167" xr:uid="{00000000-0004-0000-0000-000004300000}"/>
    <hyperlink ref="A4407" r:id="rId12168" xr:uid="{00000000-0004-0000-0000-000005300000}"/>
    <hyperlink ref="C4407" r:id="rId12169" xr:uid="{00000000-0004-0000-0000-000006300000}"/>
    <hyperlink ref="D4407" r:id="rId12170" xr:uid="{00000000-0004-0000-0000-000007300000}"/>
    <hyperlink ref="A4408" r:id="rId12171" xr:uid="{00000000-0004-0000-0000-000008300000}"/>
    <hyperlink ref="C4408" r:id="rId12172" xr:uid="{00000000-0004-0000-0000-000009300000}"/>
    <hyperlink ref="D4408" r:id="rId12173" xr:uid="{00000000-0004-0000-0000-00000A300000}"/>
    <hyperlink ref="A4409" r:id="rId12174" xr:uid="{00000000-0004-0000-0000-00000B300000}"/>
    <hyperlink ref="C4409" r:id="rId12175" xr:uid="{00000000-0004-0000-0000-00000C300000}"/>
    <hyperlink ref="D4409" r:id="rId12176" xr:uid="{00000000-0004-0000-0000-00000D300000}"/>
    <hyperlink ref="A4410" r:id="rId12177" xr:uid="{00000000-0004-0000-0000-00000E300000}"/>
    <hyperlink ref="C4410" r:id="rId12178" xr:uid="{00000000-0004-0000-0000-00000F300000}"/>
    <hyperlink ref="D4410" r:id="rId12179" xr:uid="{00000000-0004-0000-0000-000010300000}"/>
    <hyperlink ref="A4411" r:id="rId12180" xr:uid="{00000000-0004-0000-0000-000011300000}"/>
    <hyperlink ref="C4411" r:id="rId12181" xr:uid="{00000000-0004-0000-0000-000012300000}"/>
    <hyperlink ref="D4411" r:id="rId12182" xr:uid="{00000000-0004-0000-0000-000013300000}"/>
    <hyperlink ref="A4412" r:id="rId12183" xr:uid="{00000000-0004-0000-0000-000014300000}"/>
    <hyperlink ref="C4412" r:id="rId12184" xr:uid="{00000000-0004-0000-0000-000015300000}"/>
    <hyperlink ref="D4412" r:id="rId12185" xr:uid="{00000000-0004-0000-0000-000016300000}"/>
    <hyperlink ref="A4413" r:id="rId12186" xr:uid="{00000000-0004-0000-0000-000017300000}"/>
    <hyperlink ref="C4413" r:id="rId12187" xr:uid="{00000000-0004-0000-0000-000018300000}"/>
    <hyperlink ref="D4413" r:id="rId12188" xr:uid="{00000000-0004-0000-0000-000019300000}"/>
    <hyperlink ref="A4414" r:id="rId12189" xr:uid="{00000000-0004-0000-0000-00001A300000}"/>
    <hyperlink ref="C4414" r:id="rId12190" xr:uid="{00000000-0004-0000-0000-00001B300000}"/>
    <hyperlink ref="D4414" r:id="rId12191" xr:uid="{00000000-0004-0000-0000-00001C300000}"/>
    <hyperlink ref="A4415" r:id="rId12192" xr:uid="{00000000-0004-0000-0000-00001D300000}"/>
    <hyperlink ref="C4415" r:id="rId12193" xr:uid="{00000000-0004-0000-0000-00001E300000}"/>
    <hyperlink ref="D4415" r:id="rId12194" xr:uid="{00000000-0004-0000-0000-00001F300000}"/>
    <hyperlink ref="A4416" r:id="rId12195" xr:uid="{00000000-0004-0000-0000-000020300000}"/>
    <hyperlink ref="C4416" r:id="rId12196" xr:uid="{00000000-0004-0000-0000-000021300000}"/>
    <hyperlink ref="D4416" r:id="rId12197" xr:uid="{00000000-0004-0000-0000-000022300000}"/>
    <hyperlink ref="A4417" r:id="rId12198" xr:uid="{00000000-0004-0000-0000-000023300000}"/>
    <hyperlink ref="C4417" r:id="rId12199" xr:uid="{00000000-0004-0000-0000-000024300000}"/>
    <hyperlink ref="D4417" r:id="rId12200" xr:uid="{00000000-0004-0000-0000-000025300000}"/>
    <hyperlink ref="A4418" r:id="rId12201" xr:uid="{00000000-0004-0000-0000-000026300000}"/>
    <hyperlink ref="C4418" r:id="rId12202" xr:uid="{00000000-0004-0000-0000-000027300000}"/>
    <hyperlink ref="D4418" r:id="rId12203" xr:uid="{00000000-0004-0000-0000-000028300000}"/>
    <hyperlink ref="A4419" r:id="rId12204" xr:uid="{00000000-0004-0000-0000-000029300000}"/>
    <hyperlink ref="C4419" r:id="rId12205" xr:uid="{00000000-0004-0000-0000-00002A300000}"/>
    <hyperlink ref="D4419" r:id="rId12206" xr:uid="{00000000-0004-0000-0000-00002B300000}"/>
    <hyperlink ref="A4420" r:id="rId12207" xr:uid="{00000000-0004-0000-0000-00002C300000}"/>
    <hyperlink ref="C4420" r:id="rId12208" xr:uid="{00000000-0004-0000-0000-00002D300000}"/>
    <hyperlink ref="D4420" r:id="rId12209" xr:uid="{00000000-0004-0000-0000-00002E300000}"/>
    <hyperlink ref="C4421" r:id="rId12210" xr:uid="{00000000-0004-0000-0000-00002F300000}"/>
    <hyperlink ref="D4421" r:id="rId12211" xr:uid="{00000000-0004-0000-0000-000030300000}"/>
    <hyperlink ref="A4422" r:id="rId12212" xr:uid="{00000000-0004-0000-0000-000031300000}"/>
    <hyperlink ref="C4422" r:id="rId12213" xr:uid="{00000000-0004-0000-0000-000032300000}"/>
    <hyperlink ref="D4422" r:id="rId12214" xr:uid="{00000000-0004-0000-0000-000033300000}"/>
    <hyperlink ref="A4423" r:id="rId12215" xr:uid="{00000000-0004-0000-0000-000034300000}"/>
    <hyperlink ref="C4423" r:id="rId12216" xr:uid="{00000000-0004-0000-0000-000035300000}"/>
    <hyperlink ref="D4423" r:id="rId12217" xr:uid="{00000000-0004-0000-0000-000036300000}"/>
    <hyperlink ref="A4424" r:id="rId12218" xr:uid="{00000000-0004-0000-0000-000037300000}"/>
    <hyperlink ref="C4424" r:id="rId12219" xr:uid="{00000000-0004-0000-0000-000038300000}"/>
    <hyperlink ref="D4424" r:id="rId12220" xr:uid="{00000000-0004-0000-0000-000039300000}"/>
    <hyperlink ref="A4425" r:id="rId12221" xr:uid="{00000000-0004-0000-0000-00003A300000}"/>
    <hyperlink ref="C4425" r:id="rId12222" xr:uid="{00000000-0004-0000-0000-00003B300000}"/>
    <hyperlink ref="D4425" r:id="rId12223" xr:uid="{00000000-0004-0000-0000-00003C300000}"/>
    <hyperlink ref="A4426" r:id="rId12224" xr:uid="{00000000-0004-0000-0000-00003D300000}"/>
    <hyperlink ref="C4426" r:id="rId12225" xr:uid="{00000000-0004-0000-0000-00003E300000}"/>
    <hyperlink ref="D4426" r:id="rId12226" xr:uid="{00000000-0004-0000-0000-00003F300000}"/>
    <hyperlink ref="A4427" r:id="rId12227" xr:uid="{00000000-0004-0000-0000-000040300000}"/>
    <hyperlink ref="C4427" r:id="rId12228" xr:uid="{00000000-0004-0000-0000-000041300000}"/>
    <hyperlink ref="D4427" r:id="rId12229" xr:uid="{00000000-0004-0000-0000-000042300000}"/>
    <hyperlink ref="A4428" r:id="rId12230" xr:uid="{00000000-0004-0000-0000-000043300000}"/>
    <hyperlink ref="C4428" r:id="rId12231" xr:uid="{00000000-0004-0000-0000-000044300000}"/>
    <hyperlink ref="D4428" r:id="rId12232" xr:uid="{00000000-0004-0000-0000-000045300000}"/>
    <hyperlink ref="C4429" r:id="rId12233" xr:uid="{00000000-0004-0000-0000-000046300000}"/>
    <hyperlink ref="D4429" r:id="rId12234" xr:uid="{00000000-0004-0000-0000-000047300000}"/>
    <hyperlink ref="A4430" r:id="rId12235" xr:uid="{00000000-0004-0000-0000-000048300000}"/>
    <hyperlink ref="C4430" r:id="rId12236" xr:uid="{00000000-0004-0000-0000-000049300000}"/>
    <hyperlink ref="D4430" r:id="rId12237" xr:uid="{00000000-0004-0000-0000-00004A300000}"/>
    <hyperlink ref="A4431" r:id="rId12238" xr:uid="{00000000-0004-0000-0000-00004B300000}"/>
    <hyperlink ref="C4431" r:id="rId12239" xr:uid="{00000000-0004-0000-0000-00004C300000}"/>
    <hyperlink ref="D4431" r:id="rId12240" xr:uid="{00000000-0004-0000-0000-00004D300000}"/>
    <hyperlink ref="A4432" r:id="rId12241" xr:uid="{00000000-0004-0000-0000-00004E300000}"/>
    <hyperlink ref="C4432" r:id="rId12242" xr:uid="{00000000-0004-0000-0000-00004F300000}"/>
    <hyperlink ref="D4432" r:id="rId12243" xr:uid="{00000000-0004-0000-0000-000050300000}"/>
    <hyperlink ref="A4433" r:id="rId12244" xr:uid="{00000000-0004-0000-0000-000051300000}"/>
    <hyperlink ref="C4433" r:id="rId12245" xr:uid="{00000000-0004-0000-0000-000052300000}"/>
    <hyperlink ref="D4433" r:id="rId12246" xr:uid="{00000000-0004-0000-0000-000053300000}"/>
    <hyperlink ref="C4434" r:id="rId12247" xr:uid="{00000000-0004-0000-0000-000054300000}"/>
    <hyperlink ref="D4434" r:id="rId12248" xr:uid="{00000000-0004-0000-0000-000055300000}"/>
    <hyperlink ref="C4435" r:id="rId12249" xr:uid="{00000000-0004-0000-0000-000056300000}"/>
    <hyperlink ref="D4435" r:id="rId12250" xr:uid="{00000000-0004-0000-0000-000057300000}"/>
    <hyperlink ref="A4436" r:id="rId12251" xr:uid="{00000000-0004-0000-0000-000058300000}"/>
    <hyperlink ref="C4436" r:id="rId12252" xr:uid="{00000000-0004-0000-0000-000059300000}"/>
    <hyperlink ref="D4436" r:id="rId12253" xr:uid="{00000000-0004-0000-0000-00005A300000}"/>
    <hyperlink ref="C4437" r:id="rId12254" xr:uid="{00000000-0004-0000-0000-00005B300000}"/>
    <hyperlink ref="D4437" r:id="rId12255" xr:uid="{00000000-0004-0000-0000-00005C300000}"/>
    <hyperlink ref="A4438" r:id="rId12256" xr:uid="{00000000-0004-0000-0000-00005D300000}"/>
    <hyperlink ref="C4438" r:id="rId12257" xr:uid="{00000000-0004-0000-0000-00005E300000}"/>
    <hyperlink ref="D4438" r:id="rId12258" xr:uid="{00000000-0004-0000-0000-00005F300000}"/>
    <hyperlink ref="A4439" r:id="rId12259" xr:uid="{00000000-0004-0000-0000-000060300000}"/>
    <hyperlink ref="C4439" r:id="rId12260" xr:uid="{00000000-0004-0000-0000-000061300000}"/>
    <hyperlink ref="D4439" r:id="rId12261" xr:uid="{00000000-0004-0000-0000-000062300000}"/>
    <hyperlink ref="E4439" r:id="rId12262" xr:uid="{00000000-0004-0000-0000-000063300000}"/>
    <hyperlink ref="A4440" r:id="rId12263" xr:uid="{00000000-0004-0000-0000-000064300000}"/>
    <hyperlink ref="C4440" r:id="rId12264" xr:uid="{00000000-0004-0000-0000-000065300000}"/>
    <hyperlink ref="D4440" r:id="rId12265" xr:uid="{00000000-0004-0000-0000-000066300000}"/>
    <hyperlink ref="E4440" r:id="rId12266" xr:uid="{00000000-0004-0000-0000-000067300000}"/>
    <hyperlink ref="A4441" r:id="rId12267" xr:uid="{00000000-0004-0000-0000-000068300000}"/>
    <hyperlink ref="C4441" r:id="rId12268" xr:uid="{00000000-0004-0000-0000-000069300000}"/>
    <hyperlink ref="D4441" r:id="rId12269" xr:uid="{00000000-0004-0000-0000-00006A300000}"/>
    <hyperlink ref="A4442" r:id="rId12270" xr:uid="{00000000-0004-0000-0000-00006B300000}"/>
    <hyperlink ref="C4442" r:id="rId12271" xr:uid="{00000000-0004-0000-0000-00006C300000}"/>
    <hyperlink ref="D4442" r:id="rId12272" xr:uid="{00000000-0004-0000-0000-00006D300000}"/>
    <hyperlink ref="C4443" r:id="rId12273" xr:uid="{00000000-0004-0000-0000-00006E300000}"/>
    <hyperlink ref="A4444" r:id="rId12274" xr:uid="{00000000-0004-0000-0000-00006F300000}"/>
    <hyperlink ref="C4444" r:id="rId12275" xr:uid="{00000000-0004-0000-0000-000070300000}"/>
    <hyperlink ref="D4444" r:id="rId12276" xr:uid="{00000000-0004-0000-0000-000071300000}"/>
    <hyperlink ref="A4445" r:id="rId12277" xr:uid="{00000000-0004-0000-0000-000072300000}"/>
    <hyperlink ref="C4445" r:id="rId12278" xr:uid="{00000000-0004-0000-0000-000073300000}"/>
    <hyperlink ref="D4445" r:id="rId12279" xr:uid="{00000000-0004-0000-0000-000074300000}"/>
    <hyperlink ref="A4446" r:id="rId12280" xr:uid="{00000000-0004-0000-0000-000075300000}"/>
    <hyperlink ref="C4446" r:id="rId12281" xr:uid="{00000000-0004-0000-0000-000076300000}"/>
    <hyperlink ref="D4446" r:id="rId12282" xr:uid="{00000000-0004-0000-0000-000077300000}"/>
    <hyperlink ref="A4447" r:id="rId12283" xr:uid="{00000000-0004-0000-0000-000078300000}"/>
    <hyperlink ref="C4447" r:id="rId12284" xr:uid="{00000000-0004-0000-0000-000079300000}"/>
    <hyperlink ref="D4447" r:id="rId12285" xr:uid="{00000000-0004-0000-0000-00007A300000}"/>
    <hyperlink ref="A4448" r:id="rId12286" xr:uid="{00000000-0004-0000-0000-00007B300000}"/>
    <hyperlink ref="C4448" r:id="rId12287" xr:uid="{00000000-0004-0000-0000-00007C300000}"/>
    <hyperlink ref="D4448" r:id="rId12288" xr:uid="{00000000-0004-0000-0000-00007D300000}"/>
    <hyperlink ref="A4449" r:id="rId12289" xr:uid="{00000000-0004-0000-0000-00007E300000}"/>
    <hyperlink ref="C4449" r:id="rId12290" xr:uid="{00000000-0004-0000-0000-00007F300000}"/>
    <hyperlink ref="D4449" r:id="rId12291" xr:uid="{00000000-0004-0000-0000-000080300000}"/>
    <hyperlink ref="A4450" r:id="rId12292" xr:uid="{00000000-0004-0000-0000-000081300000}"/>
    <hyperlink ref="C4450" r:id="rId12293" xr:uid="{00000000-0004-0000-0000-000082300000}"/>
    <hyperlink ref="D4450" r:id="rId12294" xr:uid="{00000000-0004-0000-0000-000083300000}"/>
    <hyperlink ref="A4451" r:id="rId12295" xr:uid="{00000000-0004-0000-0000-000084300000}"/>
    <hyperlink ref="C4451" r:id="rId12296" xr:uid="{00000000-0004-0000-0000-000085300000}"/>
    <hyperlink ref="D4451" r:id="rId12297" xr:uid="{00000000-0004-0000-0000-000086300000}"/>
    <hyperlink ref="A4452" r:id="rId12298" xr:uid="{00000000-0004-0000-0000-000087300000}"/>
    <hyperlink ref="C4452" r:id="rId12299" xr:uid="{00000000-0004-0000-0000-000088300000}"/>
    <hyperlink ref="D4452" r:id="rId12300" xr:uid="{00000000-0004-0000-0000-000089300000}"/>
    <hyperlink ref="C4453" r:id="rId12301" xr:uid="{00000000-0004-0000-0000-00008A300000}"/>
    <hyperlink ref="D4453" r:id="rId12302" xr:uid="{00000000-0004-0000-0000-00008B300000}"/>
    <hyperlink ref="A4454" r:id="rId12303" xr:uid="{00000000-0004-0000-0000-00008C300000}"/>
    <hyperlink ref="C4454" r:id="rId12304" xr:uid="{00000000-0004-0000-0000-00008D300000}"/>
    <hyperlink ref="D4454" r:id="rId12305" xr:uid="{00000000-0004-0000-0000-00008E300000}"/>
    <hyperlink ref="A4455" r:id="rId12306" xr:uid="{00000000-0004-0000-0000-00008F300000}"/>
    <hyperlink ref="C4455" r:id="rId12307" xr:uid="{00000000-0004-0000-0000-000090300000}"/>
    <hyperlink ref="D4455" r:id="rId12308" xr:uid="{00000000-0004-0000-0000-000091300000}"/>
    <hyperlink ref="C4456" r:id="rId12309" xr:uid="{00000000-0004-0000-0000-000092300000}"/>
    <hyperlink ref="D4456" r:id="rId12310" xr:uid="{00000000-0004-0000-0000-000093300000}"/>
    <hyperlink ref="A4457" r:id="rId12311" xr:uid="{00000000-0004-0000-0000-000094300000}"/>
    <hyperlink ref="C4457" r:id="rId12312" xr:uid="{00000000-0004-0000-0000-000095300000}"/>
    <hyperlink ref="D4457" r:id="rId12313" xr:uid="{00000000-0004-0000-0000-000096300000}"/>
    <hyperlink ref="C4458" r:id="rId12314" xr:uid="{00000000-0004-0000-0000-000097300000}"/>
    <hyperlink ref="D4458" r:id="rId12315" xr:uid="{00000000-0004-0000-0000-000098300000}"/>
    <hyperlink ref="A4459" r:id="rId12316" xr:uid="{00000000-0004-0000-0000-000099300000}"/>
    <hyperlink ref="C4459" r:id="rId12317" xr:uid="{00000000-0004-0000-0000-00009A300000}"/>
    <hyperlink ref="D4459" r:id="rId12318" xr:uid="{00000000-0004-0000-0000-00009B300000}"/>
    <hyperlink ref="A4460" r:id="rId12319" xr:uid="{00000000-0004-0000-0000-00009C300000}"/>
    <hyperlink ref="C4460" r:id="rId12320" xr:uid="{00000000-0004-0000-0000-00009D300000}"/>
    <hyperlink ref="D4460" r:id="rId12321" xr:uid="{00000000-0004-0000-0000-00009E300000}"/>
    <hyperlink ref="A4461" r:id="rId12322" xr:uid="{00000000-0004-0000-0000-00009F300000}"/>
    <hyperlink ref="C4461" r:id="rId12323" xr:uid="{00000000-0004-0000-0000-0000A0300000}"/>
    <hyperlink ref="D4461" r:id="rId12324" xr:uid="{00000000-0004-0000-0000-0000A1300000}"/>
    <hyperlink ref="E4461" r:id="rId12325" xr:uid="{00000000-0004-0000-0000-0000A2300000}"/>
    <hyperlink ref="C4462" r:id="rId12326" xr:uid="{00000000-0004-0000-0000-0000A3300000}"/>
    <hyperlink ref="D4462" r:id="rId12327" xr:uid="{00000000-0004-0000-0000-0000A4300000}"/>
    <hyperlink ref="C4463" r:id="rId12328" xr:uid="{00000000-0004-0000-0000-0000A5300000}"/>
    <hyperlink ref="D4463" r:id="rId12329" xr:uid="{00000000-0004-0000-0000-0000A6300000}"/>
    <hyperlink ref="C4464" r:id="rId12330" xr:uid="{00000000-0004-0000-0000-0000A7300000}"/>
    <hyperlink ref="D4464" r:id="rId12331" xr:uid="{00000000-0004-0000-0000-0000A8300000}"/>
    <hyperlink ref="A4465" r:id="rId12332" xr:uid="{00000000-0004-0000-0000-0000A9300000}"/>
    <hyperlink ref="C4465" r:id="rId12333" xr:uid="{00000000-0004-0000-0000-0000AA300000}"/>
    <hyperlink ref="D4465" r:id="rId12334" xr:uid="{00000000-0004-0000-0000-0000AB300000}"/>
    <hyperlink ref="A4466" r:id="rId12335" xr:uid="{00000000-0004-0000-0000-0000AC300000}"/>
    <hyperlink ref="C4466" r:id="rId12336" xr:uid="{00000000-0004-0000-0000-0000AD300000}"/>
    <hyperlink ref="D4466" r:id="rId12337" xr:uid="{00000000-0004-0000-0000-0000AE300000}"/>
    <hyperlink ref="A4467" r:id="rId12338" xr:uid="{00000000-0004-0000-0000-0000AF300000}"/>
    <hyperlink ref="C4467" r:id="rId12339" xr:uid="{00000000-0004-0000-0000-0000B0300000}"/>
    <hyperlink ref="D4467" r:id="rId12340" xr:uid="{00000000-0004-0000-0000-0000B1300000}"/>
    <hyperlink ref="A4468" r:id="rId12341" xr:uid="{00000000-0004-0000-0000-0000B2300000}"/>
    <hyperlink ref="C4468" r:id="rId12342" xr:uid="{00000000-0004-0000-0000-0000B3300000}"/>
    <hyperlink ref="D4468" r:id="rId12343" xr:uid="{00000000-0004-0000-0000-0000B4300000}"/>
    <hyperlink ref="A4469" r:id="rId12344" xr:uid="{00000000-0004-0000-0000-0000B5300000}"/>
    <hyperlink ref="C4469" r:id="rId12345" xr:uid="{00000000-0004-0000-0000-0000B6300000}"/>
    <hyperlink ref="D4469" r:id="rId12346" xr:uid="{00000000-0004-0000-0000-0000B7300000}"/>
    <hyperlink ref="A4470" r:id="rId12347" xr:uid="{00000000-0004-0000-0000-0000B8300000}"/>
    <hyperlink ref="C4470" r:id="rId12348" xr:uid="{00000000-0004-0000-0000-0000B9300000}"/>
    <hyperlink ref="D4470" r:id="rId12349" xr:uid="{00000000-0004-0000-0000-0000BA300000}"/>
    <hyperlink ref="A4471" r:id="rId12350" xr:uid="{00000000-0004-0000-0000-0000BB300000}"/>
    <hyperlink ref="C4471" r:id="rId12351" xr:uid="{00000000-0004-0000-0000-0000BC300000}"/>
    <hyperlink ref="D4471" r:id="rId12352" xr:uid="{00000000-0004-0000-0000-0000BD300000}"/>
    <hyperlink ref="C4472" r:id="rId12353" xr:uid="{00000000-0004-0000-0000-0000BE300000}"/>
    <hyperlink ref="D4472" r:id="rId12354" xr:uid="{00000000-0004-0000-0000-0000BF300000}"/>
    <hyperlink ref="C4473" r:id="rId12355" xr:uid="{00000000-0004-0000-0000-0000C0300000}"/>
    <hyperlink ref="D4473" r:id="rId12356" xr:uid="{00000000-0004-0000-0000-0000C1300000}"/>
    <hyperlink ref="A4474" r:id="rId12357" xr:uid="{00000000-0004-0000-0000-0000C2300000}"/>
    <hyperlink ref="C4474" r:id="rId12358" xr:uid="{00000000-0004-0000-0000-0000C3300000}"/>
    <hyperlink ref="D4474" r:id="rId12359" xr:uid="{00000000-0004-0000-0000-0000C4300000}"/>
    <hyperlink ref="C4475" r:id="rId12360" xr:uid="{00000000-0004-0000-0000-0000C5300000}"/>
    <hyperlink ref="D4475" r:id="rId12361" xr:uid="{00000000-0004-0000-0000-0000C6300000}"/>
    <hyperlink ref="C4476" r:id="rId12362" xr:uid="{00000000-0004-0000-0000-0000C7300000}"/>
    <hyperlink ref="D4476" r:id="rId12363" xr:uid="{00000000-0004-0000-0000-0000C8300000}"/>
    <hyperlink ref="A4478" r:id="rId12364" xr:uid="{00000000-0004-0000-0000-0000C9300000}"/>
    <hyperlink ref="C4478" r:id="rId12365" xr:uid="{00000000-0004-0000-0000-0000CA300000}"/>
    <hyperlink ref="D4478" r:id="rId12366" xr:uid="{00000000-0004-0000-0000-0000CB300000}"/>
    <hyperlink ref="A4479" r:id="rId12367" xr:uid="{00000000-0004-0000-0000-0000CC300000}"/>
    <hyperlink ref="C4479" r:id="rId12368" xr:uid="{00000000-0004-0000-0000-0000CD300000}"/>
    <hyperlink ref="D4479" r:id="rId12369" xr:uid="{00000000-0004-0000-0000-0000CE300000}"/>
    <hyperlink ref="A4480" r:id="rId12370" xr:uid="{00000000-0004-0000-0000-0000CF300000}"/>
    <hyperlink ref="C4480" r:id="rId12371" xr:uid="{00000000-0004-0000-0000-0000D0300000}"/>
    <hyperlink ref="D4480" r:id="rId12372" xr:uid="{00000000-0004-0000-0000-0000D1300000}"/>
    <hyperlink ref="A4487" r:id="rId12373" xr:uid="{00000000-0004-0000-0000-0000D2300000}"/>
    <hyperlink ref="C4487" r:id="rId12374" xr:uid="{00000000-0004-0000-0000-0000D3300000}"/>
    <hyperlink ref="D4487" r:id="rId12375" xr:uid="{00000000-0004-0000-0000-0000D4300000}"/>
    <hyperlink ref="A4488" r:id="rId12376" xr:uid="{00000000-0004-0000-0000-0000D5300000}"/>
    <hyperlink ref="C4488" r:id="rId12377" xr:uid="{00000000-0004-0000-0000-0000D6300000}"/>
    <hyperlink ref="D4488" r:id="rId12378" xr:uid="{00000000-0004-0000-0000-0000D7300000}"/>
    <hyperlink ref="A4489" r:id="rId12379" xr:uid="{00000000-0004-0000-0000-0000D8300000}"/>
    <hyperlink ref="C4489" r:id="rId12380" xr:uid="{00000000-0004-0000-0000-0000D9300000}"/>
    <hyperlink ref="D4489" r:id="rId12381" xr:uid="{00000000-0004-0000-0000-0000DA300000}"/>
    <hyperlink ref="A4490" r:id="rId12382" xr:uid="{00000000-0004-0000-0000-0000DB300000}"/>
    <hyperlink ref="C4490" r:id="rId12383" xr:uid="{00000000-0004-0000-0000-0000DC300000}"/>
    <hyperlink ref="D4490" r:id="rId12384" xr:uid="{00000000-0004-0000-0000-0000DD300000}"/>
    <hyperlink ref="E4490" r:id="rId12385" xr:uid="{00000000-0004-0000-0000-0000DE300000}"/>
    <hyperlink ref="C4491" r:id="rId12386" xr:uid="{00000000-0004-0000-0000-0000DF300000}"/>
    <hyperlink ref="D4491" r:id="rId12387" xr:uid="{00000000-0004-0000-0000-0000E0300000}"/>
    <hyperlink ref="C4492" r:id="rId12388" xr:uid="{00000000-0004-0000-0000-0000E1300000}"/>
    <hyperlink ref="D4492" r:id="rId12389" xr:uid="{00000000-0004-0000-0000-0000E2300000}"/>
    <hyperlink ref="A4494" r:id="rId12390" xr:uid="{00000000-0004-0000-0000-0000E3300000}"/>
    <hyperlink ref="C4494" r:id="rId12391" xr:uid="{00000000-0004-0000-0000-0000E4300000}"/>
    <hyperlink ref="D4494" r:id="rId12392" xr:uid="{00000000-0004-0000-0000-0000E5300000}"/>
    <hyperlink ref="A4495" r:id="rId12393" xr:uid="{00000000-0004-0000-0000-0000E6300000}"/>
    <hyperlink ref="C4495" r:id="rId12394" xr:uid="{00000000-0004-0000-0000-0000E7300000}"/>
    <hyperlink ref="D4495" r:id="rId12395" xr:uid="{00000000-0004-0000-0000-0000E8300000}"/>
    <hyperlink ref="A4496" r:id="rId12396" xr:uid="{00000000-0004-0000-0000-0000E9300000}"/>
    <hyperlink ref="C4496" r:id="rId12397" xr:uid="{00000000-0004-0000-0000-0000EA300000}"/>
    <hyperlink ref="D4496" r:id="rId12398" xr:uid="{00000000-0004-0000-0000-0000EB300000}"/>
    <hyperlink ref="A4497" r:id="rId12399" xr:uid="{00000000-0004-0000-0000-0000EC300000}"/>
    <hyperlink ref="C4497" r:id="rId12400" xr:uid="{00000000-0004-0000-0000-0000ED300000}"/>
    <hyperlink ref="D4497" r:id="rId12401" xr:uid="{00000000-0004-0000-0000-0000EE300000}"/>
    <hyperlink ref="A4498" r:id="rId12402" xr:uid="{00000000-0004-0000-0000-0000EF300000}"/>
    <hyperlink ref="C4498" r:id="rId12403" xr:uid="{00000000-0004-0000-0000-0000F0300000}"/>
    <hyperlink ref="D4498" r:id="rId12404" xr:uid="{00000000-0004-0000-0000-0000F1300000}"/>
    <hyperlink ref="A4499" r:id="rId12405" xr:uid="{00000000-0004-0000-0000-0000F2300000}"/>
    <hyperlink ref="C4499" r:id="rId12406" xr:uid="{00000000-0004-0000-0000-0000F3300000}"/>
    <hyperlink ref="D4499" r:id="rId12407" xr:uid="{00000000-0004-0000-0000-0000F4300000}"/>
    <hyperlink ref="A4500" r:id="rId12408" xr:uid="{00000000-0004-0000-0000-0000F5300000}"/>
    <hyperlink ref="C4500" r:id="rId12409" xr:uid="{00000000-0004-0000-0000-0000F6300000}"/>
    <hyperlink ref="D4500" r:id="rId12410" xr:uid="{00000000-0004-0000-0000-0000F7300000}"/>
    <hyperlink ref="A4501" r:id="rId12411" xr:uid="{00000000-0004-0000-0000-0000F8300000}"/>
    <hyperlink ref="C4501" r:id="rId12412" xr:uid="{00000000-0004-0000-0000-0000F9300000}"/>
    <hyperlink ref="D4501" r:id="rId12413" xr:uid="{00000000-0004-0000-0000-0000FA300000}"/>
    <hyperlink ref="A4502" r:id="rId12414" xr:uid="{00000000-0004-0000-0000-0000FB300000}"/>
    <hyperlink ref="C4502" r:id="rId12415" xr:uid="{00000000-0004-0000-0000-0000FC300000}"/>
    <hyperlink ref="D4502" r:id="rId12416" xr:uid="{00000000-0004-0000-0000-0000FD300000}"/>
    <hyperlink ref="A4503" r:id="rId12417" xr:uid="{00000000-0004-0000-0000-0000FE300000}"/>
    <hyperlink ref="C4503" r:id="rId12418" xr:uid="{00000000-0004-0000-0000-0000FF300000}"/>
    <hyperlink ref="D4503" r:id="rId12419" xr:uid="{00000000-0004-0000-0000-000000310000}"/>
    <hyperlink ref="A4504" r:id="rId12420" xr:uid="{00000000-0004-0000-0000-000001310000}"/>
    <hyperlink ref="C4504" r:id="rId12421" xr:uid="{00000000-0004-0000-0000-000002310000}"/>
    <hyperlink ref="D4504" r:id="rId12422" xr:uid="{00000000-0004-0000-0000-000003310000}"/>
    <hyperlink ref="A4505" r:id="rId12423" xr:uid="{00000000-0004-0000-0000-000004310000}"/>
    <hyperlink ref="C4505" r:id="rId12424" xr:uid="{00000000-0004-0000-0000-000005310000}"/>
    <hyperlink ref="D4505" r:id="rId12425" xr:uid="{00000000-0004-0000-0000-000006310000}"/>
    <hyperlink ref="A4506" r:id="rId12426" xr:uid="{00000000-0004-0000-0000-000007310000}"/>
    <hyperlink ref="C4506" r:id="rId12427" xr:uid="{00000000-0004-0000-0000-000008310000}"/>
    <hyperlink ref="D4506" r:id="rId12428" xr:uid="{00000000-0004-0000-0000-000009310000}"/>
    <hyperlink ref="A4507" r:id="rId12429" xr:uid="{00000000-0004-0000-0000-00000A310000}"/>
    <hyperlink ref="C4507" r:id="rId12430" xr:uid="{00000000-0004-0000-0000-00000B310000}"/>
    <hyperlink ref="D4507" r:id="rId12431" xr:uid="{00000000-0004-0000-0000-00000C310000}"/>
    <hyperlink ref="A4508" r:id="rId12432" xr:uid="{00000000-0004-0000-0000-00000D310000}"/>
    <hyperlink ref="C4508" r:id="rId12433" xr:uid="{00000000-0004-0000-0000-00000E310000}"/>
    <hyperlink ref="D4508" r:id="rId12434" xr:uid="{00000000-0004-0000-0000-00000F310000}"/>
    <hyperlink ref="A4509" r:id="rId12435" xr:uid="{00000000-0004-0000-0000-000010310000}"/>
    <hyperlink ref="C4509" r:id="rId12436" xr:uid="{00000000-0004-0000-0000-000011310000}"/>
    <hyperlink ref="D4509" r:id="rId12437" xr:uid="{00000000-0004-0000-0000-000012310000}"/>
    <hyperlink ref="A4513" r:id="rId12438" xr:uid="{00000000-0004-0000-0000-000013310000}"/>
    <hyperlink ref="C4513" r:id="rId12439" xr:uid="{00000000-0004-0000-0000-000014310000}"/>
    <hyperlink ref="D4513" r:id="rId12440" xr:uid="{00000000-0004-0000-0000-000015310000}"/>
    <hyperlink ref="A4516" r:id="rId12441" xr:uid="{00000000-0004-0000-0000-000016310000}"/>
    <hyperlink ref="C4516" r:id="rId12442" xr:uid="{00000000-0004-0000-0000-000017310000}"/>
    <hyperlink ref="D4516" r:id="rId12443" xr:uid="{00000000-0004-0000-0000-000018310000}"/>
    <hyperlink ref="A4517" r:id="rId12444" xr:uid="{00000000-0004-0000-0000-000019310000}"/>
    <hyperlink ref="C4517" r:id="rId12445" xr:uid="{00000000-0004-0000-0000-00001A310000}"/>
    <hyperlink ref="D4517" r:id="rId12446" xr:uid="{00000000-0004-0000-0000-00001B310000}"/>
    <hyperlink ref="A4518" r:id="rId12447" xr:uid="{00000000-0004-0000-0000-00001C310000}"/>
    <hyperlink ref="C4518" r:id="rId12448" xr:uid="{00000000-0004-0000-0000-00001D310000}"/>
    <hyperlink ref="D4518" r:id="rId12449" xr:uid="{00000000-0004-0000-0000-00001E310000}"/>
    <hyperlink ref="A4519" r:id="rId12450" xr:uid="{00000000-0004-0000-0000-00001F310000}"/>
    <hyperlink ref="C4519" r:id="rId12451" xr:uid="{00000000-0004-0000-0000-000020310000}"/>
    <hyperlink ref="D4519" r:id="rId12452" xr:uid="{00000000-0004-0000-0000-000021310000}"/>
    <hyperlink ref="C4520" r:id="rId12453" xr:uid="{00000000-0004-0000-0000-000022310000}"/>
    <hyperlink ref="D4520" r:id="rId12454" xr:uid="{00000000-0004-0000-0000-000023310000}"/>
    <hyperlink ref="A4521" r:id="rId12455" xr:uid="{00000000-0004-0000-0000-000024310000}"/>
    <hyperlink ref="C4521" r:id="rId12456" xr:uid="{00000000-0004-0000-0000-000025310000}"/>
    <hyperlink ref="D4521" r:id="rId12457" xr:uid="{00000000-0004-0000-0000-000026310000}"/>
    <hyperlink ref="E4521" r:id="rId12458" xr:uid="{00000000-0004-0000-0000-000027310000}"/>
    <hyperlink ref="A4522" r:id="rId12459" xr:uid="{00000000-0004-0000-0000-000028310000}"/>
    <hyperlink ref="C4522" r:id="rId12460" xr:uid="{00000000-0004-0000-0000-000029310000}"/>
    <hyperlink ref="D4522" r:id="rId12461" xr:uid="{00000000-0004-0000-0000-00002A310000}"/>
    <hyperlink ref="A4523" r:id="rId12462" xr:uid="{00000000-0004-0000-0000-00002B310000}"/>
    <hyperlink ref="C4523" r:id="rId12463" xr:uid="{00000000-0004-0000-0000-00002C310000}"/>
    <hyperlink ref="D4523" r:id="rId12464" xr:uid="{00000000-0004-0000-0000-00002D310000}"/>
    <hyperlink ref="A4524" r:id="rId12465" xr:uid="{00000000-0004-0000-0000-00002E310000}"/>
    <hyperlink ref="C4524" r:id="rId12466" xr:uid="{00000000-0004-0000-0000-00002F310000}"/>
    <hyperlink ref="D4524" r:id="rId12467" xr:uid="{00000000-0004-0000-0000-000030310000}"/>
    <hyperlink ref="A4527" r:id="rId12468" xr:uid="{00000000-0004-0000-0000-000031310000}"/>
    <hyperlink ref="C4527" r:id="rId12469" xr:uid="{00000000-0004-0000-0000-000032310000}"/>
    <hyperlink ref="D4527" r:id="rId12470" xr:uid="{00000000-0004-0000-0000-000033310000}"/>
    <hyperlink ref="A4528" r:id="rId12471" xr:uid="{00000000-0004-0000-0000-000034310000}"/>
    <hyperlink ref="C4528" r:id="rId12472" xr:uid="{00000000-0004-0000-0000-000035310000}"/>
    <hyperlink ref="D4528" r:id="rId12473" xr:uid="{00000000-0004-0000-0000-000036310000}"/>
    <hyperlink ref="A4529" r:id="rId12474" xr:uid="{00000000-0004-0000-0000-000037310000}"/>
    <hyperlink ref="C4529" r:id="rId12475" xr:uid="{00000000-0004-0000-0000-000038310000}"/>
    <hyperlink ref="D4529" r:id="rId12476" xr:uid="{00000000-0004-0000-0000-000039310000}"/>
    <hyperlink ref="A4530" r:id="rId12477" xr:uid="{00000000-0004-0000-0000-00003A310000}"/>
    <hyperlink ref="C4530" r:id="rId12478" xr:uid="{00000000-0004-0000-0000-00003B310000}"/>
    <hyperlink ref="D4530" r:id="rId12479" xr:uid="{00000000-0004-0000-0000-00003C310000}"/>
    <hyperlink ref="A4531" r:id="rId12480" xr:uid="{00000000-0004-0000-0000-00003D310000}"/>
    <hyperlink ref="C4531" r:id="rId12481" xr:uid="{00000000-0004-0000-0000-00003E310000}"/>
    <hyperlink ref="D4531" r:id="rId12482" xr:uid="{00000000-0004-0000-0000-00003F310000}"/>
    <hyperlink ref="A4532" r:id="rId12483" xr:uid="{00000000-0004-0000-0000-000040310000}"/>
    <hyperlink ref="C4532" r:id="rId12484" xr:uid="{00000000-0004-0000-0000-000041310000}"/>
    <hyperlink ref="D4532" r:id="rId12485" xr:uid="{00000000-0004-0000-0000-000042310000}"/>
    <hyperlink ref="A4533" r:id="rId12486" xr:uid="{00000000-0004-0000-0000-000043310000}"/>
    <hyperlink ref="C4533" r:id="rId12487" xr:uid="{00000000-0004-0000-0000-000044310000}"/>
    <hyperlink ref="D4533" r:id="rId12488" xr:uid="{00000000-0004-0000-0000-000045310000}"/>
    <hyperlink ref="A4534" r:id="rId12489" xr:uid="{00000000-0004-0000-0000-000046310000}"/>
    <hyperlink ref="C4534" r:id="rId12490" xr:uid="{00000000-0004-0000-0000-000047310000}"/>
    <hyperlink ref="D4534" r:id="rId12491" xr:uid="{00000000-0004-0000-0000-000048310000}"/>
    <hyperlink ref="A4535" r:id="rId12492" xr:uid="{00000000-0004-0000-0000-000049310000}"/>
    <hyperlink ref="C4535" r:id="rId12493" xr:uid="{00000000-0004-0000-0000-00004A310000}"/>
    <hyperlink ref="D4535" r:id="rId12494" xr:uid="{00000000-0004-0000-0000-00004B310000}"/>
    <hyperlink ref="A4536" r:id="rId12495" xr:uid="{00000000-0004-0000-0000-00004C310000}"/>
    <hyperlink ref="C4536" r:id="rId12496" xr:uid="{00000000-0004-0000-0000-00004D310000}"/>
    <hyperlink ref="D4536" r:id="rId12497" xr:uid="{00000000-0004-0000-0000-00004E310000}"/>
    <hyperlink ref="A4537" r:id="rId12498" xr:uid="{00000000-0004-0000-0000-00004F310000}"/>
    <hyperlink ref="C4537" r:id="rId12499" xr:uid="{00000000-0004-0000-0000-000050310000}"/>
    <hyperlink ref="D4537" r:id="rId12500" xr:uid="{00000000-0004-0000-0000-000051310000}"/>
    <hyperlink ref="A4538" r:id="rId12501" xr:uid="{00000000-0004-0000-0000-000052310000}"/>
    <hyperlink ref="C4538" r:id="rId12502" xr:uid="{00000000-0004-0000-0000-000053310000}"/>
    <hyperlink ref="D4538" r:id="rId12503" xr:uid="{00000000-0004-0000-0000-000054310000}"/>
    <hyperlink ref="A4539" r:id="rId12504" xr:uid="{00000000-0004-0000-0000-000055310000}"/>
    <hyperlink ref="C4539" r:id="rId12505" xr:uid="{00000000-0004-0000-0000-000056310000}"/>
    <hyperlink ref="D4539" r:id="rId12506" xr:uid="{00000000-0004-0000-0000-000057310000}"/>
    <hyperlink ref="A4540" r:id="rId12507" xr:uid="{00000000-0004-0000-0000-000058310000}"/>
    <hyperlink ref="C4540" r:id="rId12508" xr:uid="{00000000-0004-0000-0000-000059310000}"/>
    <hyperlink ref="D4540" r:id="rId12509" xr:uid="{00000000-0004-0000-0000-00005A310000}"/>
    <hyperlink ref="A4541" r:id="rId12510" xr:uid="{00000000-0004-0000-0000-00005B310000}"/>
    <hyperlink ref="C4541" r:id="rId12511" xr:uid="{00000000-0004-0000-0000-00005C310000}"/>
    <hyperlink ref="D4541" r:id="rId12512" xr:uid="{00000000-0004-0000-0000-00005D310000}"/>
    <hyperlink ref="A4542" r:id="rId12513" xr:uid="{00000000-0004-0000-0000-00005E310000}"/>
    <hyperlink ref="C4542" r:id="rId12514" xr:uid="{00000000-0004-0000-0000-00005F310000}"/>
    <hyperlink ref="D4542" r:id="rId12515" xr:uid="{00000000-0004-0000-0000-000060310000}"/>
    <hyperlink ref="A4543" r:id="rId12516" xr:uid="{00000000-0004-0000-0000-000061310000}"/>
    <hyperlink ref="C4543" r:id="rId12517" xr:uid="{00000000-0004-0000-0000-000062310000}"/>
    <hyperlink ref="D4543" r:id="rId12518" xr:uid="{00000000-0004-0000-0000-000063310000}"/>
    <hyperlink ref="A4544" r:id="rId12519" xr:uid="{00000000-0004-0000-0000-000064310000}"/>
    <hyperlink ref="C4544" r:id="rId12520" xr:uid="{00000000-0004-0000-0000-000065310000}"/>
    <hyperlink ref="D4544" r:id="rId12521" xr:uid="{00000000-0004-0000-0000-000066310000}"/>
    <hyperlink ref="A4545" r:id="rId12522" xr:uid="{00000000-0004-0000-0000-000067310000}"/>
    <hyperlink ref="C4545" r:id="rId12523" xr:uid="{00000000-0004-0000-0000-000068310000}"/>
    <hyperlink ref="D4545" r:id="rId12524" xr:uid="{00000000-0004-0000-0000-000069310000}"/>
    <hyperlink ref="A4546" r:id="rId12525" xr:uid="{00000000-0004-0000-0000-00006A310000}"/>
    <hyperlink ref="C4546" r:id="rId12526" xr:uid="{00000000-0004-0000-0000-00006B310000}"/>
    <hyperlink ref="D4546" r:id="rId12527" xr:uid="{00000000-0004-0000-0000-00006C310000}"/>
    <hyperlink ref="A4548" r:id="rId12528" xr:uid="{00000000-0004-0000-0000-00006D310000}"/>
    <hyperlink ref="C4548" r:id="rId12529" xr:uid="{00000000-0004-0000-0000-00006E310000}"/>
    <hyperlink ref="D4548" r:id="rId12530" xr:uid="{00000000-0004-0000-0000-00006F310000}"/>
    <hyperlink ref="A4549" r:id="rId12531" xr:uid="{00000000-0004-0000-0000-000070310000}"/>
    <hyperlink ref="C4549" r:id="rId12532" xr:uid="{00000000-0004-0000-0000-000071310000}"/>
    <hyperlink ref="D4549" r:id="rId12533" xr:uid="{00000000-0004-0000-0000-000072310000}"/>
    <hyperlink ref="A4550" r:id="rId12534" xr:uid="{00000000-0004-0000-0000-000073310000}"/>
    <hyperlink ref="A4551" r:id="rId12535" xr:uid="{00000000-0004-0000-0000-000074310000}"/>
    <hyperlink ref="A4552" r:id="rId12536" xr:uid="{00000000-0004-0000-0000-000075310000}"/>
    <hyperlink ref="C4552" r:id="rId12537" xr:uid="{00000000-0004-0000-0000-000076310000}"/>
    <hyperlink ref="D4552" r:id="rId12538" xr:uid="{00000000-0004-0000-0000-000077310000}"/>
    <hyperlink ref="A4553" r:id="rId12539" xr:uid="{00000000-0004-0000-0000-000078310000}"/>
    <hyperlink ref="C4553" r:id="rId12540" xr:uid="{00000000-0004-0000-0000-000079310000}"/>
    <hyperlink ref="D4553" r:id="rId12541" xr:uid="{00000000-0004-0000-0000-00007A310000}"/>
    <hyperlink ref="A4554" r:id="rId12542" xr:uid="{00000000-0004-0000-0000-00007B310000}"/>
    <hyperlink ref="C4554" r:id="rId12543" xr:uid="{00000000-0004-0000-0000-00007C310000}"/>
    <hyperlink ref="D4554" r:id="rId12544" xr:uid="{00000000-0004-0000-0000-00007D310000}"/>
    <hyperlink ref="C4555" r:id="rId12545" xr:uid="{00000000-0004-0000-0000-00007E310000}"/>
    <hyperlink ref="D4555" r:id="rId12546" xr:uid="{00000000-0004-0000-0000-00007F310000}"/>
    <hyperlink ref="A4556" r:id="rId12547" xr:uid="{00000000-0004-0000-0000-000080310000}"/>
    <hyperlink ref="C4556" r:id="rId12548" xr:uid="{00000000-0004-0000-0000-000081310000}"/>
    <hyperlink ref="D4556" r:id="rId12549" xr:uid="{00000000-0004-0000-0000-000082310000}"/>
    <hyperlink ref="A4557" r:id="rId12550" xr:uid="{00000000-0004-0000-0000-000083310000}"/>
    <hyperlink ref="C4557" r:id="rId12551" xr:uid="{00000000-0004-0000-0000-000084310000}"/>
    <hyperlink ref="D4557" r:id="rId12552" xr:uid="{00000000-0004-0000-0000-000085310000}"/>
    <hyperlink ref="A4558" r:id="rId12553" xr:uid="{00000000-0004-0000-0000-000086310000}"/>
    <hyperlink ref="C4558" r:id="rId12554" xr:uid="{00000000-0004-0000-0000-000087310000}"/>
    <hyperlink ref="D4558" r:id="rId12555" xr:uid="{00000000-0004-0000-0000-000088310000}"/>
    <hyperlink ref="A4559" r:id="rId12556" xr:uid="{00000000-0004-0000-0000-000089310000}"/>
    <hyperlink ref="C4559" r:id="rId12557" xr:uid="{00000000-0004-0000-0000-00008A310000}"/>
    <hyperlink ref="D4559" r:id="rId12558" xr:uid="{00000000-0004-0000-0000-00008B310000}"/>
    <hyperlink ref="A4560" r:id="rId12559" xr:uid="{00000000-0004-0000-0000-00008C310000}"/>
    <hyperlink ref="C4560" r:id="rId12560" xr:uid="{00000000-0004-0000-0000-00008D310000}"/>
    <hyperlink ref="E4560" r:id="rId12561" xr:uid="{00000000-0004-0000-0000-00008E310000}"/>
    <hyperlink ref="A4561" r:id="rId12562" xr:uid="{00000000-0004-0000-0000-00008F310000}"/>
    <hyperlink ref="C4561" r:id="rId12563" xr:uid="{00000000-0004-0000-0000-000090310000}"/>
    <hyperlink ref="D4561" r:id="rId12564" xr:uid="{00000000-0004-0000-0000-000091310000}"/>
    <hyperlink ref="A4562" r:id="rId12565" xr:uid="{00000000-0004-0000-0000-000092310000}"/>
    <hyperlink ref="C4562" r:id="rId12566" xr:uid="{00000000-0004-0000-0000-000093310000}"/>
    <hyperlink ref="D4562" r:id="rId12567" xr:uid="{00000000-0004-0000-0000-000094310000}"/>
    <hyperlink ref="A4563" r:id="rId12568" xr:uid="{00000000-0004-0000-0000-000095310000}"/>
    <hyperlink ref="C4563" r:id="rId12569" xr:uid="{00000000-0004-0000-0000-000096310000}"/>
    <hyperlink ref="D4563" r:id="rId12570" xr:uid="{00000000-0004-0000-0000-000097310000}"/>
    <hyperlink ref="A4564" r:id="rId12571" xr:uid="{00000000-0004-0000-0000-000098310000}"/>
    <hyperlink ref="C4564" r:id="rId12572" xr:uid="{00000000-0004-0000-0000-000099310000}"/>
    <hyperlink ref="D4564" r:id="rId12573" xr:uid="{00000000-0004-0000-0000-00009A310000}"/>
    <hyperlink ref="A4565" r:id="rId12574" xr:uid="{00000000-0004-0000-0000-00009B310000}"/>
    <hyperlink ref="C4565" r:id="rId12575" xr:uid="{00000000-0004-0000-0000-00009C310000}"/>
    <hyperlink ref="D4565" r:id="rId12576" xr:uid="{00000000-0004-0000-0000-00009D310000}"/>
    <hyperlink ref="A4566" r:id="rId12577" xr:uid="{00000000-0004-0000-0000-00009E310000}"/>
    <hyperlink ref="C4566" r:id="rId12578" xr:uid="{00000000-0004-0000-0000-00009F310000}"/>
    <hyperlink ref="D4566" r:id="rId12579" xr:uid="{00000000-0004-0000-0000-0000A0310000}"/>
    <hyperlink ref="A4567" r:id="rId12580" xr:uid="{00000000-0004-0000-0000-0000A1310000}"/>
    <hyperlink ref="C4567" r:id="rId12581" xr:uid="{00000000-0004-0000-0000-0000A2310000}"/>
    <hyperlink ref="D4567" r:id="rId12582" xr:uid="{00000000-0004-0000-0000-0000A3310000}"/>
    <hyperlink ref="A4568" r:id="rId12583" xr:uid="{00000000-0004-0000-0000-0000A4310000}"/>
    <hyperlink ref="C4568" r:id="rId12584" xr:uid="{00000000-0004-0000-0000-0000A5310000}"/>
    <hyperlink ref="D4568" r:id="rId12585" xr:uid="{00000000-0004-0000-0000-0000A6310000}"/>
    <hyperlink ref="A4569" r:id="rId12586" xr:uid="{00000000-0004-0000-0000-0000A7310000}"/>
    <hyperlink ref="C4569" r:id="rId12587" xr:uid="{00000000-0004-0000-0000-0000A8310000}"/>
    <hyperlink ref="D4569" r:id="rId12588" xr:uid="{00000000-0004-0000-0000-0000A9310000}"/>
    <hyperlink ref="A4570" r:id="rId12589" xr:uid="{00000000-0004-0000-0000-0000AA310000}"/>
    <hyperlink ref="C4570" r:id="rId12590" xr:uid="{00000000-0004-0000-0000-0000AB310000}"/>
    <hyperlink ref="D4570" r:id="rId12591" xr:uid="{00000000-0004-0000-0000-0000AC310000}"/>
    <hyperlink ref="A4571" r:id="rId12592" xr:uid="{00000000-0004-0000-0000-0000AD310000}"/>
    <hyperlink ref="C4571" r:id="rId12593" xr:uid="{00000000-0004-0000-0000-0000AE310000}"/>
    <hyperlink ref="D4571" r:id="rId12594" xr:uid="{00000000-0004-0000-0000-0000AF310000}"/>
    <hyperlink ref="A4572" r:id="rId12595" xr:uid="{00000000-0004-0000-0000-0000B0310000}"/>
    <hyperlink ref="C4572" r:id="rId12596" xr:uid="{00000000-0004-0000-0000-0000B1310000}"/>
    <hyperlink ref="D4572" r:id="rId12597" xr:uid="{00000000-0004-0000-0000-0000B2310000}"/>
    <hyperlink ref="A4573" r:id="rId12598" xr:uid="{00000000-0004-0000-0000-0000B3310000}"/>
    <hyperlink ref="C4573" r:id="rId12599" xr:uid="{00000000-0004-0000-0000-0000B4310000}"/>
    <hyperlink ref="D4573" r:id="rId12600" xr:uid="{00000000-0004-0000-0000-0000B5310000}"/>
    <hyperlink ref="A4574" r:id="rId12601" xr:uid="{00000000-0004-0000-0000-0000B6310000}"/>
    <hyperlink ref="C4574" r:id="rId12602" xr:uid="{00000000-0004-0000-0000-0000B7310000}"/>
    <hyperlink ref="D4574" r:id="rId12603" xr:uid="{00000000-0004-0000-0000-0000B8310000}"/>
    <hyperlink ref="A4575" r:id="rId12604" xr:uid="{00000000-0004-0000-0000-0000B9310000}"/>
    <hyperlink ref="C4575" r:id="rId12605" xr:uid="{00000000-0004-0000-0000-0000BA310000}"/>
    <hyperlink ref="D4575" r:id="rId12606" xr:uid="{00000000-0004-0000-0000-0000BB310000}"/>
    <hyperlink ref="A4576" r:id="rId12607" xr:uid="{00000000-0004-0000-0000-0000BC310000}"/>
    <hyperlink ref="C4576" r:id="rId12608" xr:uid="{00000000-0004-0000-0000-0000BD310000}"/>
    <hyperlink ref="D4576" r:id="rId12609" xr:uid="{00000000-0004-0000-0000-0000BE310000}"/>
    <hyperlink ref="A4578" r:id="rId12610" xr:uid="{00000000-0004-0000-0000-0000BF310000}"/>
    <hyperlink ref="C4578" r:id="rId12611" xr:uid="{00000000-0004-0000-0000-0000C0310000}"/>
    <hyperlink ref="D4578" r:id="rId12612" location="/overview" xr:uid="{00000000-0004-0000-0000-0000C1310000}"/>
    <hyperlink ref="C4579" r:id="rId12613" xr:uid="{00000000-0004-0000-0000-0000C2310000}"/>
    <hyperlink ref="D4579" r:id="rId12614" xr:uid="{00000000-0004-0000-0000-0000C3310000}"/>
    <hyperlink ref="A4580" r:id="rId12615" xr:uid="{00000000-0004-0000-0000-0000C4310000}"/>
    <hyperlink ref="C4580" r:id="rId12616" xr:uid="{00000000-0004-0000-0000-0000C5310000}"/>
    <hyperlink ref="D4580" r:id="rId12617" xr:uid="{00000000-0004-0000-0000-0000C6310000}"/>
    <hyperlink ref="C4581" r:id="rId12618" xr:uid="{00000000-0004-0000-0000-0000C7310000}"/>
    <hyperlink ref="D4581" r:id="rId12619" xr:uid="{00000000-0004-0000-0000-0000C8310000}"/>
    <hyperlink ref="A4583" r:id="rId12620" xr:uid="{00000000-0004-0000-0000-0000C9310000}"/>
    <hyperlink ref="C4583" r:id="rId12621" xr:uid="{00000000-0004-0000-0000-0000CA310000}"/>
    <hyperlink ref="D4583" r:id="rId12622" xr:uid="{00000000-0004-0000-0000-0000CB310000}"/>
    <hyperlink ref="C4584" r:id="rId12623" xr:uid="{00000000-0004-0000-0000-0000CC310000}"/>
    <hyperlink ref="D4584" r:id="rId12624" xr:uid="{00000000-0004-0000-0000-0000CD310000}"/>
    <hyperlink ref="A4585" r:id="rId12625" xr:uid="{00000000-0004-0000-0000-0000CE310000}"/>
    <hyperlink ref="C4585" r:id="rId12626" xr:uid="{00000000-0004-0000-0000-0000CF310000}"/>
    <hyperlink ref="D4585" r:id="rId12627" xr:uid="{00000000-0004-0000-0000-0000D0310000}"/>
    <hyperlink ref="C4586" r:id="rId12628" xr:uid="{00000000-0004-0000-0000-0000D1310000}"/>
    <hyperlink ref="D4586" r:id="rId12629" xr:uid="{00000000-0004-0000-0000-0000D2310000}"/>
    <hyperlink ref="A4587" r:id="rId12630" xr:uid="{00000000-0004-0000-0000-0000D3310000}"/>
    <hyperlink ref="C4587" r:id="rId12631" xr:uid="{00000000-0004-0000-0000-0000D4310000}"/>
    <hyperlink ref="D4587" r:id="rId12632" xr:uid="{00000000-0004-0000-0000-0000D5310000}"/>
    <hyperlink ref="A4588" r:id="rId12633" xr:uid="{00000000-0004-0000-0000-0000D6310000}"/>
    <hyperlink ref="C4588" r:id="rId12634" xr:uid="{00000000-0004-0000-0000-0000D7310000}"/>
    <hyperlink ref="D4588" r:id="rId12635" xr:uid="{00000000-0004-0000-0000-0000D8310000}"/>
    <hyperlink ref="A4589" r:id="rId12636" xr:uid="{00000000-0004-0000-0000-0000D9310000}"/>
    <hyperlink ref="C4589" r:id="rId12637" xr:uid="{00000000-0004-0000-0000-0000DA310000}"/>
    <hyperlink ref="D4589" r:id="rId12638" xr:uid="{00000000-0004-0000-0000-0000DB310000}"/>
    <hyperlink ref="A4590" r:id="rId12639" xr:uid="{00000000-0004-0000-0000-0000DC310000}"/>
    <hyperlink ref="C4590" r:id="rId12640" xr:uid="{00000000-0004-0000-0000-0000DD310000}"/>
    <hyperlink ref="D4590" r:id="rId12641" xr:uid="{00000000-0004-0000-0000-0000DE310000}"/>
    <hyperlink ref="A4591" r:id="rId12642" xr:uid="{00000000-0004-0000-0000-0000DF310000}"/>
    <hyperlink ref="C4591" r:id="rId12643" xr:uid="{00000000-0004-0000-0000-0000E0310000}"/>
    <hyperlink ref="D4591" r:id="rId12644" xr:uid="{00000000-0004-0000-0000-0000E1310000}"/>
    <hyperlink ref="A4592" r:id="rId12645" xr:uid="{00000000-0004-0000-0000-0000E2310000}"/>
    <hyperlink ref="C4592" r:id="rId12646" xr:uid="{00000000-0004-0000-0000-0000E3310000}"/>
    <hyperlink ref="D4592" r:id="rId12647" xr:uid="{00000000-0004-0000-0000-0000E4310000}"/>
    <hyperlink ref="A4593" r:id="rId12648" xr:uid="{00000000-0004-0000-0000-0000E5310000}"/>
    <hyperlink ref="C4593" r:id="rId12649" xr:uid="{00000000-0004-0000-0000-0000E6310000}"/>
    <hyperlink ref="D4593" r:id="rId12650" xr:uid="{00000000-0004-0000-0000-0000E7310000}"/>
    <hyperlink ref="A4594" r:id="rId12651" xr:uid="{00000000-0004-0000-0000-0000E8310000}"/>
    <hyperlink ref="C4594" r:id="rId12652" xr:uid="{00000000-0004-0000-0000-0000E9310000}"/>
    <hyperlink ref="D4594" r:id="rId12653" xr:uid="{00000000-0004-0000-0000-0000EA310000}"/>
    <hyperlink ref="A4595" r:id="rId12654" xr:uid="{00000000-0004-0000-0000-0000EB310000}"/>
    <hyperlink ref="C4595" r:id="rId12655" xr:uid="{00000000-0004-0000-0000-0000EC310000}"/>
    <hyperlink ref="D4595" r:id="rId12656" xr:uid="{00000000-0004-0000-0000-0000ED310000}"/>
    <hyperlink ref="A4596" r:id="rId12657" xr:uid="{00000000-0004-0000-0000-0000EE310000}"/>
    <hyperlink ref="C4596" r:id="rId12658" xr:uid="{00000000-0004-0000-0000-0000EF310000}"/>
    <hyperlink ref="D4596" r:id="rId12659" xr:uid="{00000000-0004-0000-0000-0000F0310000}"/>
    <hyperlink ref="A4597" r:id="rId12660" xr:uid="{00000000-0004-0000-0000-0000F1310000}"/>
    <hyperlink ref="C4597" r:id="rId12661" xr:uid="{00000000-0004-0000-0000-0000F2310000}"/>
    <hyperlink ref="D4597" r:id="rId12662" xr:uid="{00000000-0004-0000-0000-0000F3310000}"/>
    <hyperlink ref="A4598" r:id="rId12663" xr:uid="{00000000-0004-0000-0000-0000F4310000}"/>
    <hyperlink ref="C4598" r:id="rId12664" xr:uid="{00000000-0004-0000-0000-0000F5310000}"/>
    <hyperlink ref="D4598" r:id="rId12665" xr:uid="{00000000-0004-0000-0000-0000F6310000}"/>
    <hyperlink ref="A4599" r:id="rId12666" xr:uid="{00000000-0004-0000-0000-0000F7310000}"/>
    <hyperlink ref="C4599" r:id="rId12667" xr:uid="{00000000-0004-0000-0000-0000F8310000}"/>
    <hyperlink ref="D4599" r:id="rId12668" xr:uid="{00000000-0004-0000-0000-0000F9310000}"/>
    <hyperlink ref="A4600" r:id="rId12669" xr:uid="{00000000-0004-0000-0000-0000FA310000}"/>
    <hyperlink ref="C4600" r:id="rId12670" xr:uid="{00000000-0004-0000-0000-0000FB310000}"/>
    <hyperlink ref="D4600" r:id="rId12671" xr:uid="{00000000-0004-0000-0000-0000FC310000}"/>
    <hyperlink ref="A4601" r:id="rId12672" xr:uid="{00000000-0004-0000-0000-0000FD310000}"/>
    <hyperlink ref="C4601" r:id="rId12673" xr:uid="{00000000-0004-0000-0000-0000FE310000}"/>
    <hyperlink ref="D4601" r:id="rId12674" xr:uid="{00000000-0004-0000-0000-0000FF310000}"/>
    <hyperlink ref="A4602" r:id="rId12675" xr:uid="{00000000-0004-0000-0000-000000320000}"/>
    <hyperlink ref="C4602" r:id="rId12676" xr:uid="{00000000-0004-0000-0000-000001320000}"/>
    <hyperlink ref="D4602" r:id="rId12677" xr:uid="{00000000-0004-0000-0000-000002320000}"/>
    <hyperlink ref="A4603" r:id="rId12678" xr:uid="{00000000-0004-0000-0000-000003320000}"/>
    <hyperlink ref="C4603" r:id="rId12679" xr:uid="{00000000-0004-0000-0000-000004320000}"/>
    <hyperlink ref="D4603" r:id="rId12680" xr:uid="{00000000-0004-0000-0000-000005320000}"/>
    <hyperlink ref="A4604" r:id="rId12681" xr:uid="{00000000-0004-0000-0000-000006320000}"/>
    <hyperlink ref="C4604" r:id="rId12682" xr:uid="{00000000-0004-0000-0000-000007320000}"/>
    <hyperlink ref="D4604" r:id="rId12683" xr:uid="{00000000-0004-0000-0000-000008320000}"/>
    <hyperlink ref="A4605" r:id="rId12684" xr:uid="{00000000-0004-0000-0000-000009320000}"/>
    <hyperlink ref="C4605" r:id="rId12685" xr:uid="{00000000-0004-0000-0000-00000A320000}"/>
    <hyperlink ref="D4605" r:id="rId12686" xr:uid="{00000000-0004-0000-0000-00000B320000}"/>
    <hyperlink ref="A4606" r:id="rId12687" xr:uid="{00000000-0004-0000-0000-00000C320000}"/>
    <hyperlink ref="C4606" r:id="rId12688" xr:uid="{00000000-0004-0000-0000-00000D320000}"/>
    <hyperlink ref="D4606" r:id="rId12689" xr:uid="{00000000-0004-0000-0000-00000E320000}"/>
    <hyperlink ref="A4607" r:id="rId12690" xr:uid="{00000000-0004-0000-0000-00000F320000}"/>
    <hyperlink ref="C4607" r:id="rId12691" xr:uid="{00000000-0004-0000-0000-000010320000}"/>
    <hyperlink ref="D4607" r:id="rId12692" xr:uid="{00000000-0004-0000-0000-000011320000}"/>
    <hyperlink ref="A4608" r:id="rId12693" xr:uid="{00000000-0004-0000-0000-000012320000}"/>
    <hyperlink ref="C4608" r:id="rId12694" xr:uid="{00000000-0004-0000-0000-000013320000}"/>
    <hyperlink ref="D4608" r:id="rId12695" xr:uid="{00000000-0004-0000-0000-000014320000}"/>
    <hyperlink ref="A4609" r:id="rId12696" xr:uid="{00000000-0004-0000-0000-000015320000}"/>
    <hyperlink ref="C4609" r:id="rId12697" xr:uid="{00000000-0004-0000-0000-000016320000}"/>
    <hyperlink ref="D4609" r:id="rId12698" xr:uid="{00000000-0004-0000-0000-000017320000}"/>
    <hyperlink ref="C4610" r:id="rId12699" xr:uid="{00000000-0004-0000-0000-000018320000}"/>
    <hyperlink ref="D4610" r:id="rId12700" xr:uid="{00000000-0004-0000-0000-000019320000}"/>
    <hyperlink ref="A4611" r:id="rId12701" xr:uid="{00000000-0004-0000-0000-00001A320000}"/>
    <hyperlink ref="C4611" r:id="rId12702" xr:uid="{00000000-0004-0000-0000-00001B320000}"/>
    <hyperlink ref="D4611" r:id="rId12703" xr:uid="{00000000-0004-0000-0000-00001C320000}"/>
    <hyperlink ref="A4612" r:id="rId12704" xr:uid="{00000000-0004-0000-0000-00001D320000}"/>
    <hyperlink ref="C4612" r:id="rId12705" xr:uid="{00000000-0004-0000-0000-00001E320000}"/>
    <hyperlink ref="D4612" r:id="rId12706" xr:uid="{00000000-0004-0000-0000-00001F320000}"/>
    <hyperlink ref="C4613" r:id="rId12707" xr:uid="{00000000-0004-0000-0000-000020320000}"/>
    <hyperlink ref="D4613" r:id="rId12708" xr:uid="{00000000-0004-0000-0000-000021320000}"/>
    <hyperlink ref="C4614" r:id="rId12709" xr:uid="{00000000-0004-0000-0000-000022320000}"/>
    <hyperlink ref="D4614" r:id="rId12710" xr:uid="{00000000-0004-0000-0000-000023320000}"/>
    <hyperlink ref="A4615" r:id="rId12711" xr:uid="{00000000-0004-0000-0000-000024320000}"/>
    <hyperlink ref="C4615" r:id="rId12712" xr:uid="{00000000-0004-0000-0000-000025320000}"/>
    <hyperlink ref="D4615" r:id="rId12713" xr:uid="{00000000-0004-0000-0000-000026320000}"/>
    <hyperlink ref="A4616" r:id="rId12714" xr:uid="{00000000-0004-0000-0000-000027320000}"/>
    <hyperlink ref="C4616" r:id="rId12715" xr:uid="{00000000-0004-0000-0000-000028320000}"/>
    <hyperlink ref="D4616" r:id="rId12716" xr:uid="{00000000-0004-0000-0000-000029320000}"/>
    <hyperlink ref="A4617" r:id="rId12717" xr:uid="{00000000-0004-0000-0000-00002A320000}"/>
    <hyperlink ref="C4617" r:id="rId12718" xr:uid="{00000000-0004-0000-0000-00002B320000}"/>
    <hyperlink ref="D4617" r:id="rId12719" xr:uid="{00000000-0004-0000-0000-00002C320000}"/>
    <hyperlink ref="A4618" r:id="rId12720" xr:uid="{00000000-0004-0000-0000-00002D320000}"/>
    <hyperlink ref="C4618" r:id="rId12721" xr:uid="{00000000-0004-0000-0000-00002E320000}"/>
    <hyperlink ref="D4618" r:id="rId12722" xr:uid="{00000000-0004-0000-0000-00002F320000}"/>
    <hyperlink ref="A4619" r:id="rId12723" xr:uid="{00000000-0004-0000-0000-000030320000}"/>
    <hyperlink ref="C4619" r:id="rId12724" xr:uid="{00000000-0004-0000-0000-000031320000}"/>
    <hyperlink ref="D4619" r:id="rId12725" xr:uid="{00000000-0004-0000-0000-000032320000}"/>
    <hyperlink ref="A4620" r:id="rId12726" xr:uid="{00000000-0004-0000-0000-000033320000}"/>
    <hyperlink ref="C4620" r:id="rId12727" xr:uid="{00000000-0004-0000-0000-000034320000}"/>
    <hyperlink ref="D4620" r:id="rId12728" xr:uid="{00000000-0004-0000-0000-000035320000}"/>
    <hyperlink ref="C4621" r:id="rId12729" xr:uid="{00000000-0004-0000-0000-000036320000}"/>
    <hyperlink ref="D4621" r:id="rId12730" xr:uid="{00000000-0004-0000-0000-000037320000}"/>
    <hyperlink ref="C4622" r:id="rId12731" xr:uid="{00000000-0004-0000-0000-000038320000}"/>
    <hyperlink ref="D4622" r:id="rId12732" xr:uid="{00000000-0004-0000-0000-000039320000}"/>
    <hyperlink ref="A4623" r:id="rId12733" xr:uid="{00000000-0004-0000-0000-00003A320000}"/>
    <hyperlink ref="C4623" r:id="rId12734" xr:uid="{00000000-0004-0000-0000-00003B320000}"/>
    <hyperlink ref="D4623" r:id="rId12735" xr:uid="{00000000-0004-0000-0000-00003C320000}"/>
    <hyperlink ref="A4624" r:id="rId12736" xr:uid="{00000000-0004-0000-0000-00003D320000}"/>
    <hyperlink ref="C4624" r:id="rId12737" xr:uid="{00000000-0004-0000-0000-00003E320000}"/>
    <hyperlink ref="D4624" r:id="rId12738" xr:uid="{00000000-0004-0000-0000-00003F320000}"/>
    <hyperlink ref="A4625" r:id="rId12739" xr:uid="{00000000-0004-0000-0000-000040320000}"/>
    <hyperlink ref="C4625" r:id="rId12740" xr:uid="{00000000-0004-0000-0000-000041320000}"/>
    <hyperlink ref="D4625" r:id="rId12741" xr:uid="{00000000-0004-0000-0000-000042320000}"/>
    <hyperlink ref="A4626" r:id="rId12742" xr:uid="{00000000-0004-0000-0000-000043320000}"/>
    <hyperlink ref="C4626" r:id="rId12743" xr:uid="{00000000-0004-0000-0000-000044320000}"/>
    <hyperlink ref="D4626" r:id="rId12744" xr:uid="{00000000-0004-0000-0000-000045320000}"/>
    <hyperlink ref="A4627" r:id="rId12745" xr:uid="{00000000-0004-0000-0000-000046320000}"/>
    <hyperlink ref="C4627" r:id="rId12746" xr:uid="{00000000-0004-0000-0000-000047320000}"/>
    <hyperlink ref="D4627" r:id="rId12747" xr:uid="{00000000-0004-0000-0000-000048320000}"/>
    <hyperlink ref="C4628" r:id="rId12748" xr:uid="{00000000-0004-0000-0000-000049320000}"/>
    <hyperlink ref="D4628" r:id="rId12749" xr:uid="{00000000-0004-0000-0000-00004A320000}"/>
    <hyperlink ref="A4629" r:id="rId12750" xr:uid="{00000000-0004-0000-0000-00004B320000}"/>
    <hyperlink ref="C4629" r:id="rId12751" xr:uid="{00000000-0004-0000-0000-00004C320000}"/>
    <hyperlink ref="D4629" r:id="rId12752" xr:uid="{00000000-0004-0000-0000-00004D320000}"/>
    <hyperlink ref="A4630" r:id="rId12753" xr:uid="{00000000-0004-0000-0000-00004E320000}"/>
    <hyperlink ref="C4630" r:id="rId12754" xr:uid="{00000000-0004-0000-0000-00004F320000}"/>
    <hyperlink ref="D4630" r:id="rId12755" xr:uid="{00000000-0004-0000-0000-000050320000}"/>
    <hyperlink ref="A4631" r:id="rId12756" xr:uid="{00000000-0004-0000-0000-000051320000}"/>
    <hyperlink ref="C4631" r:id="rId12757" xr:uid="{00000000-0004-0000-0000-000052320000}"/>
    <hyperlink ref="D4631" r:id="rId12758" xr:uid="{00000000-0004-0000-0000-000053320000}"/>
    <hyperlink ref="A4632" r:id="rId12759" xr:uid="{00000000-0004-0000-0000-000054320000}"/>
    <hyperlink ref="C4632" r:id="rId12760" xr:uid="{00000000-0004-0000-0000-000055320000}"/>
    <hyperlink ref="D4632" r:id="rId12761" xr:uid="{00000000-0004-0000-0000-000056320000}"/>
    <hyperlink ref="A4633" r:id="rId12762" xr:uid="{00000000-0004-0000-0000-000057320000}"/>
    <hyperlink ref="C4633" r:id="rId12763" xr:uid="{00000000-0004-0000-0000-000058320000}"/>
    <hyperlink ref="D4633" r:id="rId12764" xr:uid="{00000000-0004-0000-0000-000059320000}"/>
    <hyperlink ref="C4634" r:id="rId12765" xr:uid="{00000000-0004-0000-0000-00005A320000}"/>
    <hyperlink ref="D4634" r:id="rId12766" xr:uid="{00000000-0004-0000-0000-00005B320000}"/>
    <hyperlink ref="A4635" r:id="rId12767" xr:uid="{00000000-0004-0000-0000-00005C320000}"/>
    <hyperlink ref="C4635" r:id="rId12768" xr:uid="{00000000-0004-0000-0000-00005D320000}"/>
    <hyperlink ref="D4635" r:id="rId12769" xr:uid="{00000000-0004-0000-0000-00005E320000}"/>
    <hyperlink ref="A4636" r:id="rId12770" xr:uid="{00000000-0004-0000-0000-00005F320000}"/>
    <hyperlink ref="C4636" r:id="rId12771" xr:uid="{00000000-0004-0000-0000-000060320000}"/>
    <hyperlink ref="D4636" r:id="rId12772" xr:uid="{00000000-0004-0000-0000-000061320000}"/>
    <hyperlink ref="A4637" r:id="rId12773" xr:uid="{00000000-0004-0000-0000-000062320000}"/>
    <hyperlink ref="C4637" r:id="rId12774" xr:uid="{00000000-0004-0000-0000-000063320000}"/>
    <hyperlink ref="D4637" r:id="rId12775" xr:uid="{00000000-0004-0000-0000-000064320000}"/>
    <hyperlink ref="A4638" r:id="rId12776" xr:uid="{00000000-0004-0000-0000-000065320000}"/>
    <hyperlink ref="C4638" r:id="rId12777" xr:uid="{00000000-0004-0000-0000-000066320000}"/>
    <hyperlink ref="D4638" r:id="rId12778" xr:uid="{00000000-0004-0000-0000-000067320000}"/>
    <hyperlink ref="C4639" r:id="rId12779" xr:uid="{00000000-0004-0000-0000-000068320000}"/>
    <hyperlink ref="D4639" r:id="rId12780" xr:uid="{00000000-0004-0000-0000-000069320000}"/>
    <hyperlink ref="A4640" r:id="rId12781" xr:uid="{00000000-0004-0000-0000-00006A320000}"/>
    <hyperlink ref="D4640" r:id="rId12782" xr:uid="{00000000-0004-0000-0000-00006B320000}"/>
    <hyperlink ref="C4641" r:id="rId12783" xr:uid="{00000000-0004-0000-0000-00006C320000}"/>
    <hyperlink ref="D4641" r:id="rId12784" xr:uid="{00000000-0004-0000-0000-00006D320000}"/>
    <hyperlink ref="A4642" r:id="rId12785" xr:uid="{00000000-0004-0000-0000-00006E320000}"/>
    <hyperlink ref="C4642" r:id="rId12786" xr:uid="{00000000-0004-0000-0000-00006F320000}"/>
    <hyperlink ref="D4642" r:id="rId12787" xr:uid="{00000000-0004-0000-0000-000070320000}"/>
    <hyperlink ref="A4643" r:id="rId12788" xr:uid="{00000000-0004-0000-0000-000071320000}"/>
    <hyperlink ref="C4643" r:id="rId12789" xr:uid="{00000000-0004-0000-0000-000072320000}"/>
    <hyperlink ref="D4643" r:id="rId12790" xr:uid="{00000000-0004-0000-0000-000073320000}"/>
    <hyperlink ref="A4644" r:id="rId12791" xr:uid="{00000000-0004-0000-0000-000074320000}"/>
    <hyperlink ref="C4644" r:id="rId12792" xr:uid="{00000000-0004-0000-0000-000075320000}"/>
    <hyperlink ref="D4644" r:id="rId12793" xr:uid="{00000000-0004-0000-0000-000076320000}"/>
    <hyperlink ref="A4645" r:id="rId12794" xr:uid="{00000000-0004-0000-0000-000077320000}"/>
    <hyperlink ref="C4645" r:id="rId12795" xr:uid="{00000000-0004-0000-0000-000078320000}"/>
    <hyperlink ref="D4645" r:id="rId12796" xr:uid="{00000000-0004-0000-0000-000079320000}"/>
    <hyperlink ref="C4646" r:id="rId12797" xr:uid="{00000000-0004-0000-0000-00007A320000}"/>
    <hyperlink ref="D4646" r:id="rId12798" xr:uid="{00000000-0004-0000-0000-00007B320000}"/>
    <hyperlink ref="A4647" r:id="rId12799" xr:uid="{00000000-0004-0000-0000-00007C320000}"/>
    <hyperlink ref="C4647" r:id="rId12800" xr:uid="{00000000-0004-0000-0000-00007D320000}"/>
    <hyperlink ref="D4647" r:id="rId12801" xr:uid="{00000000-0004-0000-0000-00007E320000}"/>
    <hyperlink ref="A4648" r:id="rId12802" xr:uid="{00000000-0004-0000-0000-00007F320000}"/>
    <hyperlink ref="C4648" r:id="rId12803" xr:uid="{00000000-0004-0000-0000-000080320000}"/>
    <hyperlink ref="D4648" r:id="rId12804" xr:uid="{00000000-0004-0000-0000-000081320000}"/>
    <hyperlink ref="C4649" r:id="rId12805" xr:uid="{00000000-0004-0000-0000-000082320000}"/>
    <hyperlink ref="D4649" r:id="rId12806" xr:uid="{00000000-0004-0000-0000-000083320000}"/>
    <hyperlink ref="A4650" r:id="rId12807" xr:uid="{00000000-0004-0000-0000-000084320000}"/>
    <hyperlink ref="C4650" r:id="rId12808" xr:uid="{00000000-0004-0000-0000-000085320000}"/>
    <hyperlink ref="D4650" r:id="rId12809" xr:uid="{00000000-0004-0000-0000-000086320000}"/>
    <hyperlink ref="A4651" r:id="rId12810" xr:uid="{00000000-0004-0000-0000-000087320000}"/>
    <hyperlink ref="C4651" r:id="rId12811" xr:uid="{00000000-0004-0000-0000-000088320000}"/>
    <hyperlink ref="D4651" r:id="rId12812" xr:uid="{00000000-0004-0000-0000-000089320000}"/>
    <hyperlink ref="A4652" r:id="rId12813" xr:uid="{00000000-0004-0000-0000-00008A320000}"/>
    <hyperlink ref="C4652" r:id="rId12814" xr:uid="{00000000-0004-0000-0000-00008B320000}"/>
    <hyperlink ref="D4652" r:id="rId12815" xr:uid="{00000000-0004-0000-0000-00008C320000}"/>
    <hyperlink ref="A4653" r:id="rId12816" xr:uid="{00000000-0004-0000-0000-00008D320000}"/>
    <hyperlink ref="C4653" r:id="rId12817" xr:uid="{00000000-0004-0000-0000-00008E320000}"/>
    <hyperlink ref="D4653" r:id="rId12818" xr:uid="{00000000-0004-0000-0000-00008F320000}"/>
    <hyperlink ref="A4654" r:id="rId12819" xr:uid="{00000000-0004-0000-0000-000090320000}"/>
    <hyperlink ref="C4654" r:id="rId12820" xr:uid="{00000000-0004-0000-0000-000091320000}"/>
    <hyperlink ref="D4654" r:id="rId12821" xr:uid="{00000000-0004-0000-0000-000092320000}"/>
    <hyperlink ref="A4655" r:id="rId12822" xr:uid="{00000000-0004-0000-0000-000093320000}"/>
    <hyperlink ref="C4655" r:id="rId12823" xr:uid="{00000000-0004-0000-0000-000094320000}"/>
    <hyperlink ref="D4655" r:id="rId12824" xr:uid="{00000000-0004-0000-0000-000095320000}"/>
    <hyperlink ref="A4656" r:id="rId12825" xr:uid="{00000000-0004-0000-0000-000096320000}"/>
    <hyperlink ref="C4656" r:id="rId12826" xr:uid="{00000000-0004-0000-0000-000097320000}"/>
    <hyperlink ref="D4656" r:id="rId12827" xr:uid="{00000000-0004-0000-0000-000098320000}"/>
    <hyperlink ref="A4657" r:id="rId12828" xr:uid="{00000000-0004-0000-0000-000099320000}"/>
    <hyperlink ref="C4657" r:id="rId12829" xr:uid="{00000000-0004-0000-0000-00009A320000}"/>
    <hyperlink ref="D4657" r:id="rId12830" xr:uid="{00000000-0004-0000-0000-00009B320000}"/>
    <hyperlink ref="A4658" r:id="rId12831" xr:uid="{00000000-0004-0000-0000-00009C320000}"/>
    <hyperlink ref="C4658" r:id="rId12832" xr:uid="{00000000-0004-0000-0000-00009D320000}"/>
    <hyperlink ref="D4658" r:id="rId12833" xr:uid="{00000000-0004-0000-0000-00009E320000}"/>
    <hyperlink ref="A4659" r:id="rId12834" xr:uid="{00000000-0004-0000-0000-00009F320000}"/>
    <hyperlink ref="C4659" r:id="rId12835" xr:uid="{00000000-0004-0000-0000-0000A0320000}"/>
    <hyperlink ref="D4659" r:id="rId12836" xr:uid="{00000000-0004-0000-0000-0000A1320000}"/>
    <hyperlink ref="A4660" r:id="rId12837" xr:uid="{00000000-0004-0000-0000-0000A2320000}"/>
    <hyperlink ref="C4660" r:id="rId12838" xr:uid="{00000000-0004-0000-0000-0000A3320000}"/>
    <hyperlink ref="D4660" r:id="rId12839" xr:uid="{00000000-0004-0000-0000-0000A4320000}"/>
    <hyperlink ref="A4661" r:id="rId12840" xr:uid="{00000000-0004-0000-0000-0000A5320000}"/>
    <hyperlink ref="C4661" r:id="rId12841" xr:uid="{00000000-0004-0000-0000-0000A6320000}"/>
    <hyperlink ref="D4661" r:id="rId12842" xr:uid="{00000000-0004-0000-0000-0000A7320000}"/>
    <hyperlink ref="C4662" r:id="rId12843" xr:uid="{00000000-0004-0000-0000-0000A8320000}"/>
    <hyperlink ref="D4662" r:id="rId12844" xr:uid="{00000000-0004-0000-0000-0000A9320000}"/>
    <hyperlink ref="A4663" r:id="rId12845" xr:uid="{00000000-0004-0000-0000-0000AA320000}"/>
    <hyperlink ref="C4663" r:id="rId12846" xr:uid="{00000000-0004-0000-0000-0000AB320000}"/>
    <hyperlink ref="D4663" r:id="rId12847" xr:uid="{00000000-0004-0000-0000-0000AC320000}"/>
    <hyperlink ref="E4663" r:id="rId12848" xr:uid="{00000000-0004-0000-0000-0000AD320000}"/>
    <hyperlink ref="A4664" r:id="rId12849" xr:uid="{00000000-0004-0000-0000-0000AE320000}"/>
    <hyperlink ref="C4664" r:id="rId12850" xr:uid="{00000000-0004-0000-0000-0000AF320000}"/>
    <hyperlink ref="D4664" r:id="rId12851" xr:uid="{00000000-0004-0000-0000-0000B0320000}"/>
    <hyperlink ref="A4665" r:id="rId12852" xr:uid="{00000000-0004-0000-0000-0000B1320000}"/>
    <hyperlink ref="C4665" r:id="rId12853" xr:uid="{00000000-0004-0000-0000-0000B2320000}"/>
    <hyperlink ref="D4665" r:id="rId12854" xr:uid="{00000000-0004-0000-0000-0000B3320000}"/>
    <hyperlink ref="A4666" r:id="rId12855" xr:uid="{00000000-0004-0000-0000-0000B4320000}"/>
    <hyperlink ref="C4666" r:id="rId12856" xr:uid="{00000000-0004-0000-0000-0000B5320000}"/>
    <hyperlink ref="D4666" r:id="rId12857" xr:uid="{00000000-0004-0000-0000-0000B6320000}"/>
    <hyperlink ref="A4667" r:id="rId12858" xr:uid="{00000000-0004-0000-0000-0000B7320000}"/>
    <hyperlink ref="C4667" r:id="rId12859" xr:uid="{00000000-0004-0000-0000-0000B8320000}"/>
    <hyperlink ref="D4667" r:id="rId12860" xr:uid="{00000000-0004-0000-0000-0000B9320000}"/>
    <hyperlink ref="A4668" r:id="rId12861" xr:uid="{00000000-0004-0000-0000-0000BA320000}"/>
    <hyperlink ref="C4668" r:id="rId12862" xr:uid="{00000000-0004-0000-0000-0000BB320000}"/>
    <hyperlink ref="D4668" r:id="rId12863" xr:uid="{00000000-0004-0000-0000-0000BC320000}"/>
    <hyperlink ref="A4669" r:id="rId12864" xr:uid="{00000000-0004-0000-0000-0000BD320000}"/>
    <hyperlink ref="C4669" r:id="rId12865" xr:uid="{00000000-0004-0000-0000-0000BE320000}"/>
    <hyperlink ref="D4669" r:id="rId12866" xr:uid="{00000000-0004-0000-0000-0000BF320000}"/>
    <hyperlink ref="A4670" r:id="rId12867" xr:uid="{00000000-0004-0000-0000-0000C0320000}"/>
    <hyperlink ref="C4670" r:id="rId12868" xr:uid="{00000000-0004-0000-0000-0000C1320000}"/>
    <hyperlink ref="D4670" r:id="rId12869" xr:uid="{00000000-0004-0000-0000-0000C2320000}"/>
    <hyperlink ref="A4671" r:id="rId12870" xr:uid="{00000000-0004-0000-0000-0000C3320000}"/>
    <hyperlink ref="C4671" r:id="rId12871" xr:uid="{00000000-0004-0000-0000-0000C4320000}"/>
    <hyperlink ref="D4671" r:id="rId12872" xr:uid="{00000000-0004-0000-0000-0000C5320000}"/>
    <hyperlink ref="A4672" r:id="rId12873" xr:uid="{00000000-0004-0000-0000-0000C6320000}"/>
    <hyperlink ref="C4672" r:id="rId12874" xr:uid="{00000000-0004-0000-0000-0000C7320000}"/>
    <hyperlink ref="D4672" r:id="rId12875" xr:uid="{00000000-0004-0000-0000-0000C8320000}"/>
    <hyperlink ref="A4673" r:id="rId12876" xr:uid="{00000000-0004-0000-0000-0000C9320000}"/>
    <hyperlink ref="C4673" r:id="rId12877" xr:uid="{00000000-0004-0000-0000-0000CA320000}"/>
    <hyperlink ref="D4673" r:id="rId12878" xr:uid="{00000000-0004-0000-0000-0000CB320000}"/>
    <hyperlink ref="C4674" r:id="rId12879" xr:uid="{00000000-0004-0000-0000-0000CC320000}"/>
    <hyperlink ref="D4674" r:id="rId12880" xr:uid="{00000000-0004-0000-0000-0000CD320000}"/>
    <hyperlink ref="A4675" r:id="rId12881" xr:uid="{00000000-0004-0000-0000-0000CE320000}"/>
    <hyperlink ref="C4675" r:id="rId12882" xr:uid="{00000000-0004-0000-0000-0000CF320000}"/>
    <hyperlink ref="D4675" r:id="rId12883" xr:uid="{00000000-0004-0000-0000-0000D0320000}"/>
    <hyperlink ref="A4676" r:id="rId12884" xr:uid="{00000000-0004-0000-0000-0000D1320000}"/>
    <hyperlink ref="C4676" r:id="rId12885" xr:uid="{00000000-0004-0000-0000-0000D2320000}"/>
    <hyperlink ref="D4676" r:id="rId12886" xr:uid="{00000000-0004-0000-0000-0000D3320000}"/>
    <hyperlink ref="A4677" r:id="rId12887" xr:uid="{00000000-0004-0000-0000-0000D4320000}"/>
    <hyperlink ref="C4677" r:id="rId12888" xr:uid="{00000000-0004-0000-0000-0000D5320000}"/>
    <hyperlink ref="A4678" r:id="rId12889" xr:uid="{00000000-0004-0000-0000-0000D6320000}"/>
    <hyperlink ref="C4678" r:id="rId12890" xr:uid="{00000000-0004-0000-0000-0000D7320000}"/>
    <hyperlink ref="D4678" r:id="rId12891" xr:uid="{00000000-0004-0000-0000-0000D8320000}"/>
    <hyperlink ref="A4679" r:id="rId12892" xr:uid="{00000000-0004-0000-0000-0000D9320000}"/>
    <hyperlink ref="C4679" r:id="rId12893" xr:uid="{00000000-0004-0000-0000-0000DA320000}"/>
    <hyperlink ref="D4679" r:id="rId12894" xr:uid="{00000000-0004-0000-0000-0000DB320000}"/>
    <hyperlink ref="A4680" r:id="rId12895" xr:uid="{00000000-0004-0000-0000-0000DC320000}"/>
    <hyperlink ref="C4680" r:id="rId12896" xr:uid="{00000000-0004-0000-0000-0000DD320000}"/>
    <hyperlink ref="D4680" r:id="rId12897" xr:uid="{00000000-0004-0000-0000-0000DE320000}"/>
    <hyperlink ref="A4681" r:id="rId12898" xr:uid="{00000000-0004-0000-0000-0000DF320000}"/>
    <hyperlink ref="C4681" r:id="rId12899" xr:uid="{00000000-0004-0000-0000-0000E0320000}"/>
    <hyperlink ref="D4681" r:id="rId12900" xr:uid="{00000000-0004-0000-0000-0000E1320000}"/>
    <hyperlink ref="C4682" r:id="rId12901" xr:uid="{00000000-0004-0000-0000-0000E2320000}"/>
    <hyperlink ref="D4682" r:id="rId12902" xr:uid="{00000000-0004-0000-0000-0000E3320000}"/>
    <hyperlink ref="A4683" r:id="rId12903" xr:uid="{00000000-0004-0000-0000-0000E4320000}"/>
    <hyperlink ref="C4683" r:id="rId12904" xr:uid="{00000000-0004-0000-0000-0000E5320000}"/>
    <hyperlink ref="D4683" r:id="rId12905" xr:uid="{00000000-0004-0000-0000-0000E6320000}"/>
    <hyperlink ref="A4684" r:id="rId12906" xr:uid="{00000000-0004-0000-0000-0000E7320000}"/>
    <hyperlink ref="C4684" r:id="rId12907" xr:uid="{00000000-0004-0000-0000-0000E8320000}"/>
    <hyperlink ref="D4684" r:id="rId12908" xr:uid="{00000000-0004-0000-0000-0000E9320000}"/>
    <hyperlink ref="A4685" r:id="rId12909" xr:uid="{00000000-0004-0000-0000-0000EA320000}"/>
    <hyperlink ref="C4685" r:id="rId12910" xr:uid="{00000000-0004-0000-0000-0000EB320000}"/>
    <hyperlink ref="D4685" r:id="rId12911" xr:uid="{00000000-0004-0000-0000-0000EC320000}"/>
    <hyperlink ref="A4686" r:id="rId12912" xr:uid="{00000000-0004-0000-0000-0000ED320000}"/>
    <hyperlink ref="C4686" r:id="rId12913" xr:uid="{00000000-0004-0000-0000-0000EE320000}"/>
    <hyperlink ref="D4686" r:id="rId12914" xr:uid="{00000000-0004-0000-0000-0000EF320000}"/>
    <hyperlink ref="A4687" r:id="rId12915" xr:uid="{00000000-0004-0000-0000-0000F0320000}"/>
    <hyperlink ref="C4687" r:id="rId12916" xr:uid="{00000000-0004-0000-0000-0000F1320000}"/>
    <hyperlink ref="D4687" r:id="rId12917" xr:uid="{00000000-0004-0000-0000-0000F2320000}"/>
    <hyperlink ref="A4688" r:id="rId12918" xr:uid="{00000000-0004-0000-0000-0000F3320000}"/>
    <hyperlink ref="C4688" r:id="rId12919" xr:uid="{00000000-0004-0000-0000-0000F4320000}"/>
    <hyperlink ref="D4688" r:id="rId12920" xr:uid="{00000000-0004-0000-0000-0000F5320000}"/>
    <hyperlink ref="A4689" r:id="rId12921" xr:uid="{00000000-0004-0000-0000-0000F6320000}"/>
    <hyperlink ref="C4689" r:id="rId12922" xr:uid="{00000000-0004-0000-0000-0000F7320000}"/>
    <hyperlink ref="D4689" r:id="rId12923" xr:uid="{00000000-0004-0000-0000-0000F8320000}"/>
    <hyperlink ref="C4690" r:id="rId12924" xr:uid="{00000000-0004-0000-0000-0000F9320000}"/>
    <hyperlink ref="D4690" r:id="rId12925" xr:uid="{00000000-0004-0000-0000-0000FA320000}"/>
    <hyperlink ref="C4691" r:id="rId12926" xr:uid="{00000000-0004-0000-0000-0000FB320000}"/>
    <hyperlink ref="D4691" r:id="rId12927" xr:uid="{00000000-0004-0000-0000-0000FC320000}"/>
    <hyperlink ref="A4692" r:id="rId12928" xr:uid="{00000000-0004-0000-0000-0000FD320000}"/>
    <hyperlink ref="C4692" r:id="rId12929" xr:uid="{00000000-0004-0000-0000-0000FE320000}"/>
    <hyperlink ref="D4692" r:id="rId12930" xr:uid="{00000000-0004-0000-0000-0000FF320000}"/>
    <hyperlink ref="A4693" r:id="rId12931" xr:uid="{00000000-0004-0000-0000-000000330000}"/>
    <hyperlink ref="C4693" r:id="rId12932" xr:uid="{00000000-0004-0000-0000-000001330000}"/>
    <hyperlink ref="D4693" r:id="rId12933" xr:uid="{00000000-0004-0000-0000-000002330000}"/>
    <hyperlink ref="A4694" r:id="rId12934" xr:uid="{00000000-0004-0000-0000-000003330000}"/>
    <hyperlink ref="C4694" r:id="rId12935" xr:uid="{00000000-0004-0000-0000-000004330000}"/>
    <hyperlink ref="D4694" r:id="rId12936" xr:uid="{00000000-0004-0000-0000-000005330000}"/>
    <hyperlink ref="A4695" r:id="rId12937" xr:uid="{00000000-0004-0000-0000-000006330000}"/>
    <hyperlink ref="C4695" r:id="rId12938" xr:uid="{00000000-0004-0000-0000-000007330000}"/>
    <hyperlink ref="D4695" r:id="rId12939" xr:uid="{00000000-0004-0000-0000-000008330000}"/>
    <hyperlink ref="A4696" r:id="rId12940" xr:uid="{00000000-0004-0000-0000-000009330000}"/>
    <hyperlink ref="C4696" r:id="rId12941" xr:uid="{00000000-0004-0000-0000-00000A330000}"/>
    <hyperlink ref="D4696" r:id="rId12942" xr:uid="{00000000-0004-0000-0000-00000B330000}"/>
    <hyperlink ref="A4697" r:id="rId12943" xr:uid="{00000000-0004-0000-0000-00000C330000}"/>
    <hyperlink ref="C4697" r:id="rId12944" xr:uid="{00000000-0004-0000-0000-00000D330000}"/>
    <hyperlink ref="D4697" r:id="rId12945" xr:uid="{00000000-0004-0000-0000-00000E330000}"/>
    <hyperlink ref="A4698" r:id="rId12946" xr:uid="{00000000-0004-0000-0000-00000F330000}"/>
    <hyperlink ref="C4698" r:id="rId12947" xr:uid="{00000000-0004-0000-0000-000010330000}"/>
    <hyperlink ref="D4698" r:id="rId12948" xr:uid="{00000000-0004-0000-0000-000011330000}"/>
    <hyperlink ref="A4699" r:id="rId12949" xr:uid="{00000000-0004-0000-0000-000012330000}"/>
    <hyperlink ref="C4699" r:id="rId12950" xr:uid="{00000000-0004-0000-0000-000013330000}"/>
    <hyperlink ref="D4699" r:id="rId12951" xr:uid="{00000000-0004-0000-0000-000014330000}"/>
    <hyperlink ref="A4700" r:id="rId12952" xr:uid="{00000000-0004-0000-0000-000015330000}"/>
    <hyperlink ref="C4700" r:id="rId12953" xr:uid="{00000000-0004-0000-0000-000016330000}"/>
    <hyperlink ref="D4700" r:id="rId12954" xr:uid="{00000000-0004-0000-0000-000017330000}"/>
    <hyperlink ref="A4701" r:id="rId12955" xr:uid="{00000000-0004-0000-0000-000018330000}"/>
    <hyperlink ref="C4701" r:id="rId12956" xr:uid="{00000000-0004-0000-0000-000019330000}"/>
    <hyperlink ref="D4701" r:id="rId12957" xr:uid="{00000000-0004-0000-0000-00001A330000}"/>
    <hyperlink ref="A4702" r:id="rId12958" xr:uid="{00000000-0004-0000-0000-00001B330000}"/>
    <hyperlink ref="C4702" r:id="rId12959" xr:uid="{00000000-0004-0000-0000-00001C330000}"/>
    <hyperlink ref="D4702" r:id="rId12960" xr:uid="{00000000-0004-0000-0000-00001D330000}"/>
    <hyperlink ref="A4703" r:id="rId12961" xr:uid="{00000000-0004-0000-0000-00001E330000}"/>
    <hyperlink ref="C4703" r:id="rId12962" xr:uid="{00000000-0004-0000-0000-00001F330000}"/>
    <hyperlink ref="D4703" r:id="rId12963" xr:uid="{00000000-0004-0000-0000-000020330000}"/>
    <hyperlink ref="A4704" r:id="rId12964" xr:uid="{00000000-0004-0000-0000-000021330000}"/>
    <hyperlink ref="C4704" r:id="rId12965" xr:uid="{00000000-0004-0000-0000-000022330000}"/>
    <hyperlink ref="D4704" r:id="rId12966" xr:uid="{00000000-0004-0000-0000-000023330000}"/>
    <hyperlink ref="A4705" r:id="rId12967" xr:uid="{00000000-0004-0000-0000-000024330000}"/>
    <hyperlink ref="C4705" r:id="rId12968" xr:uid="{00000000-0004-0000-0000-000025330000}"/>
    <hyperlink ref="D4705" r:id="rId12969" xr:uid="{00000000-0004-0000-0000-000026330000}"/>
    <hyperlink ref="A4706" r:id="rId12970" xr:uid="{00000000-0004-0000-0000-000027330000}"/>
    <hyperlink ref="C4706" r:id="rId12971" xr:uid="{00000000-0004-0000-0000-000028330000}"/>
    <hyperlink ref="D4706" r:id="rId12972" xr:uid="{00000000-0004-0000-0000-000029330000}"/>
    <hyperlink ref="E4706" r:id="rId12973" xr:uid="{00000000-0004-0000-0000-00002A330000}"/>
    <hyperlink ref="A4707" r:id="rId12974" xr:uid="{00000000-0004-0000-0000-00002B330000}"/>
    <hyperlink ref="C4707" r:id="rId12975" xr:uid="{00000000-0004-0000-0000-00002C330000}"/>
    <hyperlink ref="D4707" r:id="rId12976" xr:uid="{00000000-0004-0000-0000-00002D330000}"/>
    <hyperlink ref="A4708" r:id="rId12977" xr:uid="{00000000-0004-0000-0000-00002E330000}"/>
    <hyperlink ref="C4708" r:id="rId12978" xr:uid="{00000000-0004-0000-0000-00002F330000}"/>
    <hyperlink ref="D4708" r:id="rId12979" xr:uid="{00000000-0004-0000-0000-000030330000}"/>
    <hyperlink ref="A4709" r:id="rId12980" xr:uid="{00000000-0004-0000-0000-000031330000}"/>
    <hyperlink ref="C4709" r:id="rId12981" xr:uid="{00000000-0004-0000-0000-000032330000}"/>
    <hyperlink ref="D4709" r:id="rId12982" xr:uid="{00000000-0004-0000-0000-000033330000}"/>
    <hyperlink ref="A4710" r:id="rId12983" xr:uid="{00000000-0004-0000-0000-000034330000}"/>
    <hyperlink ref="C4710" r:id="rId12984" xr:uid="{00000000-0004-0000-0000-000035330000}"/>
    <hyperlink ref="D4710" r:id="rId12985" xr:uid="{00000000-0004-0000-0000-000036330000}"/>
    <hyperlink ref="A4711" r:id="rId12986" xr:uid="{00000000-0004-0000-0000-000037330000}"/>
    <hyperlink ref="C4711" r:id="rId12987" xr:uid="{00000000-0004-0000-0000-000038330000}"/>
    <hyperlink ref="D4711" r:id="rId12988" xr:uid="{00000000-0004-0000-0000-000039330000}"/>
    <hyperlink ref="A4712" r:id="rId12989" xr:uid="{00000000-0004-0000-0000-00003A330000}"/>
    <hyperlink ref="C4712" r:id="rId12990" xr:uid="{00000000-0004-0000-0000-00003B330000}"/>
    <hyperlink ref="D4712" r:id="rId12991" xr:uid="{00000000-0004-0000-0000-00003C330000}"/>
    <hyperlink ref="A4713" r:id="rId12992" xr:uid="{00000000-0004-0000-0000-00003D330000}"/>
    <hyperlink ref="C4713" r:id="rId12993" xr:uid="{00000000-0004-0000-0000-00003E330000}"/>
    <hyperlink ref="D4713" r:id="rId12994" xr:uid="{00000000-0004-0000-0000-00003F330000}"/>
    <hyperlink ref="A4714" r:id="rId12995" xr:uid="{00000000-0004-0000-0000-000040330000}"/>
    <hyperlink ref="C4714" r:id="rId12996" xr:uid="{00000000-0004-0000-0000-000041330000}"/>
    <hyperlink ref="D4714" r:id="rId12997" xr:uid="{00000000-0004-0000-0000-000042330000}"/>
    <hyperlink ref="A4715" r:id="rId12998" xr:uid="{00000000-0004-0000-0000-000043330000}"/>
    <hyperlink ref="C4715" r:id="rId12999" xr:uid="{00000000-0004-0000-0000-000044330000}"/>
    <hyperlink ref="D4715" r:id="rId13000" xr:uid="{00000000-0004-0000-0000-000045330000}"/>
    <hyperlink ref="A4716" r:id="rId13001" xr:uid="{00000000-0004-0000-0000-000046330000}"/>
    <hyperlink ref="C4716" r:id="rId13002" xr:uid="{00000000-0004-0000-0000-000047330000}"/>
    <hyperlink ref="D4716" r:id="rId13003" xr:uid="{00000000-0004-0000-0000-000048330000}"/>
    <hyperlink ref="C4717" r:id="rId13004" xr:uid="{00000000-0004-0000-0000-000049330000}"/>
    <hyperlink ref="D4717" r:id="rId13005" xr:uid="{00000000-0004-0000-0000-00004A330000}"/>
    <hyperlink ref="A4718" r:id="rId13006" xr:uid="{00000000-0004-0000-0000-00004B330000}"/>
    <hyperlink ref="C4718" r:id="rId13007" xr:uid="{00000000-0004-0000-0000-00004C330000}"/>
    <hyperlink ref="D4718" r:id="rId13008" xr:uid="{00000000-0004-0000-0000-00004D330000}"/>
    <hyperlink ref="A4719" r:id="rId13009" xr:uid="{00000000-0004-0000-0000-00004E330000}"/>
    <hyperlink ref="C4719" r:id="rId13010" xr:uid="{00000000-0004-0000-0000-00004F330000}"/>
    <hyperlink ref="D4719" r:id="rId13011" xr:uid="{00000000-0004-0000-0000-000050330000}"/>
    <hyperlink ref="A4720" r:id="rId13012" xr:uid="{00000000-0004-0000-0000-000051330000}"/>
    <hyperlink ref="C4720" r:id="rId13013" xr:uid="{00000000-0004-0000-0000-000052330000}"/>
    <hyperlink ref="D4720" r:id="rId13014" xr:uid="{00000000-0004-0000-0000-000053330000}"/>
    <hyperlink ref="A4721" r:id="rId13015" xr:uid="{00000000-0004-0000-0000-000054330000}"/>
    <hyperlink ref="C4721" r:id="rId13016" xr:uid="{00000000-0004-0000-0000-000055330000}"/>
    <hyperlink ref="D4721" r:id="rId13017" xr:uid="{00000000-0004-0000-0000-000056330000}"/>
    <hyperlink ref="A4722" r:id="rId13018" xr:uid="{00000000-0004-0000-0000-000057330000}"/>
    <hyperlink ref="C4722" r:id="rId13019" xr:uid="{00000000-0004-0000-0000-000058330000}"/>
    <hyperlink ref="A4723" r:id="rId13020" xr:uid="{00000000-0004-0000-0000-000059330000}"/>
    <hyperlink ref="C4723" r:id="rId13021" xr:uid="{00000000-0004-0000-0000-00005A330000}"/>
    <hyperlink ref="A4724" r:id="rId13022" xr:uid="{00000000-0004-0000-0000-00005B330000}"/>
    <hyperlink ref="C4724" r:id="rId13023" xr:uid="{00000000-0004-0000-0000-00005C330000}"/>
    <hyperlink ref="A4725" r:id="rId13024" xr:uid="{00000000-0004-0000-0000-00005D330000}"/>
    <hyperlink ref="C4725" r:id="rId13025" xr:uid="{00000000-0004-0000-0000-00005E330000}"/>
    <hyperlink ref="A4726" r:id="rId13026" xr:uid="{00000000-0004-0000-0000-00005F330000}"/>
    <hyperlink ref="C4726" r:id="rId13027" xr:uid="{00000000-0004-0000-0000-000060330000}"/>
    <hyperlink ref="A4727" r:id="rId13028" xr:uid="{00000000-0004-0000-0000-000061330000}"/>
    <hyperlink ref="C4727" r:id="rId13029" xr:uid="{00000000-0004-0000-0000-000062330000}"/>
    <hyperlink ref="A4728" r:id="rId13030" xr:uid="{00000000-0004-0000-0000-000063330000}"/>
    <hyperlink ref="C4728" r:id="rId13031" xr:uid="{00000000-0004-0000-0000-000064330000}"/>
    <hyperlink ref="A4729" r:id="rId13032" xr:uid="{00000000-0004-0000-0000-000065330000}"/>
    <hyperlink ref="C4729" r:id="rId13033" xr:uid="{00000000-0004-0000-0000-000066330000}"/>
    <hyperlink ref="A4730" r:id="rId13034" xr:uid="{00000000-0004-0000-0000-000067330000}"/>
    <hyperlink ref="C4730" r:id="rId13035" xr:uid="{00000000-0004-0000-0000-000068330000}"/>
    <hyperlink ref="A4731" r:id="rId13036" xr:uid="{00000000-0004-0000-0000-000069330000}"/>
    <hyperlink ref="C4731" r:id="rId13037" xr:uid="{00000000-0004-0000-0000-00006A330000}"/>
    <hyperlink ref="A4732" r:id="rId13038" xr:uid="{00000000-0004-0000-0000-00006B330000}"/>
    <hyperlink ref="C4732" r:id="rId13039" xr:uid="{00000000-0004-0000-0000-00006C330000}"/>
    <hyperlink ref="D4732" r:id="rId13040" xr:uid="{00000000-0004-0000-0000-00006D330000}"/>
    <hyperlink ref="A4733" r:id="rId13041" xr:uid="{00000000-0004-0000-0000-00006E330000}"/>
    <hyperlink ref="C4733" r:id="rId13042" xr:uid="{00000000-0004-0000-0000-00006F330000}"/>
    <hyperlink ref="D4733" r:id="rId13043" xr:uid="{00000000-0004-0000-0000-000070330000}"/>
    <hyperlink ref="A4734" r:id="rId13044" xr:uid="{00000000-0004-0000-0000-000071330000}"/>
    <hyperlink ref="C4734" r:id="rId13045" xr:uid="{00000000-0004-0000-0000-000072330000}"/>
    <hyperlink ref="D4734" r:id="rId13046" xr:uid="{00000000-0004-0000-0000-000073330000}"/>
    <hyperlink ref="C4735" r:id="rId13047" xr:uid="{00000000-0004-0000-0000-000074330000}"/>
    <hyperlink ref="D4735" r:id="rId13048" xr:uid="{00000000-0004-0000-0000-000075330000}"/>
    <hyperlink ref="C4736" r:id="rId13049" xr:uid="{00000000-0004-0000-0000-000076330000}"/>
    <hyperlink ref="D4736" r:id="rId13050" xr:uid="{00000000-0004-0000-0000-000077330000}"/>
    <hyperlink ref="A4737" r:id="rId13051" xr:uid="{00000000-0004-0000-0000-000078330000}"/>
    <hyperlink ref="C4737" r:id="rId13052" xr:uid="{00000000-0004-0000-0000-000079330000}"/>
    <hyperlink ref="D4737" r:id="rId13053" xr:uid="{00000000-0004-0000-0000-00007A330000}"/>
    <hyperlink ref="C4738" r:id="rId13054" xr:uid="{00000000-0004-0000-0000-00007B330000}"/>
    <hyperlink ref="D4738" r:id="rId13055" xr:uid="{00000000-0004-0000-0000-00007C330000}"/>
    <hyperlink ref="A4739" r:id="rId13056" xr:uid="{00000000-0004-0000-0000-00007D330000}"/>
    <hyperlink ref="C4739" r:id="rId13057" xr:uid="{00000000-0004-0000-0000-00007E330000}"/>
    <hyperlink ref="D4739" r:id="rId13058" xr:uid="{00000000-0004-0000-0000-00007F330000}"/>
    <hyperlink ref="A4740" r:id="rId13059" xr:uid="{00000000-0004-0000-0000-000080330000}"/>
    <hyperlink ref="C4740" r:id="rId13060" xr:uid="{00000000-0004-0000-0000-000081330000}"/>
    <hyperlink ref="D4740" r:id="rId13061" xr:uid="{00000000-0004-0000-0000-000082330000}"/>
    <hyperlink ref="A4741" r:id="rId13062" xr:uid="{00000000-0004-0000-0000-000083330000}"/>
    <hyperlink ref="C4741" r:id="rId13063" xr:uid="{00000000-0004-0000-0000-000084330000}"/>
    <hyperlink ref="D4741" r:id="rId13064" xr:uid="{00000000-0004-0000-0000-000085330000}"/>
    <hyperlink ref="A4742" r:id="rId13065" xr:uid="{00000000-0004-0000-0000-000086330000}"/>
    <hyperlink ref="C4742" r:id="rId13066" xr:uid="{00000000-0004-0000-0000-000087330000}"/>
    <hyperlink ref="D4742" r:id="rId13067" xr:uid="{00000000-0004-0000-0000-000088330000}"/>
    <hyperlink ref="A4743" r:id="rId13068" xr:uid="{00000000-0004-0000-0000-000089330000}"/>
    <hyperlink ref="C4743" r:id="rId13069" xr:uid="{00000000-0004-0000-0000-00008A330000}"/>
    <hyperlink ref="D4743" r:id="rId13070" xr:uid="{00000000-0004-0000-0000-00008B330000}"/>
    <hyperlink ref="A4744" r:id="rId13071" xr:uid="{00000000-0004-0000-0000-00008C330000}"/>
    <hyperlink ref="C4744" r:id="rId13072" xr:uid="{00000000-0004-0000-0000-00008D330000}"/>
    <hyperlink ref="D4744" r:id="rId13073" xr:uid="{00000000-0004-0000-0000-00008E330000}"/>
    <hyperlink ref="A4745" r:id="rId13074" xr:uid="{00000000-0004-0000-0000-00008F330000}"/>
    <hyperlink ref="C4745" r:id="rId13075" xr:uid="{00000000-0004-0000-0000-000090330000}"/>
    <hyperlink ref="D4745" r:id="rId13076" xr:uid="{00000000-0004-0000-0000-000091330000}"/>
    <hyperlink ref="A4746" r:id="rId13077" xr:uid="{00000000-0004-0000-0000-000092330000}"/>
    <hyperlink ref="C4746" r:id="rId13078" xr:uid="{00000000-0004-0000-0000-000093330000}"/>
    <hyperlink ref="D4746" r:id="rId13079" xr:uid="{00000000-0004-0000-0000-000094330000}"/>
    <hyperlink ref="A4747" r:id="rId13080" xr:uid="{00000000-0004-0000-0000-000095330000}"/>
    <hyperlink ref="C4747" r:id="rId13081" xr:uid="{00000000-0004-0000-0000-000096330000}"/>
    <hyperlink ref="D4747" r:id="rId13082" xr:uid="{00000000-0004-0000-0000-000097330000}"/>
    <hyperlink ref="A4748" r:id="rId13083" xr:uid="{00000000-0004-0000-0000-000098330000}"/>
    <hyperlink ref="C4748" r:id="rId13084" xr:uid="{00000000-0004-0000-0000-000099330000}"/>
    <hyperlink ref="D4748" r:id="rId13085" xr:uid="{00000000-0004-0000-0000-00009A330000}"/>
    <hyperlink ref="A4749" r:id="rId13086" xr:uid="{00000000-0004-0000-0000-00009B330000}"/>
    <hyperlink ref="C4749" r:id="rId13087" xr:uid="{00000000-0004-0000-0000-00009C330000}"/>
    <hyperlink ref="D4749" r:id="rId13088" xr:uid="{00000000-0004-0000-0000-00009D330000}"/>
    <hyperlink ref="A4750" r:id="rId13089" xr:uid="{00000000-0004-0000-0000-00009E330000}"/>
    <hyperlink ref="C4750" r:id="rId13090" xr:uid="{00000000-0004-0000-0000-00009F330000}"/>
    <hyperlink ref="D4750" r:id="rId13091" xr:uid="{00000000-0004-0000-0000-0000A0330000}"/>
    <hyperlink ref="A4751" r:id="rId13092" xr:uid="{00000000-0004-0000-0000-0000A1330000}"/>
    <hyperlink ref="C4751" r:id="rId13093" xr:uid="{00000000-0004-0000-0000-0000A2330000}"/>
    <hyperlink ref="D4751" r:id="rId13094" xr:uid="{00000000-0004-0000-0000-0000A3330000}"/>
    <hyperlink ref="E4751" r:id="rId13095" xr:uid="{00000000-0004-0000-0000-0000A4330000}"/>
    <hyperlink ref="A4752" r:id="rId13096" xr:uid="{00000000-0004-0000-0000-0000A5330000}"/>
    <hyperlink ref="C4752" r:id="rId13097" xr:uid="{00000000-0004-0000-0000-0000A6330000}"/>
    <hyperlink ref="D4752" r:id="rId13098" xr:uid="{00000000-0004-0000-0000-0000A7330000}"/>
    <hyperlink ref="A4753" r:id="rId13099" xr:uid="{00000000-0004-0000-0000-0000A8330000}"/>
    <hyperlink ref="C4753" r:id="rId13100" xr:uid="{00000000-0004-0000-0000-0000A9330000}"/>
    <hyperlink ref="D4753" r:id="rId13101" xr:uid="{00000000-0004-0000-0000-0000AA330000}"/>
    <hyperlink ref="A4754" r:id="rId13102" xr:uid="{00000000-0004-0000-0000-0000AB330000}"/>
    <hyperlink ref="C4754" r:id="rId13103" xr:uid="{00000000-0004-0000-0000-0000AC330000}"/>
    <hyperlink ref="D4754" r:id="rId13104" xr:uid="{00000000-0004-0000-0000-0000AD330000}"/>
    <hyperlink ref="A4755" r:id="rId13105" xr:uid="{00000000-0004-0000-0000-0000AE330000}"/>
    <hyperlink ref="C4755" r:id="rId13106" xr:uid="{00000000-0004-0000-0000-0000AF330000}"/>
    <hyperlink ref="D4755" r:id="rId13107" xr:uid="{00000000-0004-0000-0000-0000B0330000}"/>
    <hyperlink ref="A4756" r:id="rId13108" xr:uid="{00000000-0004-0000-0000-0000B1330000}"/>
    <hyperlink ref="C4756" r:id="rId13109" xr:uid="{00000000-0004-0000-0000-0000B2330000}"/>
    <hyperlink ref="D4756" r:id="rId13110" xr:uid="{00000000-0004-0000-0000-0000B3330000}"/>
    <hyperlink ref="A4757" r:id="rId13111" xr:uid="{00000000-0004-0000-0000-0000B4330000}"/>
    <hyperlink ref="C4757" r:id="rId13112" xr:uid="{00000000-0004-0000-0000-0000B5330000}"/>
    <hyperlink ref="D4757" r:id="rId13113" xr:uid="{00000000-0004-0000-0000-0000B6330000}"/>
    <hyperlink ref="A4758" r:id="rId13114" xr:uid="{00000000-0004-0000-0000-0000B7330000}"/>
    <hyperlink ref="C4758" r:id="rId13115" xr:uid="{00000000-0004-0000-0000-0000B8330000}"/>
    <hyperlink ref="D4758" r:id="rId13116" xr:uid="{00000000-0004-0000-0000-0000B9330000}"/>
    <hyperlink ref="A4759" r:id="rId13117" xr:uid="{00000000-0004-0000-0000-0000BA330000}"/>
    <hyperlink ref="C4759" r:id="rId13118" xr:uid="{00000000-0004-0000-0000-0000BB330000}"/>
    <hyperlink ref="D4759" r:id="rId13119" xr:uid="{00000000-0004-0000-0000-0000BC330000}"/>
    <hyperlink ref="C4760" r:id="rId13120" xr:uid="{00000000-0004-0000-0000-0000BD330000}"/>
    <hyperlink ref="D4760" r:id="rId13121" xr:uid="{00000000-0004-0000-0000-0000BE330000}"/>
    <hyperlink ref="A4761" r:id="rId13122" xr:uid="{00000000-0004-0000-0000-0000BF330000}"/>
    <hyperlink ref="C4761" r:id="rId13123" xr:uid="{00000000-0004-0000-0000-0000C0330000}"/>
    <hyperlink ref="D4761" r:id="rId13124" xr:uid="{00000000-0004-0000-0000-0000C1330000}"/>
    <hyperlink ref="A4762" r:id="rId13125" xr:uid="{00000000-0004-0000-0000-0000C2330000}"/>
    <hyperlink ref="C4762" r:id="rId13126" xr:uid="{00000000-0004-0000-0000-0000C3330000}"/>
    <hyperlink ref="D4762" r:id="rId13127" xr:uid="{00000000-0004-0000-0000-0000C4330000}"/>
    <hyperlink ref="A4763" r:id="rId13128" xr:uid="{00000000-0004-0000-0000-0000C5330000}"/>
    <hyperlink ref="C4763" r:id="rId13129" xr:uid="{00000000-0004-0000-0000-0000C6330000}"/>
    <hyperlink ref="D4763" r:id="rId13130" xr:uid="{00000000-0004-0000-0000-0000C7330000}"/>
    <hyperlink ref="A4764" r:id="rId13131" xr:uid="{00000000-0004-0000-0000-0000C8330000}"/>
    <hyperlink ref="C4764" r:id="rId13132" xr:uid="{00000000-0004-0000-0000-0000C9330000}"/>
    <hyperlink ref="D4764" r:id="rId13133" xr:uid="{00000000-0004-0000-0000-0000CA330000}"/>
    <hyperlink ref="A4765" r:id="rId13134" xr:uid="{00000000-0004-0000-0000-0000CB330000}"/>
    <hyperlink ref="C4765" r:id="rId13135" xr:uid="{00000000-0004-0000-0000-0000CC330000}"/>
    <hyperlink ref="D4765" r:id="rId13136" xr:uid="{00000000-0004-0000-0000-0000CD330000}"/>
    <hyperlink ref="C4766" r:id="rId13137" xr:uid="{00000000-0004-0000-0000-0000CE330000}"/>
    <hyperlink ref="D4766" r:id="rId13138" xr:uid="{00000000-0004-0000-0000-0000CF330000}"/>
    <hyperlink ref="C4767" r:id="rId13139" xr:uid="{00000000-0004-0000-0000-0000D0330000}"/>
    <hyperlink ref="D4767" r:id="rId13140" xr:uid="{00000000-0004-0000-0000-0000D1330000}"/>
    <hyperlink ref="A4768" r:id="rId13141" xr:uid="{00000000-0004-0000-0000-0000D2330000}"/>
    <hyperlink ref="C4768" r:id="rId13142" xr:uid="{00000000-0004-0000-0000-0000D3330000}"/>
    <hyperlink ref="D4768" r:id="rId13143" xr:uid="{00000000-0004-0000-0000-0000D4330000}"/>
    <hyperlink ref="A4769" r:id="rId13144" xr:uid="{00000000-0004-0000-0000-0000D5330000}"/>
    <hyperlink ref="C4769" r:id="rId13145" xr:uid="{00000000-0004-0000-0000-0000D6330000}"/>
    <hyperlink ref="D4769" r:id="rId13146" xr:uid="{00000000-0004-0000-0000-0000D7330000}"/>
    <hyperlink ref="A4770" r:id="rId13147" xr:uid="{00000000-0004-0000-0000-0000D8330000}"/>
    <hyperlink ref="C4770" r:id="rId13148" xr:uid="{00000000-0004-0000-0000-0000D9330000}"/>
    <hyperlink ref="D4770" r:id="rId13149" xr:uid="{00000000-0004-0000-0000-0000DA330000}"/>
    <hyperlink ref="C4771" r:id="rId13150" xr:uid="{00000000-0004-0000-0000-0000DB330000}"/>
    <hyperlink ref="D4771" r:id="rId13151" xr:uid="{00000000-0004-0000-0000-0000DC330000}"/>
    <hyperlink ref="A4772" r:id="rId13152" xr:uid="{00000000-0004-0000-0000-0000DD330000}"/>
    <hyperlink ref="C4772" r:id="rId13153" xr:uid="{00000000-0004-0000-0000-0000DE330000}"/>
    <hyperlink ref="D4772" r:id="rId13154" xr:uid="{00000000-0004-0000-0000-0000DF330000}"/>
    <hyperlink ref="A4773" r:id="rId13155" xr:uid="{00000000-0004-0000-0000-0000E0330000}"/>
    <hyperlink ref="C4773" r:id="rId13156" xr:uid="{00000000-0004-0000-0000-0000E1330000}"/>
    <hyperlink ref="D4773" r:id="rId13157" xr:uid="{00000000-0004-0000-0000-0000E2330000}"/>
    <hyperlink ref="A4774" r:id="rId13158" xr:uid="{00000000-0004-0000-0000-0000E3330000}"/>
    <hyperlink ref="C4774" r:id="rId13159" xr:uid="{00000000-0004-0000-0000-0000E4330000}"/>
    <hyperlink ref="D4774" r:id="rId13160" xr:uid="{00000000-0004-0000-0000-0000E5330000}"/>
    <hyperlink ref="C4775" r:id="rId13161" xr:uid="{00000000-0004-0000-0000-0000E6330000}"/>
    <hyperlink ref="D4775" r:id="rId13162" xr:uid="{00000000-0004-0000-0000-0000E7330000}"/>
    <hyperlink ref="A4776" r:id="rId13163" xr:uid="{00000000-0004-0000-0000-0000E8330000}"/>
    <hyperlink ref="C4776" r:id="rId13164" xr:uid="{00000000-0004-0000-0000-0000E9330000}"/>
    <hyperlink ref="D4776" r:id="rId13165" xr:uid="{00000000-0004-0000-0000-0000EA330000}"/>
    <hyperlink ref="A4777" r:id="rId13166" xr:uid="{00000000-0004-0000-0000-0000EB330000}"/>
    <hyperlink ref="C4777" r:id="rId13167" xr:uid="{00000000-0004-0000-0000-0000EC330000}"/>
    <hyperlink ref="D4777" r:id="rId13168" xr:uid="{00000000-0004-0000-0000-0000ED330000}"/>
    <hyperlink ref="C4778" r:id="rId13169" xr:uid="{00000000-0004-0000-0000-0000EE330000}"/>
    <hyperlink ref="D4778" r:id="rId13170" xr:uid="{00000000-0004-0000-0000-0000EF330000}"/>
    <hyperlink ref="A4779" r:id="rId13171" xr:uid="{00000000-0004-0000-0000-0000F0330000}"/>
    <hyperlink ref="D4779" r:id="rId13172" xr:uid="{00000000-0004-0000-0000-0000F1330000}"/>
    <hyperlink ref="E4779" r:id="rId13173" xr:uid="{00000000-0004-0000-0000-0000F2330000}"/>
    <hyperlink ref="A4780" r:id="rId13174" xr:uid="{00000000-0004-0000-0000-0000F3330000}"/>
    <hyperlink ref="C4780" r:id="rId13175" xr:uid="{00000000-0004-0000-0000-0000F4330000}"/>
    <hyperlink ref="D4780" r:id="rId13176" xr:uid="{00000000-0004-0000-0000-0000F5330000}"/>
    <hyperlink ref="A4781" r:id="rId13177" xr:uid="{00000000-0004-0000-0000-0000F6330000}"/>
    <hyperlink ref="C4781" r:id="rId13178" xr:uid="{00000000-0004-0000-0000-0000F7330000}"/>
    <hyperlink ref="D4781" r:id="rId13179" xr:uid="{00000000-0004-0000-0000-0000F8330000}"/>
    <hyperlink ref="A4782" r:id="rId13180" xr:uid="{00000000-0004-0000-0000-0000F9330000}"/>
    <hyperlink ref="C4782" r:id="rId13181" xr:uid="{00000000-0004-0000-0000-0000FA330000}"/>
    <hyperlink ref="D4782" r:id="rId13182" xr:uid="{00000000-0004-0000-0000-0000FB330000}"/>
    <hyperlink ref="A4783" r:id="rId13183" xr:uid="{00000000-0004-0000-0000-0000FC330000}"/>
    <hyperlink ref="C4783" r:id="rId13184" xr:uid="{00000000-0004-0000-0000-0000FD330000}"/>
    <hyperlink ref="D4783" r:id="rId13185" xr:uid="{00000000-0004-0000-0000-0000FE330000}"/>
    <hyperlink ref="A4784" r:id="rId13186" xr:uid="{00000000-0004-0000-0000-0000FF330000}"/>
    <hyperlink ref="C4784" r:id="rId13187" xr:uid="{00000000-0004-0000-0000-000000340000}"/>
    <hyperlink ref="D4784" r:id="rId13188" xr:uid="{00000000-0004-0000-0000-000001340000}"/>
    <hyperlink ref="A4785" r:id="rId13189" xr:uid="{00000000-0004-0000-0000-000002340000}"/>
    <hyperlink ref="C4785" r:id="rId13190" xr:uid="{00000000-0004-0000-0000-000003340000}"/>
    <hyperlink ref="D4785" r:id="rId13191" xr:uid="{00000000-0004-0000-0000-000004340000}"/>
    <hyperlink ref="A4786" r:id="rId13192" xr:uid="{00000000-0004-0000-0000-000005340000}"/>
    <hyperlink ref="C4786" r:id="rId13193" xr:uid="{00000000-0004-0000-0000-000006340000}"/>
    <hyperlink ref="D4786" r:id="rId13194" xr:uid="{00000000-0004-0000-0000-000007340000}"/>
    <hyperlink ref="A4787" r:id="rId13195" xr:uid="{00000000-0004-0000-0000-000008340000}"/>
    <hyperlink ref="C4787" r:id="rId13196" xr:uid="{00000000-0004-0000-0000-000009340000}"/>
    <hyperlink ref="D4787" r:id="rId13197" xr:uid="{00000000-0004-0000-0000-00000A340000}"/>
    <hyperlink ref="A4788" r:id="rId13198" xr:uid="{00000000-0004-0000-0000-00000B340000}"/>
    <hyperlink ref="C4788" r:id="rId13199" xr:uid="{00000000-0004-0000-0000-00000C340000}"/>
    <hyperlink ref="D4788" r:id="rId13200" xr:uid="{00000000-0004-0000-0000-00000D340000}"/>
    <hyperlink ref="A4789" r:id="rId13201" xr:uid="{00000000-0004-0000-0000-00000E340000}"/>
    <hyperlink ref="C4789" r:id="rId13202" xr:uid="{00000000-0004-0000-0000-00000F340000}"/>
    <hyperlink ref="D4789" r:id="rId13203" xr:uid="{00000000-0004-0000-0000-000010340000}"/>
    <hyperlink ref="A4790" r:id="rId13204" xr:uid="{00000000-0004-0000-0000-000011340000}"/>
    <hyperlink ref="C4790" r:id="rId13205" xr:uid="{00000000-0004-0000-0000-000012340000}"/>
    <hyperlink ref="D4790" r:id="rId13206" xr:uid="{00000000-0004-0000-0000-000013340000}"/>
    <hyperlink ref="A4791" r:id="rId13207" xr:uid="{00000000-0004-0000-0000-000014340000}"/>
    <hyperlink ref="C4791" r:id="rId13208" xr:uid="{00000000-0004-0000-0000-000015340000}"/>
    <hyperlink ref="D4791" r:id="rId13209" xr:uid="{00000000-0004-0000-0000-000016340000}"/>
    <hyperlink ref="A4792" r:id="rId13210" xr:uid="{00000000-0004-0000-0000-000017340000}"/>
    <hyperlink ref="C4792" r:id="rId13211" xr:uid="{00000000-0004-0000-0000-000018340000}"/>
    <hyperlink ref="D4792" r:id="rId13212" xr:uid="{00000000-0004-0000-0000-000019340000}"/>
    <hyperlink ref="A4793" r:id="rId13213" xr:uid="{00000000-0004-0000-0000-00001A340000}"/>
    <hyperlink ref="C4793" r:id="rId13214" xr:uid="{00000000-0004-0000-0000-00001B340000}"/>
    <hyperlink ref="D4793" r:id="rId13215" xr:uid="{00000000-0004-0000-0000-00001C340000}"/>
    <hyperlink ref="A4794" r:id="rId13216" xr:uid="{00000000-0004-0000-0000-00001D340000}"/>
    <hyperlink ref="C4794" r:id="rId13217" xr:uid="{00000000-0004-0000-0000-00001E340000}"/>
    <hyperlink ref="D4794" r:id="rId13218" xr:uid="{00000000-0004-0000-0000-00001F340000}"/>
    <hyperlink ref="A4795" r:id="rId13219" xr:uid="{00000000-0004-0000-0000-000020340000}"/>
    <hyperlink ref="C4795" r:id="rId13220" xr:uid="{00000000-0004-0000-0000-000021340000}"/>
    <hyperlink ref="D4795" r:id="rId13221" xr:uid="{00000000-0004-0000-0000-000022340000}"/>
    <hyperlink ref="A4796" r:id="rId13222" xr:uid="{00000000-0004-0000-0000-000023340000}"/>
    <hyperlink ref="C4796" r:id="rId13223" xr:uid="{00000000-0004-0000-0000-000024340000}"/>
    <hyperlink ref="D4796" r:id="rId13224" xr:uid="{00000000-0004-0000-0000-000025340000}"/>
    <hyperlink ref="A4797" r:id="rId13225" xr:uid="{00000000-0004-0000-0000-000026340000}"/>
    <hyperlink ref="C4797" r:id="rId13226" xr:uid="{00000000-0004-0000-0000-000027340000}"/>
    <hyperlink ref="D4797" r:id="rId13227" xr:uid="{00000000-0004-0000-0000-000028340000}"/>
    <hyperlink ref="A4798" r:id="rId13228" xr:uid="{00000000-0004-0000-0000-000029340000}"/>
    <hyperlink ref="C4798" r:id="rId13229" xr:uid="{00000000-0004-0000-0000-00002A340000}"/>
    <hyperlink ref="D4798" r:id="rId13230" xr:uid="{00000000-0004-0000-0000-00002B340000}"/>
    <hyperlink ref="A4799" r:id="rId13231" xr:uid="{00000000-0004-0000-0000-00002C340000}"/>
    <hyperlink ref="C4799" r:id="rId13232" xr:uid="{00000000-0004-0000-0000-00002D340000}"/>
    <hyperlink ref="D4799" r:id="rId13233" xr:uid="{00000000-0004-0000-0000-00002E340000}"/>
    <hyperlink ref="A4800" r:id="rId13234" xr:uid="{00000000-0004-0000-0000-00002F340000}"/>
    <hyperlink ref="C4800" r:id="rId13235" xr:uid="{00000000-0004-0000-0000-000030340000}"/>
    <hyperlink ref="D4800" r:id="rId13236" xr:uid="{00000000-0004-0000-0000-000031340000}"/>
    <hyperlink ref="A4801" r:id="rId13237" xr:uid="{00000000-0004-0000-0000-000032340000}"/>
    <hyperlink ref="C4801" r:id="rId13238" xr:uid="{00000000-0004-0000-0000-000033340000}"/>
    <hyperlink ref="D4801" r:id="rId13239" xr:uid="{00000000-0004-0000-0000-000034340000}"/>
    <hyperlink ref="A4802" r:id="rId13240" xr:uid="{00000000-0004-0000-0000-000035340000}"/>
    <hyperlink ref="C4802" r:id="rId13241" xr:uid="{00000000-0004-0000-0000-000036340000}"/>
    <hyperlink ref="D4802" r:id="rId13242" xr:uid="{00000000-0004-0000-0000-000037340000}"/>
    <hyperlink ref="C4803" r:id="rId13243" xr:uid="{00000000-0004-0000-0000-000038340000}"/>
    <hyperlink ref="D4803" r:id="rId13244" xr:uid="{00000000-0004-0000-0000-000039340000}"/>
    <hyperlink ref="A4804" r:id="rId13245" xr:uid="{00000000-0004-0000-0000-00003A340000}"/>
    <hyperlink ref="C4804" r:id="rId13246" xr:uid="{00000000-0004-0000-0000-00003B340000}"/>
    <hyperlink ref="D4804" r:id="rId13247" xr:uid="{00000000-0004-0000-0000-00003C340000}"/>
    <hyperlink ref="A4805" r:id="rId13248" xr:uid="{00000000-0004-0000-0000-00003D340000}"/>
    <hyperlink ref="C4805" r:id="rId13249" xr:uid="{00000000-0004-0000-0000-00003E340000}"/>
    <hyperlink ref="D4805" r:id="rId13250" xr:uid="{00000000-0004-0000-0000-00003F340000}"/>
    <hyperlink ref="C4806" r:id="rId13251" xr:uid="{00000000-0004-0000-0000-000040340000}"/>
    <hyperlink ref="D4806" r:id="rId13252" xr:uid="{00000000-0004-0000-0000-000041340000}"/>
    <hyperlink ref="C4807" r:id="rId13253" xr:uid="{00000000-0004-0000-0000-000042340000}"/>
    <hyperlink ref="D4807" r:id="rId13254" xr:uid="{00000000-0004-0000-0000-000043340000}"/>
    <hyperlink ref="A4808" r:id="rId13255" xr:uid="{00000000-0004-0000-0000-000044340000}"/>
    <hyperlink ref="C4808" r:id="rId13256" xr:uid="{00000000-0004-0000-0000-000045340000}"/>
    <hyperlink ref="D4808" r:id="rId13257" xr:uid="{00000000-0004-0000-0000-000046340000}"/>
    <hyperlink ref="A4809" r:id="rId13258" xr:uid="{00000000-0004-0000-0000-000047340000}"/>
    <hyperlink ref="C4809" r:id="rId13259" xr:uid="{00000000-0004-0000-0000-000048340000}"/>
    <hyperlink ref="D4809" r:id="rId13260" xr:uid="{00000000-0004-0000-0000-000049340000}"/>
    <hyperlink ref="A4810" r:id="rId13261" xr:uid="{00000000-0004-0000-0000-00004A340000}"/>
    <hyperlink ref="C4810" r:id="rId13262" xr:uid="{00000000-0004-0000-0000-00004B340000}"/>
    <hyperlink ref="D4810" r:id="rId13263" xr:uid="{00000000-0004-0000-0000-00004C340000}"/>
    <hyperlink ref="A4811" r:id="rId13264" xr:uid="{00000000-0004-0000-0000-00004D340000}"/>
    <hyperlink ref="C4811" r:id="rId13265" xr:uid="{00000000-0004-0000-0000-00004E340000}"/>
    <hyperlink ref="D4811" r:id="rId13266" xr:uid="{00000000-0004-0000-0000-00004F340000}"/>
    <hyperlink ref="A4812" r:id="rId13267" xr:uid="{00000000-0004-0000-0000-000050340000}"/>
    <hyperlink ref="C4812" r:id="rId13268" xr:uid="{00000000-0004-0000-0000-000051340000}"/>
    <hyperlink ref="D4812" r:id="rId13269" xr:uid="{00000000-0004-0000-0000-000052340000}"/>
    <hyperlink ref="A4813" r:id="rId13270" xr:uid="{00000000-0004-0000-0000-000053340000}"/>
    <hyperlink ref="C4813" r:id="rId13271" xr:uid="{00000000-0004-0000-0000-000054340000}"/>
    <hyperlink ref="D4813" r:id="rId13272" xr:uid="{00000000-0004-0000-0000-000055340000}"/>
    <hyperlink ref="A4814" r:id="rId13273" xr:uid="{00000000-0004-0000-0000-000056340000}"/>
    <hyperlink ref="C4814" r:id="rId13274" xr:uid="{00000000-0004-0000-0000-000057340000}"/>
    <hyperlink ref="D4814" r:id="rId13275" xr:uid="{00000000-0004-0000-0000-000058340000}"/>
    <hyperlink ref="A4815" r:id="rId13276" xr:uid="{00000000-0004-0000-0000-000059340000}"/>
    <hyperlink ref="C4815" r:id="rId13277" xr:uid="{00000000-0004-0000-0000-00005A340000}"/>
    <hyperlink ref="D4815" r:id="rId13278" xr:uid="{00000000-0004-0000-0000-00005B340000}"/>
    <hyperlink ref="A4816" r:id="rId13279" xr:uid="{00000000-0004-0000-0000-00005C340000}"/>
    <hyperlink ref="C4816" r:id="rId13280" xr:uid="{00000000-0004-0000-0000-00005D340000}"/>
    <hyperlink ref="D4816" r:id="rId13281" xr:uid="{00000000-0004-0000-0000-00005E340000}"/>
    <hyperlink ref="C4817" r:id="rId13282" xr:uid="{00000000-0004-0000-0000-00005F340000}"/>
    <hyperlink ref="D4817" r:id="rId13283" xr:uid="{00000000-0004-0000-0000-000060340000}"/>
    <hyperlink ref="A4818" r:id="rId13284" xr:uid="{00000000-0004-0000-0000-000061340000}"/>
    <hyperlink ref="C4818" r:id="rId13285" xr:uid="{00000000-0004-0000-0000-000062340000}"/>
    <hyperlink ref="D4818" r:id="rId13286" xr:uid="{00000000-0004-0000-0000-000063340000}"/>
    <hyperlink ref="A4819" r:id="rId13287" xr:uid="{00000000-0004-0000-0000-000064340000}"/>
    <hyperlink ref="C4819" r:id="rId13288" xr:uid="{00000000-0004-0000-0000-000065340000}"/>
    <hyperlink ref="D4819" r:id="rId13289" xr:uid="{00000000-0004-0000-0000-000066340000}"/>
    <hyperlink ref="A4820" r:id="rId13290" xr:uid="{00000000-0004-0000-0000-000067340000}"/>
    <hyperlink ref="C4820" r:id="rId13291" xr:uid="{00000000-0004-0000-0000-000068340000}"/>
    <hyperlink ref="D4820" r:id="rId13292" xr:uid="{00000000-0004-0000-0000-000069340000}"/>
    <hyperlink ref="A4821" r:id="rId13293" xr:uid="{00000000-0004-0000-0000-00006A340000}"/>
    <hyperlink ref="C4821" r:id="rId13294" xr:uid="{00000000-0004-0000-0000-00006B340000}"/>
    <hyperlink ref="D4821" r:id="rId13295" xr:uid="{00000000-0004-0000-0000-00006C340000}"/>
    <hyperlink ref="A4822" r:id="rId13296" xr:uid="{00000000-0004-0000-0000-00006D340000}"/>
    <hyperlink ref="C4822" r:id="rId13297" xr:uid="{00000000-0004-0000-0000-00006E340000}"/>
    <hyperlink ref="D4822" r:id="rId13298" xr:uid="{00000000-0004-0000-0000-00006F340000}"/>
    <hyperlink ref="A4823" r:id="rId13299" xr:uid="{00000000-0004-0000-0000-000070340000}"/>
    <hyperlink ref="C4823" r:id="rId13300" xr:uid="{00000000-0004-0000-0000-000071340000}"/>
    <hyperlink ref="D4823" r:id="rId13301" xr:uid="{00000000-0004-0000-0000-000072340000}"/>
    <hyperlink ref="A4824" r:id="rId13302" xr:uid="{00000000-0004-0000-0000-000073340000}"/>
    <hyperlink ref="C4824" r:id="rId13303" xr:uid="{00000000-0004-0000-0000-000074340000}"/>
    <hyperlink ref="D4824" r:id="rId13304" xr:uid="{00000000-0004-0000-0000-000075340000}"/>
    <hyperlink ref="A4825" r:id="rId13305" xr:uid="{00000000-0004-0000-0000-000076340000}"/>
    <hyperlink ref="C4825" r:id="rId13306" xr:uid="{00000000-0004-0000-0000-000077340000}"/>
    <hyperlink ref="D4825" r:id="rId13307" xr:uid="{00000000-0004-0000-0000-000078340000}"/>
    <hyperlink ref="C4826" r:id="rId13308" xr:uid="{00000000-0004-0000-0000-000079340000}"/>
    <hyperlink ref="D4826" r:id="rId13309" xr:uid="{00000000-0004-0000-0000-00007A340000}"/>
    <hyperlink ref="A4827" r:id="rId13310" xr:uid="{00000000-0004-0000-0000-00007B340000}"/>
    <hyperlink ref="C4827" r:id="rId13311" xr:uid="{00000000-0004-0000-0000-00007C340000}"/>
    <hyperlink ref="D4827" r:id="rId13312" xr:uid="{00000000-0004-0000-0000-00007D340000}"/>
    <hyperlink ref="A4828" r:id="rId13313" xr:uid="{00000000-0004-0000-0000-00007E340000}"/>
    <hyperlink ref="C4828" r:id="rId13314" xr:uid="{00000000-0004-0000-0000-00007F340000}"/>
    <hyperlink ref="D4828" r:id="rId13315" xr:uid="{00000000-0004-0000-0000-000080340000}"/>
    <hyperlink ref="A4829" r:id="rId13316" xr:uid="{00000000-0004-0000-0000-000081340000}"/>
    <hyperlink ref="C4829" r:id="rId13317" xr:uid="{00000000-0004-0000-0000-000082340000}"/>
    <hyperlink ref="D4829" r:id="rId13318" xr:uid="{00000000-0004-0000-0000-000083340000}"/>
    <hyperlink ref="C4830" r:id="rId13319" xr:uid="{00000000-0004-0000-0000-000084340000}"/>
    <hyperlink ref="D4830" r:id="rId13320" xr:uid="{00000000-0004-0000-0000-0000853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Länkar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Westerlund</cp:lastModifiedBy>
  <dcterms:created xsi:type="dcterms:W3CDTF">2025-10-28T14:15:14Z</dcterms:created>
  <dcterms:modified xsi:type="dcterms:W3CDTF">2025-10-28T14:27:11Z</dcterms:modified>
</cp:coreProperties>
</file>